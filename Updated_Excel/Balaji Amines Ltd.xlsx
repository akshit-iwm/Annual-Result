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5196AC7-E297-48B3-8494-0CE183E002B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data" sheetId="10" r:id="rId2"/>
    <sheet name="Concall" sheetId="11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7" i="1" l="1"/>
  <c r="AB40" i="1"/>
  <c r="AC40" i="1"/>
  <c r="AD40" i="1"/>
  <c r="AE40" i="1"/>
  <c r="CN39" i="1"/>
  <c r="CN41" i="1" s="1"/>
  <c r="CO39" i="1"/>
  <c r="CO41" i="1" s="1"/>
  <c r="CM39" i="1"/>
  <c r="CV14" i="1"/>
  <c r="CV39" i="1" s="1"/>
  <c r="CV41" i="1" s="1"/>
  <c r="CW14" i="1"/>
  <c r="CX14" i="1" s="1"/>
  <c r="CX50" i="1" s="1"/>
  <c r="CU14" i="1"/>
  <c r="CU39" i="1" s="1"/>
  <c r="CU41" i="1" s="1"/>
  <c r="CT14" i="1"/>
  <c r="CT39" i="1" s="1"/>
  <c r="CT43" i="1" s="1"/>
  <c r="CT44" i="1" s="1"/>
  <c r="CS14" i="1"/>
  <c r="CS39" i="1" s="1"/>
  <c r="CS43" i="1" s="1"/>
  <c r="CS44" i="1" s="1"/>
  <c r="CR14" i="1"/>
  <c r="CR39" i="1" s="1"/>
  <c r="CR41" i="1" s="1"/>
  <c r="CQ14" i="1"/>
  <c r="CQ39" i="1" s="1"/>
  <c r="CQ41" i="1" s="1"/>
  <c r="CF36" i="1"/>
  <c r="CG36" i="1"/>
  <c r="CH36" i="1"/>
  <c r="CI36" i="1"/>
  <c r="CJ36" i="1"/>
  <c r="CK36" i="1"/>
  <c r="CL36" i="1"/>
  <c r="CF37" i="1"/>
  <c r="CG37" i="1"/>
  <c r="CH37" i="1"/>
  <c r="CI37" i="1"/>
  <c r="CJ37" i="1"/>
  <c r="CK37" i="1"/>
  <c r="CL37" i="1"/>
  <c r="CE37" i="1"/>
  <c r="CE36" i="1"/>
  <c r="U37" i="1"/>
  <c r="V37" i="1"/>
  <c r="W37" i="1"/>
  <c r="X37" i="1"/>
  <c r="Y37" i="1"/>
  <c r="Z37" i="1"/>
  <c r="AA37" i="1"/>
  <c r="T37" i="1"/>
  <c r="U36" i="1"/>
  <c r="V36" i="1"/>
  <c r="W36" i="1"/>
  <c r="X36" i="1"/>
  <c r="Y36" i="1"/>
  <c r="Z36" i="1"/>
  <c r="T36" i="1"/>
  <c r="AA33" i="1"/>
  <c r="AA36" i="1" s="1"/>
  <c r="V14" i="1"/>
  <c r="W14" i="1"/>
  <c r="CE14" i="1"/>
  <c r="CF14" i="1"/>
  <c r="CG14" i="1"/>
  <c r="H25" i="11"/>
  <c r="AF94" i="1"/>
  <c r="F44" i="11"/>
  <c r="F43" i="11"/>
  <c r="C46" i="11"/>
  <c r="C45" i="11"/>
  <c r="C42" i="11"/>
  <c r="C41" i="11"/>
  <c r="C40" i="11"/>
  <c r="C39" i="11"/>
  <c r="C38" i="11"/>
  <c r="C32" i="11"/>
  <c r="C33" i="11"/>
  <c r="C34" i="11"/>
  <c r="C35" i="11"/>
  <c r="C31" i="11"/>
  <c r="C30" i="11"/>
  <c r="C29" i="11"/>
  <c r="C24" i="11"/>
  <c r="C25" i="11"/>
  <c r="C23" i="11"/>
  <c r="CL108" i="1"/>
  <c r="CN186" i="1"/>
  <c r="BV5" i="1"/>
  <c r="BU5" i="1" s="1"/>
  <c r="BT5" i="1" s="1"/>
  <c r="BS5" i="1" s="1"/>
  <c r="BV4" i="1"/>
  <c r="BU4" i="1" s="1"/>
  <c r="BT4" i="1" s="1"/>
  <c r="BS4" i="1" s="1"/>
  <c r="BV3" i="1"/>
  <c r="BU3" i="1" s="1"/>
  <c r="BT3" i="1" s="1"/>
  <c r="BS3" i="1" s="1"/>
  <c r="BZ4" i="1"/>
  <c r="BY4" i="1" s="1"/>
  <c r="BX4" i="1" s="1"/>
  <c r="BW4" i="1" s="1"/>
  <c r="BZ3" i="1"/>
  <c r="BY3" i="1" s="1"/>
  <c r="BX3" i="1" s="1"/>
  <c r="BW3" i="1" s="1"/>
  <c r="CD4" i="1"/>
  <c r="CC4" i="1" s="1"/>
  <c r="CB4" i="1" s="1"/>
  <c r="CA4" i="1" s="1"/>
  <c r="CD3" i="1"/>
  <c r="CC3" i="1" s="1"/>
  <c r="CB3" i="1" s="1"/>
  <c r="CA3" i="1" s="1"/>
  <c r="CH4" i="1"/>
  <c r="CG4" i="1" s="1"/>
  <c r="CF4" i="1" s="1"/>
  <c r="CE4" i="1" s="1"/>
  <c r="CL4" i="1"/>
  <c r="CM4" i="1" s="1"/>
  <c r="CM10" i="1"/>
  <c r="CQ10" i="1" s="1"/>
  <c r="CU10" i="1" s="1"/>
  <c r="CY10" i="1" s="1"/>
  <c r="CN10" i="1"/>
  <c r="CR10" i="1" s="1"/>
  <c r="CV10" i="1" s="1"/>
  <c r="CZ10" i="1" s="1"/>
  <c r="CO10" i="1"/>
  <c r="CS10" i="1" s="1"/>
  <c r="CW10" i="1" s="1"/>
  <c r="DA10" i="1" s="1"/>
  <c r="CP10" i="1"/>
  <c r="CT10" i="1" s="1"/>
  <c r="CX10" i="1" s="1"/>
  <c r="DB10" i="1" s="1"/>
  <c r="CM11" i="1"/>
  <c r="CQ11" i="1" s="1"/>
  <c r="CU11" i="1" s="1"/>
  <c r="CY11" i="1" s="1"/>
  <c r="CN11" i="1"/>
  <c r="CR11" i="1" s="1"/>
  <c r="CV11" i="1" s="1"/>
  <c r="CZ11" i="1" s="1"/>
  <c r="CO11" i="1"/>
  <c r="CS11" i="1" s="1"/>
  <c r="CW11" i="1" s="1"/>
  <c r="DA11" i="1" s="1"/>
  <c r="CP11" i="1"/>
  <c r="CT11" i="1" s="1"/>
  <c r="CX11" i="1" s="1"/>
  <c r="DB11" i="1" s="1"/>
  <c r="CN9" i="1"/>
  <c r="CR9" i="1" s="1"/>
  <c r="CV9" i="1" s="1"/>
  <c r="CZ9" i="1" s="1"/>
  <c r="CO9" i="1"/>
  <c r="CS9" i="1" s="1"/>
  <c r="CW9" i="1" s="1"/>
  <c r="DA9" i="1" s="1"/>
  <c r="CP9" i="1"/>
  <c r="CT9" i="1" s="1"/>
  <c r="CX9" i="1" s="1"/>
  <c r="DB9" i="1" s="1"/>
  <c r="CM9" i="1"/>
  <c r="CQ9" i="1" s="1"/>
  <c r="CU9" i="1" s="1"/>
  <c r="CY9" i="1" s="1"/>
  <c r="BT19" i="1"/>
  <c r="BS19" i="1"/>
  <c r="BR19" i="1"/>
  <c r="BQ19" i="1"/>
  <c r="BP19" i="1"/>
  <c r="BO19" i="1"/>
  <c r="BT18" i="1"/>
  <c r="BS18" i="1"/>
  <c r="BR18" i="1"/>
  <c r="BQ18" i="1"/>
  <c r="BP18" i="1"/>
  <c r="BO18" i="1"/>
  <c r="BT17" i="1"/>
  <c r="BS17" i="1"/>
  <c r="BR17" i="1"/>
  <c r="BQ17" i="1"/>
  <c r="BP17" i="1"/>
  <c r="BO17" i="1"/>
  <c r="BZ19" i="1"/>
  <c r="BY19" i="1"/>
  <c r="BX19" i="1"/>
  <c r="BW19" i="1"/>
  <c r="BV19" i="1"/>
  <c r="BU19" i="1"/>
  <c r="BZ18" i="1"/>
  <c r="BY18" i="1"/>
  <c r="BX18" i="1"/>
  <c r="BW18" i="1"/>
  <c r="BV18" i="1"/>
  <c r="BU18" i="1"/>
  <c r="BZ17" i="1"/>
  <c r="BY17" i="1"/>
  <c r="BX17" i="1"/>
  <c r="BW17" i="1"/>
  <c r="BV17" i="1"/>
  <c r="BU17" i="1"/>
  <c r="CK19" i="1"/>
  <c r="CJ19" i="1"/>
  <c r="CI19" i="1"/>
  <c r="CH19" i="1"/>
  <c r="CG19" i="1"/>
  <c r="CF19" i="1"/>
  <c r="CE19" i="1"/>
  <c r="CD19" i="1"/>
  <c r="CC19" i="1"/>
  <c r="CB19" i="1"/>
  <c r="CA19" i="1"/>
  <c r="CK18" i="1"/>
  <c r="CJ18" i="1"/>
  <c r="CI18" i="1"/>
  <c r="CH18" i="1"/>
  <c r="CG18" i="1"/>
  <c r="CF18" i="1"/>
  <c r="CE18" i="1"/>
  <c r="CD18" i="1"/>
  <c r="CC18" i="1"/>
  <c r="CB18" i="1"/>
  <c r="CA18" i="1"/>
  <c r="CK17" i="1"/>
  <c r="CJ17" i="1"/>
  <c r="CI17" i="1"/>
  <c r="CH17" i="1"/>
  <c r="CG17" i="1"/>
  <c r="CF17" i="1"/>
  <c r="CE17" i="1"/>
  <c r="CD17" i="1"/>
  <c r="CC17" i="1"/>
  <c r="CB17" i="1"/>
  <c r="CA17" i="1"/>
  <c r="CL18" i="1"/>
  <c r="CL19" i="1"/>
  <c r="CL17" i="1"/>
  <c r="Y5" i="1"/>
  <c r="CD5" i="1" s="1"/>
  <c r="CC5" i="1" s="1"/>
  <c r="CB5" i="1" s="1"/>
  <c r="CA5" i="1" s="1"/>
  <c r="X5" i="1"/>
  <c r="BZ5" i="1" s="1"/>
  <c r="BY5" i="1" s="1"/>
  <c r="BX5" i="1" s="1"/>
  <c r="BW5" i="1" s="1"/>
  <c r="Z3" i="1"/>
  <c r="AA3" i="1" s="1"/>
  <c r="AA5" i="1" s="1"/>
  <c r="CL5" i="1" s="1"/>
  <c r="CK5" i="1" s="1"/>
  <c r="CJ5" i="1" s="1"/>
  <c r="CI5" i="1" s="1"/>
  <c r="BV6" i="1"/>
  <c r="BU6" i="1" s="1"/>
  <c r="BT6" i="1" s="1"/>
  <c r="BS6" i="1" s="1"/>
  <c r="BZ6" i="1"/>
  <c r="BY6" i="1" s="1"/>
  <c r="CD6" i="1"/>
  <c r="CD7" i="1" s="1"/>
  <c r="CH6" i="1"/>
  <c r="CG6" i="1" s="1"/>
  <c r="CL6" i="1"/>
  <c r="CM6" i="1" s="1"/>
  <c r="CN6" i="1" s="1"/>
  <c r="M9" i="11"/>
  <c r="P7" i="11"/>
  <c r="P8" i="11"/>
  <c r="P6" i="11"/>
  <c r="H26" i="11" l="1"/>
  <c r="F29" i="11"/>
  <c r="F39" i="11"/>
  <c r="F46" i="11"/>
  <c r="F45" i="11"/>
  <c r="F42" i="11"/>
  <c r="F41" i="11"/>
  <c r="F40" i="11"/>
  <c r="F35" i="11"/>
  <c r="F34" i="11"/>
  <c r="F33" i="11"/>
  <c r="F32" i="11"/>
  <c r="F31" i="11"/>
  <c r="F30" i="11"/>
  <c r="F23" i="11"/>
  <c r="P9" i="11"/>
  <c r="CT94" i="1"/>
  <c r="CR50" i="1"/>
  <c r="CU43" i="1"/>
  <c r="CM43" i="1"/>
  <c r="AD14" i="1"/>
  <c r="AC14" i="1"/>
  <c r="AC39" i="1"/>
  <c r="CS94" i="1"/>
  <c r="CW50" i="1"/>
  <c r="CU50" i="1"/>
  <c r="CU49" i="1"/>
  <c r="CR49" i="1"/>
  <c r="CV43" i="1"/>
  <c r="CV44" i="1" s="1"/>
  <c r="CV94" i="1" s="1"/>
  <c r="CU42" i="1"/>
  <c r="CU51" i="1"/>
  <c r="CU47" i="1"/>
  <c r="CR47" i="1"/>
  <c r="CR51" i="1"/>
  <c r="CV51" i="1"/>
  <c r="CV42" i="1"/>
  <c r="CV47" i="1"/>
  <c r="CQ47" i="1"/>
  <c r="CQ51" i="1"/>
  <c r="CN47" i="1"/>
  <c r="CR43" i="1"/>
  <c r="CR44" i="1" s="1"/>
  <c r="CR94" i="1" s="1"/>
  <c r="CM41" i="1"/>
  <c r="CQ43" i="1"/>
  <c r="CQ49" i="1"/>
  <c r="CQ50" i="1"/>
  <c r="CT41" i="1"/>
  <c r="CS41" i="1"/>
  <c r="CO43" i="1"/>
  <c r="CO44" i="1" s="1"/>
  <c r="CO94" i="1" s="1"/>
  <c r="CS49" i="1"/>
  <c r="CS50" i="1"/>
  <c r="CN43" i="1"/>
  <c r="CN44" i="1" s="1"/>
  <c r="CN94" i="1" s="1"/>
  <c r="CT49" i="1"/>
  <c r="CT50" i="1"/>
  <c r="CV49" i="1"/>
  <c r="CV50" i="1"/>
  <c r="CO47" i="1"/>
  <c r="CY14" i="1"/>
  <c r="CX39" i="1"/>
  <c r="CW39" i="1"/>
  <c r="CL3" i="1"/>
  <c r="CM3" i="1" s="1"/>
  <c r="CM5" i="1" s="1"/>
  <c r="CK4" i="1"/>
  <c r="CJ4" i="1" s="1"/>
  <c r="CI4" i="1" s="1"/>
  <c r="CH3" i="1"/>
  <c r="CG3" i="1" s="1"/>
  <c r="CF3" i="1" s="1"/>
  <c r="CE3" i="1" s="1"/>
  <c r="CN4" i="1"/>
  <c r="CO4" i="1" s="1"/>
  <c r="CP4" i="1" s="1"/>
  <c r="CQ4" i="1" s="1"/>
  <c r="CO6" i="1"/>
  <c r="CP6" i="1" s="1"/>
  <c r="CQ6" i="1" s="1"/>
  <c r="Z5" i="1"/>
  <c r="CH5" i="1" s="1"/>
  <c r="CG5" i="1" s="1"/>
  <c r="CF5" i="1" s="1"/>
  <c r="CE5" i="1" s="1"/>
  <c r="CC6" i="1"/>
  <c r="CB6" i="1" s="1"/>
  <c r="CA6" i="1" s="1"/>
  <c r="CK6" i="1"/>
  <c r="CJ6" i="1" s="1"/>
  <c r="CI6" i="1" s="1"/>
  <c r="BX6" i="1"/>
  <c r="CF6" i="1"/>
  <c r="CG7" i="1"/>
  <c r="W9" i="1"/>
  <c r="AD50" i="1" l="1"/>
  <c r="AC49" i="1"/>
  <c r="F48" i="11"/>
  <c r="AC50" i="1"/>
  <c r="CU44" i="1"/>
  <c r="CM44" i="1"/>
  <c r="AC46" i="1"/>
  <c r="AC41" i="1"/>
  <c r="AD39" i="1"/>
  <c r="CR42" i="1"/>
  <c r="CO42" i="1"/>
  <c r="CQ44" i="1"/>
  <c r="AC43" i="1"/>
  <c r="CY50" i="1"/>
  <c r="CT42" i="1"/>
  <c r="CT51" i="1"/>
  <c r="CT47" i="1"/>
  <c r="CW49" i="1"/>
  <c r="CW41" i="1"/>
  <c r="CW43" i="1"/>
  <c r="CW44" i="1" s="1"/>
  <c r="CW94" i="1" s="1"/>
  <c r="CX41" i="1"/>
  <c r="CX43" i="1"/>
  <c r="CX44" i="1" s="1"/>
  <c r="CX94" i="1" s="1"/>
  <c r="CX49" i="1"/>
  <c r="CM42" i="1"/>
  <c r="CM47" i="1"/>
  <c r="CQ42" i="1"/>
  <c r="CN42" i="1"/>
  <c r="CS42" i="1"/>
  <c r="CS51" i="1"/>
  <c r="CS47" i="1"/>
  <c r="CZ14" i="1"/>
  <c r="CZ50" i="1" s="1"/>
  <c r="CY39" i="1"/>
  <c r="CK3" i="1"/>
  <c r="CJ3" i="1" s="1"/>
  <c r="CI3" i="1" s="1"/>
  <c r="CN3" i="1"/>
  <c r="CO3" i="1" s="1"/>
  <c r="CP3" i="1" s="1"/>
  <c r="CQ3" i="1" s="1"/>
  <c r="CQ5" i="1" s="1"/>
  <c r="CR4" i="1"/>
  <c r="CS4" i="1" s="1"/>
  <c r="CT4" i="1" s="1"/>
  <c r="CU4" i="1" s="1"/>
  <c r="AB4" i="1"/>
  <c r="AB6" i="1"/>
  <c r="CR6" i="1"/>
  <c r="CS6" i="1" s="1"/>
  <c r="CT6" i="1" s="1"/>
  <c r="CU6" i="1" s="1"/>
  <c r="CC7" i="1"/>
  <c r="BW6" i="1"/>
  <c r="CE6" i="1"/>
  <c r="CE7" i="1" s="1"/>
  <c r="CF7" i="1"/>
  <c r="CL287" i="1"/>
  <c r="AE11" i="1"/>
  <c r="AD11" i="1"/>
  <c r="AC11" i="1"/>
  <c r="AB11" i="1"/>
  <c r="AA11" i="1"/>
  <c r="AE10" i="1"/>
  <c r="AD10" i="1"/>
  <c r="AC10" i="1"/>
  <c r="AB10" i="1"/>
  <c r="AA10" i="1"/>
  <c r="AE9" i="1"/>
  <c r="AD9" i="1"/>
  <c r="AC9" i="1"/>
  <c r="AB9" i="1"/>
  <c r="AA9" i="1"/>
  <c r="Z11" i="1"/>
  <c r="Y11" i="1"/>
  <c r="X11" i="1"/>
  <c r="U11" i="1"/>
  <c r="Z10" i="1"/>
  <c r="Y10" i="1"/>
  <c r="X10" i="1"/>
  <c r="W10" i="1"/>
  <c r="V10" i="1"/>
  <c r="U10" i="1"/>
  <c r="Z9" i="1"/>
  <c r="Y9" i="1"/>
  <c r="X9" i="1"/>
  <c r="X17" i="1" s="1"/>
  <c r="V9" i="1"/>
  <c r="U9" i="1"/>
  <c r="DB12" i="1"/>
  <c r="DA12" i="1"/>
  <c r="CZ12" i="1"/>
  <c r="CY12" i="1"/>
  <c r="CX12" i="1"/>
  <c r="CW12" i="1"/>
  <c r="CV12" i="1"/>
  <c r="CU12" i="1"/>
  <c r="CU7" i="1" s="1"/>
  <c r="CT12" i="1"/>
  <c r="CT7" i="1" s="1"/>
  <c r="CS12" i="1"/>
  <c r="CS7" i="1" s="1"/>
  <c r="CR12" i="1"/>
  <c r="CR7" i="1" s="1"/>
  <c r="CQ12" i="1"/>
  <c r="CQ7" i="1" s="1"/>
  <c r="CP12" i="1"/>
  <c r="CP7" i="1" s="1"/>
  <c r="CO12" i="1"/>
  <c r="CO7" i="1" s="1"/>
  <c r="CN12" i="1"/>
  <c r="CN7" i="1" s="1"/>
  <c r="CM12" i="1"/>
  <c r="CM7" i="1" s="1"/>
  <c r="CL12" i="1"/>
  <c r="CK12" i="1"/>
  <c r="CK14" i="1" s="1"/>
  <c r="CH12" i="1"/>
  <c r="CH14" i="1" s="1"/>
  <c r="CI12" i="1"/>
  <c r="CJ12" i="1"/>
  <c r="BK12" i="1"/>
  <c r="BK13" i="1" s="1"/>
  <c r="BM12" i="1"/>
  <c r="BM13" i="1" s="1"/>
  <c r="BL12" i="1"/>
  <c r="BL13" i="1" s="1"/>
  <c r="BR12" i="1"/>
  <c r="BQ12" i="1"/>
  <c r="BP12" i="1"/>
  <c r="BO12" i="1"/>
  <c r="BN12" i="1"/>
  <c r="BS12" i="1"/>
  <c r="BU12" i="1"/>
  <c r="BT12" i="1"/>
  <c r="BT7" i="1" s="1"/>
  <c r="BV12" i="1"/>
  <c r="BW12" i="1"/>
  <c r="BW8" i="1" s="1"/>
  <c r="BX12" i="1"/>
  <c r="BX8" i="1" s="1"/>
  <c r="BY12" i="1"/>
  <c r="BZ12" i="1"/>
  <c r="CA12" i="1"/>
  <c r="CE13" i="1" s="1"/>
  <c r="CB12" i="1"/>
  <c r="CG13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5" i="1"/>
  <c r="AB58" i="1"/>
  <c r="AC58" i="1"/>
  <c r="AD58" i="1"/>
  <c r="AE58" i="1"/>
  <c r="AB71" i="1"/>
  <c r="AC71" i="1"/>
  <c r="AD71" i="1"/>
  <c r="AE71" i="1"/>
  <c r="AE70" i="1"/>
  <c r="AD70" i="1"/>
  <c r="AC70" i="1"/>
  <c r="AB70" i="1"/>
  <c r="AJ257" i="1"/>
  <c r="AD47" i="2"/>
  <c r="AD44" i="2"/>
  <c r="AD7" i="2"/>
  <c r="AF22" i="2"/>
  <c r="AF68" i="2"/>
  <c r="AF69" i="2"/>
  <c r="AF72" i="2"/>
  <c r="AD32" i="2"/>
  <c r="AC47" i="2"/>
  <c r="AF77" i="2"/>
  <c r="AF42" i="2"/>
  <c r="AF32" i="2"/>
  <c r="AC97" i="2"/>
  <c r="AC107" i="2"/>
  <c r="AD69" i="2"/>
  <c r="AB75" i="2"/>
  <c r="AA207" i="1" s="1"/>
  <c r="AF62" i="2"/>
  <c r="AD82" i="2"/>
  <c r="AC94" i="2"/>
  <c r="AF13" i="2"/>
  <c r="AC40" i="2"/>
  <c r="AB85" i="2"/>
  <c r="AA218" i="1" s="1"/>
  <c r="AC59" i="2"/>
  <c r="AF98" i="2"/>
  <c r="AC106" i="2"/>
  <c r="AB59" i="2"/>
  <c r="AC104" i="2"/>
  <c r="AD85" i="2"/>
  <c r="AE35" i="2"/>
  <c r="AF93" i="2"/>
  <c r="AB50" i="2"/>
  <c r="AA197" i="1" s="1"/>
  <c r="AB49" i="2"/>
  <c r="AA211" i="1" s="1"/>
  <c r="AD42" i="2"/>
  <c r="AF57" i="2"/>
  <c r="AF84" i="2"/>
  <c r="AB40" i="2"/>
  <c r="AB26" i="2"/>
  <c r="AC30" i="2"/>
  <c r="AD52" i="2"/>
  <c r="AB5" i="2"/>
  <c r="AE65" i="2"/>
  <c r="AE50" i="2"/>
  <c r="AF76" i="2"/>
  <c r="AC79" i="2"/>
  <c r="AB35" i="2"/>
  <c r="AA100" i="1" s="1"/>
  <c r="AE42" i="2"/>
  <c r="AC10" i="2"/>
  <c r="AC52" i="2"/>
  <c r="AB9" i="2"/>
  <c r="AE48" i="2"/>
  <c r="AC74" i="2"/>
  <c r="AE105" i="2"/>
  <c r="AB83" i="2"/>
  <c r="AA212" i="1" s="1"/>
  <c r="AF47" i="2"/>
  <c r="AC69" i="2"/>
  <c r="AF5" i="2"/>
  <c r="AE84" i="2"/>
  <c r="AC57" i="2"/>
  <c r="AD16" i="2"/>
  <c r="AB54" i="2"/>
  <c r="AA201" i="1" s="1"/>
  <c r="AB51" i="2"/>
  <c r="AA198" i="1" s="1"/>
  <c r="AF87" i="2"/>
  <c r="AC77" i="2"/>
  <c r="AE32" i="2"/>
  <c r="AC73" i="2"/>
  <c r="AD54" i="2"/>
  <c r="AE18" i="2"/>
  <c r="AE47" i="2"/>
  <c r="AE61" i="2"/>
  <c r="AF40" i="2"/>
  <c r="AF63" i="2"/>
  <c r="AF30" i="2"/>
  <c r="AF25" i="2"/>
  <c r="AF15" i="2"/>
  <c r="AC93" i="2"/>
  <c r="AD9" i="2"/>
  <c r="AE55" i="2"/>
  <c r="AD93" i="2"/>
  <c r="AE64" i="2"/>
  <c r="AB69" i="2"/>
  <c r="AB31" i="2"/>
  <c r="AB21" i="2"/>
  <c r="AC9" i="2"/>
  <c r="AF20" i="2"/>
  <c r="AC89" i="2"/>
  <c r="AE57" i="2"/>
  <c r="AB29" i="2"/>
  <c r="AA96" i="1" s="1"/>
  <c r="AD104" i="2"/>
  <c r="AD13" i="2"/>
  <c r="AB6" i="2"/>
  <c r="AA57" i="1" s="1"/>
  <c r="AC21" i="2"/>
  <c r="AE25" i="2"/>
  <c r="AE49" i="2"/>
  <c r="AC71" i="2"/>
  <c r="AD36" i="2"/>
  <c r="AC44" i="2"/>
  <c r="AE106" i="2"/>
  <c r="AB34" i="2"/>
  <c r="AC84" i="2"/>
  <c r="AB53" i="2"/>
  <c r="AD21" i="2"/>
  <c r="AE90" i="2"/>
  <c r="AD48" i="2"/>
  <c r="AD97" i="2"/>
  <c r="AF79" i="2"/>
  <c r="AC86" i="2"/>
  <c r="AC72" i="2"/>
  <c r="AF44" i="2"/>
  <c r="AB32" i="2"/>
  <c r="AA94" i="1" s="1"/>
  <c r="AF16" i="2"/>
  <c r="AD17" i="2"/>
  <c r="AB98" i="2"/>
  <c r="AF52" i="2"/>
  <c r="AF55" i="2"/>
  <c r="AB28" i="2"/>
  <c r="AD46" i="2"/>
  <c r="AB78" i="2"/>
  <c r="AA208" i="1" s="1"/>
  <c r="AD80" i="2"/>
  <c r="AE73" i="2"/>
  <c r="AB46" i="2"/>
  <c r="AF82" i="2"/>
  <c r="AB99" i="2"/>
  <c r="AB48" i="2"/>
  <c r="AA174" i="1" s="1"/>
  <c r="AB45" i="2"/>
  <c r="AA171" i="1" s="1"/>
  <c r="AF10" i="2"/>
  <c r="AB24" i="2"/>
  <c r="AF80" i="2"/>
  <c r="AB91" i="2"/>
  <c r="AE62" i="2"/>
  <c r="AD98" i="2"/>
  <c r="AD22" i="2"/>
  <c r="AB19" i="2"/>
  <c r="AA71" i="1" s="1"/>
  <c r="AC48" i="2"/>
  <c r="AD90" i="2"/>
  <c r="AC67" i="2"/>
  <c r="AE67" i="2"/>
  <c r="AD14" i="2"/>
  <c r="AD64" i="2"/>
  <c r="AB82" i="2"/>
  <c r="AE46" i="2"/>
  <c r="AE7" i="2"/>
  <c r="AF6" i="2"/>
  <c r="AD55" i="2"/>
  <c r="AF59" i="2"/>
  <c r="AB60" i="2"/>
  <c r="AC28" i="2"/>
  <c r="AB94" i="2"/>
  <c r="AD45" i="2"/>
  <c r="AD40" i="2"/>
  <c r="AE78" i="2"/>
  <c r="AB77" i="2"/>
  <c r="AA193" i="1" s="1"/>
  <c r="AA228" i="1" s="1"/>
  <c r="AB108" i="2"/>
  <c r="AA128" i="1" s="1"/>
  <c r="AC6" i="2"/>
  <c r="AB22" i="2"/>
  <c r="AD30" i="2"/>
  <c r="AB17" i="2"/>
  <c r="AA70" i="1" s="1"/>
  <c r="AF75" i="2"/>
  <c r="AF65" i="2"/>
  <c r="AD57" i="2"/>
  <c r="AE81" i="2"/>
  <c r="AB93" i="2"/>
  <c r="AA220" i="1" s="1"/>
  <c r="AC41" i="2"/>
  <c r="AE15" i="2"/>
  <c r="AF48" i="2"/>
  <c r="AF54" i="2"/>
  <c r="AF71" i="2"/>
  <c r="AC42" i="2"/>
  <c r="AE19" i="2"/>
  <c r="AB67" i="2"/>
  <c r="AA186" i="1" s="1"/>
  <c r="AC46" i="2"/>
  <c r="AF110" i="2"/>
  <c r="AB13" i="2"/>
  <c r="AA73" i="1" s="1"/>
  <c r="AD71" i="2"/>
  <c r="AF92" i="2"/>
  <c r="AE26" i="2"/>
  <c r="AB23" i="2"/>
  <c r="AA84" i="1" s="1"/>
  <c r="AE85" i="2"/>
  <c r="AC60" i="2"/>
  <c r="AE14" i="2"/>
  <c r="AC5" i="2"/>
  <c r="AC12" i="2"/>
  <c r="AE34" i="2"/>
  <c r="AC85" i="2"/>
  <c r="AB87" i="2"/>
  <c r="AA175" i="1" s="1"/>
  <c r="AC81" i="2"/>
  <c r="AC63" i="2"/>
  <c r="AE74" i="2"/>
  <c r="AC25" i="2"/>
  <c r="AC13" i="2"/>
  <c r="AE9" i="2"/>
  <c r="AD67" i="2"/>
  <c r="AF8" i="2"/>
  <c r="AD106" i="2"/>
  <c r="AB58" i="2"/>
  <c r="AD62" i="2"/>
  <c r="AF53" i="2"/>
  <c r="AF64" i="2"/>
  <c r="AD89" i="2"/>
  <c r="AF85" i="2"/>
  <c r="AF97" i="2"/>
  <c r="AF56" i="2"/>
  <c r="AD107" i="2"/>
  <c r="AF26" i="2"/>
  <c r="AD53" i="2"/>
  <c r="AD56" i="2"/>
  <c r="AD31" i="2"/>
  <c r="AF49" i="2"/>
  <c r="AB90" i="2"/>
  <c r="AB36" i="2"/>
  <c r="AC95" i="2"/>
  <c r="AD63" i="2"/>
  <c r="AD41" i="2"/>
  <c r="AD24" i="2"/>
  <c r="AC56" i="2"/>
  <c r="AF95" i="2"/>
  <c r="AC75" i="2"/>
  <c r="AE83" i="2"/>
  <c r="AF19" i="2"/>
  <c r="AF105" i="2"/>
  <c r="AF108" i="2"/>
  <c r="AB27" i="2"/>
  <c r="AA81" i="1" s="1"/>
  <c r="AB86" i="2"/>
  <c r="AA184" i="1" s="1"/>
  <c r="AB64" i="2"/>
  <c r="AA182" i="1" s="1"/>
  <c r="AC7" i="2"/>
  <c r="AB65" i="2"/>
  <c r="AE13" i="2"/>
  <c r="AB68" i="2"/>
  <c r="AA185" i="1" s="1"/>
  <c r="AD109" i="2"/>
  <c r="AF50" i="2"/>
  <c r="AF51" i="2"/>
  <c r="AD35" i="2"/>
  <c r="AF107" i="2"/>
  <c r="AB72" i="2"/>
  <c r="AA190" i="1" s="1"/>
  <c r="AC76" i="2"/>
  <c r="AC19" i="2"/>
  <c r="AC105" i="2"/>
  <c r="AE80" i="2"/>
  <c r="AE12" i="2"/>
  <c r="AC64" i="2"/>
  <c r="AE11" i="2"/>
  <c r="AC32" i="2"/>
  <c r="AD110" i="2"/>
  <c r="AC91" i="2"/>
  <c r="AC23" i="2"/>
  <c r="AE8" i="2"/>
  <c r="AD91" i="2"/>
  <c r="AF86" i="2"/>
  <c r="AB12" i="2"/>
  <c r="AA64" i="1" s="1"/>
  <c r="AE76" i="2"/>
  <c r="AE24" i="2"/>
  <c r="AF17" i="2"/>
  <c r="AC88" i="2"/>
  <c r="AF46" i="2"/>
  <c r="AE36" i="2"/>
  <c r="AD84" i="2"/>
  <c r="AB96" i="2"/>
  <c r="AE6" i="2"/>
  <c r="AC50" i="2"/>
  <c r="AD10" i="2"/>
  <c r="AD88" i="2"/>
  <c r="AE54" i="2"/>
  <c r="AB92" i="2"/>
  <c r="AB106" i="2"/>
  <c r="AA126" i="1" s="1"/>
  <c r="AE22" i="2"/>
  <c r="AF14" i="2"/>
  <c r="AC58" i="2"/>
  <c r="AE87" i="2"/>
  <c r="AE43" i="2"/>
  <c r="AB62" i="2"/>
  <c r="AA180" i="1" s="1"/>
  <c r="AF99" i="2"/>
  <c r="AF35" i="2"/>
  <c r="AF78" i="2"/>
  <c r="AE45" i="2"/>
  <c r="AB95" i="2"/>
  <c r="AA219" i="1" s="1"/>
  <c r="AE41" i="2"/>
  <c r="AF66" i="2"/>
  <c r="AE30" i="2"/>
  <c r="AE33" i="2"/>
  <c r="AB14" i="2"/>
  <c r="AA69" i="1" s="1"/>
  <c r="AE107" i="2"/>
  <c r="AD92" i="2"/>
  <c r="AF94" i="2"/>
  <c r="AF33" i="2"/>
  <c r="AE95" i="2"/>
  <c r="AE77" i="2"/>
  <c r="AC87" i="2"/>
  <c r="AB10" i="2"/>
  <c r="AE82" i="2"/>
  <c r="AE27" i="2"/>
  <c r="AC99" i="2"/>
  <c r="AC70" i="2"/>
  <c r="AB80" i="2"/>
  <c r="AA195" i="1" s="1"/>
  <c r="AD25" i="2"/>
  <c r="AD26" i="2"/>
  <c r="AE88" i="2"/>
  <c r="AE96" i="2"/>
  <c r="AC11" i="2"/>
  <c r="AF67" i="2"/>
  <c r="AE5" i="2"/>
  <c r="AE59" i="2"/>
  <c r="AF104" i="2"/>
  <c r="AD96" i="2"/>
  <c r="AC49" i="2"/>
  <c r="AC33" i="2"/>
  <c r="AE91" i="2"/>
  <c r="AC34" i="2"/>
  <c r="AF58" i="2"/>
  <c r="AB63" i="2"/>
  <c r="AA181" i="1" s="1"/>
  <c r="AB55" i="2"/>
  <c r="AD65" i="2"/>
  <c r="AD105" i="2"/>
  <c r="AC26" i="2"/>
  <c r="AF70" i="2"/>
  <c r="AE52" i="2"/>
  <c r="AE10" i="2"/>
  <c r="AF29" i="2"/>
  <c r="AF12" i="2"/>
  <c r="AB105" i="2"/>
  <c r="AC83" i="2"/>
  <c r="AE99" i="2"/>
  <c r="AB25" i="2"/>
  <c r="AA85" i="1" s="1"/>
  <c r="AD15" i="2"/>
  <c r="AE89" i="2"/>
  <c r="AC17" i="2"/>
  <c r="AC62" i="2"/>
  <c r="AC18" i="2"/>
  <c r="AC15" i="2"/>
  <c r="AD70" i="2"/>
  <c r="AE29" i="2"/>
  <c r="AD79" i="2"/>
  <c r="AC43" i="2"/>
  <c r="AB56" i="2"/>
  <c r="AA176" i="1" s="1"/>
  <c r="AD60" i="2"/>
  <c r="AF106" i="2"/>
  <c r="AC78" i="2"/>
  <c r="AB66" i="2"/>
  <c r="AE97" i="2"/>
  <c r="AD6" i="2"/>
  <c r="AB73" i="2"/>
  <c r="AA191" i="1" s="1"/>
  <c r="AE21" i="2"/>
  <c r="AF74" i="2"/>
  <c r="AC8" i="2"/>
  <c r="AE86" i="2"/>
  <c r="AF28" i="2"/>
  <c r="AD68" i="2"/>
  <c r="AE68" i="2"/>
  <c r="AE53" i="2"/>
  <c r="AB107" i="2"/>
  <c r="AA127" i="1" s="1"/>
  <c r="AF90" i="2"/>
  <c r="AB74" i="2"/>
  <c r="AC20" i="2"/>
  <c r="AC82" i="2"/>
  <c r="AE28" i="2"/>
  <c r="AE93" i="2"/>
  <c r="AD81" i="2"/>
  <c r="AC14" i="2"/>
  <c r="AB15" i="2"/>
  <c r="AA72" i="1" s="1"/>
  <c r="AC110" i="2"/>
  <c r="AD77" i="2"/>
  <c r="AC65" i="2"/>
  <c r="AC98" i="2"/>
  <c r="AD23" i="2"/>
  <c r="AC16" i="2"/>
  <c r="AD108" i="2"/>
  <c r="AF34" i="2"/>
  <c r="AE92" i="2"/>
  <c r="AD20" i="2"/>
  <c r="AE71" i="2"/>
  <c r="AF81" i="2"/>
  <c r="AC51" i="2"/>
  <c r="AD94" i="2"/>
  <c r="AD18" i="2"/>
  <c r="AF89" i="2"/>
  <c r="AC55" i="2"/>
  <c r="AE58" i="2"/>
  <c r="AC109" i="2"/>
  <c r="AF88" i="2"/>
  <c r="AB30" i="2"/>
  <c r="AA88" i="1" s="1"/>
  <c r="AE23" i="2"/>
  <c r="AF41" i="2"/>
  <c r="AF109" i="2"/>
  <c r="AE109" i="2"/>
  <c r="AC29" i="2"/>
  <c r="AD87" i="2"/>
  <c r="AC68" i="2"/>
  <c r="AD72" i="2"/>
  <c r="AF18" i="2"/>
  <c r="AF31" i="2"/>
  <c r="AB43" i="2"/>
  <c r="AA168" i="1" s="1"/>
  <c r="AB7" i="2"/>
  <c r="AA58" i="1" s="1"/>
  <c r="AC27" i="2"/>
  <c r="AD78" i="2"/>
  <c r="AE40" i="2"/>
  <c r="AB84" i="2"/>
  <c r="AC66" i="2"/>
  <c r="AD59" i="2"/>
  <c r="AE31" i="2"/>
  <c r="AD66" i="2"/>
  <c r="AF11" i="2"/>
  <c r="AD19" i="2"/>
  <c r="AE20" i="2"/>
  <c r="AF73" i="2"/>
  <c r="AC22" i="2"/>
  <c r="AD75" i="2"/>
  <c r="AE69" i="2"/>
  <c r="AB8" i="2"/>
  <c r="AC108" i="2"/>
  <c r="AE98" i="2"/>
  <c r="AF61" i="2"/>
  <c r="AD43" i="2"/>
  <c r="AD33" i="2"/>
  <c r="AE104" i="2"/>
  <c r="AE110" i="2"/>
  <c r="AB70" i="2"/>
  <c r="AD49" i="2"/>
  <c r="AC45" i="2"/>
  <c r="AF45" i="2"/>
  <c r="AB41" i="2"/>
  <c r="AA166" i="1" s="1"/>
  <c r="AF27" i="2"/>
  <c r="AF9" i="2"/>
  <c r="AC31" i="2"/>
  <c r="AB81" i="2"/>
  <c r="AC61" i="2"/>
  <c r="AB104" i="2"/>
  <c r="AC90" i="2"/>
  <c r="AE16" i="2"/>
  <c r="AB71" i="2"/>
  <c r="AA189" i="1" s="1"/>
  <c r="AB110" i="2"/>
  <c r="AA116" i="1" s="1"/>
  <c r="AD29" i="2"/>
  <c r="AD83" i="2"/>
  <c r="AE72" i="2"/>
  <c r="AD12" i="2"/>
  <c r="AC35" i="2"/>
  <c r="AF83" i="2"/>
  <c r="AE56" i="2"/>
  <c r="AD95" i="2"/>
  <c r="AE60" i="2"/>
  <c r="AB33" i="2"/>
  <c r="AA95" i="1" s="1"/>
  <c r="AF7" i="2"/>
  <c r="AB79" i="2"/>
  <c r="AA194" i="1" s="1"/>
  <c r="AD61" i="2"/>
  <c r="AD27" i="2"/>
  <c r="AB52" i="2"/>
  <c r="AA199" i="1" s="1"/>
  <c r="AD86" i="2"/>
  <c r="AD76" i="2"/>
  <c r="AC92" i="2"/>
  <c r="AB89" i="2"/>
  <c r="AB44" i="2"/>
  <c r="AB57" i="2"/>
  <c r="AA203" i="1" s="1"/>
  <c r="AE70" i="2"/>
  <c r="AF91" i="2"/>
  <c r="AF21" i="2"/>
  <c r="AC54" i="2"/>
  <c r="AE17" i="2"/>
  <c r="AE66" i="2"/>
  <c r="AD50" i="2"/>
  <c r="AD58" i="2"/>
  <c r="AB47" i="2"/>
  <c r="AA173" i="1" s="1"/>
  <c r="AB97" i="2"/>
  <c r="AD51" i="2"/>
  <c r="AD28" i="2"/>
  <c r="AE79" i="2"/>
  <c r="AF96" i="2"/>
  <c r="AF23" i="2"/>
  <c r="AC80" i="2"/>
  <c r="AE75" i="2"/>
  <c r="AC24" i="2"/>
  <c r="AF60" i="2"/>
  <c r="AE94" i="2"/>
  <c r="AE51" i="2"/>
  <c r="AC53" i="2"/>
  <c r="AB109" i="2"/>
  <c r="AD99" i="2"/>
  <c r="AB18" i="2"/>
  <c r="AA74" i="1" s="1"/>
  <c r="AC96" i="2"/>
  <c r="AE63" i="2"/>
  <c r="AD74" i="2"/>
  <c r="AB76" i="2"/>
  <c r="AA192" i="1" s="1"/>
  <c r="AB88" i="2"/>
  <c r="AF43" i="2"/>
  <c r="AE108" i="2"/>
  <c r="AD11" i="2"/>
  <c r="AD5" i="2"/>
  <c r="AB42" i="2"/>
  <c r="AA167" i="1" s="1"/>
  <c r="AB11" i="2"/>
  <c r="AA62" i="1" s="1"/>
  <c r="AD34" i="2"/>
  <c r="AC36" i="2"/>
  <c r="AB61" i="2"/>
  <c r="AD8" i="2"/>
  <c r="AE44" i="2"/>
  <c r="AF24" i="2"/>
  <c r="AB16" i="2"/>
  <c r="AF36" i="2"/>
  <c r="AD73" i="2"/>
  <c r="AB20" i="2"/>
  <c r="AB112" i="2" l="1"/>
  <c r="AA122" i="1" s="1"/>
  <c r="AB111" i="2"/>
  <c r="AD41" i="1"/>
  <c r="CU94" i="1"/>
  <c r="AD44" i="1"/>
  <c r="CM94" i="1"/>
  <c r="AC51" i="1"/>
  <c r="AC47" i="1"/>
  <c r="AD46" i="1"/>
  <c r="AD49" i="1"/>
  <c r="CQ94" i="1"/>
  <c r="AC44" i="1"/>
  <c r="AC45" i="1" s="1"/>
  <c r="AD43" i="1"/>
  <c r="AA196" i="1"/>
  <c r="AA183" i="1"/>
  <c r="AA187" i="1" s="1"/>
  <c r="AA75" i="1"/>
  <c r="AD51" i="1"/>
  <c r="AD47" i="1"/>
  <c r="AB113" i="2"/>
  <c r="AA123" i="1" s="1"/>
  <c r="AA221" i="1"/>
  <c r="AA279" i="1"/>
  <c r="AA59" i="1"/>
  <c r="AA301" i="1"/>
  <c r="AA82" i="1"/>
  <c r="AA242" i="1"/>
  <c r="AA230" i="1"/>
  <c r="AA300" i="1"/>
  <c r="AA202" i="1"/>
  <c r="AA177" i="1"/>
  <c r="AA169" i="1"/>
  <c r="AA227" i="1"/>
  <c r="AA209" i="1"/>
  <c r="AA204" i="1"/>
  <c r="AA231" i="1"/>
  <c r="AA229" i="1"/>
  <c r="CX51" i="1"/>
  <c r="CX47" i="1"/>
  <c r="CX42" i="1"/>
  <c r="CW51" i="1"/>
  <c r="CW42" i="1"/>
  <c r="CW47" i="1"/>
  <c r="CY41" i="1"/>
  <c r="CY49" i="1"/>
  <c r="CY43" i="1"/>
  <c r="CR3" i="1"/>
  <c r="CS3" i="1" s="1"/>
  <c r="CT3" i="1" s="1"/>
  <c r="CU3" i="1" s="1"/>
  <c r="DA14" i="1"/>
  <c r="DA50" i="1" s="1"/>
  <c r="CZ39" i="1"/>
  <c r="CU5" i="1"/>
  <c r="CP5" i="1"/>
  <c r="CO5" i="1"/>
  <c r="AE17" i="1"/>
  <c r="AB3" i="1"/>
  <c r="CN5" i="1"/>
  <c r="Y19" i="1"/>
  <c r="AB18" i="1"/>
  <c r="AE19" i="1"/>
  <c r="AA17" i="1"/>
  <c r="AB17" i="1"/>
  <c r="AE18" i="1"/>
  <c r="Z18" i="1"/>
  <c r="X18" i="1"/>
  <c r="V11" i="1"/>
  <c r="V19" i="1" s="1"/>
  <c r="AC18" i="1"/>
  <c r="W18" i="1"/>
  <c r="CJ7" i="1"/>
  <c r="CJ14" i="1"/>
  <c r="Z19" i="1"/>
  <c r="CI7" i="1"/>
  <c r="CI14" i="1"/>
  <c r="W11" i="1"/>
  <c r="W19" i="1" s="1"/>
  <c r="V17" i="1"/>
  <c r="Y18" i="1"/>
  <c r="AD18" i="1"/>
  <c r="AC3" i="1"/>
  <c r="CS5" i="1"/>
  <c r="CV3" i="1"/>
  <c r="CW3" i="1" s="1"/>
  <c r="CX3" i="1" s="1"/>
  <c r="CY3" i="1" s="1"/>
  <c r="Y17" i="1"/>
  <c r="AC17" i="1"/>
  <c r="AA19" i="1"/>
  <c r="Z17" i="1"/>
  <c r="AD17" i="1"/>
  <c r="AB19" i="1"/>
  <c r="CT5" i="1"/>
  <c r="CR5" i="1"/>
  <c r="W17" i="1"/>
  <c r="V18" i="1"/>
  <c r="AA18" i="1"/>
  <c r="AC4" i="1"/>
  <c r="CL7" i="1"/>
  <c r="CL14" i="1"/>
  <c r="CM14" i="1" s="1"/>
  <c r="CV4" i="1"/>
  <c r="CW4" i="1" s="1"/>
  <c r="CX4" i="1" s="1"/>
  <c r="CY4" i="1" s="1"/>
  <c r="AC19" i="1"/>
  <c r="AD19" i="1"/>
  <c r="AC6" i="1"/>
  <c r="CV6" i="1"/>
  <c r="BW7" i="1"/>
  <c r="CD13" i="1"/>
  <c r="BZ7" i="1"/>
  <c r="BX7" i="1"/>
  <c r="BY8" i="1"/>
  <c r="BY7" i="1"/>
  <c r="CH13" i="1"/>
  <c r="CH7" i="1"/>
  <c r="BU8" i="1"/>
  <c r="BU7" i="1"/>
  <c r="CK13" i="1"/>
  <c r="CK7" i="1"/>
  <c r="CA7" i="1"/>
  <c r="BS8" i="1"/>
  <c r="BS7" i="1"/>
  <c r="BV13" i="1"/>
  <c r="BV7" i="1"/>
  <c r="CF13" i="1"/>
  <c r="CB7" i="1"/>
  <c r="CI13" i="1"/>
  <c r="AC12" i="1"/>
  <c r="CC13" i="1"/>
  <c r="CQ13" i="1"/>
  <c r="U12" i="1"/>
  <c r="Z12" i="1"/>
  <c r="Y12" i="1"/>
  <c r="Y14" i="1" s="1"/>
  <c r="X12" i="1"/>
  <c r="W7" i="1"/>
  <c r="DB13" i="1"/>
  <c r="CZ13" i="1"/>
  <c r="AD12" i="1"/>
  <c r="CY13" i="1"/>
  <c r="AA12" i="1"/>
  <c r="AA14" i="1" s="1"/>
  <c r="AB12" i="1"/>
  <c r="AB7" i="1" s="1"/>
  <c r="AE12" i="1"/>
  <c r="CW13" i="1"/>
  <c r="CV13" i="1"/>
  <c r="CP13" i="1"/>
  <c r="CO13" i="1"/>
  <c r="BZ13" i="1"/>
  <c r="BX13" i="1"/>
  <c r="CA13" i="1"/>
  <c r="CS13" i="1"/>
  <c r="BY13" i="1"/>
  <c r="CT13" i="1"/>
  <c r="BU13" i="1"/>
  <c r="CN13" i="1"/>
  <c r="BR13" i="1"/>
  <c r="CX13" i="1"/>
  <c r="CJ13" i="1"/>
  <c r="BT8" i="1"/>
  <c r="BO13" i="1"/>
  <c r="CL13" i="1"/>
  <c r="CB13" i="1"/>
  <c r="CR13" i="1"/>
  <c r="CU13" i="1"/>
  <c r="CM13" i="1"/>
  <c r="DA13" i="1"/>
  <c r="BP13" i="1"/>
  <c r="BN13" i="1"/>
  <c r="BQ13" i="1"/>
  <c r="BS13" i="1"/>
  <c r="BT13" i="1"/>
  <c r="BV8" i="1"/>
  <c r="BW13" i="1"/>
  <c r="B1" i="9"/>
  <c r="AC113" i="2"/>
  <c r="AE113" i="2"/>
  <c r="AD111" i="2"/>
  <c r="AF112" i="2"/>
  <c r="AF113" i="2"/>
  <c r="AF111" i="2"/>
  <c r="AE111" i="2"/>
  <c r="AC112" i="2"/>
  <c r="L1" i="9"/>
  <c r="AC111" i="2"/>
  <c r="AE112" i="2"/>
  <c r="AD113" i="2"/>
  <c r="AD112" i="2"/>
  <c r="A1" i="9"/>
  <c r="AD45" i="1" l="1"/>
  <c r="CV7" i="1"/>
  <c r="CY44" i="1"/>
  <c r="AA76" i="1"/>
  <c r="AA147" i="1"/>
  <c r="AA65" i="1"/>
  <c r="AA292" i="1"/>
  <c r="AA178" i="1"/>
  <c r="AA216" i="1"/>
  <c r="AA158" i="1" s="1"/>
  <c r="AA294" i="1"/>
  <c r="AA296" i="1"/>
  <c r="AA233" i="1"/>
  <c r="AA86" i="1"/>
  <c r="AA205" i="1"/>
  <c r="AA223" i="1"/>
  <c r="CN14" i="1"/>
  <c r="CM50" i="1"/>
  <c r="CM49" i="1"/>
  <c r="CM51" i="1"/>
  <c r="CY51" i="1"/>
  <c r="CY47" i="1"/>
  <c r="CY42" i="1"/>
  <c r="CZ49" i="1"/>
  <c r="CZ41" i="1"/>
  <c r="CZ43" i="1"/>
  <c r="CZ44" i="1" s="1"/>
  <c r="CZ94" i="1" s="1"/>
  <c r="DB14" i="1"/>
  <c r="DA39" i="1"/>
  <c r="AB5" i="1"/>
  <c r="X19" i="1"/>
  <c r="AC5" i="1"/>
  <c r="AC7" i="1"/>
  <c r="AD4" i="1"/>
  <c r="X7" i="1"/>
  <c r="X14" i="1"/>
  <c r="AD3" i="1"/>
  <c r="Z7" i="1"/>
  <c r="Z14" i="1"/>
  <c r="CZ4" i="1"/>
  <c r="DA4" i="1" s="1"/>
  <c r="DB4" i="1" s="1"/>
  <c r="CW6" i="1"/>
  <c r="CW7" i="1" s="1"/>
  <c r="CV5" i="1"/>
  <c r="CZ3" i="1"/>
  <c r="V13" i="1"/>
  <c r="AD13" i="1"/>
  <c r="Z13" i="1"/>
  <c r="Y7" i="1"/>
  <c r="AA13" i="1"/>
  <c r="AA7" i="1"/>
  <c r="AE13" i="1"/>
  <c r="X13" i="1"/>
  <c r="Y13" i="1"/>
  <c r="W13" i="1"/>
  <c r="AB13" i="1"/>
  <c r="AC13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K287" i="1"/>
  <c r="CK185" i="1"/>
  <c r="CM185" i="1" s="1"/>
  <c r="CN185" i="1" s="1"/>
  <c r="CO185" i="1" s="1"/>
  <c r="CP185" i="1" s="1"/>
  <c r="CQ185" i="1" s="1"/>
  <c r="CR185" i="1" s="1"/>
  <c r="CS185" i="1" s="1"/>
  <c r="CT185" i="1" s="1"/>
  <c r="CU185" i="1" s="1"/>
  <c r="CV185" i="1" s="1"/>
  <c r="CW185" i="1" s="1"/>
  <c r="CX185" i="1" s="1"/>
  <c r="CY185" i="1" s="1"/>
  <c r="CZ185" i="1" s="1"/>
  <c r="DA185" i="1" s="1"/>
  <c r="DB185" i="1" s="1"/>
  <c r="CH200" i="1"/>
  <c r="CJ287" i="1"/>
  <c r="Z287" i="1"/>
  <c r="CY94" i="1" l="1"/>
  <c r="AE14" i="1"/>
  <c r="AE50" i="1" s="1"/>
  <c r="AA77" i="1"/>
  <c r="AA66" i="1"/>
  <c r="AA234" i="1"/>
  <c r="AA232" i="1"/>
  <c r="AA213" i="1"/>
  <c r="AA214" i="1" s="1"/>
  <c r="DB39" i="1"/>
  <c r="AE39" i="1" s="1"/>
  <c r="DB50" i="1"/>
  <c r="DA43" i="1"/>
  <c r="DA44" i="1" s="1"/>
  <c r="DA94" i="1" s="1"/>
  <c r="DA49" i="1"/>
  <c r="DA41" i="1"/>
  <c r="CZ47" i="1"/>
  <c r="CZ51" i="1"/>
  <c r="CZ42" i="1"/>
  <c r="CO14" i="1"/>
  <c r="CN50" i="1"/>
  <c r="CN51" i="1"/>
  <c r="CN49" i="1"/>
  <c r="AE4" i="1"/>
  <c r="CX6" i="1"/>
  <c r="CW5" i="1"/>
  <c r="DA3" i="1"/>
  <c r="CI287" i="1"/>
  <c r="CG185" i="1"/>
  <c r="CG287" i="1"/>
  <c r="CH287" i="1"/>
  <c r="AB62" i="1"/>
  <c r="AC62" i="1"/>
  <c r="AD62" i="1"/>
  <c r="AE62" i="1"/>
  <c r="AB63" i="1"/>
  <c r="AC63" i="1"/>
  <c r="AD63" i="1"/>
  <c r="AE63" i="1"/>
  <c r="AB73" i="1"/>
  <c r="AC73" i="1"/>
  <c r="AD73" i="1"/>
  <c r="AE73" i="1"/>
  <c r="AB74" i="1"/>
  <c r="AC74" i="1"/>
  <c r="AD74" i="1"/>
  <c r="AE74" i="1"/>
  <c r="AB96" i="1"/>
  <c r="AC96" i="1"/>
  <c r="AD96" i="1"/>
  <c r="AE96" i="1"/>
  <c r="AB207" i="1"/>
  <c r="AC207" i="1"/>
  <c r="AD207" i="1"/>
  <c r="AE207" i="1"/>
  <c r="AB221" i="1"/>
  <c r="AC221" i="1"/>
  <c r="AD221" i="1"/>
  <c r="AE221" i="1"/>
  <c r="CE185" i="1"/>
  <c r="CE287" i="1"/>
  <c r="CF287" i="1"/>
  <c r="AI245" i="1"/>
  <c r="AI250" i="1"/>
  <c r="AI254" i="1"/>
  <c r="AI257" i="1"/>
  <c r="AI287" i="1"/>
  <c r="Y287" i="1"/>
  <c r="AM185" i="1"/>
  <c r="AO185" i="1"/>
  <c r="AQ185" i="1"/>
  <c r="AS185" i="1"/>
  <c r="AU185" i="1"/>
  <c r="AW185" i="1"/>
  <c r="AY185" i="1"/>
  <c r="BA185" i="1"/>
  <c r="BC185" i="1"/>
  <c r="BE185" i="1"/>
  <c r="BG185" i="1"/>
  <c r="BI185" i="1"/>
  <c r="BK185" i="1"/>
  <c r="BM185" i="1"/>
  <c r="BO185" i="1"/>
  <c r="BQ185" i="1"/>
  <c r="BS185" i="1"/>
  <c r="BU185" i="1"/>
  <c r="BW185" i="1"/>
  <c r="BY185" i="1"/>
  <c r="CA185" i="1"/>
  <c r="CC185" i="1"/>
  <c r="CD287" i="1"/>
  <c r="CC287" i="1"/>
  <c r="AJ287" i="1"/>
  <c r="AK287" i="1"/>
  <c r="AL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E44" i="1" l="1"/>
  <c r="AE43" i="1"/>
  <c r="AE49" i="1"/>
  <c r="AE46" i="1"/>
  <c r="AA280" i="1"/>
  <c r="AA281" i="1" s="1"/>
  <c r="AA161" i="1"/>
  <c r="AA83" i="1"/>
  <c r="AA78" i="1"/>
  <c r="AD6" i="1"/>
  <c r="AD7" i="1" s="1"/>
  <c r="CX7" i="1"/>
  <c r="DA47" i="1"/>
  <c r="DA42" i="1"/>
  <c r="DA51" i="1"/>
  <c r="CP14" i="1"/>
  <c r="AB14" i="1" s="1"/>
  <c r="AB50" i="1" s="1"/>
  <c r="CO50" i="1"/>
  <c r="CO49" i="1"/>
  <c r="CO51" i="1"/>
  <c r="DB43" i="1"/>
  <c r="DB44" i="1" s="1"/>
  <c r="DB94" i="1" s="1"/>
  <c r="DB49" i="1"/>
  <c r="DB41" i="1"/>
  <c r="AE41" i="1" s="1"/>
  <c r="CY6" i="1"/>
  <c r="CY7" i="1" s="1"/>
  <c r="CX5" i="1"/>
  <c r="AD5" i="1" s="1"/>
  <c r="DB3" i="1"/>
  <c r="Y1" i="1"/>
  <c r="Z1" i="1" s="1"/>
  <c r="AE45" i="1" l="1"/>
  <c r="AE51" i="1"/>
  <c r="AE47" i="1"/>
  <c r="AA87" i="1"/>
  <c r="AA104" i="1"/>
  <c r="DB47" i="1"/>
  <c r="DB42" i="1"/>
  <c r="DB51" i="1"/>
  <c r="CP50" i="1"/>
  <c r="CP39" i="1"/>
  <c r="AB39" i="1" s="1"/>
  <c r="CZ6" i="1"/>
  <c r="CZ7" i="1" s="1"/>
  <c r="CY5" i="1"/>
  <c r="AE3" i="1"/>
  <c r="AA1" i="1"/>
  <c r="AB1" i="1" s="1"/>
  <c r="AC1" i="1" s="1"/>
  <c r="AD1" i="1" s="1"/>
  <c r="AE1" i="1" s="1"/>
  <c r="AB46" i="1" l="1"/>
  <c r="AB49" i="1"/>
  <c r="AA90" i="1"/>
  <c r="AA89" i="1"/>
  <c r="CP41" i="1"/>
  <c r="AB41" i="1" s="1"/>
  <c r="CP43" i="1"/>
  <c r="CP49" i="1"/>
  <c r="DA6" i="1"/>
  <c r="DA7" i="1" s="1"/>
  <c r="CZ5" i="1"/>
  <c r="A1" i="3"/>
  <c r="AB51" i="1" l="1"/>
  <c r="AB47" i="1"/>
  <c r="CP44" i="1"/>
  <c r="AB43" i="1"/>
  <c r="AA282" i="1"/>
  <c r="AA97" i="1"/>
  <c r="AA91" i="1"/>
  <c r="AA293" i="1" s="1"/>
  <c r="CP51" i="1"/>
  <c r="CP47" i="1"/>
  <c r="CP42" i="1"/>
  <c r="DB6" i="1"/>
  <c r="DA5" i="1"/>
  <c r="A1" i="6"/>
  <c r="A1" i="4"/>
  <c r="AB44" i="1" l="1"/>
  <c r="AB45" i="1" s="1"/>
  <c r="CP94" i="1"/>
  <c r="AA241" i="1"/>
  <c r="AA243" i="1" s="1"/>
  <c r="AA101" i="1"/>
  <c r="AA103" i="1"/>
  <c r="DB5" i="1"/>
  <c r="DB7" i="1"/>
  <c r="AE6" i="1"/>
  <c r="AE7" i="1" s="1"/>
  <c r="AB84" i="1"/>
  <c r="AE5" i="1" l="1"/>
  <c r="AC84" i="1"/>
  <c r="BG27" i="3"/>
  <c r="BS11" i="3"/>
  <c r="BF29" i="3"/>
  <c r="CL88" i="1" s="1"/>
  <c r="BI13" i="3"/>
  <c r="BL21" i="3"/>
  <c r="BN9" i="3"/>
  <c r="Z89" i="2"/>
  <c r="Y6" i="2"/>
  <c r="BA37" i="3"/>
  <c r="BU17" i="3"/>
  <c r="BT34" i="3"/>
  <c r="BR24" i="3"/>
  <c r="BO32" i="3"/>
  <c r="BJ18" i="3"/>
  <c r="BF5" i="3"/>
  <c r="BN20" i="3"/>
  <c r="BI26" i="3"/>
  <c r="Y12" i="2"/>
  <c r="Z49" i="2"/>
  <c r="Y109" i="2"/>
  <c r="BR5" i="3"/>
  <c r="BG31" i="3"/>
  <c r="BS12" i="3"/>
  <c r="BF33" i="3"/>
  <c r="BG14" i="3"/>
  <c r="BF36" i="3"/>
  <c r="BF13" i="3"/>
  <c r="Z48" i="2"/>
  <c r="BB37" i="3"/>
  <c r="BU14" i="3"/>
  <c r="BT35" i="3"/>
  <c r="BR21" i="3"/>
  <c r="BO29" i="3"/>
  <c r="BF26" i="3"/>
  <c r="CL96" i="1" s="1"/>
  <c r="BK36" i="3"/>
  <c r="BL25" i="3"/>
  <c r="BE18" i="3"/>
  <c r="Y72" i="2"/>
  <c r="BR10" i="3"/>
  <c r="BJ24" i="3"/>
  <c r="BS17" i="3"/>
  <c r="BI8" i="3"/>
  <c r="BG18" i="3"/>
  <c r="BJ28" i="3"/>
  <c r="BJ37" i="3"/>
  <c r="Y26" i="2"/>
  <c r="Z110" i="2"/>
  <c r="BD19" i="3"/>
  <c r="BV6" i="3"/>
  <c r="BI36" i="3"/>
  <c r="BO14" i="3"/>
  <c r="BL38" i="3"/>
  <c r="BI15" i="3"/>
  <c r="BJ29" i="3"/>
  <c r="BF17" i="3"/>
  <c r="CL70" i="1" s="1"/>
  <c r="Y36" i="2"/>
  <c r="BQ16" i="3"/>
  <c r="BT6" i="3"/>
  <c r="BV22" i="3"/>
  <c r="BS30" i="3"/>
  <c r="BN46" i="3"/>
  <c r="BK40" i="3"/>
  <c r="BE46" i="3"/>
  <c r="BE22" i="3"/>
  <c r="AA78" i="2"/>
  <c r="BU12" i="3"/>
  <c r="BT7" i="3"/>
  <c r="BR19" i="3"/>
  <c r="BO27" i="3"/>
  <c r="BK41" i="3"/>
  <c r="BE27" i="3"/>
  <c r="BJ46" i="3"/>
  <c r="BM12" i="3"/>
  <c r="Y99" i="2"/>
  <c r="Y80" i="2"/>
  <c r="AA42" i="2"/>
  <c r="BA40" i="3"/>
  <c r="Y7" i="2"/>
  <c r="Z41" i="2"/>
  <c r="EX8" i="4" a="1"/>
  <c r="Z31" i="2"/>
  <c r="BD25" i="3"/>
  <c r="AA45" i="2"/>
  <c r="FE16" i="4" a="1"/>
  <c r="AA65" i="2"/>
  <c r="BD24" i="3"/>
  <c r="EX16" i="4" a="1"/>
  <c r="FF5" i="4" a="1"/>
  <c r="Y57" i="2"/>
  <c r="BA18" i="3"/>
  <c r="FC7" i="4" a="1"/>
  <c r="EY15" i="4" a="1"/>
  <c r="Z45" i="2"/>
  <c r="BB10" i="3"/>
  <c r="FE12" i="4" a="1"/>
  <c r="BB25" i="3"/>
  <c r="AA92" i="2"/>
  <c r="AA49" i="2"/>
  <c r="EY13" i="4" a="1"/>
  <c r="Y106" i="2"/>
  <c r="BA7" i="3"/>
  <c r="AA75" i="2"/>
  <c r="BB5" i="3"/>
  <c r="AA31" i="2"/>
  <c r="Z7" i="2"/>
  <c r="EY9" i="4" a="1"/>
  <c r="BF71" i="3"/>
  <c r="BR78" i="3"/>
  <c r="BF64" i="3"/>
  <c r="CL197" i="1" s="1"/>
  <c r="BR8" i="3"/>
  <c r="BG41" i="3"/>
  <c r="BS15" i="3"/>
  <c r="BN45" i="3"/>
  <c r="BK16" i="3"/>
  <c r="BH9" i="3"/>
  <c r="BL20" i="3"/>
  <c r="AA80" i="2"/>
  <c r="Y17" i="2"/>
  <c r="BA5" i="3"/>
  <c r="BU21" i="3"/>
  <c r="BG28" i="3"/>
  <c r="BR28" i="3"/>
  <c r="BO37" i="3"/>
  <c r="BT20" i="3"/>
  <c r="BH18" i="3"/>
  <c r="BN36" i="3"/>
  <c r="BG37" i="3"/>
  <c r="Z64" i="2"/>
  <c r="AA86" i="2"/>
  <c r="Y8" i="2"/>
  <c r="BR9" i="3"/>
  <c r="BF10" i="3"/>
  <c r="CL62" i="1" s="1"/>
  <c r="BS16" i="3"/>
  <c r="BG5" i="3"/>
  <c r="BI17" i="3"/>
  <c r="BJ12" i="3"/>
  <c r="BN23" i="3"/>
  <c r="AA72" i="2"/>
  <c r="Z47" i="2"/>
  <c r="BU18" i="3"/>
  <c r="BP18" i="3"/>
  <c r="BR25" i="3"/>
  <c r="BO33" i="3"/>
  <c r="BH31" i="3"/>
  <c r="BH8" i="3"/>
  <c r="BL33" i="3"/>
  <c r="BM28" i="3"/>
  <c r="BQ7" i="3"/>
  <c r="BS35" i="3"/>
  <c r="BH39" i="3"/>
  <c r="BS21" i="3"/>
  <c r="BM22" i="3"/>
  <c r="BI21" i="3"/>
  <c r="BH41" i="3"/>
  <c r="BG9" i="3"/>
  <c r="AA7" i="2"/>
  <c r="Y108" i="2"/>
  <c r="AA28" i="2"/>
  <c r="BV10" i="3"/>
  <c r="BJ32" i="3"/>
  <c r="BO18" i="3"/>
  <c r="BK9" i="3"/>
  <c r="BK18" i="3"/>
  <c r="BH17" i="3"/>
  <c r="BJ27" i="3"/>
  <c r="Y46" i="2"/>
  <c r="BQ20" i="3"/>
  <c r="BP38" i="3"/>
  <c r="BV26" i="3"/>
  <c r="BS34" i="3"/>
  <c r="BJ13" i="3"/>
  <c r="BG79" i="3"/>
  <c r="BG33" i="3"/>
  <c r="AA93" i="2"/>
  <c r="BU16" i="3"/>
  <c r="BT14" i="3"/>
  <c r="BR23" i="3"/>
  <c r="BO31" i="3"/>
  <c r="BL5" i="3"/>
  <c r="BI45" i="3"/>
  <c r="BF8" i="3"/>
  <c r="BK23" i="3"/>
  <c r="Y32" i="2"/>
  <c r="Z44" i="2"/>
  <c r="AA104" i="2"/>
  <c r="AA88" i="2"/>
  <c r="Z32" i="2"/>
  <c r="Y110" i="2"/>
  <c r="EY6" i="4" a="1"/>
  <c r="Z85" i="2"/>
  <c r="BC22" i="3"/>
  <c r="FE5" i="4" a="1"/>
  <c r="BD33" i="3"/>
  <c r="Y90" i="2"/>
  <c r="Y27" i="2"/>
  <c r="EX13" i="4" a="1"/>
  <c r="BA26" i="3"/>
  <c r="AA32" i="2"/>
  <c r="Y52" i="2"/>
  <c r="EX5" i="4" a="1"/>
  <c r="BD21" i="3"/>
  <c r="BQ5" i="3"/>
  <c r="BQ56" i="3" s="1"/>
  <c r="BR12" i="3"/>
  <c r="BJ10" i="3"/>
  <c r="BS19" i="3"/>
  <c r="BE16" i="3"/>
  <c r="BM19" i="3"/>
  <c r="BF22" i="3"/>
  <c r="BH32" i="3"/>
  <c r="C4" i="2"/>
  <c r="AA66" i="2"/>
  <c r="BC45" i="3"/>
  <c r="BU25" i="3"/>
  <c r="BM41" i="3"/>
  <c r="BR32" i="3"/>
  <c r="BP5" i="3"/>
  <c r="BP82" i="3" s="1"/>
  <c r="BP17" i="3"/>
  <c r="BJ31" i="3"/>
  <c r="BJ30" i="3"/>
  <c r="BN22" i="3"/>
  <c r="BD42" i="3"/>
  <c r="AA11" i="2"/>
  <c r="BQ6" i="3"/>
  <c r="BR13" i="3"/>
  <c r="BN24" i="3"/>
  <c r="BS20" i="3"/>
  <c r="BM18" i="3"/>
  <c r="BK20" i="3"/>
  <c r="BH25" i="3"/>
  <c r="BF35" i="3"/>
  <c r="CL95" i="1" s="1"/>
  <c r="Z104" i="2"/>
  <c r="Y9" i="2"/>
  <c r="BU22" i="3"/>
  <c r="BM31" i="3"/>
  <c r="BR29" i="3"/>
  <c r="BS39" i="3"/>
  <c r="BT28" i="3"/>
  <c r="BN21" i="3"/>
  <c r="BF16" i="3"/>
  <c r="CL69" i="1" s="1"/>
  <c r="BE40" i="3"/>
  <c r="BQ11" i="3"/>
  <c r="BO45" i="3"/>
  <c r="BV17" i="3"/>
  <c r="BS25" i="3"/>
  <c r="BE36" i="3"/>
  <c r="BK24" i="3"/>
  <c r="BF32" i="3"/>
  <c r="BK19" i="3"/>
  <c r="AA29" i="2"/>
  <c r="AA30" i="2"/>
  <c r="BU7" i="3"/>
  <c r="BS36" i="3"/>
  <c r="BR14" i="3"/>
  <c r="BO22" i="3"/>
  <c r="BE24" i="3"/>
  <c r="BM21" i="3"/>
  <c r="BF30" i="3"/>
  <c r="BF39" i="3"/>
  <c r="AA68" i="2"/>
  <c r="BQ24" i="3"/>
  <c r="BI35" i="3"/>
  <c r="BV30" i="3"/>
  <c r="BO42" i="3"/>
  <c r="BT40" i="3"/>
  <c r="BN25" i="3"/>
  <c r="BH35" i="3"/>
  <c r="BJ8" i="3"/>
  <c r="BB24" i="3"/>
  <c r="BU20" i="3"/>
  <c r="BP46" i="3"/>
  <c r="BR27" i="3"/>
  <c r="BO35" i="3"/>
  <c r="BT12" i="3"/>
  <c r="BF15" i="3"/>
  <c r="CL73" i="1" s="1"/>
  <c r="BL17" i="3"/>
  <c r="BI34" i="3"/>
  <c r="BC20" i="3"/>
  <c r="Z81" i="2"/>
  <c r="BQ9" i="3"/>
  <c r="BO39" i="3"/>
  <c r="BV15" i="3"/>
  <c r="BS23" i="3"/>
  <c r="BG29" i="3"/>
  <c r="BE23" i="3"/>
  <c r="BN34" i="3"/>
  <c r="BF45" i="3"/>
  <c r="CL112" i="1" s="1"/>
  <c r="AA90" i="2"/>
  <c r="Y49" i="2"/>
  <c r="AA16" i="2"/>
  <c r="BU29" i="3"/>
  <c r="BL14" i="3"/>
  <c r="BR36" i="3"/>
  <c r="BT22" i="3"/>
  <c r="BP39" i="3"/>
  <c r="BH46" i="3"/>
  <c r="BT37" i="3"/>
  <c r="BH23" i="3"/>
  <c r="BA20" i="3"/>
  <c r="Z95" i="2"/>
  <c r="BQ10" i="3"/>
  <c r="BS41" i="3"/>
  <c r="BV16" i="3"/>
  <c r="BS24" i="3"/>
  <c r="BI32" i="3"/>
  <c r="BM23" i="3"/>
  <c r="BF38" i="3"/>
  <c r="BI6" i="3"/>
  <c r="Z108" i="2"/>
  <c r="Y19" i="2"/>
  <c r="BU26" i="3"/>
  <c r="BG46" i="3"/>
  <c r="BR33" i="3"/>
  <c r="BT17" i="3"/>
  <c r="BP33" i="3"/>
  <c r="BH34" i="3"/>
  <c r="BP6" i="3"/>
  <c r="BL35" i="3"/>
  <c r="BQ15" i="3"/>
  <c r="BT41" i="3"/>
  <c r="BV21" i="3"/>
  <c r="BS29" i="3"/>
  <c r="BN30" i="3"/>
  <c r="BG38" i="3"/>
  <c r="BF40" i="3"/>
  <c r="BI30" i="3"/>
  <c r="Z9" i="2"/>
  <c r="Z53" i="2"/>
  <c r="BU11" i="3"/>
  <c r="BO46" i="3"/>
  <c r="BR18" i="3"/>
  <c r="BO26" i="3"/>
  <c r="BK37" i="3"/>
  <c r="BE25" i="3"/>
  <c r="BN42" i="3"/>
  <c r="BM10" i="3"/>
  <c r="Z22" i="2"/>
  <c r="BQ28" i="3"/>
  <c r="BF9" i="3"/>
  <c r="BV34" i="3"/>
  <c r="BQ13" i="3"/>
  <c r="BT15" i="3"/>
  <c r="BV19" i="3"/>
  <c r="BS27" i="3"/>
  <c r="BH5" i="3"/>
  <c r="BH59" i="3" s="1"/>
  <c r="BK28" i="3"/>
  <c r="BJ6" i="3"/>
  <c r="BI14" i="3"/>
  <c r="Z50" i="2"/>
  <c r="Y33" i="2"/>
  <c r="Z59" i="2"/>
  <c r="BU33" i="3"/>
  <c r="BL26" i="3"/>
  <c r="BR40" i="3"/>
  <c r="BG26" i="3"/>
  <c r="BP7" i="3"/>
  <c r="BI18" i="3"/>
  <c r="BP20" i="3"/>
  <c r="AB39" i="3"/>
  <c r="BD22" i="3"/>
  <c r="Y71" i="2"/>
  <c r="BQ14" i="3"/>
  <c r="BT29" i="3"/>
  <c r="BV20" i="3"/>
  <c r="BS28" i="3"/>
  <c r="BF18" i="3"/>
  <c r="CL74" i="1" s="1"/>
  <c r="BE35" i="3"/>
  <c r="BH19" i="3"/>
  <c r="BM16" i="3"/>
  <c r="Z109" i="2"/>
  <c r="AA36" i="2"/>
  <c r="BU30" i="3"/>
  <c r="BN17" i="3"/>
  <c r="BR37" i="3"/>
  <c r="BP10" i="3"/>
  <c r="BP19" i="3"/>
  <c r="BE8" i="3"/>
  <c r="BT8" i="3"/>
  <c r="BJ34" i="3"/>
  <c r="BQ19" i="3"/>
  <c r="BP24" i="3"/>
  <c r="BV25" i="3"/>
  <c r="BS33" i="3"/>
  <c r="BL37" i="3"/>
  <c r="BH10" i="3"/>
  <c r="BJ22" i="3"/>
  <c r="BM40" i="3"/>
  <c r="Z72" i="2"/>
  <c r="AA35" i="2"/>
  <c r="BU15" i="3"/>
  <c r="BR22" i="3"/>
  <c r="BO30" i="3"/>
  <c r="BH37" i="3"/>
  <c r="BM39" i="3"/>
  <c r="BJ38" i="3"/>
  <c r="BG21" i="3"/>
  <c r="AA105" i="2"/>
  <c r="BQ32" i="3"/>
  <c r="BL22" i="3"/>
  <c r="BV38" i="3"/>
  <c r="BP32" i="3"/>
  <c r="BP45" i="3"/>
  <c r="BG13" i="3"/>
  <c r="BT42" i="3"/>
  <c r="BG59" i="3"/>
  <c r="BA31" i="3"/>
  <c r="BU28" i="3"/>
  <c r="BL10" i="3"/>
  <c r="BR35" i="3"/>
  <c r="BT39" i="3"/>
  <c r="BP15" i="3"/>
  <c r="BF41" i="3"/>
  <c r="BT25" i="3"/>
  <c r="BL13" i="3"/>
  <c r="BB17" i="3"/>
  <c r="Z19" i="2"/>
  <c r="AA96" i="2"/>
  <c r="Z94" i="2"/>
  <c r="BC30" i="3"/>
  <c r="FA6" i="4" a="1"/>
  <c r="Y35" i="2"/>
  <c r="Y81" i="2"/>
  <c r="Z26" i="2"/>
  <c r="FC8" i="4" a="1"/>
  <c r="Y91" i="2"/>
  <c r="BA8" i="3"/>
  <c r="BC40" i="3"/>
  <c r="EX9" i="4" a="1"/>
  <c r="Z79" i="2"/>
  <c r="AV10" i="3"/>
  <c r="BD5" i="3"/>
  <c r="FE14" i="4" a="1"/>
  <c r="AA63" i="2"/>
  <c r="BD9" i="3"/>
  <c r="BB28" i="3"/>
  <c r="FB12" i="4" a="1"/>
  <c r="Y78" i="2"/>
  <c r="BB8" i="3"/>
  <c r="BC35" i="3"/>
  <c r="FA9" i="4" a="1"/>
  <c r="Z23" i="2"/>
  <c r="BD16" i="3"/>
  <c r="Y53" i="2"/>
  <c r="AA98" i="2"/>
  <c r="BD12" i="3"/>
  <c r="EY14" i="4" a="1"/>
  <c r="FE7" i="4" a="1"/>
  <c r="BQ58" i="3"/>
  <c r="BQ17" i="3"/>
  <c r="BT26" i="3"/>
  <c r="BV23" i="3"/>
  <c r="BS31" i="3"/>
  <c r="BF12" i="3"/>
  <c r="CL63" i="1" s="1"/>
  <c r="BK46" i="3"/>
  <c r="BJ14" i="3"/>
  <c r="BG25" i="3"/>
  <c r="Z13" i="2"/>
  <c r="Y62" i="2"/>
  <c r="Z35" i="2"/>
  <c r="BU37" i="3"/>
  <c r="BN39" i="3"/>
  <c r="BR46" i="3"/>
  <c r="BI39" i="3"/>
  <c r="BI7" i="3"/>
  <c r="BE32" i="3"/>
  <c r="BG30" i="3"/>
  <c r="Y14" i="2"/>
  <c r="BC25" i="3"/>
  <c r="Z15" i="2"/>
  <c r="BQ18" i="3"/>
  <c r="BP12" i="3"/>
  <c r="BV24" i="3"/>
  <c r="BS32" i="3"/>
  <c r="BJ26" i="3"/>
  <c r="BL6" i="3"/>
  <c r="BH27" i="3"/>
  <c r="BE28" i="3"/>
  <c r="BQ21" i="3"/>
  <c r="BK26" i="3"/>
  <c r="BV27" i="3"/>
  <c r="BO36" i="3"/>
  <c r="BT16" i="3"/>
  <c r="BL16" i="3"/>
  <c r="BF24" i="3"/>
  <c r="BK35" i="3"/>
  <c r="BB20" i="3"/>
  <c r="AA6" i="2"/>
  <c r="Z10" i="2"/>
  <c r="BU41" i="3"/>
  <c r="BG15" i="3"/>
  <c r="BO8" i="3"/>
  <c r="BH14" i="3"/>
  <c r="BK10" i="3"/>
  <c r="BN14" i="3"/>
  <c r="BG40" i="3"/>
  <c r="Z67" i="2"/>
  <c r="BD37" i="3"/>
  <c r="BA6" i="3"/>
  <c r="BQ22" i="3"/>
  <c r="BM29" i="3"/>
  <c r="BV28" i="3"/>
  <c r="BS38" i="3"/>
  <c r="BT24" i="3"/>
  <c r="BH20" i="3"/>
  <c r="BL9" i="3"/>
  <c r="BI38" i="3"/>
  <c r="AA47" i="2"/>
  <c r="AA50" i="2"/>
  <c r="BU38" i="3"/>
  <c r="BJ45" i="3"/>
  <c r="BO5" i="3"/>
  <c r="BO76" i="3" s="1"/>
  <c r="BE45" i="3"/>
  <c r="BG8" i="3"/>
  <c r="BG35" i="3"/>
  <c r="BG32" i="3"/>
  <c r="Y13" i="2"/>
  <c r="BQ27" i="3"/>
  <c r="BN5" i="3"/>
  <c r="BV33" i="3"/>
  <c r="BT21" i="3"/>
  <c r="BP41" i="3"/>
  <c r="BN35" i="3"/>
  <c r="BT18" i="3"/>
  <c r="BN40" i="3"/>
  <c r="BB9" i="3"/>
  <c r="Y50" i="2"/>
  <c r="BU23" i="3"/>
  <c r="BM33" i="3"/>
  <c r="BR30" i="3"/>
  <c r="BO41" i="3"/>
  <c r="BT36" i="3"/>
  <c r="BL24" i="3"/>
  <c r="BN28" i="3"/>
  <c r="BI42" i="3"/>
  <c r="BC38" i="3"/>
  <c r="BQ40" i="3"/>
  <c r="BI10" i="3"/>
  <c r="BS6" i="3"/>
  <c r="BJ9" i="3"/>
  <c r="BI9" i="3"/>
  <c r="BI40" i="3"/>
  <c r="BM35" i="3"/>
  <c r="Y94" i="2"/>
  <c r="BD39" i="3"/>
  <c r="BU36" i="3"/>
  <c r="BF37" i="3"/>
  <c r="BR45" i="3"/>
  <c r="BG36" i="3"/>
  <c r="BK6" i="3"/>
  <c r="BI28" i="3"/>
  <c r="BI27" i="3"/>
  <c r="Z76" i="2"/>
  <c r="BA16" i="3"/>
  <c r="BB16" i="3"/>
  <c r="Z62" i="2"/>
  <c r="Y84" i="2"/>
  <c r="Y69" i="2"/>
  <c r="FB8" i="4" a="1"/>
  <c r="AA48" i="2"/>
  <c r="AA33" i="2"/>
  <c r="BB23" i="3"/>
  <c r="FB13" i="4" a="1"/>
  <c r="BC19" i="3"/>
  <c r="BC23" i="3"/>
  <c r="Y54" i="2"/>
  <c r="FD16" i="4" a="1"/>
  <c r="BC14" i="3"/>
  <c r="Y48" i="2"/>
  <c r="Z63" i="2"/>
  <c r="FB11" i="4" a="1"/>
  <c r="BA36" i="3"/>
  <c r="Y56" i="2"/>
  <c r="Z51" i="2"/>
  <c r="FB5" i="4" a="1"/>
  <c r="BB18" i="3"/>
  <c r="Z88" i="2"/>
  <c r="Z42" i="2"/>
  <c r="FE11" i="4" a="1"/>
  <c r="Z90" i="2"/>
  <c r="BA34" i="3"/>
  <c r="FD7" i="4" a="1"/>
  <c r="Y77" i="2"/>
  <c r="Z28" i="2"/>
  <c r="FD15" i="4" a="1"/>
  <c r="FD5" i="4" a="1"/>
  <c r="BH66" i="3"/>
  <c r="BF60" i="3"/>
  <c r="CL171" i="1" s="1"/>
  <c r="BL60" i="3"/>
  <c r="BH93" i="3"/>
  <c r="BA89" i="3"/>
  <c r="BP91" i="3"/>
  <c r="BQ88" i="3"/>
  <c r="BF65" i="3"/>
  <c r="CL198" i="1" s="1"/>
  <c r="BO55" i="3"/>
  <c r="BR76" i="3"/>
  <c r="BP85" i="3"/>
  <c r="BF62" i="3"/>
  <c r="CL173" i="1" s="1"/>
  <c r="FL5" i="4" a="1"/>
  <c r="BH81" i="3"/>
  <c r="BQ25" i="3"/>
  <c r="BE39" i="3"/>
  <c r="BV31" i="3"/>
  <c r="BS46" i="3"/>
  <c r="BP9" i="3"/>
  <c r="BN29" i="3"/>
  <c r="BH11" i="3"/>
  <c r="BJ16" i="3"/>
  <c r="BA17" i="3"/>
  <c r="AA76" i="2"/>
  <c r="Y31" i="2"/>
  <c r="BQ62" i="3"/>
  <c r="BK29" i="3"/>
  <c r="BO12" i="3"/>
  <c r="BF31" i="3"/>
  <c r="BM13" i="3"/>
  <c r="BL29" i="3"/>
  <c r="BJ11" i="3"/>
  <c r="AA17" i="2"/>
  <c r="BB15" i="3"/>
  <c r="BC7" i="3"/>
  <c r="BQ26" i="3"/>
  <c r="BK42" i="3"/>
  <c r="BV32" i="3"/>
  <c r="BT11" i="3"/>
  <c r="BP25" i="3"/>
  <c r="BL32" i="3"/>
  <c r="BG45" i="3"/>
  <c r="BH29" i="3"/>
  <c r="BD32" i="3"/>
  <c r="Y98" i="2"/>
  <c r="BU42" i="3"/>
  <c r="BG19" i="3"/>
  <c r="BO9" i="3"/>
  <c r="BJ17" i="3"/>
  <c r="BI11" i="3"/>
  <c r="BL27" i="3"/>
  <c r="BG42" i="3"/>
  <c r="AA18" i="2"/>
  <c r="BQ31" i="3"/>
  <c r="BF19" i="3"/>
  <c r="BV37" i="3"/>
  <c r="BP16" i="3"/>
  <c r="BP27" i="3"/>
  <c r="BE10" i="3"/>
  <c r="BP34" i="3"/>
  <c r="AA109" i="2"/>
  <c r="BC41" i="3"/>
  <c r="Z21" i="2"/>
  <c r="BU27" i="3"/>
  <c r="BJ7" i="3"/>
  <c r="BR34" i="3"/>
  <c r="BT27" i="3"/>
  <c r="BP21" i="3"/>
  <c r="BN37" i="3"/>
  <c r="BT13" i="3"/>
  <c r="BH45" i="3"/>
  <c r="BC18" i="3"/>
  <c r="BQ46" i="3"/>
  <c r="BI24" i="3"/>
  <c r="BS10" i="3"/>
  <c r="BF23" i="3"/>
  <c r="CL84" i="1" s="1"/>
  <c r="BK12" i="3"/>
  <c r="BN8" i="3"/>
  <c r="BF7" i="3"/>
  <c r="AA24" i="2"/>
  <c r="BA22" i="3"/>
  <c r="BU40" i="3"/>
  <c r="BE12" i="3"/>
  <c r="BO7" i="3"/>
  <c r="BF11" i="3"/>
  <c r="CL64" i="1" s="1"/>
  <c r="BM9" i="3"/>
  <c r="BE42" i="3"/>
  <c r="BE37" i="3"/>
  <c r="AA19" i="2"/>
  <c r="BD23" i="3"/>
  <c r="BD6" i="3"/>
  <c r="BC11" i="3"/>
  <c r="Y82" i="2"/>
  <c r="Z34" i="2"/>
  <c r="FC5" i="4" a="1"/>
  <c r="Z77" i="2"/>
  <c r="BB33" i="3"/>
  <c r="BD27" i="3"/>
  <c r="FE9" i="4" a="1"/>
  <c r="BC29" i="3"/>
  <c r="Z65" i="2"/>
  <c r="Y63" i="2"/>
  <c r="FC15" i="4" a="1"/>
  <c r="BC42" i="3"/>
  <c r="Z83" i="2"/>
  <c r="Z17" i="2"/>
  <c r="EX14" i="4" a="1"/>
  <c r="BB21" i="3"/>
  <c r="Y67" i="2"/>
  <c r="Y29" i="2"/>
  <c r="FC13" i="4" a="1"/>
  <c r="Z57" i="2"/>
  <c r="Y66" i="2"/>
  <c r="AA57" i="2"/>
  <c r="EZ9" i="4" a="1"/>
  <c r="AA84" i="2"/>
  <c r="Z27" i="2"/>
  <c r="BC10" i="3"/>
  <c r="Y30" i="2"/>
  <c r="Y95" i="2"/>
  <c r="BQ33" i="3"/>
  <c r="BJ25" i="3"/>
  <c r="BV39" i="3"/>
  <c r="BP42" i="3"/>
  <c r="BP29" i="3"/>
  <c r="BI16" i="3"/>
  <c r="BP14" i="3"/>
  <c r="Y60" i="2"/>
  <c r="BB22" i="3"/>
  <c r="AA41" i="2"/>
  <c r="BU5" i="3"/>
  <c r="BV12" i="3"/>
  <c r="BF20" i="3"/>
  <c r="CL58" i="1" s="1"/>
  <c r="BO20" i="3"/>
  <c r="BK17" i="3"/>
  <c r="BG20" i="3"/>
  <c r="BL23" i="3"/>
  <c r="BN33" i="3"/>
  <c r="Z36" i="2"/>
  <c r="Y20" i="2"/>
  <c r="BD35" i="3"/>
  <c r="BQ34" i="3"/>
  <c r="BH28" i="3"/>
  <c r="BV40" i="3"/>
  <c r="BM27" i="3"/>
  <c r="BP23" i="3"/>
  <c r="BE20" i="3"/>
  <c r="BP26" i="3"/>
  <c r="AA40" i="2"/>
  <c r="BB32" i="3"/>
  <c r="Y61" i="2"/>
  <c r="BV9" i="3"/>
  <c r="BL19" i="3"/>
  <c r="BO17" i="3"/>
  <c r="BM6" i="3"/>
  <c r="BM17" i="3"/>
  <c r="BF14" i="3"/>
  <c r="CL72" i="1" s="1"/>
  <c r="BF25" i="3"/>
  <c r="CL85" i="1" s="1"/>
  <c r="AA77" i="2"/>
  <c r="BQ39" i="3"/>
  <c r="BG7" i="3"/>
  <c r="BS5" i="3"/>
  <c r="BH6" i="3"/>
  <c r="BK8" i="3"/>
  <c r="BM36" i="3"/>
  <c r="BM45" i="3"/>
  <c r="AA110" i="2"/>
  <c r="BA19" i="3"/>
  <c r="BD11" i="3"/>
  <c r="BU35" i="3"/>
  <c r="BJ33" i="3"/>
  <c r="BR42" i="3"/>
  <c r="BE33" i="3"/>
  <c r="BM5" i="3"/>
  <c r="BM24" i="3"/>
  <c r="BP40" i="3"/>
  <c r="Y85" i="2"/>
  <c r="BC16" i="3"/>
  <c r="BR11" i="3"/>
  <c r="BN38" i="3"/>
  <c r="BS18" i="3"/>
  <c r="BI12" i="3"/>
  <c r="BE19" i="3"/>
  <c r="BN18" i="3"/>
  <c r="BL28" i="3"/>
  <c r="AA14" i="2"/>
  <c r="Z20" i="2"/>
  <c r="BV7" i="3"/>
  <c r="BK39" i="3"/>
  <c r="BO15" i="3"/>
  <c r="BJ41" i="3"/>
  <c r="BG16" i="3"/>
  <c r="BL7" i="3"/>
  <c r="BJ19" i="3"/>
  <c r="Y64" i="2"/>
  <c r="Y43" i="2"/>
  <c r="BA28" i="3"/>
  <c r="AA81" i="2"/>
  <c r="BA14" i="3"/>
  <c r="BA38" i="3"/>
  <c r="FE6" i="4" a="1"/>
  <c r="BA39" i="3"/>
  <c r="BA24" i="3"/>
  <c r="Z82" i="2"/>
  <c r="EX6" i="4" a="1"/>
  <c r="AA74" i="2"/>
  <c r="BA11" i="3"/>
  <c r="Y87" i="2"/>
  <c r="FE15" i="4" a="1"/>
  <c r="AA5" i="2"/>
  <c r="AA111" i="2" s="1"/>
  <c r="BB31" i="3"/>
  <c r="BC46" i="3"/>
  <c r="FA14" i="4" a="1"/>
  <c r="Z75" i="2"/>
  <c r="BB42" i="3"/>
  <c r="BB11" i="3"/>
  <c r="BQ37" i="3"/>
  <c r="BH38" i="3"/>
  <c r="BV45" i="3"/>
  <c r="BM37" i="3"/>
  <c r="BE7" i="3"/>
  <c r="BE30" i="3"/>
  <c r="BE29" i="3"/>
  <c r="Y22" i="2"/>
  <c r="BA29" i="3"/>
  <c r="BC17" i="3"/>
  <c r="BU9" i="3"/>
  <c r="BS40" i="3"/>
  <c r="BR16" i="3"/>
  <c r="BO24" i="3"/>
  <c r="BM30" i="3"/>
  <c r="BI23" i="3"/>
  <c r="BJ36" i="3"/>
  <c r="BK5" i="3"/>
  <c r="Y23" i="2"/>
  <c r="AA9" i="2"/>
  <c r="BB46" i="3"/>
  <c r="BQ38" i="3"/>
  <c r="BN41" i="3"/>
  <c r="BV46" i="3"/>
  <c r="BE41" i="3"/>
  <c r="BM7" i="3"/>
  <c r="BK33" i="3"/>
  <c r="BE31" i="3"/>
  <c r="AA55" i="2"/>
  <c r="BA9" i="3"/>
  <c r="BU6" i="3"/>
  <c r="BV13" i="3"/>
  <c r="BN32" i="3"/>
  <c r="BO21" i="3"/>
  <c r="BI20" i="3"/>
  <c r="BE21" i="3"/>
  <c r="BN26" i="3"/>
  <c r="BH36" i="3"/>
  <c r="Y21" i="2"/>
  <c r="BQ45" i="3"/>
  <c r="BM20" i="3"/>
  <c r="BS9" i="3"/>
  <c r="BN19" i="3"/>
  <c r="BM11" i="3"/>
  <c r="BF34" i="3"/>
  <c r="CL94" i="1" s="1"/>
  <c r="CL44" i="1" s="1"/>
  <c r="BJ15" i="3"/>
  <c r="Y51" i="2"/>
  <c r="BB38" i="3"/>
  <c r="BB19" i="3"/>
  <c r="BU39" i="3"/>
  <c r="BM8" i="3"/>
  <c r="BO6" i="3"/>
  <c r="BN7" i="3"/>
  <c r="BE9" i="3"/>
  <c r="BM38" i="3"/>
  <c r="BK34" i="3"/>
  <c r="AA61" i="2"/>
  <c r="BQ8" i="3"/>
  <c r="BS37" i="3"/>
  <c r="BV14" i="3"/>
  <c r="BS22" i="3"/>
  <c r="BK25" i="3"/>
  <c r="BG22" i="3"/>
  <c r="BL31" i="3"/>
  <c r="BL40" i="3"/>
  <c r="Y68" i="2"/>
  <c r="Y42" i="2"/>
  <c r="BV11" i="3"/>
  <c r="BF46" i="3"/>
  <c r="CL113" i="1" s="1"/>
  <c r="BO19" i="3"/>
  <c r="BE14" i="3"/>
  <c r="BI19" i="3"/>
  <c r="BJ20" i="3"/>
  <c r="BL30" i="3"/>
  <c r="Y10" i="2"/>
  <c r="Y44" i="2"/>
  <c r="BA35" i="3"/>
  <c r="Y15" i="2"/>
  <c r="BB26" i="3"/>
  <c r="Y89" i="2"/>
  <c r="FD11" i="4" a="1"/>
  <c r="BA42" i="3"/>
  <c r="AA97" i="2"/>
  <c r="Y41" i="2"/>
  <c r="FA13" i="4" a="1"/>
  <c r="Y92" i="2"/>
  <c r="BD38" i="3"/>
  <c r="FC14" i="4" a="1"/>
  <c r="EX12" i="4" a="1"/>
  <c r="C5" i="2"/>
  <c r="BA10" i="3"/>
  <c r="BQ41" i="3"/>
  <c r="BK13" i="3"/>
  <c r="BS7" i="3"/>
  <c r="BL12" i="3"/>
  <c r="BG10" i="3"/>
  <c r="BN6" i="3"/>
  <c r="BK38" i="3"/>
  <c r="Y88" i="2"/>
  <c r="BC12" i="3"/>
  <c r="BA32" i="3"/>
  <c r="BU13" i="3"/>
  <c r="BT23" i="3"/>
  <c r="BR20" i="3"/>
  <c r="BO28" i="3"/>
  <c r="BL11" i="3"/>
  <c r="BK30" i="3"/>
  <c r="BN12" i="3"/>
  <c r="BK15" i="3"/>
  <c r="AA44" i="2"/>
  <c r="Z14" i="2"/>
  <c r="Y16" i="2"/>
  <c r="BQ42" i="3"/>
  <c r="BG17" i="3"/>
  <c r="BS8" i="3"/>
  <c r="BN15" i="3"/>
  <c r="BE11" i="3"/>
  <c r="BH21" i="3"/>
  <c r="BI41" i="3"/>
  <c r="Y76" i="2"/>
  <c r="BB41" i="3"/>
  <c r="BU10" i="3"/>
  <c r="BS42" i="3"/>
  <c r="BR17" i="3"/>
  <c r="BO25" i="3"/>
  <c r="BM34" i="3"/>
  <c r="BG24" i="3"/>
  <c r="BL39" i="3"/>
  <c r="BQ29" i="3"/>
  <c r="BM42" i="3"/>
  <c r="BT38" i="3"/>
  <c r="BM32" i="3"/>
  <c r="Z66" i="2"/>
  <c r="BO40" i="3"/>
  <c r="BJ40" i="3"/>
  <c r="BP30" i="3"/>
  <c r="BN11" i="3"/>
  <c r="BQ36" i="3"/>
  <c r="BG39" i="3"/>
  <c r="BG11" i="3"/>
  <c r="BO38" i="3"/>
  <c r="BK27" i="3"/>
  <c r="BH42" i="3"/>
  <c r="AA73" i="2"/>
  <c r="BA21" i="3"/>
  <c r="Z12" i="2"/>
  <c r="FC9" i="4" a="1"/>
  <c r="BD7" i="3"/>
  <c r="FF14" i="4" a="1"/>
  <c r="BC26" i="3"/>
  <c r="Z5" i="2"/>
  <c r="Z52" i="2"/>
  <c r="FA7" i="4" a="1"/>
  <c r="BA12" i="3"/>
  <c r="EY11" i="4" a="1"/>
  <c r="BC39" i="3"/>
  <c r="Z33" i="2"/>
  <c r="Y96" i="2"/>
  <c r="BB36" i="3"/>
  <c r="EY16" i="4" a="1"/>
  <c r="BH47" i="3"/>
  <c r="BB58" i="3"/>
  <c r="BB80" i="3"/>
  <c r="BF78" i="3"/>
  <c r="CL190" i="1" s="1"/>
  <c r="BS71" i="3"/>
  <c r="BL63" i="3"/>
  <c r="BB73" i="3"/>
  <c r="BB82" i="3"/>
  <c r="BU93" i="3"/>
  <c r="BP54" i="3"/>
  <c r="FO8" i="4" a="1"/>
  <c r="BB78" i="3"/>
  <c r="BA94" i="3"/>
  <c r="BA56" i="3"/>
  <c r="BB76" i="3"/>
  <c r="BR81" i="3"/>
  <c r="BP95" i="3"/>
  <c r="BH61" i="3"/>
  <c r="BG95" i="3"/>
  <c r="BA61" i="3"/>
  <c r="BR88" i="3"/>
  <c r="BA90" i="3"/>
  <c r="BG49" i="3"/>
  <c r="BF86" i="3"/>
  <c r="BH73" i="3"/>
  <c r="BF76" i="3"/>
  <c r="BO70" i="3"/>
  <c r="BR97" i="3"/>
  <c r="BO73" i="3"/>
  <c r="BA96" i="3"/>
  <c r="BG75" i="3"/>
  <c r="BA54" i="3"/>
  <c r="BO75" i="3"/>
  <c r="BR80" i="3"/>
  <c r="BF55" i="3"/>
  <c r="BF50" i="3"/>
  <c r="CL123" i="1" s="1"/>
  <c r="FU7" i="4" a="1"/>
  <c r="BF74" i="3"/>
  <c r="CL186" i="1" s="1"/>
  <c r="FO5" i="4" a="1"/>
  <c r="FO15" i="4" a="1"/>
  <c r="FJ15" i="4" a="1"/>
  <c r="GT7" i="4" a="1"/>
  <c r="HH15" i="4" a="1"/>
  <c r="FQ15" i="4" a="1"/>
  <c r="BD65" i="3"/>
  <c r="BR59" i="3"/>
  <c r="HH6" i="4" a="1"/>
  <c r="GV7" i="4" a="1"/>
  <c r="BH12" i="3"/>
  <c r="BO16" i="3"/>
  <c r="BP11" i="3"/>
  <c r="BR41" i="3"/>
  <c r="Y104" i="2"/>
  <c r="BI31" i="3"/>
  <c r="Y83" i="2"/>
  <c r="BF21" i="3"/>
  <c r="CL71" i="1" s="1"/>
  <c r="BK11" i="3"/>
  <c r="BR7" i="3"/>
  <c r="BP37" i="3"/>
  <c r="BH7" i="3"/>
  <c r="BI37" i="3"/>
  <c r="BT46" i="3"/>
  <c r="BH13" i="3"/>
  <c r="Z106" i="2"/>
  <c r="BD31" i="3"/>
  <c r="Z6" i="2"/>
  <c r="FF15" i="4" a="1"/>
  <c r="Z84" i="2"/>
  <c r="Z25" i="2"/>
  <c r="BA30" i="3"/>
  <c r="Z68" i="2"/>
  <c r="Y107" i="2"/>
  <c r="FC16" i="4" a="1"/>
  <c r="BD46" i="3"/>
  <c r="EY7" i="4" a="1"/>
  <c r="BA27" i="3"/>
  <c r="Y79" i="2"/>
  <c r="Z92" i="2"/>
  <c r="Z78" i="2"/>
  <c r="FB15" i="4" a="1"/>
  <c r="BK50" i="3"/>
  <c r="BB63" i="3"/>
  <c r="BA76" i="3"/>
  <c r="BQ93" i="3"/>
  <c r="BB87" i="3"/>
  <c r="BA80" i="3"/>
  <c r="BV35" i="3"/>
  <c r="BL46" i="3"/>
  <c r="BE6" i="3"/>
  <c r="BO13" i="3"/>
  <c r="AA51" i="2"/>
  <c r="BL36" i="3"/>
  <c r="Y28" i="2"/>
  <c r="BI22" i="3"/>
  <c r="BF42" i="3"/>
  <c r="CL100" i="1" s="1"/>
  <c r="BT5" i="3"/>
  <c r="BG6" i="3"/>
  <c r="Y73" i="2"/>
  <c r="BH24" i="3"/>
  <c r="BP13" i="3"/>
  <c r="AA54" i="2"/>
  <c r="Y5" i="2"/>
  <c r="BA25" i="3"/>
  <c r="AA12" i="2"/>
  <c r="FD12" i="4" a="1"/>
  <c r="Y70" i="2"/>
  <c r="AA79" i="2"/>
  <c r="BB29" i="3"/>
  <c r="AA108" i="2"/>
  <c r="BB39" i="3"/>
  <c r="EY8" i="4" a="1"/>
  <c r="AA27" i="2"/>
  <c r="EZ14" i="4" a="1"/>
  <c r="Y47" i="2"/>
  <c r="BD14" i="3"/>
  <c r="AA46" i="2"/>
  <c r="Z93" i="2"/>
  <c r="FB16" i="4" a="1"/>
  <c r="BB90" i="3"/>
  <c r="BQ76" i="3"/>
  <c r="BT63" i="3"/>
  <c r="BG74" i="3"/>
  <c r="BA83" i="3"/>
  <c r="BR47" i="3"/>
  <c r="BO64" i="3"/>
  <c r="BP67" i="3"/>
  <c r="BP84" i="3"/>
  <c r="BH68" i="3"/>
  <c r="BP69" i="3"/>
  <c r="BA71" i="3"/>
  <c r="BA66" i="3"/>
  <c r="BR85" i="3"/>
  <c r="BL84" i="3"/>
  <c r="BG91" i="3"/>
  <c r="BQ54" i="3"/>
  <c r="BF94" i="3"/>
  <c r="BO88" i="3"/>
  <c r="BR66" i="3"/>
  <c r="BF77" i="3"/>
  <c r="CL189" i="1" s="1"/>
  <c r="FK15" i="4" a="1"/>
  <c r="BA63" i="3"/>
  <c r="BH80" i="3"/>
  <c r="BQ86" i="3"/>
  <c r="BA92" i="3"/>
  <c r="BF63" i="3"/>
  <c r="CL174" i="1" s="1"/>
  <c r="BQ60" i="3"/>
  <c r="BF59" i="3"/>
  <c r="BO61" i="3"/>
  <c r="BG67" i="3"/>
  <c r="FS8" i="4" a="1"/>
  <c r="GD6" i="4" a="1"/>
  <c r="GA6" i="4" a="1"/>
  <c r="FU12" i="4" a="1"/>
  <c r="GL16" i="4" a="1"/>
  <c r="HG15" i="4" a="1"/>
  <c r="BD95" i="3"/>
  <c r="BP63" i="3"/>
  <c r="GI9" i="4" a="1"/>
  <c r="GK9" i="4" a="1"/>
  <c r="FU9" i="4" a="1"/>
  <c r="FI13" i="4" a="1"/>
  <c r="BB60" i="3"/>
  <c r="BF96" i="3"/>
  <c r="CL211" i="1" s="1"/>
  <c r="FH5" i="4" a="1"/>
  <c r="GP8" i="4" a="1"/>
  <c r="FZ8" i="4" a="1"/>
  <c r="FK9" i="4" a="1"/>
  <c r="FJ16" i="4" a="1"/>
  <c r="GB15" i="4" a="1"/>
  <c r="BD91" i="3"/>
  <c r="GX9" i="4" a="1"/>
  <c r="GB9" i="4" a="1"/>
  <c r="GL7" i="4" a="1"/>
  <c r="GM12" i="4" a="1"/>
  <c r="GP14" i="4" a="1"/>
  <c r="HH8" i="4" a="1"/>
  <c r="BT10" i="3"/>
  <c r="BE17" i="3"/>
  <c r="BT45" i="3"/>
  <c r="BI29" i="3"/>
  <c r="BQ23" i="3"/>
  <c r="BT32" i="3"/>
  <c r="BA45" i="3"/>
  <c r="BR26" i="3"/>
  <c r="BM46" i="3"/>
  <c r="BJ35" i="3"/>
  <c r="BM15" i="3"/>
  <c r="Y75" i="2"/>
  <c r="BE26" i="3"/>
  <c r="BE13" i="3"/>
  <c r="V6" i="2"/>
  <c r="AA70" i="2"/>
  <c r="Z43" i="2"/>
  <c r="AA99" i="2"/>
  <c r="EZ15" i="4" a="1"/>
  <c r="Z97" i="2"/>
  <c r="Z86" i="2"/>
  <c r="FC12" i="4" a="1"/>
  <c r="Y11" i="2"/>
  <c r="BD40" i="3"/>
  <c r="AA106" i="2"/>
  <c r="BA13" i="3"/>
  <c r="FA11" i="4" a="1"/>
  <c r="AA22" i="2"/>
  <c r="Y105" i="2"/>
  <c r="AA82" i="2"/>
  <c r="AA59" i="2"/>
  <c r="FF7" i="4" a="1"/>
  <c r="BM64" i="3"/>
  <c r="BB83" i="3"/>
  <c r="BQ73" i="3"/>
  <c r="BQ67" i="3"/>
  <c r="BS50" i="3"/>
  <c r="BT96" i="3"/>
  <c r="BM58" i="3"/>
  <c r="BP78" i="3"/>
  <c r="BG56" i="3"/>
  <c r="BO80" i="3"/>
  <c r="BR69" i="3"/>
  <c r="BS67" i="3"/>
  <c r="BG63" i="3"/>
  <c r="BG61" i="3"/>
  <c r="BM96" i="3"/>
  <c r="BQ48" i="3"/>
  <c r="BO81" i="3"/>
  <c r="BR55" i="3"/>
  <c r="BF81" i="3"/>
  <c r="CL192" i="1" s="1"/>
  <c r="BP31" i="3"/>
  <c r="BN10" i="3"/>
  <c r="BF28" i="3"/>
  <c r="CL81" i="1" s="1"/>
  <c r="BL34" i="3"/>
  <c r="BQ35" i="3"/>
  <c r="BI5" i="3"/>
  <c r="BB30" i="3"/>
  <c r="BR38" i="3"/>
  <c r="BT30" i="3"/>
  <c r="BE38" i="3"/>
  <c r="BI25" i="3"/>
  <c r="Z30" i="2"/>
  <c r="BR15" i="3"/>
  <c r="BK22" i="3"/>
  <c r="Z54" i="2"/>
  <c r="Y58" i="2"/>
  <c r="Y97" i="2"/>
  <c r="Z99" i="2"/>
  <c r="FC11" i="4" a="1"/>
  <c r="BD15" i="3"/>
  <c r="AA56" i="2"/>
  <c r="FF16" i="4" a="1"/>
  <c r="AA71" i="2"/>
  <c r="BB40" i="3"/>
  <c r="Y65" i="2"/>
  <c r="BA23" i="3"/>
  <c r="FB9" i="4" a="1"/>
  <c r="Y34" i="2"/>
  <c r="AA95" i="2"/>
  <c r="BC31" i="3"/>
  <c r="AA15" i="2"/>
  <c r="FF12" i="4" a="1"/>
  <c r="BM77" i="3"/>
  <c r="BH54" i="3"/>
  <c r="BH79" i="3"/>
  <c r="BQ69" i="3"/>
  <c r="BU60" i="3"/>
  <c r="BT79" i="3"/>
  <c r="BP57" i="3"/>
  <c r="BG87" i="3"/>
  <c r="BH64" i="3"/>
  <c r="BQ47" i="3"/>
  <c r="BF49" i="3"/>
  <c r="CL122" i="1" s="1"/>
  <c r="BO58" i="3"/>
  <c r="BR87" i="3"/>
  <c r="BS49" i="3"/>
  <c r="BG54" i="3"/>
  <c r="BP93" i="3"/>
  <c r="BH65" i="3"/>
  <c r="BF47" i="3"/>
  <c r="BO62" i="3"/>
  <c r="BR95" i="3"/>
  <c r="AA112" i="2"/>
  <c r="BP88" i="3"/>
  <c r="BB92" i="3"/>
  <c r="BD92" i="3"/>
  <c r="BF92" i="3"/>
  <c r="CL203" i="1" s="1"/>
  <c r="BO87" i="3"/>
  <c r="BR67" i="3"/>
  <c r="BS74" i="3"/>
  <c r="BA72" i="3"/>
  <c r="BM95" i="3"/>
  <c r="BD94" i="3"/>
  <c r="BH67" i="3"/>
  <c r="BQ70" i="3"/>
  <c r="BS84" i="3"/>
  <c r="BO56" i="3"/>
  <c r="FN6" i="4" a="1"/>
  <c r="BP81" i="3"/>
  <c r="BF84" i="3"/>
  <c r="CL194" i="1" s="1"/>
  <c r="BI93" i="3"/>
  <c r="BL80" i="3"/>
  <c r="BQ81" i="3"/>
  <c r="BS61" i="3"/>
  <c r="BG84" i="3"/>
  <c r="BK67" i="3"/>
  <c r="BH75" i="3"/>
  <c r="BG93" i="3"/>
  <c r="BH50" i="3"/>
  <c r="BQ79" i="3"/>
  <c r="BS55" i="3"/>
  <c r="BS87" i="3"/>
  <c r="BA88" i="3"/>
  <c r="BK85" i="3"/>
  <c r="HB9" i="4" a="1"/>
  <c r="GF8" i="4" a="1"/>
  <c r="HG8" i="4" a="1"/>
  <c r="GE13" i="4" a="1"/>
  <c r="FN14" i="4" a="1"/>
  <c r="GK16" i="4" a="1"/>
  <c r="BH70" i="3"/>
  <c r="BF57" i="3"/>
  <c r="CL167" i="1" s="1"/>
  <c r="GA5" i="4" a="1"/>
  <c r="FI7" i="4" a="1"/>
  <c r="GE6" i="4" a="1"/>
  <c r="FM8" i="4" a="1"/>
  <c r="BQ57" i="3"/>
  <c r="GQ8" i="4" a="1"/>
  <c r="GK7" i="4" a="1"/>
  <c r="GN7" i="4" a="1"/>
  <c r="GC12" i="4" a="1"/>
  <c r="GP16" i="4" a="1"/>
  <c r="FI16" i="4" a="1"/>
  <c r="BA48" i="3"/>
  <c r="BI87" i="3"/>
  <c r="FR15" i="4" a="1"/>
  <c r="GW12" i="4" a="1"/>
  <c r="GZ12" i="4" a="1"/>
  <c r="GW13" i="4" a="1"/>
  <c r="GX15" i="4" a="1"/>
  <c r="GH14" i="4" a="1"/>
  <c r="BD57" i="3"/>
  <c r="GE9" i="4" a="1"/>
  <c r="GM8" i="4" a="1"/>
  <c r="FG8" i="4" a="1"/>
  <c r="FJ12" i="4" a="1"/>
  <c r="FU13" i="4" a="1"/>
  <c r="GC13" i="4" a="1"/>
  <c r="BL42" i="3"/>
  <c r="BH22" i="3"/>
  <c r="AA94" i="2"/>
  <c r="BE5" i="3"/>
  <c r="BR6" i="3"/>
  <c r="BE15" i="3"/>
  <c r="AA87" i="2"/>
  <c r="BO10" i="3"/>
  <c r="BJ5" i="3"/>
  <c r="BV18" i="3"/>
  <c r="BJ39" i="3"/>
  <c r="BC37" i="3"/>
  <c r="BR31" i="3"/>
  <c r="BN27" i="3"/>
  <c r="BB45" i="3"/>
  <c r="BD10" i="3"/>
  <c r="FD14" i="4" a="1"/>
  <c r="BC21" i="3"/>
  <c r="BC15" i="3"/>
  <c r="Y40" i="2"/>
  <c r="Z74" i="2"/>
  <c r="FD8" i="4" a="1"/>
  <c r="AA89" i="2"/>
  <c r="FA8" i="4" a="1"/>
  <c r="Z70" i="2"/>
  <c r="Z71" i="2"/>
  <c r="EY12" i="4" a="1"/>
  <c r="Z105" i="2"/>
  <c r="Z69" i="2"/>
  <c r="BB27" i="3"/>
  <c r="FF13" i="4" a="1"/>
  <c r="BP92" i="3"/>
  <c r="BP76" i="3"/>
  <c r="BM81" i="3"/>
  <c r="BH94" i="3"/>
  <c r="BR92" i="3"/>
  <c r="BU86" i="3"/>
  <c r="BT54" i="3"/>
  <c r="BK70" i="3"/>
  <c r="BG83" i="3"/>
  <c r="BM97" i="3"/>
  <c r="BH71" i="3"/>
  <c r="BQ91" i="3"/>
  <c r="BS80" i="3"/>
  <c r="BG68" i="3"/>
  <c r="BJ83" i="3"/>
  <c r="BT31" i="3"/>
  <c r="AA53" i="2"/>
  <c r="BD26" i="3"/>
  <c r="BK14" i="3"/>
  <c r="BK32" i="3"/>
  <c r="BJ23" i="3"/>
  <c r="Z61" i="2"/>
  <c r="BO34" i="3"/>
  <c r="BK31" i="3"/>
  <c r="BV42" i="3"/>
  <c r="BM26" i="3"/>
  <c r="BC32" i="3"/>
  <c r="BR39" i="3"/>
  <c r="BM14" i="3"/>
  <c r="BC8" i="3"/>
  <c r="AA20" i="2"/>
  <c r="EZ11" i="4" a="1"/>
  <c r="AA23" i="2"/>
  <c r="AA8" i="2"/>
  <c r="BD34" i="3"/>
  <c r="AA52" i="2"/>
  <c r="FA16" i="4" a="1"/>
  <c r="AA34" i="2"/>
  <c r="EX11" i="4" a="1"/>
  <c r="BD8" i="3"/>
  <c r="AA67" i="2"/>
  <c r="FD13" i="4" a="1"/>
  <c r="BD28" i="3"/>
  <c r="BC24" i="3"/>
  <c r="BC36" i="3"/>
  <c r="EZ8" i="4" a="1"/>
  <c r="BK78" i="3"/>
  <c r="BG89" i="3"/>
  <c r="BP86" i="3"/>
  <c r="BH48" i="3"/>
  <c r="BU92" i="3"/>
  <c r="BF48" i="3"/>
  <c r="BJ59" i="3"/>
  <c r="BG92" i="3"/>
  <c r="BD70" i="3"/>
  <c r="BH88" i="3"/>
  <c r="BQ72" i="3"/>
  <c r="BN16" i="3"/>
  <c r="AA62" i="2"/>
  <c r="Z11" i="2"/>
  <c r="BK21" i="3"/>
  <c r="BN31" i="3"/>
  <c r="BG23" i="3"/>
  <c r="BA15" i="3"/>
  <c r="BP22" i="3"/>
  <c r="BK45" i="3"/>
  <c r="BS14" i="3"/>
  <c r="BF6" i="3"/>
  <c r="CL57" i="1" s="1"/>
  <c r="CL39" i="1" s="1"/>
  <c r="CL49" i="1" s="1"/>
  <c r="BD13" i="3"/>
  <c r="BO11" i="3"/>
  <c r="BH15" i="3"/>
  <c r="BD36" i="3"/>
  <c r="AA85" i="2"/>
  <c r="FE8" i="4" a="1"/>
  <c r="Y59" i="2"/>
  <c r="Z29" i="2"/>
  <c r="EZ12" i="4" a="1"/>
  <c r="BB13" i="3"/>
  <c r="EX15" i="4" a="1"/>
  <c r="BD41" i="3"/>
  <c r="FA15" i="4" a="1"/>
  <c r="Z18" i="2"/>
  <c r="Z56" i="2"/>
  <c r="FC6" i="4" a="1"/>
  <c r="BA33" i="3"/>
  <c r="W6" i="2"/>
  <c r="Z16" i="2"/>
  <c r="FF11" i="4" a="1"/>
  <c r="BP83" i="3"/>
  <c r="BG80" i="3"/>
  <c r="BD88" i="3"/>
  <c r="BE83" i="3"/>
  <c r="BU88" i="3"/>
  <c r="BO48" i="3"/>
  <c r="BA73" i="3"/>
  <c r="BM48" i="3"/>
  <c r="BD55" i="3"/>
  <c r="BH56" i="3"/>
  <c r="BQ64" i="3"/>
  <c r="BS47" i="3"/>
  <c r="BE47" i="3"/>
  <c r="BK80" i="3"/>
  <c r="BA85" i="3"/>
  <c r="BM94" i="3"/>
  <c r="BU79" i="3"/>
  <c r="BL77" i="3"/>
  <c r="BQ63" i="3"/>
  <c r="BS75" i="3"/>
  <c r="BS70" i="3"/>
  <c r="BH76" i="3"/>
  <c r="BH69" i="3"/>
  <c r="BQ74" i="3"/>
  <c r="BS69" i="3"/>
  <c r="BL54" i="3"/>
  <c r="BQ59" i="3"/>
  <c r="BB95" i="3"/>
  <c r="BI89" i="3"/>
  <c r="BL68" i="3"/>
  <c r="BQ96" i="3"/>
  <c r="BS64" i="3"/>
  <c r="BS58" i="3"/>
  <c r="BJ50" i="3"/>
  <c r="HH9" i="4" a="1"/>
  <c r="BB69" i="3"/>
  <c r="BB86" i="3"/>
  <c r="BE72" i="3"/>
  <c r="BR63" i="3"/>
  <c r="BU89" i="3"/>
  <c r="BT95" i="3"/>
  <c r="BE81" i="3"/>
  <c r="BK63" i="3"/>
  <c r="BF90" i="3"/>
  <c r="CL175" i="1" s="1"/>
  <c r="BL92" i="3"/>
  <c r="BU72" i="3"/>
  <c r="BU73" i="3"/>
  <c r="BT78" i="3"/>
  <c r="BL50" i="3"/>
  <c r="BK86" i="3"/>
  <c r="GR5" i="4" a="1"/>
  <c r="GF6" i="4" a="1"/>
  <c r="FZ5" i="4" a="1"/>
  <c r="FO11" i="4" a="1"/>
  <c r="FN8" i="4" a="1"/>
  <c r="GL14" i="4" a="1"/>
  <c r="BU54" i="3"/>
  <c r="BJ85" i="3"/>
  <c r="GJ9" i="4" a="1"/>
  <c r="FR6" i="4" a="1"/>
  <c r="GW6" i="4" a="1"/>
  <c r="HD12" i="4" a="1"/>
  <c r="BT84" i="3"/>
  <c r="BK47" i="3"/>
  <c r="GI13" i="4" a="1"/>
  <c r="GM11" i="4" a="1"/>
  <c r="FL12" i="4" a="1"/>
  <c r="FQ14" i="4" a="1"/>
  <c r="HG9" i="4" a="1"/>
  <c r="HE16" i="4" a="1"/>
  <c r="BG77" i="3"/>
  <c r="BJ61" i="3"/>
  <c r="HC8" i="4" a="1"/>
  <c r="HD7" i="4" a="1"/>
  <c r="FJ8" i="4" a="1"/>
  <c r="GF12" i="4" a="1"/>
  <c r="GR16" i="4" a="1"/>
  <c r="FK16" i="4" a="1"/>
  <c r="BR61" i="3"/>
  <c r="BM69" i="3"/>
  <c r="FT7" i="4" a="1"/>
  <c r="FS13" i="4" a="1"/>
  <c r="FV13" i="4" a="1"/>
  <c r="GZ13" i="4" a="1"/>
  <c r="GZ15" i="4" a="1"/>
  <c r="GM14" i="4" a="1"/>
  <c r="BD18" i="3"/>
  <c r="BB14" i="3"/>
  <c r="Z80" i="2"/>
  <c r="BJ42" i="3"/>
  <c r="BE34" i="3"/>
  <c r="BL15" i="3"/>
  <c r="BA41" i="3"/>
  <c r="BJ21" i="3"/>
  <c r="Z55" i="2"/>
  <c r="BS26" i="3"/>
  <c r="BL45" i="3"/>
  <c r="BU8" i="3"/>
  <c r="BO23" i="3"/>
  <c r="BH33" i="3"/>
  <c r="AA10" i="2"/>
  <c r="AA13" i="2"/>
  <c r="FB6" i="4" a="1"/>
  <c r="BD17" i="3"/>
  <c r="Z73" i="2"/>
  <c r="FA12" i="4" a="1"/>
  <c r="BB12" i="3"/>
  <c r="EZ13" i="4" a="1"/>
  <c r="BC9" i="3"/>
  <c r="FB7" i="4" a="1"/>
  <c r="Z46" i="2"/>
  <c r="BA46" i="3"/>
  <c r="BC27" i="3"/>
  <c r="Y93" i="2"/>
  <c r="Z96" i="2"/>
  <c r="BC33" i="3"/>
  <c r="FD6" i="4" a="1"/>
  <c r="BJ56" i="3"/>
  <c r="BM70" i="3"/>
  <c r="BD89" i="3"/>
  <c r="BE60" i="3"/>
  <c r="BT50" i="3"/>
  <c r="BR75" i="3"/>
  <c r="BO86" i="3"/>
  <c r="BA70" i="3"/>
  <c r="BM90" i="3"/>
  <c r="BU68" i="3"/>
  <c r="BL64" i="3"/>
  <c r="BQ75" i="3"/>
  <c r="BS82" i="3"/>
  <c r="BE67" i="3"/>
  <c r="BK57" i="3"/>
  <c r="BQ77" i="3"/>
  <c r="BK72" i="3"/>
  <c r="BI73" i="3"/>
  <c r="BL93" i="3"/>
  <c r="BQ66" i="3"/>
  <c r="BS77" i="3"/>
  <c r="BP50" i="3"/>
  <c r="BU63" i="3"/>
  <c r="BM88" i="3"/>
  <c r="BH92" i="3"/>
  <c r="BQ71" i="3"/>
  <c r="BF97" i="3"/>
  <c r="BE54" i="3"/>
  <c r="BP64" i="3"/>
  <c r="BB56" i="3"/>
  <c r="BI86" i="3"/>
  <c r="BL61" i="3"/>
  <c r="BR62" i="3"/>
  <c r="BU49" i="3"/>
  <c r="AA58" i="2"/>
  <c r="BQ30" i="3"/>
  <c r="BU34" i="3"/>
  <c r="BP28" i="3"/>
  <c r="BV29" i="3"/>
  <c r="BT9" i="3"/>
  <c r="BU19" i="3"/>
  <c r="BI46" i="3"/>
  <c r="Y24" i="2"/>
  <c r="BT33" i="3"/>
  <c r="BT19" i="3"/>
  <c r="BU24" i="3"/>
  <c r="BS45" i="3"/>
  <c r="BL41" i="3"/>
  <c r="AA26" i="2"/>
  <c r="X6" i="2"/>
  <c r="FB14" i="4" a="1"/>
  <c r="AA83" i="2"/>
  <c r="Y55" i="2"/>
  <c r="FF9" i="4" a="1"/>
  <c r="Z87" i="2"/>
  <c r="FD9" i="4" a="1"/>
  <c r="Y86" i="2"/>
  <c r="EY5" i="4" a="1"/>
  <c r="AA64" i="2"/>
  <c r="Y18" i="2"/>
  <c r="Z40" i="2"/>
  <c r="Z58" i="2"/>
  <c r="Z91" i="2"/>
  <c r="BB35" i="3"/>
  <c r="EZ16" i="4" a="1"/>
  <c r="Y45" i="2"/>
  <c r="BH16" i="3"/>
  <c r="BV5" i="3"/>
  <c r="BN13" i="3"/>
  <c r="BV41" i="3"/>
  <c r="BI33" i="3"/>
  <c r="BU31" i="3"/>
  <c r="BP35" i="3"/>
  <c r="AY29" i="3"/>
  <c r="BG34" i="3"/>
  <c r="BM25" i="3"/>
  <c r="BU32" i="3"/>
  <c r="BP36" i="3"/>
  <c r="BP8" i="3"/>
  <c r="Y25" i="2"/>
  <c r="BB7" i="3"/>
  <c r="FE13" i="4" a="1"/>
  <c r="Z60" i="2"/>
  <c r="AA60" i="2"/>
  <c r="EZ7" i="4" a="1"/>
  <c r="Z24" i="2"/>
  <c r="FA5" i="4" a="1"/>
  <c r="BC6" i="3"/>
  <c r="EX7" i="4" a="1"/>
  <c r="Z98" i="2"/>
  <c r="AA107" i="2"/>
  <c r="AA91" i="2"/>
  <c r="BB6" i="3"/>
  <c r="BC13" i="3"/>
  <c r="BC5" i="3"/>
  <c r="FF6" i="4" a="1"/>
  <c r="BA91" i="3"/>
  <c r="BM62" i="3"/>
  <c r="BI72" i="3"/>
  <c r="BI62" i="3"/>
  <c r="BO57" i="3"/>
  <c r="BR83" i="3"/>
  <c r="BS89" i="3"/>
  <c r="BP56" i="3"/>
  <c r="BB55" i="3"/>
  <c r="BI80" i="3"/>
  <c r="BL87" i="3"/>
  <c r="BR93" i="3"/>
  <c r="BU62" i="3"/>
  <c r="BT64" i="3"/>
  <c r="BI50" i="3"/>
  <c r="BK93" i="3"/>
  <c r="BL72" i="3"/>
  <c r="BB59" i="3"/>
  <c r="BI78" i="3"/>
  <c r="BL89" i="3"/>
  <c r="BU76" i="3"/>
  <c r="BF91" i="3"/>
  <c r="CL202" i="1" s="1"/>
  <c r="BV97" i="3"/>
  <c r="BL81" i="3"/>
  <c r="BP70" i="3"/>
  <c r="BP62" i="3"/>
  <c r="BL96" i="3"/>
  <c r="BU87" i="3"/>
  <c r="BU77" i="3"/>
  <c r="BT57" i="3"/>
  <c r="BI79" i="3"/>
  <c r="BC72" i="3"/>
  <c r="BB67" i="3"/>
  <c r="BB54" i="3"/>
  <c r="BE87" i="3"/>
  <c r="BV56" i="3"/>
  <c r="BU85" i="3"/>
  <c r="BT47" i="3"/>
  <c r="BE89" i="3"/>
  <c r="BK59" i="3"/>
  <c r="BF87" i="3"/>
  <c r="CL200" i="1" s="1"/>
  <c r="BP66" i="3"/>
  <c r="BG57" i="3"/>
  <c r="BD86" i="3"/>
  <c r="BI47" i="3"/>
  <c r="BT80" i="3"/>
  <c r="BR72" i="3"/>
  <c r="BF73" i="3"/>
  <c r="BF68" i="3"/>
  <c r="CL183" i="1" s="1"/>
  <c r="BJ90" i="3"/>
  <c r="BP72" i="3"/>
  <c r="BP59" i="3"/>
  <c r="BE61" i="3"/>
  <c r="BV8" i="3"/>
  <c r="BF27" i="3"/>
  <c r="AA21" i="2"/>
  <c r="BB70" i="3"/>
  <c r="BU64" i="3"/>
  <c r="BP60" i="3"/>
  <c r="BD54" i="3"/>
  <c r="BR91" i="3"/>
  <c r="BO54" i="3"/>
  <c r="BG64" i="3"/>
  <c r="BF66" i="3"/>
  <c r="CL199" i="1" s="1"/>
  <c r="BA58" i="3"/>
  <c r="BQ97" i="3"/>
  <c r="BV93" i="3"/>
  <c r="BM47" i="3"/>
  <c r="BP87" i="3"/>
  <c r="BB49" i="3"/>
  <c r="BL57" i="3"/>
  <c r="BO68" i="3"/>
  <c r="BN85" i="3"/>
  <c r="BK62" i="3"/>
  <c r="BM84" i="3"/>
  <c r="BE93" i="3"/>
  <c r="BS91" i="3"/>
  <c r="BN91" i="3"/>
  <c r="BK77" i="3"/>
  <c r="BT71" i="3"/>
  <c r="GO12" i="4" a="1"/>
  <c r="GV8" i="4" a="1"/>
  <c r="FI14" i="4" a="1"/>
  <c r="HH11" i="4" a="1"/>
  <c r="BG81" i="3"/>
  <c r="GC5" i="4" a="1"/>
  <c r="GT5" i="4" a="1"/>
  <c r="GP11" i="4" a="1"/>
  <c r="BL97" i="3"/>
  <c r="BK73" i="3"/>
  <c r="FW7" i="4" a="1"/>
  <c r="GR9" i="4" a="1"/>
  <c r="FG13" i="4" a="1"/>
  <c r="HB14" i="4" a="1"/>
  <c r="BC76" i="3"/>
  <c r="BF56" i="3"/>
  <c r="CL166" i="1" s="1"/>
  <c r="GJ6" i="4" a="1"/>
  <c r="GK6" i="4" a="1"/>
  <c r="FP9" i="4" a="1"/>
  <c r="FV15" i="4" a="1"/>
  <c r="BC92" i="3"/>
  <c r="BU57" i="3"/>
  <c r="GJ12" i="4" a="1"/>
  <c r="FO7" i="4" a="1"/>
  <c r="GM9" i="4" a="1"/>
  <c r="FY14" i="4" a="1"/>
  <c r="FI15" i="4" a="1"/>
  <c r="BE90" i="3"/>
  <c r="BJ82" i="3"/>
  <c r="HB5" i="4" a="1"/>
  <c r="FY5" i="4" a="1"/>
  <c r="FW5" i="4" a="1"/>
  <c r="GF9" i="4" a="1"/>
  <c r="FP16" i="4" a="1"/>
  <c r="BG78" i="3"/>
  <c r="BM89" i="3"/>
  <c r="HA9" i="4" a="1"/>
  <c r="GS14" i="4" a="1"/>
  <c r="GN14" i="4" a="1"/>
  <c r="GI7" i="4" a="1"/>
  <c r="HF15" i="4" a="1"/>
  <c r="FN15" i="4" a="1"/>
  <c r="BD96" i="3"/>
  <c r="GD14" i="4" a="1"/>
  <c r="GA13" i="4" a="1"/>
  <c r="GG9" i="4" a="1"/>
  <c r="GN11" i="4" a="1"/>
  <c r="BD68" i="3"/>
  <c r="HC13" i="4" a="1"/>
  <c r="BA64" i="3"/>
  <c r="GA12" i="4" a="1"/>
  <c r="FJ7" i="4" a="1"/>
  <c r="GM16" i="4" a="1"/>
  <c r="GI11" i="4" a="1"/>
  <c r="Y113" i="2"/>
  <c r="GT8" i="4" a="1"/>
  <c r="BJ97" i="3"/>
  <c r="FH12" i="4" a="1"/>
  <c r="BB97" i="3"/>
  <c r="HD6" i="4" a="1"/>
  <c r="FR5" i="4" a="1"/>
  <c r="GL11" i="4" a="1"/>
  <c r="FT16" i="4" a="1"/>
  <c r="GO15" i="4" a="1"/>
  <c r="BD81" i="3"/>
  <c r="GL5" i="4" a="1"/>
  <c r="FL15" i="4" a="1"/>
  <c r="GS15" i="4" a="1"/>
  <c r="BC54" i="3"/>
  <c r="GM5" i="4" a="1"/>
  <c r="FP5" i="4" a="1"/>
  <c r="FU6" i="4" a="1"/>
  <c r="GD8" i="4" a="1"/>
  <c r="BD66" i="3"/>
  <c r="FU5" i="4" a="1"/>
  <c r="FJ13" i="4" a="1"/>
  <c r="BC97" i="3"/>
  <c r="GQ6" i="4" a="1"/>
  <c r="FW9" i="4" a="1"/>
  <c r="HC9" i="4" a="1"/>
  <c r="BH82" i="3"/>
  <c r="GN12" i="4" a="1"/>
  <c r="HA7" i="4" a="1"/>
  <c r="HE5" i="4" a="1"/>
  <c r="FP12" i="4" a="1"/>
  <c r="GJ16" i="4" a="1"/>
  <c r="HC14" i="4" a="1"/>
  <c r="GS8" i="4" a="1"/>
  <c r="BC74" i="3"/>
  <c r="BV36" i="3"/>
  <c r="BL8" i="3"/>
  <c r="BB34" i="3"/>
  <c r="BE48" i="3"/>
  <c r="BI69" i="3"/>
  <c r="BV84" i="3"/>
  <c r="BA87" i="3"/>
  <c r="BI88" i="3"/>
  <c r="BV60" i="3"/>
  <c r="BO83" i="3"/>
  <c r="BG73" i="3"/>
  <c r="BQ89" i="3"/>
  <c r="BV76" i="3"/>
  <c r="BA84" i="3"/>
  <c r="BP58" i="3"/>
  <c r="BQ80" i="3"/>
  <c r="BV58" i="3"/>
  <c r="BF72" i="3"/>
  <c r="CL184" i="1" s="1"/>
  <c r="BA67" i="3"/>
  <c r="BB48" i="3"/>
  <c r="BL75" i="3"/>
  <c r="BS85" i="3"/>
  <c r="BP75" i="3"/>
  <c r="BK95" i="3"/>
  <c r="BB50" i="3"/>
  <c r="BI68" i="3"/>
  <c r="BU59" i="3"/>
  <c r="BP79" i="3"/>
  <c r="BK48" i="3"/>
  <c r="BE69" i="3"/>
  <c r="GX8" i="4" a="1"/>
  <c r="GN9" i="4" a="1"/>
  <c r="GO14" i="4" a="1"/>
  <c r="FG14" i="4" a="1"/>
  <c r="BB88" i="3"/>
  <c r="GL6" i="4" a="1"/>
  <c r="FH7" i="4" a="1"/>
  <c r="GV5" i="4" a="1"/>
  <c r="BE56" i="3"/>
  <c r="BK60" i="3"/>
  <c r="FQ8" i="4" a="1"/>
  <c r="FY12" i="4" a="1"/>
  <c r="GM13" i="4" a="1"/>
  <c r="FM11" i="4" a="1"/>
  <c r="BD60" i="3"/>
  <c r="BJ96" i="3"/>
  <c r="HG13" i="4" a="1"/>
  <c r="GF7" i="4" a="1"/>
  <c r="HB11" i="4" a="1"/>
  <c r="FU11" i="4" a="1"/>
  <c r="BC88" i="3"/>
  <c r="Y111" i="2"/>
  <c r="GH5" i="4" a="1"/>
  <c r="FU8" i="4" a="1"/>
  <c r="FT11" i="4" a="1"/>
  <c r="HE14" i="4" a="1"/>
  <c r="GU9" i="4" a="1"/>
  <c r="BB61" i="3"/>
  <c r="HG6" i="4" a="1"/>
  <c r="GP7" i="4" a="1"/>
  <c r="GM7" i="4" a="1"/>
  <c r="GF16" i="4" a="1"/>
  <c r="FT5" i="4" a="1"/>
  <c r="GD15" i="4" a="1"/>
  <c r="FW13" i="4" a="1"/>
  <c r="BO96" i="3"/>
  <c r="GG6" i="4" a="1"/>
  <c r="GG11" i="4" a="1"/>
  <c r="HF8" i="4" a="1"/>
  <c r="BK82" i="3"/>
  <c r="GS13" i="4" a="1"/>
  <c r="FN13" i="4" a="1"/>
  <c r="FP13" i="4" a="1"/>
  <c r="GG8" i="4" a="1"/>
  <c r="GV16" i="4" a="1"/>
  <c r="BJ48" i="3"/>
  <c r="BA55" i="3"/>
  <c r="GH16" i="4" a="1"/>
  <c r="BH30" i="3"/>
  <c r="BD30" i="3"/>
  <c r="BC28" i="3"/>
  <c r="BI48" i="3"/>
  <c r="BA50" i="3"/>
  <c r="BB57" i="3"/>
  <c r="BO82" i="3"/>
  <c r="BP61" i="3"/>
  <c r="BP96" i="3"/>
  <c r="BQ87" i="3"/>
  <c r="BT67" i="3"/>
  <c r="BH72" i="3"/>
  <c r="BB81" i="3"/>
  <c r="BR58" i="3"/>
  <c r="BV87" i="3"/>
  <c r="BA62" i="3"/>
  <c r="BB72" i="3"/>
  <c r="Y112" i="2"/>
  <c r="BH55" i="3"/>
  <c r="BF89" i="3"/>
  <c r="CL201" i="1" s="1"/>
  <c r="BO47" i="3"/>
  <c r="BK54" i="3"/>
  <c r="BJ68" i="3"/>
  <c r="FX7" i="4" a="1"/>
  <c r="GD5" i="4" a="1"/>
  <c r="FK12" i="4" a="1"/>
  <c r="GQ15" i="4" a="1"/>
  <c r="BD61" i="3"/>
  <c r="FR9" i="4" a="1"/>
  <c r="HD8" i="4" a="1"/>
  <c r="FS11" i="4" a="1"/>
  <c r="BP68" i="3"/>
  <c r="GW14" i="4" a="1"/>
  <c r="HD9" i="4" a="1"/>
  <c r="BH89" i="3"/>
  <c r="FY6" i="4" a="1"/>
  <c r="GO8" i="4" a="1"/>
  <c r="BA74" i="3"/>
  <c r="HH5" i="4" a="1"/>
  <c r="HE15" i="4" a="1"/>
  <c r="FZ14" i="4" a="1"/>
  <c r="BK7" i="3"/>
  <c r="BC34" i="3"/>
  <c r="AA69" i="2"/>
  <c r="BL62" i="3"/>
  <c r="BP73" i="3"/>
  <c r="BA97" i="3"/>
  <c r="BR50" i="3"/>
  <c r="BR71" i="3"/>
  <c r="BA77" i="3"/>
  <c r="BT72" i="3"/>
  <c r="BQ49" i="3"/>
  <c r="BU56" i="3"/>
  <c r="BO93" i="3"/>
  <c r="BP80" i="3"/>
  <c r="BF85" i="3"/>
  <c r="CL195" i="1" s="1"/>
  <c r="BU81" i="3"/>
  <c r="BS62" i="3"/>
  <c r="BK79" i="3"/>
  <c r="GB6" i="4" a="1"/>
  <c r="GN5" i="4" a="1"/>
  <c r="FO14" i="4" a="1"/>
  <c r="FU16" i="4" a="1"/>
  <c r="BL65" i="3"/>
  <c r="GF14" i="4" a="1"/>
  <c r="FH9" i="4" a="1"/>
  <c r="HA11" i="4" a="1"/>
  <c r="GY6" i="4" a="1"/>
  <c r="GZ9" i="4" a="1"/>
  <c r="HB7" i="4" a="1"/>
  <c r="FQ9" i="4" a="1"/>
  <c r="GL12" i="4" a="1"/>
  <c r="BK76" i="3"/>
  <c r="GU7" i="4" a="1"/>
  <c r="GD9" i="4" a="1"/>
  <c r="GP13" i="4" a="1"/>
  <c r="HG14" i="4" a="1"/>
  <c r="BD77" i="3"/>
  <c r="BJ49" i="3"/>
  <c r="HC5" i="4" a="1"/>
  <c r="HF9" i="4" a="1"/>
  <c r="GW9" i="4" a="1"/>
  <c r="GU14" i="4" a="1"/>
  <c r="GI15" i="4" a="1"/>
  <c r="BI82" i="3"/>
  <c r="BK83" i="3"/>
  <c r="GR8" i="4" a="1"/>
  <c r="HA5" i="4" a="1"/>
  <c r="FL7" i="4" a="1"/>
  <c r="FR13" i="4" a="1"/>
  <c r="GO11" i="4" a="1"/>
  <c r="BL76" i="3"/>
  <c r="GA7" i="4" a="1"/>
  <c r="GP5" i="4" a="1"/>
  <c r="HF5" i="4" a="1"/>
  <c r="GV12" i="4" a="1"/>
  <c r="GZ16" i="4" a="1"/>
  <c r="FS16" i="4" a="1"/>
  <c r="BJ87" i="3"/>
  <c r="BS13" i="3"/>
  <c r="BD29" i="3"/>
  <c r="BD45" i="3"/>
  <c r="BO77" i="3"/>
  <c r="BF75" i="3"/>
  <c r="BH58" i="3"/>
  <c r="BS72" i="3"/>
  <c r="BA82" i="3"/>
  <c r="BB75" i="3"/>
  <c r="BF67" i="3"/>
  <c r="BP71" i="3"/>
  <c r="BD50" i="3"/>
  <c r="BO66" i="3"/>
  <c r="BJ73" i="3"/>
  <c r="BH96" i="3"/>
  <c r="BP47" i="3"/>
  <c r="BU82" i="3"/>
  <c r="BP55" i="3"/>
  <c r="BA49" i="3"/>
  <c r="BD82" i="3"/>
  <c r="BQ90" i="3"/>
  <c r="BR49" i="3"/>
  <c r="BP65" i="3"/>
  <c r="FS5" i="4" a="1"/>
  <c r="BK49" i="3"/>
  <c r="FJ9" i="4" a="1"/>
  <c r="FS9" i="4" a="1"/>
  <c r="FS15" i="4" a="1"/>
  <c r="HA16" i="4" a="1"/>
  <c r="BF93" i="3"/>
  <c r="GX7" i="4" a="1"/>
  <c r="GV14" i="4" a="1"/>
  <c r="GE12" i="4" a="1"/>
  <c r="BQ84" i="3"/>
  <c r="GQ7" i="4" a="1"/>
  <c r="GB12" i="4" a="1"/>
  <c r="GV9" i="4" a="1"/>
  <c r="GQ12" i="4" a="1"/>
  <c r="FW14" i="4" a="1"/>
  <c r="BM68" i="3"/>
  <c r="BK71" i="3"/>
  <c r="GC8" i="4" a="1"/>
  <c r="GS6" i="4" a="1"/>
  <c r="FT14" i="4" a="1"/>
  <c r="GD12" i="4" a="1"/>
  <c r="BA59" i="3"/>
  <c r="FT8" i="4" a="1"/>
  <c r="GG12" i="4" a="1"/>
  <c r="GE11" i="4" a="1"/>
  <c r="GJ15" i="4" a="1"/>
  <c r="GY15" i="4" a="1"/>
  <c r="BK92" i="3"/>
  <c r="FX9" i="4" a="1"/>
  <c r="FP11" i="4" a="1"/>
  <c r="GD11" i="4" a="1"/>
  <c r="GX13" i="4" a="1"/>
  <c r="GJ7" i="4" a="1"/>
  <c r="BI67" i="3"/>
  <c r="BK58" i="3"/>
  <c r="GP9" i="4" a="1"/>
  <c r="GW7" i="4" a="1"/>
  <c r="GJ8" i="4" a="1"/>
  <c r="FZ13" i="4" a="1"/>
  <c r="FH13" i="4" a="1"/>
  <c r="GI16" i="4" a="1"/>
  <c r="FW6" i="4" a="1"/>
  <c r="HC16" i="4" a="1"/>
  <c r="FG11" i="4" a="1"/>
  <c r="BD69" i="3"/>
  <c r="GQ9" i="4" a="1"/>
  <c r="BF88" i="3"/>
  <c r="CL176" i="1" s="1"/>
  <c r="FY11" i="4" a="1"/>
  <c r="FP8" i="4" a="1"/>
  <c r="HA8" i="4" a="1"/>
  <c r="BD67" i="3"/>
  <c r="FT15" i="4" a="1"/>
  <c r="BD63" i="3"/>
  <c r="GQ14" i="4" a="1"/>
  <c r="BH26" i="3"/>
  <c r="BD20" i="3"/>
  <c r="Z8" i="2"/>
  <c r="BR77" i="3"/>
  <c r="BH91" i="3"/>
  <c r="BM66" i="3"/>
  <c r="BH74" i="3"/>
  <c r="BU71" i="3"/>
  <c r="BQ65" i="3"/>
  <c r="BA86" i="3"/>
  <c r="BO84" i="3"/>
  <c r="BO78" i="3"/>
  <c r="BH83" i="3"/>
  <c r="BO67" i="3"/>
  <c r="BP90" i="3"/>
  <c r="BK81" i="3"/>
  <c r="BL90" i="3"/>
  <c r="BP49" i="3"/>
  <c r="BI76" i="3"/>
  <c r="BL85" i="3"/>
  <c r="BA95" i="3"/>
  <c r="BU55" i="3"/>
  <c r="BQ83" i="3"/>
  <c r="BR60" i="3"/>
  <c r="BH97" i="3"/>
  <c r="GN6" i="4" a="1"/>
  <c r="FM5" i="4" a="1"/>
  <c r="GH11" i="4" a="1"/>
  <c r="FG15" i="4" a="1"/>
  <c r="GR15" i="4" a="1"/>
  <c r="GZ11" i="4" a="1"/>
  <c r="BS60" i="3"/>
  <c r="GE8" i="4" a="1"/>
  <c r="GJ5" i="4" a="1"/>
  <c r="GO13" i="4" a="1"/>
  <c r="BS92" i="3"/>
  <c r="GH9" i="4" a="1"/>
  <c r="FP6" i="4" a="1"/>
  <c r="BU45" i="3"/>
  <c r="Y74" i="2"/>
  <c r="FF8" i="4" a="1"/>
  <c r="BU75" i="3"/>
  <c r="BL70" i="3"/>
  <c r="BU94" i="3"/>
  <c r="BH63" i="3"/>
  <c r="BQ50" i="3"/>
  <c r="BS94" i="3"/>
  <c r="BM71" i="3"/>
  <c r="BH90" i="3"/>
  <c r="BS65" i="3"/>
  <c r="AA113" i="2"/>
  <c r="BK87" i="3"/>
  <c r="BR56" i="3"/>
  <c r="BF82" i="3"/>
  <c r="CL193" i="1" s="1"/>
  <c r="BR86" i="3"/>
  <c r="BQ61" i="3"/>
  <c r="BR65" i="3"/>
  <c r="BR79" i="3"/>
  <c r="BH87" i="3"/>
  <c r="FG6" i="4" a="1"/>
  <c r="GF5" i="4" a="1"/>
  <c r="GV11" i="4" a="1"/>
  <c r="FV16" i="4" a="1"/>
  <c r="BT77" i="3"/>
  <c r="FL11" i="4" a="1"/>
  <c r="GT6" i="4" a="1"/>
  <c r="GT11" i="4" a="1"/>
  <c r="BR82" i="3"/>
  <c r="GX11" i="4" a="1"/>
  <c r="FK7" i="4" a="1"/>
  <c r="FW11" i="4" a="1"/>
  <c r="GF15" i="4" a="1"/>
  <c r="FY16" i="4" a="1"/>
  <c r="BH57" i="3"/>
  <c r="GS7" i="4" a="1"/>
  <c r="GO9" i="4" a="1"/>
  <c r="FH11" i="4" a="1"/>
  <c r="GL9" i="4" a="1"/>
  <c r="GG15" i="4" a="1"/>
  <c r="BH77" i="3"/>
  <c r="BK55" i="3"/>
  <c r="GC14" i="4" a="1"/>
  <c r="FG7" i="4" a="1"/>
  <c r="FT13" i="4" a="1"/>
  <c r="GD16" i="4" a="1"/>
  <c r="GC16" i="4" a="1"/>
  <c r="BU80" i="3"/>
  <c r="FX6" i="4" a="1"/>
  <c r="FX5" i="4" a="1"/>
  <c r="FQ5" i="4" a="1"/>
  <c r="HE9" i="4" a="1"/>
  <c r="HH14" i="4" a="1"/>
  <c r="FK14" i="4" a="1"/>
  <c r="BO95" i="3"/>
  <c r="GE15" i="4" a="1"/>
  <c r="GO7" i="4" a="1"/>
  <c r="HB13" i="4" a="1"/>
  <c r="GK14" i="4" a="1"/>
  <c r="GJ14" i="4" a="1"/>
  <c r="GI12" i="4" a="1"/>
  <c r="GC11" i="4" a="1"/>
  <c r="FI8" i="4" a="1"/>
  <c r="BC69" i="3"/>
  <c r="HA13" i="4" a="1"/>
  <c r="GK15" i="4" a="1"/>
  <c r="GE16" i="4" a="1"/>
  <c r="FL8" i="4" a="1"/>
  <c r="BD58" i="3"/>
  <c r="FO6" i="4" a="1"/>
  <c r="FG16" i="4" a="1"/>
  <c r="HC15" i="4" a="1"/>
  <c r="BG12" i="3"/>
  <c r="EZ5" i="4" a="1"/>
  <c r="BA69" i="3"/>
  <c r="BS66" i="3"/>
  <c r="BV71" i="3"/>
  <c r="BM83" i="3"/>
  <c r="BR96" i="3"/>
  <c r="BL88" i="3"/>
  <c r="BH95" i="3"/>
  <c r="BS97" i="3"/>
  <c r="BG62" i="3"/>
  <c r="BM76" i="3"/>
  <c r="BL58" i="3"/>
  <c r="BS96" i="3"/>
  <c r="BO91" i="3"/>
  <c r="BK96" i="3"/>
  <c r="BB91" i="3"/>
  <c r="BQ94" i="3"/>
  <c r="BR84" i="3"/>
  <c r="BH86" i="3"/>
  <c r="BA79" i="3"/>
  <c r="BR57" i="3"/>
  <c r="BV78" i="3"/>
  <c r="BB74" i="3"/>
  <c r="GZ8" i="4" a="1"/>
  <c r="FL6" i="4" a="1"/>
  <c r="FZ12" i="4" a="1"/>
  <c r="HB16" i="4" a="1"/>
  <c r="FK13" i="4" a="1"/>
  <c r="FT6" i="4" a="1"/>
  <c r="FX12" i="4" a="1"/>
  <c r="BT55" i="3"/>
  <c r="HA14" i="4" a="1"/>
  <c r="FZ9" i="4" a="1"/>
  <c r="HD11" i="4" a="1"/>
  <c r="GV15" i="4" a="1"/>
  <c r="GO16" i="4" a="1"/>
  <c r="FG9" i="4" a="1"/>
  <c r="GV6" i="4" a="1"/>
  <c r="GR12" i="4" a="1"/>
  <c r="HB12" i="4" a="1"/>
  <c r="GW15" i="4" a="1"/>
  <c r="BK90" i="3"/>
  <c r="GG5" i="4" a="1"/>
  <c r="FO9" i="4" a="1"/>
  <c r="GA9" i="4" a="1"/>
  <c r="GT16" i="4" a="1"/>
  <c r="GS16" i="4" a="1"/>
  <c r="GK8" i="4" a="1"/>
  <c r="BQ12" i="3"/>
  <c r="AA25" i="2"/>
  <c r="BA60" i="3"/>
  <c r="BE49" i="3"/>
  <c r="BB65" i="3"/>
  <c r="BE88" i="3"/>
  <c r="BR68" i="3"/>
  <c r="BM82" i="3"/>
  <c r="BL83" i="3"/>
  <c r="BE73" i="3"/>
  <c r="BB66" i="3"/>
  <c r="BU69" i="3"/>
  <c r="BS76" i="3"/>
  <c r="GQ5" i="4" a="1"/>
  <c r="BG55" i="3"/>
  <c r="BA78" i="3"/>
  <c r="BQ95" i="3"/>
  <c r="BM54" i="3"/>
  <c r="BH60" i="3"/>
  <c r="BL82" i="3"/>
  <c r="HE8" i="4" a="1"/>
  <c r="GU6" i="4" a="1"/>
  <c r="BH40" i="3"/>
  <c r="Z107" i="2"/>
  <c r="BM49" i="3"/>
  <c r="BA75" i="3"/>
  <c r="BK88" i="3"/>
  <c r="BB47" i="3"/>
  <c r="BF54" i="3"/>
  <c r="BV89" i="3"/>
  <c r="BP89" i="3"/>
  <c r="BL48" i="3"/>
  <c r="BM75" i="3"/>
  <c r="BG72" i="3"/>
  <c r="BU97" i="3"/>
  <c r="BG47" i="3"/>
  <c r="GU8" i="4" a="1"/>
  <c r="BE62" i="3"/>
  <c r="BA57" i="3"/>
  <c r="BR70" i="3"/>
  <c r="BV61" i="3"/>
  <c r="BF70" i="3"/>
  <c r="CL182" i="1" s="1"/>
  <c r="BM91" i="3"/>
  <c r="BH84" i="3"/>
  <c r="BT91" i="3"/>
  <c r="BT88" i="3"/>
  <c r="BF58" i="3"/>
  <c r="CL168" i="1" s="1"/>
  <c r="BF61" i="3"/>
  <c r="FH14" i="4" a="1"/>
  <c r="FX14" i="4" a="1"/>
  <c r="GJ13" i="4" a="1"/>
  <c r="GT12" i="4" a="1"/>
  <c r="BD84" i="3"/>
  <c r="BJ92" i="3"/>
  <c r="HA6" i="4" a="1"/>
  <c r="GY5" i="4" a="1"/>
  <c r="FL14" i="4" a="1"/>
  <c r="BG48" i="3"/>
  <c r="GX6" i="4" a="1"/>
  <c r="FM6" i="4" a="1"/>
  <c r="FL13" i="4" a="1"/>
  <c r="HF16" i="4" a="1"/>
  <c r="BC95" i="3"/>
  <c r="BS57" i="3"/>
  <c r="FV5" i="4" a="1"/>
  <c r="GT9" i="4" a="1"/>
  <c r="GA11" i="4" a="1"/>
  <c r="FL16" i="4" a="1"/>
  <c r="GQ16" i="4" a="1"/>
  <c r="BE71" i="3"/>
  <c r="HG5" i="4" a="1"/>
  <c r="BL18" i="3"/>
  <c r="AA43" i="2"/>
  <c r="BB79" i="3"/>
  <c r="BH78" i="3"/>
  <c r="BF95" i="3"/>
  <c r="CL212" i="1" s="1"/>
  <c r="BK65" i="3"/>
  <c r="BG58" i="3"/>
  <c r="BQ68" i="3"/>
  <c r="BT59" i="3"/>
  <c r="BM80" i="3"/>
  <c r="BE68" i="3"/>
  <c r="BR64" i="3"/>
  <c r="BP77" i="3"/>
  <c r="BE55" i="3"/>
  <c r="BI85" i="3"/>
  <c r="BR74" i="3"/>
  <c r="BL95" i="3"/>
  <c r="GH6" i="4" a="1"/>
  <c r="BM86" i="3"/>
  <c r="BQ55" i="3"/>
  <c r="BV77" i="3"/>
  <c r="BV66" i="3"/>
  <c r="BJ57" i="3"/>
  <c r="BM73" i="3"/>
  <c r="BL47" i="3"/>
  <c r="BO50" i="3"/>
  <c r="BT87" i="3"/>
  <c r="BJ66" i="3"/>
  <c r="BS73" i="3"/>
  <c r="GE7" i="4" a="1"/>
  <c r="FV6" i="4" a="1"/>
  <c r="GQ11" i="4" a="1"/>
  <c r="GA15" i="4" a="1"/>
  <c r="BD71" i="3"/>
  <c r="BK66" i="3"/>
  <c r="FV7" i="4" a="1"/>
  <c r="FP7" i="4" a="1"/>
  <c r="GR14" i="4" a="1"/>
  <c r="BI75" i="3"/>
  <c r="GB11" i="4" a="1"/>
  <c r="FM7" i="4" a="1"/>
  <c r="GR13" i="4" a="1"/>
  <c r="GY14" i="4" a="1"/>
  <c r="BC78" i="3"/>
  <c r="BR73" i="3"/>
  <c r="FS6" i="4" a="1"/>
  <c r="FI12" i="4" a="1"/>
  <c r="FG12" i="4" a="1"/>
  <c r="GB16" i="4" a="1"/>
  <c r="HG16" i="4" a="1"/>
  <c r="BQ82" i="3"/>
  <c r="FY8" i="4" a="1"/>
  <c r="FV11" i="4" a="1"/>
  <c r="FR7" i="4" a="1"/>
  <c r="FO13" i="4" a="1"/>
  <c r="GJ11" i="4" a="1"/>
  <c r="BM65" i="3"/>
  <c r="BL73" i="3"/>
  <c r="HE12" i="4" a="1"/>
  <c r="GS5" i="4" a="1"/>
  <c r="GF11" i="4" a="1"/>
  <c r="FY13" i="4" a="1"/>
  <c r="GL15" i="4" a="1"/>
  <c r="GK13" i="4" a="1"/>
  <c r="BS81" i="3"/>
  <c r="FZ6" i="4" a="1"/>
  <c r="GN8" i="4" a="1"/>
  <c r="FX8" i="4" a="1"/>
  <c r="HC12" i="4" a="1"/>
  <c r="FP15" i="4" a="1"/>
  <c r="GW11" i="4" a="1"/>
  <c r="BC93" i="3"/>
  <c r="FV12" i="4" a="1"/>
  <c r="BU90" i="3"/>
  <c r="FU15" i="4" a="1"/>
  <c r="HC6" i="4" a="1"/>
  <c r="FJ5" i="4" a="1"/>
  <c r="BD64" i="3"/>
  <c r="GN16" i="4" a="1"/>
  <c r="BL49" i="3"/>
  <c r="GV13" i="4" a="1"/>
  <c r="GI8" i="4" a="1"/>
  <c r="BD72" i="3"/>
  <c r="FN7" i="4" a="1"/>
  <c r="BU46" i="3"/>
  <c r="EZ6" i="4" a="1"/>
  <c r="BI49" i="3"/>
  <c r="BK74" i="3"/>
  <c r="BU83" i="3"/>
  <c r="GH7" i="4" a="1"/>
  <c r="BD49" i="3"/>
  <c r="BQ78" i="3"/>
  <c r="BT62" i="3"/>
  <c r="BM57" i="3"/>
  <c r="BR90" i="3"/>
  <c r="BA81" i="3"/>
  <c r="BP97" i="3"/>
  <c r="BF80" i="3"/>
  <c r="CL207" i="1" s="1"/>
  <c r="BR94" i="3"/>
  <c r="BE77" i="3"/>
  <c r="BH62" i="3"/>
  <c r="BB84" i="3"/>
  <c r="BH49" i="3"/>
  <c r="BT74" i="3"/>
  <c r="BT56" i="3"/>
  <c r="BK69" i="3"/>
  <c r="BG88" i="3"/>
  <c r="BE63" i="3"/>
  <c r="BS88" i="3"/>
  <c r="BN95" i="3"/>
  <c r="BR48" i="3"/>
  <c r="HF11" i="4" a="1"/>
  <c r="GH12" i="4" a="1"/>
  <c r="FT12" i="4" a="1"/>
  <c r="GA16" i="4" a="1"/>
  <c r="FI9" i="4" a="1"/>
  <c r="FM16" i="4" a="1"/>
  <c r="HD14" i="4" a="1"/>
  <c r="FO12" i="4" a="1"/>
  <c r="BQ85" i="3"/>
  <c r="FH6" i="4" a="1"/>
  <c r="FW12" i="4" a="1"/>
  <c r="GY16" i="4" a="1"/>
  <c r="BD87" i="3"/>
  <c r="BK75" i="3"/>
  <c r="GC6" i="4" a="1"/>
  <c r="GD13" i="4" a="1"/>
  <c r="GK5" i="4" a="1"/>
  <c r="GI5" i="4" a="1"/>
  <c r="BD47" i="3"/>
  <c r="BD80" i="3"/>
  <c r="FY9" i="4" a="1"/>
  <c r="GX5" i="4" a="1"/>
  <c r="GX12" i="4" a="1"/>
  <c r="GE5" i="4" a="1"/>
  <c r="GO6" i="4" a="1"/>
  <c r="FK8" i="4" a="1"/>
  <c r="FJ14" i="4" a="1"/>
  <c r="GM15" i="4" a="1"/>
  <c r="GW16" i="4" a="1"/>
  <c r="GT15" i="4" a="1"/>
  <c r="BO60" i="3"/>
  <c r="HF14" i="4" a="1"/>
  <c r="GP15" i="4" a="1"/>
  <c r="FR16" i="4" a="1"/>
  <c r="GY12" i="4" a="1"/>
  <c r="BC63" i="3"/>
  <c r="FQ16" i="4" a="1"/>
  <c r="FK11" i="4" a="1"/>
  <c r="FO16" i="4" a="1"/>
  <c r="FM9" i="4" a="1"/>
  <c r="GT14" i="4" a="1"/>
  <c r="BM63" i="3"/>
  <c r="BE79" i="3"/>
  <c r="FL9" i="4" a="1"/>
  <c r="HC11" i="4" a="1"/>
  <c r="GY11" i="4" a="1"/>
  <c r="GR7" i="4" a="1"/>
  <c r="FS14" i="4" a="1"/>
  <c r="FN11" i="4" a="1"/>
  <c r="GL8" i="4" a="1"/>
  <c r="FK6" i="4" a="1"/>
  <c r="GU12" i="4" a="1"/>
  <c r="BR54" i="3"/>
  <c r="HB6" i="4" a="1"/>
  <c r="GG13" i="4" a="1"/>
  <c r="BC90" i="3"/>
  <c r="FN5" i="4" a="1"/>
  <c r="GS12" i="4" a="1"/>
  <c r="FV14" i="4" a="1"/>
  <c r="BK89" i="3"/>
  <c r="GZ5" i="4" a="1"/>
  <c r="BC67" i="3"/>
  <c r="HH7" i="4" a="1"/>
  <c r="GK11" i="4" a="1"/>
  <c r="GS11" i="4" a="1"/>
  <c r="BB96" i="3"/>
  <c r="GU5" i="4" a="1"/>
  <c r="GC9" i="4" a="1"/>
  <c r="GE14" i="4" a="1"/>
  <c r="FJ11" i="4" a="1"/>
  <c r="BM67" i="3"/>
  <c r="FK5" i="4" a="1"/>
  <c r="BA93" i="3"/>
  <c r="GY8" i="4" a="1"/>
  <c r="HE6" i="4" a="1"/>
  <c r="BU84" i="3"/>
  <c r="FQ6" i="4" a="1"/>
  <c r="HF13" i="4" a="1"/>
  <c r="BP94" i="3"/>
  <c r="GI6" i="4" a="1"/>
  <c r="FX11" i="4" a="1"/>
  <c r="GG14" i="4" a="1"/>
  <c r="GB13" i="4" a="1"/>
  <c r="HD15" i="4" a="1"/>
  <c r="GU16" i="4" a="1"/>
  <c r="FP14" i="4" a="1"/>
  <c r="FR12" i="4" a="1"/>
  <c r="GC15" i="4" a="1"/>
  <c r="GN15" i="4" a="1"/>
  <c r="FS12" i="4" a="1"/>
  <c r="BC96" i="3"/>
  <c r="FN12" i="4" a="1"/>
  <c r="GX14" i="4" a="1"/>
  <c r="BP74" i="3"/>
  <c r="BJ65" i="3"/>
  <c r="BN67" i="3"/>
  <c r="GF13" i="4" a="1"/>
  <c r="HF12" i="4" a="1"/>
  <c r="GH13" i="4" a="1"/>
  <c r="FZ16" i="4" a="1"/>
  <c r="HG7" i="4" a="1"/>
  <c r="BH85" i="3"/>
  <c r="GA8" i="4" a="1"/>
  <c r="BF83" i="3"/>
  <c r="CL208" i="1" s="1"/>
  <c r="GB7" i="4" a="1"/>
  <c r="GB14" i="4" a="1"/>
  <c r="FH8" i="4" a="1"/>
  <c r="FY7" i="4" a="1"/>
  <c r="BC59" i="3"/>
  <c r="BJ71" i="3"/>
  <c r="HA12" i="4" a="1"/>
  <c r="BF79" i="3"/>
  <c r="CL191" i="1" s="1"/>
  <c r="FX13" i="4" a="1"/>
  <c r="GZ7" i="4" a="1"/>
  <c r="BO71" i="3"/>
  <c r="GP12" i="4" a="1"/>
  <c r="BO94" i="3"/>
  <c r="GY13" i="4" a="1"/>
  <c r="FQ11" i="4" a="1"/>
  <c r="BN74" i="3"/>
  <c r="HD5" i="4" a="1"/>
  <c r="GR11" i="4" a="1"/>
  <c r="BD56" i="3"/>
  <c r="GZ6" i="4" a="1"/>
  <c r="FX16" i="4" a="1"/>
  <c r="FM13" i="4" a="1"/>
  <c r="GX16" i="4" a="1"/>
  <c r="HD16" i="4" a="1"/>
  <c r="GU15" i="4" a="1"/>
  <c r="FT9" i="4" a="1"/>
  <c r="HG11" i="4" a="1"/>
  <c r="HH12" i="4" a="1"/>
  <c r="BE91" i="3"/>
  <c r="FW15" i="4" a="1"/>
  <c r="HF6" i="4" a="1"/>
  <c r="GG16" i="4" a="1"/>
  <c r="GN13" i="4" a="1"/>
  <c r="GK12" i="4" a="1"/>
  <c r="FZ7" i="4" a="1"/>
  <c r="BK91" i="3"/>
  <c r="FW16" i="4" a="1"/>
  <c r="BC68" i="3"/>
  <c r="BB93" i="3"/>
  <c r="FU14" i="4" a="1"/>
  <c r="GQ13" i="4" a="1"/>
  <c r="FH15" i="4" a="1"/>
  <c r="BD59" i="3"/>
  <c r="FR14" i="4" a="1"/>
  <c r="FI11" i="4" a="1"/>
  <c r="GC7" i="4" a="1"/>
  <c r="HC7" i="4" a="1"/>
  <c r="FV9" i="4" a="1"/>
  <c r="FY15" i="4" a="1"/>
  <c r="BJ76" i="3"/>
  <c r="FN9" i="4" a="1"/>
  <c r="GG7" i="4" a="1"/>
  <c r="HA15" i="4" a="1"/>
  <c r="FX15" i="4" a="1"/>
  <c r="BA65" i="3"/>
  <c r="BN64" i="3"/>
  <c r="GW5" i="4" a="1"/>
  <c r="BC86" i="3"/>
  <c r="FQ13" i="4" a="1"/>
  <c r="FR11" i="4" a="1"/>
  <c r="GU13" i="4" a="1"/>
  <c r="BM85" i="3"/>
  <c r="FW8" i="4" a="1"/>
  <c r="HB15" i="4" a="1"/>
  <c r="HF7" i="4" a="1"/>
  <c r="GW8" i="4" a="1"/>
  <c r="HB8" i="4" a="1"/>
  <c r="FM14" i="4" a="1"/>
  <c r="FV8" i="4" a="1"/>
  <c r="GY9" i="4" a="1"/>
  <c r="BC62" i="3"/>
  <c r="BC77" i="3"/>
  <c r="BC89" i="3"/>
  <c r="BP48" i="3"/>
  <c r="FG5" i="4" a="1"/>
  <c r="BI95" i="3"/>
  <c r="GZ14" i="4" a="1"/>
  <c r="GD7" i="4" a="1"/>
  <c r="FN16" i="4" a="1"/>
  <c r="BK61" i="3"/>
  <c r="FJ6" i="4" a="1"/>
  <c r="HE11" i="4" a="1"/>
  <c r="FI6" i="4" a="1"/>
  <c r="GY7" i="4" a="1"/>
  <c r="GA14" i="4" a="1"/>
  <c r="FM12" i="4" a="1"/>
  <c r="GI14" i="4" a="1"/>
  <c r="BD79" i="3"/>
  <c r="FH16" i="4" a="1"/>
  <c r="BD90" i="3"/>
  <c r="HD13" i="4" a="1"/>
  <c r="GU11" i="4" a="1"/>
  <c r="BJ72" i="3"/>
  <c r="FZ15" i="4" a="1"/>
  <c r="BQ92" i="3"/>
  <c r="GH15" i="4" a="1"/>
  <c r="GO5" i="4" a="1"/>
  <c r="HE7" i="4" a="1"/>
  <c r="FQ7" i="4" a="1"/>
  <c r="GT13" i="4" a="1"/>
  <c r="FM15" i="4" a="1"/>
  <c r="GB8" i="4" a="1"/>
  <c r="FS7" i="4" a="1"/>
  <c r="BD97" i="3"/>
  <c r="BR89" i="3"/>
  <c r="BK97" i="3"/>
  <c r="GR6" i="4" a="1"/>
  <c r="BF69" i="3"/>
  <c r="HH16" i="4" a="1"/>
  <c r="GM6" i="4" a="1"/>
  <c r="GP6" i="4" a="1"/>
  <c r="FZ11" i="4" a="1"/>
  <c r="GL13" i="4" a="1"/>
  <c r="HE13" i="4" a="1"/>
  <c r="GS9" i="4" a="1"/>
  <c r="FR8" i="4" a="1"/>
  <c r="GB5" i="4" a="1"/>
  <c r="HG12" i="4" a="1"/>
  <c r="FI5" i="4" a="1"/>
  <c r="HH13" i="4" a="1"/>
  <c r="GH8" i="4" a="1"/>
  <c r="FQ12" i="4" a="1"/>
  <c r="BC75" i="3"/>
  <c r="BG85" i="3"/>
  <c r="BG90" i="3"/>
  <c r="BT65" i="3"/>
  <c r="BL67" i="3"/>
  <c r="BD78" i="3"/>
  <c r="BN93" i="3"/>
  <c r="BN82" i="3"/>
  <c r="BN86" i="3"/>
  <c r="BN58" i="3"/>
  <c r="BM79" i="3"/>
  <c r="BB94" i="3"/>
  <c r="BG66" i="3"/>
  <c r="BO92" i="3"/>
  <c r="BT60" i="3"/>
  <c r="BL79" i="3"/>
  <c r="BD74" i="3"/>
  <c r="BN60" i="3"/>
  <c r="BN47" i="3"/>
  <c r="BN80" i="3"/>
  <c r="BN56" i="3"/>
  <c r="BB77" i="3"/>
  <c r="BG65" i="3"/>
  <c r="BO74" i="3"/>
  <c r="BT82" i="3"/>
  <c r="BL66" i="3"/>
  <c r="BD73" i="3"/>
  <c r="BN66" i="3"/>
  <c r="BN94" i="3"/>
  <c r="BN90" i="3"/>
  <c r="BN81" i="3"/>
  <c r="BJ95" i="3"/>
  <c r="BG60" i="3"/>
  <c r="BO72" i="3"/>
  <c r="BT85" i="3"/>
  <c r="BL55" i="3"/>
  <c r="BD75" i="3"/>
  <c r="BN83" i="3"/>
  <c r="BN57" i="3"/>
  <c r="BN96" i="3"/>
  <c r="BN92" i="3"/>
  <c r="BG76" i="3"/>
  <c r="BO63" i="3"/>
  <c r="BT76" i="3"/>
  <c r="BL74" i="3"/>
  <c r="BD48" i="3"/>
  <c r="BN65" i="3"/>
  <c r="BN59" i="3"/>
  <c r="BN69" i="3"/>
  <c r="BS56" i="3"/>
  <c r="BD76" i="3"/>
  <c r="BG96" i="3"/>
  <c r="BO49" i="3"/>
  <c r="BT61" i="3"/>
  <c r="BL91" i="3"/>
  <c r="BD85" i="3"/>
  <c r="BN89" i="3"/>
  <c r="BN55" i="3"/>
  <c r="BN84" i="3"/>
  <c r="BS54" i="3"/>
  <c r="BD93" i="3"/>
  <c r="BG71" i="3"/>
  <c r="BO85" i="3"/>
  <c r="BT66" i="3"/>
  <c r="BL69" i="3"/>
  <c r="Z111" i="2"/>
  <c r="BN75" i="3"/>
  <c r="BN71" i="3"/>
  <c r="BN88" i="3"/>
  <c r="BS59" i="3"/>
  <c r="BB85" i="3"/>
  <c r="BG82" i="3"/>
  <c r="BL71" i="3"/>
  <c r="BN79" i="3"/>
  <c r="BN73" i="3"/>
  <c r="BB64" i="3"/>
  <c r="AY30" i="3"/>
  <c r="AW30" i="3"/>
  <c r="AZ7" i="3"/>
  <c r="AF34" i="3"/>
  <c r="AV27" i="3"/>
  <c r="EO9" i="4" a="1"/>
  <c r="O5" i="6" a="1"/>
  <c r="AS18" i="3"/>
  <c r="AY12" i="3"/>
  <c r="AO6" i="6" a="1"/>
  <c r="AF23" i="3"/>
  <c r="EM11" i="4" a="1"/>
  <c r="Y5" i="6" a="1"/>
  <c r="AV11" i="3"/>
  <c r="AF24" i="3"/>
  <c r="AS11" i="3"/>
  <c r="AX5" i="6" a="1"/>
  <c r="EU7" i="4" a="1"/>
  <c r="AW11" i="3"/>
  <c r="AU38" i="3"/>
  <c r="AZ30" i="3"/>
  <c r="AT9" i="3"/>
  <c r="G6" i="6" a="1"/>
  <c r="EU12" i="4" a="1"/>
  <c r="EL5" i="4" a="1"/>
  <c r="AT39" i="3"/>
  <c r="AF40" i="3"/>
  <c r="AT5" i="6" a="1"/>
  <c r="AS22" i="3"/>
  <c r="AV13" i="3"/>
  <c r="K6" i="6" a="1"/>
  <c r="AX28" i="3"/>
  <c r="AX10" i="3"/>
  <c r="AT41" i="3"/>
  <c r="AS6" i="6" a="1"/>
  <c r="EQ13" i="4" a="1"/>
  <c r="BG86" i="3"/>
  <c r="BL94" i="3"/>
  <c r="BN62" i="3"/>
  <c r="BN78" i="3"/>
  <c r="BB68" i="3"/>
  <c r="R5" i="6" a="1"/>
  <c r="AF21" i="3"/>
  <c r="AS19" i="3"/>
  <c r="AU6" i="3"/>
  <c r="AZ29" i="3"/>
  <c r="EP9" i="4" a="1"/>
  <c r="O6" i="6" a="1"/>
  <c r="AU17" i="3"/>
  <c r="AS9" i="3"/>
  <c r="AN5" i="6" a="1"/>
  <c r="AS31" i="3"/>
  <c r="EN6" i="4" a="1"/>
  <c r="AF35" i="3"/>
  <c r="V5" i="6" a="1"/>
  <c r="AN6" i="6" a="1"/>
  <c r="AV17" i="3"/>
  <c r="AV6" i="6" a="1"/>
  <c r="EL9" i="4" a="1"/>
  <c r="AW5" i="6" a="1"/>
  <c r="AU27" i="3"/>
  <c r="AW28" i="3"/>
  <c r="BG69" i="3"/>
  <c r="BL56" i="3"/>
  <c r="BN87" i="3"/>
  <c r="BN77" i="3"/>
  <c r="AF25" i="3"/>
  <c r="AX38" i="3"/>
  <c r="AU6" i="6" a="1"/>
  <c r="AV45" i="3"/>
  <c r="AF31" i="3"/>
  <c r="ET11" i="4" a="1"/>
  <c r="AY6" i="6" a="1"/>
  <c r="AG5" i="6" a="1"/>
  <c r="AU24" i="3"/>
  <c r="AV37" i="3"/>
  <c r="AU31" i="3"/>
  <c r="EN8" i="4" a="1"/>
  <c r="AW16" i="3"/>
  <c r="AY27" i="3"/>
  <c r="AY18" i="3"/>
  <c r="AH5" i="6" a="1"/>
  <c r="AT34" i="3"/>
  <c r="EU16" i="4" a="1"/>
  <c r="AX29" i="3"/>
  <c r="AT14" i="3"/>
  <c r="AS38" i="3"/>
  <c r="AD5" i="6" a="1"/>
  <c r="AW24" i="3"/>
  <c r="EL8" i="4" a="1"/>
  <c r="EM9" i="4" a="1"/>
  <c r="AT31" i="3"/>
  <c r="AZ31" i="3"/>
  <c r="AI5" i="6" a="1"/>
  <c r="AX45" i="3"/>
  <c r="BG94" i="3"/>
  <c r="BL59" i="3"/>
  <c r="BN76" i="3"/>
  <c r="BN54" i="3"/>
  <c r="AW37" i="3"/>
  <c r="AU22" i="3"/>
  <c r="K5" i="6" a="1"/>
  <c r="AS13" i="3"/>
  <c r="AV12" i="3"/>
  <c r="EN16" i="4" a="1"/>
  <c r="AT28" i="3"/>
  <c r="AU46" i="3"/>
  <c r="AZ12" i="3"/>
  <c r="AA6" i="6" a="1"/>
  <c r="AM5" i="6" a="1"/>
  <c r="EM14" i="4" a="1"/>
  <c r="AX20" i="3"/>
  <c r="M6" i="6" a="1"/>
  <c r="AY5" i="6" a="1"/>
  <c r="AU45" i="3"/>
  <c r="AX13" i="3"/>
  <c r="ER6" i="4" a="1"/>
  <c r="AY46" i="3"/>
  <c r="H5" i="6" a="1"/>
  <c r="AP5" i="3"/>
  <c r="AV22" i="3"/>
  <c r="AV32" i="3"/>
  <c r="C5" i="4" a="1"/>
  <c r="EO7" i="4" a="1"/>
  <c r="AW39" i="3"/>
  <c r="AX5" i="3"/>
  <c r="AZ37" i="3"/>
  <c r="AU40" i="3"/>
  <c r="AP7" i="3"/>
  <c r="Q6" i="6" a="1"/>
  <c r="AY20" i="3"/>
  <c r="AV24" i="3"/>
  <c r="AX15" i="3"/>
  <c r="AQ5" i="6" a="1"/>
  <c r="EL16" i="4" a="1"/>
  <c r="AS12" i="3"/>
  <c r="AX6" i="6" a="1"/>
  <c r="E6" i="6" a="1"/>
  <c r="AF28" i="3"/>
  <c r="AT16" i="3"/>
  <c r="AY45" i="3"/>
  <c r="AO5" i="6" a="1"/>
  <c r="AV28" i="3"/>
  <c r="AP5" i="6" a="1"/>
  <c r="AY41" i="3"/>
  <c r="EN12" i="4" a="1"/>
  <c r="EP16" i="4" a="1"/>
  <c r="EV16" i="4" a="1"/>
  <c r="ET7" i="4" a="1"/>
  <c r="EO15" i="4" a="1"/>
  <c r="AU7" i="3"/>
  <c r="EL14" i="4" a="1"/>
  <c r="EW15" i="4" a="1"/>
  <c r="EL15" i="4" a="1"/>
  <c r="EQ5" i="4" a="1"/>
  <c r="ER9" i="4" a="1"/>
  <c r="AY22" i="3"/>
  <c r="AS5" i="3"/>
  <c r="EN14" i="4" a="1"/>
  <c r="BD62" i="3"/>
  <c r="BG70" i="3"/>
  <c r="BL78" i="3"/>
  <c r="BN72" i="3"/>
  <c r="BI84" i="3"/>
  <c r="AW6" i="6" a="1"/>
  <c r="AY33" i="3"/>
  <c r="AV41" i="3"/>
  <c r="AV16" i="3"/>
  <c r="AW9" i="3"/>
  <c r="ES6" i="4" a="1"/>
  <c r="AV42" i="3"/>
  <c r="C5" i="6" a="1"/>
  <c r="AV46" i="3"/>
  <c r="AV35" i="3"/>
  <c r="AY39" i="3"/>
  <c r="EO8" i="4" a="1"/>
  <c r="AU9" i="3"/>
  <c r="AS20" i="3"/>
  <c r="AV5" i="3"/>
  <c r="AS30" i="3"/>
  <c r="AT36" i="3"/>
  <c r="EN11" i="4" a="1"/>
  <c r="AF10" i="3"/>
  <c r="AX6" i="3"/>
  <c r="AU19" i="3"/>
  <c r="AZ24" i="3"/>
  <c r="AX46" i="3"/>
  <c r="EV13" i="4" a="1"/>
  <c r="EL11" i="4" a="1"/>
  <c r="AS15" i="3"/>
  <c r="AW35" i="3"/>
  <c r="AF9" i="3"/>
  <c r="AT11" i="3"/>
  <c r="AW25" i="3"/>
  <c r="AU41" i="3"/>
  <c r="AF6" i="6" a="1"/>
  <c r="AY21" i="3"/>
  <c r="AT32" i="3"/>
  <c r="AU30" i="3"/>
  <c r="ES16" i="4" a="1"/>
  <c r="AF19" i="3"/>
  <c r="AX31" i="3"/>
  <c r="AF37" i="3"/>
  <c r="AT26" i="3"/>
  <c r="AW15" i="3"/>
  <c r="L6" i="6" a="1"/>
  <c r="AT24" i="3"/>
  <c r="AS8" i="3"/>
  <c r="AT35" i="3"/>
  <c r="ES9" i="4" a="1"/>
  <c r="AW14" i="3"/>
  <c r="EQ14" i="4" a="1"/>
  <c r="BO69" i="3"/>
  <c r="BI65" i="3"/>
  <c r="BO79" i="3"/>
  <c r="BL86" i="3"/>
  <c r="BN70" i="3"/>
  <c r="BI92" i="3"/>
  <c r="AE6" i="6" a="1"/>
  <c r="AX30" i="3"/>
  <c r="AT27" i="3"/>
  <c r="AS25" i="3"/>
  <c r="AF39" i="3"/>
  <c r="EM7" i="4" a="1"/>
  <c r="N5" i="6" a="1"/>
  <c r="AR7" i="3"/>
  <c r="AW22" i="3"/>
  <c r="AU33" i="3"/>
  <c r="AZ40" i="3"/>
  <c r="EW13" i="4" a="1"/>
  <c r="AF32" i="3"/>
  <c r="AV33" i="3"/>
  <c r="AY11" i="3"/>
  <c r="AX11" i="3"/>
  <c r="AS42" i="3"/>
  <c r="EO13" i="4" a="1"/>
  <c r="AX36" i="3"/>
  <c r="AY5" i="3"/>
  <c r="F6" i="6" a="1"/>
  <c r="AT12" i="3"/>
  <c r="M5" i="6" a="1"/>
  <c r="EP6" i="4" a="1"/>
  <c r="ER12" i="4" a="1"/>
  <c r="AW6" i="3"/>
  <c r="AV29" i="3"/>
  <c r="AY13" i="3"/>
  <c r="AV23" i="3"/>
  <c r="AZ19" i="3"/>
  <c r="AI6" i="6" a="1"/>
  <c r="AZ42" i="3"/>
  <c r="AW31" i="3"/>
  <c r="AF38" i="3"/>
  <c r="D5" i="6" a="1"/>
  <c r="EQ6" i="4" a="1"/>
  <c r="AZ18" i="3"/>
  <c r="AR6" i="3"/>
  <c r="AW34" i="3"/>
  <c r="AF6" i="3"/>
  <c r="AS10" i="3"/>
  <c r="AX22" i="3"/>
  <c r="AV30" i="3"/>
  <c r="AE5" i="6" a="1"/>
  <c r="T6" i="6" a="1"/>
  <c r="AZ13" i="3"/>
  <c r="EL7" i="4" a="1"/>
  <c r="ET13" i="4" a="1"/>
  <c r="AT18" i="3"/>
  <c r="EW6" i="4" a="1"/>
  <c r="ES7" i="4" a="1"/>
  <c r="BN97" i="3"/>
  <c r="BO89" i="3"/>
  <c r="BD83" i="3"/>
  <c r="BN63" i="3"/>
  <c r="BI90" i="3"/>
  <c r="AF11" i="3"/>
  <c r="AX21" i="3"/>
  <c r="AY23" i="3"/>
  <c r="AU26" i="3"/>
  <c r="AZ34" i="3"/>
  <c r="EU6" i="4" a="1"/>
  <c r="AZ39" i="3"/>
  <c r="AY6" i="3"/>
  <c r="AT30" i="3"/>
  <c r="AR5" i="3"/>
  <c r="AF17" i="3"/>
  <c r="BT49" i="3"/>
  <c r="AX26" i="3"/>
  <c r="AT17" i="3"/>
  <c r="AZ15" i="3"/>
  <c r="AS28" i="3"/>
  <c r="ES5" i="4" a="1"/>
  <c r="EL12" i="4" a="1"/>
  <c r="AT22" i="3"/>
  <c r="S5" i="6" a="1"/>
  <c r="AF12" i="3"/>
  <c r="AP6" i="3"/>
  <c r="Y6" i="6" a="1"/>
  <c r="ES15" i="4" a="1"/>
  <c r="EV7" i="4" a="1"/>
  <c r="AY7" i="3"/>
  <c r="AX35" i="3"/>
  <c r="AS41" i="3"/>
  <c r="AD6" i="6" a="1"/>
  <c r="AF5" i="6" a="1"/>
  <c r="AX33" i="3"/>
  <c r="AT5" i="3"/>
  <c r="AT46" i="3"/>
  <c r="V6" i="6" a="1"/>
  <c r="AW26" i="3"/>
  <c r="EO5" i="4" a="1"/>
  <c r="AS7" i="3"/>
  <c r="AZ10" i="3"/>
  <c r="AY19" i="3"/>
  <c r="AY16" i="3"/>
  <c r="X6" i="6" a="1"/>
  <c r="AV6" i="3"/>
  <c r="BO59" i="3"/>
  <c r="Z113" i="2"/>
  <c r="BN50" i="3"/>
  <c r="BB71" i="3"/>
  <c r="AZ16" i="3"/>
  <c r="AY17" i="3"/>
  <c r="AS6" i="3"/>
  <c r="AT6" i="6" a="1"/>
  <c r="EP15" i="4" a="1"/>
  <c r="AS29" i="3"/>
  <c r="I6" i="6" a="1"/>
  <c r="Z5" i="6" a="1"/>
  <c r="AF46" i="3"/>
  <c r="AZ27" i="3"/>
  <c r="ER16" i="4" a="1"/>
  <c r="AZ17" i="3"/>
  <c r="AZ22" i="3"/>
  <c r="AX34" i="3"/>
  <c r="AV18" i="3"/>
  <c r="AS5" i="6" a="1"/>
  <c r="EL6" i="4" a="1"/>
  <c r="EV11" i="4" a="1"/>
  <c r="H6" i="6" a="1"/>
  <c r="AF20" i="3"/>
  <c r="AW33" i="3"/>
  <c r="AF14" i="3"/>
  <c r="EQ16" i="4" a="1"/>
  <c r="EO11" i="4" a="1"/>
  <c r="AU34" i="3"/>
  <c r="AF30" i="3"/>
  <c r="AT29" i="3"/>
  <c r="AW10" i="3"/>
  <c r="AB5" i="6" a="1"/>
  <c r="EU14" i="4" a="1"/>
  <c r="AZ28" i="3"/>
  <c r="AW41" i="3"/>
  <c r="AU11" i="3"/>
  <c r="AS14" i="3"/>
  <c r="EQ11" i="4" a="1"/>
  <c r="BK84" i="3"/>
  <c r="AF41" i="3"/>
  <c r="AZ20" i="3"/>
  <c r="AY28" i="3"/>
  <c r="AF33" i="3"/>
  <c r="BU58" i="3"/>
  <c r="AW5" i="3"/>
  <c r="AX19" i="3"/>
  <c r="AY34" i="3"/>
  <c r="W6" i="6" a="1"/>
  <c r="EQ9" i="4" a="1"/>
  <c r="BT69" i="3"/>
  <c r="BO65" i="3"/>
  <c r="BN61" i="3"/>
  <c r="BB89" i="3"/>
  <c r="AX7" i="3"/>
  <c r="AS36" i="3"/>
  <c r="AW36" i="3"/>
  <c r="AH6" i="6" a="1"/>
  <c r="ET16" i="4" a="1"/>
  <c r="AY24" i="3"/>
  <c r="AW21" i="3"/>
  <c r="AW20" i="3"/>
  <c r="G5" i="6" a="1"/>
  <c r="AF15" i="3"/>
  <c r="ET6" i="4" a="1"/>
  <c r="AZ6" i="3"/>
  <c r="AX16" i="3"/>
  <c r="AU21" i="3"/>
  <c r="AS26" i="3"/>
  <c r="AW32" i="3"/>
  <c r="ER8" i="4" a="1"/>
  <c r="BE85" i="3"/>
  <c r="AU42" i="3"/>
  <c r="AV40" i="3"/>
  <c r="AU5" i="3"/>
  <c r="AU12" i="3"/>
  <c r="ET12" i="4" a="1"/>
  <c r="EQ8" i="4" a="1"/>
  <c r="AV21" i="3"/>
  <c r="AT25" i="3"/>
  <c r="U6" i="6" a="1"/>
  <c r="AS32" i="3"/>
  <c r="AU8" i="3"/>
  <c r="EU9" i="4" a="1"/>
  <c r="BT97" i="3"/>
  <c r="BO97" i="3"/>
  <c r="BN48" i="3"/>
  <c r="BB62" i="3"/>
  <c r="F5" i="6" a="1"/>
  <c r="AW45" i="3"/>
  <c r="AW13" i="3"/>
  <c r="AV20" i="3"/>
  <c r="D6" i="6" a="1"/>
  <c r="EO16" i="4" a="1"/>
  <c r="AT20" i="3"/>
  <c r="AW27" i="3"/>
  <c r="AF22" i="3"/>
  <c r="AT15" i="3"/>
  <c r="U5" i="6" a="1"/>
  <c r="EU8" i="4" a="1"/>
  <c r="AA5" i="6" a="1"/>
  <c r="AP6" i="6" a="1"/>
  <c r="AT23" i="3"/>
  <c r="AW38" i="3"/>
  <c r="S6" i="6" a="1"/>
  <c r="EW12" i="4" a="1"/>
  <c r="AV5" i="6" a="1"/>
  <c r="AT40" i="3"/>
  <c r="AF18" i="3"/>
  <c r="AS33" i="3"/>
  <c r="AL6" i="6" a="1"/>
  <c r="C6" i="4" a="1"/>
  <c r="EV14" i="4" a="1"/>
  <c r="AF26" i="3"/>
  <c r="E5" i="6" a="1"/>
  <c r="AU23" i="3"/>
  <c r="AS34" i="3"/>
  <c r="AF16" i="3"/>
  <c r="AU25" i="3"/>
  <c r="AS45" i="3"/>
  <c r="AX23" i="3"/>
  <c r="AV34" i="3"/>
  <c r="BO90" i="3"/>
  <c r="AZ35" i="3"/>
  <c r="AL5" i="6" a="1"/>
  <c r="AU39" i="3"/>
  <c r="AU15" i="3"/>
  <c r="ER15" i="4" a="1"/>
  <c r="AZ23" i="3"/>
  <c r="AS24" i="3"/>
  <c r="J5" i="6" a="1"/>
  <c r="EW8" i="4" a="1"/>
  <c r="Q5" i="6" a="1"/>
  <c r="AU20" i="3"/>
  <c r="AT33" i="3"/>
  <c r="AU10" i="3"/>
  <c r="AU14" i="3"/>
  <c r="EW16" i="4" a="1"/>
  <c r="ET5" i="4" a="1"/>
  <c r="ET15" i="4" a="1"/>
  <c r="AZ8" i="3"/>
  <c r="T5" i="6" a="1"/>
  <c r="ES14" i="4" a="1"/>
  <c r="AV31" i="3"/>
  <c r="Z112" i="2"/>
  <c r="F45" i="3"/>
  <c r="AB5" i="3"/>
  <c r="AU13" i="3"/>
  <c r="C6" i="6" a="1"/>
  <c r="ES13" i="4" a="1"/>
  <c r="AV36" i="3"/>
  <c r="AF29" i="3"/>
  <c r="L5" i="6" a="1"/>
  <c r="ET8" i="4" a="1"/>
  <c r="AF45" i="3"/>
  <c r="AJ6" i="6" a="1"/>
  <c r="EP13" i="4" a="1"/>
  <c r="AX25" i="3"/>
  <c r="AU35" i="3"/>
  <c r="EP11" i="4" a="1"/>
  <c r="ET9" i="4" a="1"/>
  <c r="EW11" i="4" a="1"/>
  <c r="EO6" i="4" a="1"/>
  <c r="N6" i="6" a="1"/>
  <c r="EW14" i="4" a="1"/>
  <c r="AU16" i="3"/>
  <c r="EN7" i="4" a="1"/>
  <c r="BN49" i="3"/>
  <c r="AY36" i="3"/>
  <c r="AZ5" i="3"/>
  <c r="AK6" i="6" a="1"/>
  <c r="AW23" i="3"/>
  <c r="EV6" i="4" a="1"/>
  <c r="AX8" i="3"/>
  <c r="Z6" i="6" a="1"/>
  <c r="AS23" i="3"/>
  <c r="EQ7" i="4" a="1"/>
  <c r="AT21" i="3"/>
  <c r="W5" i="6" a="1"/>
  <c r="AW12" i="3"/>
  <c r="AJ5" i="6" a="1"/>
  <c r="AZ11" i="3"/>
  <c r="EM12" i="4" a="1"/>
  <c r="EO12" i="4" a="1"/>
  <c r="EU11" i="4" a="1"/>
  <c r="BM93" i="3"/>
  <c r="AY35" i="3"/>
  <c r="AF8" i="3"/>
  <c r="AF36" i="3"/>
  <c r="AY9" i="3"/>
  <c r="BV48" i="3"/>
  <c r="AZ33" i="3"/>
  <c r="AX24" i="3"/>
  <c r="AZ32" i="3"/>
  <c r="AT8" i="3"/>
  <c r="AW40" i="3"/>
  <c r="AW29" i="3"/>
  <c r="AS35" i="3"/>
  <c r="AW18" i="3"/>
  <c r="EW5" i="4" a="1"/>
  <c r="ER5" i="4" a="1"/>
  <c r="AX17" i="3"/>
  <c r="F46" i="3"/>
  <c r="AX37" i="3"/>
  <c r="AX32" i="3"/>
  <c r="EU5" i="4" a="1"/>
  <c r="AW8" i="3"/>
  <c r="AS16" i="3"/>
  <c r="AW19" i="3"/>
  <c r="AQ6" i="6" a="1"/>
  <c r="AT13" i="3"/>
  <c r="AF13" i="3"/>
  <c r="AR6" i="6" a="1"/>
  <c r="AX18" i="3"/>
  <c r="AX12" i="3"/>
  <c r="AX40" i="3"/>
  <c r="AF7" i="3"/>
  <c r="P5" i="6" a="1"/>
  <c r="AV26" i="3"/>
  <c r="J6" i="6" a="1"/>
  <c r="ET14" i="4" a="1"/>
  <c r="ES8" i="4" a="1"/>
  <c r="EM8" i="4" a="1"/>
  <c r="AF5" i="3"/>
  <c r="AY38" i="3"/>
  <c r="ES11" i="4" a="1"/>
  <c r="EP8" i="4" a="1"/>
  <c r="AZ46" i="3"/>
  <c r="EV12" i="4" a="1"/>
  <c r="AV8" i="3"/>
  <c r="AU28" i="3"/>
  <c r="AS17" i="3"/>
  <c r="EU13" i="4" a="1"/>
  <c r="AY8" i="3"/>
  <c r="AU32" i="3"/>
  <c r="AT6" i="3"/>
  <c r="AX9" i="3"/>
  <c r="AT37" i="3"/>
  <c r="AX27" i="3"/>
  <c r="AW17" i="3"/>
  <c r="AZ26" i="3"/>
  <c r="AU5" i="6" a="1"/>
  <c r="AZ21" i="3"/>
  <c r="AF42" i="3"/>
  <c r="AT10" i="3"/>
  <c r="AS40" i="3"/>
  <c r="AV19" i="3"/>
  <c r="EM6" i="4" a="1"/>
  <c r="EN15" i="4" a="1"/>
  <c r="EW7" i="4" a="1"/>
  <c r="EN5" i="4" a="1"/>
  <c r="EQ15" i="4" a="1"/>
  <c r="AV25" i="3"/>
  <c r="EM15" i="4" a="1"/>
  <c r="AT19" i="3"/>
  <c r="AK5" i="6" a="1"/>
  <c r="AY10" i="3"/>
  <c r="AS27" i="3"/>
  <c r="AX14" i="3"/>
  <c r="AB6" i="6" a="1"/>
  <c r="AY31" i="3"/>
  <c r="AX42" i="3"/>
  <c r="EP5" i="4" a="1"/>
  <c r="ER7" i="4" a="1"/>
  <c r="AU37" i="3"/>
  <c r="ER13" i="4" a="1"/>
  <c r="AU29" i="3"/>
  <c r="AV14" i="3"/>
  <c r="AS39" i="3"/>
  <c r="AS46" i="3"/>
  <c r="EV5" i="4" a="1"/>
  <c r="AR5" i="6" a="1"/>
  <c r="AW46" i="3"/>
  <c r="AY40" i="3"/>
  <c r="AV7" i="3"/>
  <c r="EQ12" i="4" a="1"/>
  <c r="AZ36" i="3"/>
  <c r="AS37" i="3"/>
  <c r="AV15" i="3"/>
  <c r="AZ41" i="3"/>
  <c r="AY25" i="3"/>
  <c r="AY15" i="3"/>
  <c r="EM13" i="4" a="1"/>
  <c r="EU15" i="4" a="1"/>
  <c r="EN9" i="4" a="1"/>
  <c r="ER14" i="4" a="1"/>
  <c r="AX41" i="3"/>
  <c r="AZ25" i="3"/>
  <c r="EV9" i="4" a="1"/>
  <c r="EV8" i="4" a="1"/>
  <c r="AG6" i="6" a="1"/>
  <c r="AZ45" i="3"/>
  <c r="C5" i="3"/>
  <c r="AY37" i="3"/>
  <c r="EW9" i="4" a="1"/>
  <c r="EV15" i="4" a="1"/>
  <c r="ER11" i="4" a="1"/>
  <c r="AT42" i="3"/>
  <c r="AC6" i="6" a="1"/>
  <c r="AZ38" i="3"/>
  <c r="P6" i="6" a="1"/>
  <c r="AT7" i="3"/>
  <c r="AY26" i="3"/>
  <c r="R6" i="6" a="1"/>
  <c r="EM5" i="4" a="1"/>
  <c r="AW7" i="3"/>
  <c r="AT38" i="3"/>
  <c r="AX39" i="3"/>
  <c r="AM6" i="6" a="1"/>
  <c r="AV39" i="3"/>
  <c r="AV9" i="3"/>
  <c r="AS21" i="3"/>
  <c r="EP14" i="4" a="1"/>
  <c r="AT45" i="3"/>
  <c r="I5" i="6" a="1"/>
  <c r="EP12" i="4" a="1"/>
  <c r="EO14" i="4" a="1"/>
  <c r="EM16" i="4" a="1"/>
  <c r="AU18" i="3"/>
  <c r="AV38" i="3"/>
  <c r="AY32" i="3"/>
  <c r="AU36" i="3"/>
  <c r="AZ14" i="3"/>
  <c r="EL13" i="4" a="1"/>
  <c r="AZ9" i="3"/>
  <c r="AC5" i="6" a="1"/>
  <c r="AY14" i="3"/>
  <c r="EP7" i="4" a="1"/>
  <c r="X5" i="6" a="1"/>
  <c r="ES12" i="4" a="1"/>
  <c r="AY42" i="3"/>
  <c r="AF27" i="3"/>
  <c r="AW42" i="3"/>
  <c r="EN13" i="4" a="1"/>
  <c r="BA47" i="3"/>
  <c r="BA68" i="3"/>
  <c r="BG97" i="3"/>
  <c r="BG50" i="3"/>
  <c r="BU74" i="3"/>
  <c r="BU61" i="3"/>
  <c r="BU66" i="3"/>
  <c r="BT75" i="3"/>
  <c r="BT70" i="3"/>
  <c r="BI55" i="3"/>
  <c r="BI70" i="3"/>
  <c r="BI61" i="3"/>
  <c r="BI77" i="3"/>
  <c r="BE84" i="3"/>
  <c r="BE82" i="3"/>
  <c r="BE50" i="3"/>
  <c r="BE59" i="3"/>
  <c r="BJ47" i="3"/>
  <c r="BJ64" i="3"/>
  <c r="BJ55" i="3"/>
  <c r="BJ75" i="3"/>
  <c r="BJ93" i="3"/>
  <c r="BV73" i="3"/>
  <c r="BV80" i="3"/>
  <c r="BV49" i="3"/>
  <c r="BV94" i="3"/>
  <c r="BV92" i="3"/>
  <c r="BV72" i="3"/>
  <c r="BV86" i="3"/>
  <c r="BV64" i="3"/>
  <c r="BV95" i="3"/>
  <c r="BV79" i="3"/>
  <c r="BV55" i="3"/>
  <c r="BV90" i="3"/>
  <c r="BV68" i="3"/>
  <c r="BV70" i="3"/>
  <c r="BV75" i="3"/>
  <c r="BV59" i="3"/>
  <c r="BV81" i="3"/>
  <c r="BV82" i="3"/>
  <c r="BC70" i="3"/>
  <c r="BC79" i="3"/>
  <c r="BC82" i="3"/>
  <c r="BC49" i="3"/>
  <c r="BT48" i="3" l="1"/>
  <c r="BI59" i="3"/>
  <c r="BI58" i="3"/>
  <c r="BI54" i="3"/>
  <c r="BI94" i="3"/>
  <c r="BE92" i="3"/>
  <c r="BE76" i="3"/>
  <c r="BJ94" i="3"/>
  <c r="BJ79" i="3"/>
  <c r="BJ86" i="3"/>
  <c r="BJ67" i="3"/>
  <c r="BJ54" i="3"/>
  <c r="BV62" i="3"/>
  <c r="BC50" i="3"/>
  <c r="BC94" i="3"/>
  <c r="BC47" i="3"/>
  <c r="BC57" i="3"/>
  <c r="BC60" i="3"/>
  <c r="BC65" i="3"/>
  <c r="BC87" i="3"/>
  <c r="BI66" i="3"/>
  <c r="BJ63" i="3"/>
  <c r="BC64" i="3"/>
  <c r="BV63" i="3"/>
  <c r="BC55" i="3"/>
  <c r="BC80" i="3"/>
  <c r="BC91" i="3"/>
  <c r="BC83" i="3"/>
  <c r="BJ80" i="3"/>
  <c r="BJ58" i="3"/>
  <c r="BI71" i="3"/>
  <c r="BJ62" i="3"/>
  <c r="BJ74" i="3"/>
  <c r="BV69" i="3"/>
  <c r="BV65" i="3"/>
  <c r="BV96" i="3"/>
  <c r="BV88" i="3"/>
  <c r="BC85" i="3"/>
  <c r="BM92" i="3"/>
  <c r="BT86" i="3"/>
  <c r="BJ88" i="3"/>
  <c r="BT89" i="3"/>
  <c r="BE57" i="3"/>
  <c r="BC58" i="3"/>
  <c r="BE86" i="3"/>
  <c r="BV83" i="3"/>
  <c r="BT83" i="3"/>
  <c r="BE64" i="3"/>
  <c r="BU78" i="3"/>
  <c r="BC81" i="3"/>
  <c r="BE70" i="3"/>
  <c r="BU65" i="3"/>
  <c r="BM72" i="3"/>
  <c r="BS83" i="3"/>
  <c r="BK94" i="3"/>
  <c r="BM59" i="3"/>
  <c r="BM56" i="3"/>
  <c r="BI60" i="3"/>
  <c r="BI91" i="3"/>
  <c r="BC66" i="3"/>
  <c r="BI97" i="3"/>
  <c r="BT94" i="3"/>
  <c r="BU67" i="3"/>
  <c r="BK68" i="3"/>
  <c r="BV47" i="3"/>
  <c r="BM87" i="3"/>
  <c r="BS90" i="3"/>
  <c r="BU95" i="3"/>
  <c r="BE97" i="3"/>
  <c r="BE94" i="3"/>
  <c r="BJ77" i="3"/>
  <c r="BC71" i="3"/>
  <c r="BV57" i="3"/>
  <c r="BI56" i="3"/>
  <c r="BM61" i="3"/>
  <c r="BT92" i="3"/>
  <c r="BU48" i="3"/>
  <c r="BS79" i="3"/>
  <c r="BI96" i="3"/>
  <c r="BU47" i="3"/>
  <c r="BV67" i="3"/>
  <c r="CL187" i="1"/>
  <c r="BU50" i="3"/>
  <c r="BU96" i="3"/>
  <c r="BU91" i="3"/>
  <c r="BU70" i="3"/>
  <c r="BS86" i="3"/>
  <c r="BS68" i="3"/>
  <c r="BS78" i="3"/>
  <c r="BS95" i="3"/>
  <c r="BS48" i="3"/>
  <c r="BS63" i="3"/>
  <c r="BS93" i="3"/>
  <c r="BM78" i="3"/>
  <c r="BM60" i="3"/>
  <c r="BM50" i="3"/>
  <c r="BM55" i="3"/>
  <c r="BM74" i="3"/>
  <c r="BK56" i="3"/>
  <c r="BK64" i="3"/>
  <c r="BT68" i="3"/>
  <c r="BT73" i="3"/>
  <c r="BT93" i="3"/>
  <c r="BT58" i="3"/>
  <c r="BT90" i="3"/>
  <c r="BT81" i="3"/>
  <c r="BI81" i="3"/>
  <c r="BI57" i="3"/>
  <c r="BI83" i="3"/>
  <c r="BI74" i="3"/>
  <c r="BI64" i="3"/>
  <c r="BI63" i="3"/>
  <c r="BE66" i="3"/>
  <c r="BE75" i="3"/>
  <c r="BE96" i="3"/>
  <c r="BE65" i="3"/>
  <c r="BE74" i="3"/>
  <c r="BE58" i="3"/>
  <c r="BE95" i="3"/>
  <c r="BJ70" i="3"/>
  <c r="BJ69" i="3"/>
  <c r="BJ78" i="3"/>
  <c r="BJ60" i="3"/>
  <c r="BJ91" i="3"/>
  <c r="BJ89" i="3"/>
  <c r="BJ81" i="3"/>
  <c r="BJ84" i="3"/>
  <c r="BV91" i="3"/>
  <c r="BV85" i="3"/>
  <c r="BV74" i="3"/>
  <c r="BV50" i="3"/>
  <c r="BC73" i="3"/>
  <c r="BC48" i="3"/>
  <c r="BC61" i="3"/>
  <c r="BC84" i="3"/>
  <c r="CL300" i="1"/>
  <c r="CL301" i="1"/>
  <c r="CL242" i="1"/>
  <c r="BE80" i="3"/>
  <c r="BE78" i="3"/>
  <c r="CL279" i="1"/>
  <c r="CL59" i="1"/>
  <c r="CL21" i="1" s="1"/>
  <c r="CL209" i="1"/>
  <c r="CL114" i="1"/>
  <c r="CL177" i="1"/>
  <c r="CL169" i="1"/>
  <c r="CL231" i="1"/>
  <c r="CL228" i="1"/>
  <c r="CL204" i="1"/>
  <c r="CL233" i="1" s="1"/>
  <c r="CL75" i="1"/>
  <c r="CL196" i="1"/>
  <c r="CL227" i="1"/>
  <c r="CI122" i="1"/>
  <c r="CK123" i="1"/>
  <c r="Y122" i="1"/>
  <c r="Y123" i="1"/>
  <c r="CJ208" i="1"/>
  <c r="CJ173" i="1"/>
  <c r="CK173" i="1" s="1"/>
  <c r="CJ195" i="1"/>
  <c r="CJ191" i="1"/>
  <c r="CJ186" i="1"/>
  <c r="CK186" i="1" s="1"/>
  <c r="CQ186" i="1" s="1"/>
  <c r="CR186" i="1" s="1"/>
  <c r="CS186" i="1" s="1"/>
  <c r="CT186" i="1" s="1"/>
  <c r="CU186" i="1" s="1"/>
  <c r="CV186" i="1" s="1"/>
  <c r="CW186" i="1" s="1"/>
  <c r="CX186" i="1" s="1"/>
  <c r="CY186" i="1" s="1"/>
  <c r="CZ186" i="1" s="1"/>
  <c r="DA186" i="1" s="1"/>
  <c r="DB186" i="1" s="1"/>
  <c r="CJ190" i="1"/>
  <c r="KC9" i="4" s="1"/>
  <c r="KH16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KE9" i="4" s="1"/>
  <c r="JY16" i="4" s="1"/>
  <c r="JV16" i="4" s="1"/>
  <c r="CJ166" i="1"/>
  <c r="JR9" i="4" s="1"/>
  <c r="JS16" i="4" s="1"/>
  <c r="JT16" i="4" s="1"/>
  <c r="CJ207" i="1"/>
  <c r="CJ200" i="1"/>
  <c r="KE16" i="4" s="1"/>
  <c r="KE21" i="4" s="1"/>
  <c r="JQ9" i="4" s="1"/>
  <c r="JW16" i="4" s="1"/>
  <c r="CJ122" i="1"/>
  <c r="CJ184" i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J197" i="1"/>
  <c r="Z168" i="1"/>
  <c r="CH168" i="1" s="1"/>
  <c r="JR16" i="4" s="1"/>
  <c r="JR21" i="4" s="1"/>
  <c r="CL126" i="1" s="1"/>
  <c r="CJ194" i="1"/>
  <c r="Y127" i="1"/>
  <c r="CK122" i="1"/>
  <c r="Z85" i="1"/>
  <c r="KC16" i="4" s="1"/>
  <c r="JW9" i="4" s="1"/>
  <c r="JS9" i="4" s="1"/>
  <c r="KF16" i="4" s="1"/>
  <c r="CJ168" i="1"/>
  <c r="KG9" i="4" s="1"/>
  <c r="JX16" i="4" s="1"/>
  <c r="JY15" i="4" s="1"/>
  <c r="Z123" i="1"/>
  <c r="CJ58" i="1"/>
  <c r="CJ174" i="1"/>
  <c r="CK174" i="1" s="1"/>
  <c r="CM174" i="1" s="1"/>
  <c r="CN174" i="1" s="1"/>
  <c r="CO174" i="1" s="1"/>
  <c r="CP174" i="1" s="1"/>
  <c r="CQ174" i="1" s="1"/>
  <c r="KB9" i="4" s="1"/>
  <c r="JV9" i="4" s="1"/>
  <c r="JU14" i="4" s="1"/>
  <c r="KD9" i="4" s="1"/>
  <c r="CJ193" i="1"/>
  <c r="CG122" i="1"/>
  <c r="CJ123" i="1"/>
  <c r="CJ112" i="1"/>
  <c r="CI112" i="1" s="1"/>
  <c r="CJ88" i="1"/>
  <c r="JW7" i="4" s="1"/>
  <c r="JZ15" i="4" s="1"/>
  <c r="CJ189" i="1"/>
  <c r="CK189" i="1" s="1"/>
  <c r="JX9" i="4" s="1"/>
  <c r="CI94" i="1"/>
  <c r="CI44" i="1" s="1"/>
  <c r="JT9" i="4" s="1"/>
  <c r="X122" i="1"/>
  <c r="CG123" i="1"/>
  <c r="CI81" i="1"/>
  <c r="CI242" i="1" s="1"/>
  <c r="KD16" i="4" s="1"/>
  <c r="KD21" i="4" s="1"/>
  <c r="JY7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KE8" i="4" s="1"/>
  <c r="CH123" i="1"/>
  <c r="CH94" i="1"/>
  <c r="CH44" i="1" s="1"/>
  <c r="JZ16" i="4" s="1"/>
  <c r="KF7" i="4" s="1"/>
  <c r="CJ199" i="1"/>
  <c r="JX8" i="4" s="1"/>
  <c r="CJ192" i="1"/>
  <c r="KB15" i="4" s="1"/>
  <c r="X123" i="1"/>
  <c r="KA16" i="4" s="1"/>
  <c r="JR7" i="4" s="1"/>
  <c r="CJ183" i="1"/>
  <c r="JY9" i="4" s="1"/>
  <c r="CJ211" i="1"/>
  <c r="CK211" i="1" s="1"/>
  <c r="CM211" i="1" s="1"/>
  <c r="CN211" i="1" s="1"/>
  <c r="CO211" i="1" s="1"/>
  <c r="CP211" i="1" s="1"/>
  <c r="CQ211" i="1" s="1"/>
  <c r="CR211" i="1" s="1"/>
  <c r="CS211" i="1" s="1"/>
  <c r="CT211" i="1" s="1"/>
  <c r="CU211" i="1" s="1"/>
  <c r="CV211" i="1" s="1"/>
  <c r="CW211" i="1" s="1"/>
  <c r="CX211" i="1" s="1"/>
  <c r="CY211" i="1" s="1"/>
  <c r="CZ211" i="1" s="1"/>
  <c r="DA211" i="1" s="1"/>
  <c r="DB211" i="1" s="1"/>
  <c r="KA9" i="4" s="1"/>
  <c r="JS7" i="4" s="1"/>
  <c r="JV15" i="4" s="1"/>
  <c r="KF14" i="4" s="1"/>
  <c r="CH122" i="1"/>
  <c r="CH57" i="1"/>
  <c r="CH39" i="1" s="1"/>
  <c r="CH49" i="1" s="1"/>
  <c r="Z127" i="1"/>
  <c r="CI57" i="1"/>
  <c r="CI39" i="1" s="1"/>
  <c r="CI49" i="1" s="1"/>
  <c r="X85" i="1"/>
  <c r="CE88" i="1"/>
  <c r="X171" i="1"/>
  <c r="JN16" i="4" s="1"/>
  <c r="CH95" i="1"/>
  <c r="X74" i="1"/>
  <c r="Z182" i="1"/>
  <c r="CH182" i="1" s="1"/>
  <c r="CI182" i="1" s="1"/>
  <c r="X184" i="1"/>
  <c r="X180" i="1" s="1"/>
  <c r="Y175" i="1"/>
  <c r="Y202" i="1" s="1"/>
  <c r="JP9" i="4" s="1"/>
  <c r="Z212" i="1"/>
  <c r="CH212" i="1" s="1"/>
  <c r="CI212" i="1" s="1"/>
  <c r="CJ201" i="1"/>
  <c r="X220" i="1"/>
  <c r="CH63" i="1"/>
  <c r="Y191" i="1"/>
  <c r="CJ70" i="1"/>
  <c r="Z73" i="1"/>
  <c r="CK94" i="1"/>
  <c r="CK44" i="1" s="1"/>
  <c r="Y195" i="1"/>
  <c r="CH72" i="1"/>
  <c r="CJ74" i="1"/>
  <c r="KG16" i="4" s="1"/>
  <c r="CJ176" i="1"/>
  <c r="CK176" i="1" s="1"/>
  <c r="CM176" i="1" s="1"/>
  <c r="CN176" i="1" s="1"/>
  <c r="CO176" i="1" s="1"/>
  <c r="CP176" i="1" s="1"/>
  <c r="CQ176" i="1" s="1"/>
  <c r="Y176" i="1"/>
  <c r="Y74" i="1"/>
  <c r="Y96" i="1"/>
  <c r="Z218" i="1"/>
  <c r="CG73" i="1"/>
  <c r="Y62" i="1"/>
  <c r="CJ182" i="1"/>
  <c r="CK182" i="1" s="1"/>
  <c r="CJ81" i="1"/>
  <c r="CJ242" i="1" s="1"/>
  <c r="Z186" i="1"/>
  <c r="CH186" i="1" s="1"/>
  <c r="CI186" i="1" s="1"/>
  <c r="Z199" i="1"/>
  <c r="CH199" i="1" s="1"/>
  <c r="CJ94" i="1"/>
  <c r="CJ44" i="1" s="1"/>
  <c r="Z84" i="1"/>
  <c r="CJ96" i="1"/>
  <c r="Y189" i="1"/>
  <c r="JP8" i="4" s="1"/>
  <c r="CI73" i="1"/>
  <c r="CI71" i="1"/>
  <c r="CJ62" i="1"/>
  <c r="Z175" i="1"/>
  <c r="CK73" i="1"/>
  <c r="JQ8" i="4" s="1"/>
  <c r="CJ167" i="1"/>
  <c r="JZ14" i="4" s="1"/>
  <c r="KE15" i="4" s="1"/>
  <c r="JQ16" i="4" s="1"/>
  <c r="CJ203" i="1"/>
  <c r="Z122" i="1"/>
  <c r="Z72" i="1"/>
  <c r="Z219" i="1"/>
  <c r="CG84" i="1"/>
  <c r="Z189" i="1"/>
  <c r="Z176" i="1"/>
  <c r="CH176" i="1" s="1"/>
  <c r="CI176" i="1" s="1"/>
  <c r="CJ73" i="1"/>
  <c r="Y201" i="1"/>
  <c r="Y88" i="1"/>
  <c r="Z126" i="1"/>
  <c r="X62" i="1"/>
  <c r="Y184" i="1"/>
  <c r="Y180" i="1" s="1"/>
  <c r="Y168" i="1"/>
  <c r="CK96" i="1"/>
  <c r="X207" i="1"/>
  <c r="CK70" i="1"/>
  <c r="KB14" i="4" s="1"/>
  <c r="CJ202" i="1"/>
  <c r="JX15" i="4" s="1"/>
  <c r="JU9" i="4" s="1"/>
  <c r="CJ212" i="1"/>
  <c r="CK212" i="1" s="1"/>
  <c r="CM212" i="1" s="1"/>
  <c r="CN212" i="1" s="1"/>
  <c r="CO212" i="1" s="1"/>
  <c r="CP212" i="1" s="1"/>
  <c r="CQ212" i="1" s="1"/>
  <c r="CR212" i="1" s="1"/>
  <c r="CS212" i="1" s="1"/>
  <c r="CT212" i="1" s="1"/>
  <c r="CU212" i="1" s="1"/>
  <c r="CV212" i="1" s="1"/>
  <c r="CW212" i="1" s="1"/>
  <c r="CX212" i="1" s="1"/>
  <c r="CY212" i="1" s="1"/>
  <c r="CZ212" i="1" s="1"/>
  <c r="DA212" i="1" s="1"/>
  <c r="DB212" i="1" s="1"/>
  <c r="JU8" i="4" s="1"/>
  <c r="Y220" i="1"/>
  <c r="CJ72" i="1"/>
  <c r="X173" i="1"/>
  <c r="Z81" i="1"/>
  <c r="Z128" i="1"/>
  <c r="CH88" i="1"/>
  <c r="Z194" i="1"/>
  <c r="CH194" i="1" s="1"/>
  <c r="Z64" i="1"/>
  <c r="CG85" i="1"/>
  <c r="Z201" i="1"/>
  <c r="CH201" i="1" s="1"/>
  <c r="X191" i="1"/>
  <c r="Z198" i="1"/>
  <c r="CH198" i="1" s="1"/>
  <c r="CK57" i="1"/>
  <c r="CK39" i="1" s="1"/>
  <c r="CK49" i="1" s="1"/>
  <c r="Y208" i="1"/>
  <c r="X194" i="1"/>
  <c r="CJ113" i="1"/>
  <c r="CI113" i="1" s="1"/>
  <c r="CH113" i="1" s="1"/>
  <c r="CG113" i="1" s="1"/>
  <c r="CF113" i="1" s="1"/>
  <c r="CE113" i="1" s="1"/>
  <c r="CD113" i="1" s="1"/>
  <c r="CC113" i="1" s="1"/>
  <c r="CB113" i="1" s="1"/>
  <c r="CA113" i="1" s="1"/>
  <c r="BZ113" i="1" s="1"/>
  <c r="BY113" i="1" s="1"/>
  <c r="BX113" i="1" s="1"/>
  <c r="BW113" i="1" s="1"/>
  <c r="BV113" i="1" s="1"/>
  <c r="BU113" i="1" s="1"/>
  <c r="BT113" i="1" s="1"/>
  <c r="BS113" i="1" s="1"/>
  <c r="BR113" i="1" s="1"/>
  <c r="BQ113" i="1" s="1"/>
  <c r="BP113" i="1" s="1"/>
  <c r="BO113" i="1" s="1"/>
  <c r="BN113" i="1" s="1"/>
  <c r="BM113" i="1" s="1"/>
  <c r="BL113" i="1" s="1"/>
  <c r="BK113" i="1" s="1"/>
  <c r="BJ113" i="1" s="1"/>
  <c r="BI113" i="1" s="1"/>
  <c r="BH113" i="1" s="1"/>
  <c r="BG113" i="1" s="1"/>
  <c r="BF113" i="1" s="1"/>
  <c r="BE113" i="1" s="1"/>
  <c r="BD113" i="1" s="1"/>
  <c r="BC113" i="1" s="1"/>
  <c r="BB113" i="1" s="1"/>
  <c r="BA113" i="1" s="1"/>
  <c r="AZ113" i="1" s="1"/>
  <c r="AY113" i="1" s="1"/>
  <c r="AX113" i="1" s="1"/>
  <c r="AW113" i="1" s="1"/>
  <c r="AV113" i="1" s="1"/>
  <c r="AU113" i="1" s="1"/>
  <c r="AT113" i="1" s="1"/>
  <c r="AS113" i="1" s="1"/>
  <c r="AR113" i="1" s="1"/>
  <c r="AQ113" i="1" s="1"/>
  <c r="AP113" i="1" s="1"/>
  <c r="AO113" i="1" s="1"/>
  <c r="AN113" i="1" s="1"/>
  <c r="AM113" i="1" s="1"/>
  <c r="AL113" i="1" s="1"/>
  <c r="AK113" i="1" s="1"/>
  <c r="AJ113" i="1" s="1"/>
  <c r="AI113" i="1" s="1"/>
  <c r="JO16" i="4" s="1"/>
  <c r="X127" i="1"/>
  <c r="Y185" i="1"/>
  <c r="Y85" i="1"/>
  <c r="Y57" i="1"/>
  <c r="Y39" i="1" s="1"/>
  <c r="Y49" i="1" s="1"/>
  <c r="Y126" i="1"/>
  <c r="X212" i="1"/>
  <c r="CJ198" i="1"/>
  <c r="JT15" i="4" s="1"/>
  <c r="JR15" i="4" s="1"/>
  <c r="JS15" i="4" s="1"/>
  <c r="Y95" i="1"/>
  <c r="CG63" i="1"/>
  <c r="JO7" i="4" s="1"/>
  <c r="Y199" i="1"/>
  <c r="CI96" i="1"/>
  <c r="JO9" i="4" s="1"/>
  <c r="Y64" i="1"/>
  <c r="CG71" i="1"/>
  <c r="Z191" i="1"/>
  <c r="CH191" i="1" s="1"/>
  <c r="X192" i="1"/>
  <c r="CK64" i="1"/>
  <c r="Y69" i="1"/>
  <c r="CI63" i="1"/>
  <c r="CG62" i="1"/>
  <c r="X166" i="1"/>
  <c r="CG100" i="1"/>
  <c r="CH96" i="1"/>
  <c r="X72" i="1"/>
  <c r="CG95" i="1"/>
  <c r="CK72" i="1"/>
  <c r="X167" i="1"/>
  <c r="X185" i="1"/>
  <c r="X198" i="1"/>
  <c r="CK71" i="1"/>
  <c r="X84" i="1"/>
  <c r="CI70" i="1"/>
  <c r="CG88" i="1"/>
  <c r="CK88" i="1"/>
  <c r="CH64" i="1"/>
  <c r="CH100" i="1"/>
  <c r="Y207" i="1"/>
  <c r="JO14" i="4" s="1"/>
  <c r="X175" i="1"/>
  <c r="X202" i="1" s="1"/>
  <c r="CG64" i="1"/>
  <c r="CG72" i="1"/>
  <c r="CG81" i="1"/>
  <c r="CG242" i="1" s="1"/>
  <c r="X168" i="1"/>
  <c r="X182" i="1"/>
  <c r="Z69" i="1"/>
  <c r="CI69" i="1"/>
  <c r="CM69" i="1" s="1"/>
  <c r="CQ69" i="1" s="1"/>
  <c r="CU69" i="1" s="1"/>
  <c r="CY69" i="1" s="1"/>
  <c r="X218" i="1"/>
  <c r="CJ64" i="1"/>
  <c r="Z116" i="1"/>
  <c r="Z193" i="1"/>
  <c r="CK58" i="1"/>
  <c r="CJ95" i="1"/>
  <c r="Z166" i="1"/>
  <c r="CH166" i="1" s="1"/>
  <c r="X219" i="1"/>
  <c r="X88" i="1"/>
  <c r="CI62" i="1"/>
  <c r="Y81" i="1"/>
  <c r="JN9" i="4" s="1"/>
  <c r="Z203" i="1"/>
  <c r="CH203" i="1" s="1"/>
  <c r="Y203" i="1"/>
  <c r="X96" i="1"/>
  <c r="X186" i="1"/>
  <c r="CH71" i="1"/>
  <c r="Y70" i="1"/>
  <c r="Y212" i="1"/>
  <c r="CI100" i="1"/>
  <c r="X181" i="1"/>
  <c r="CI88" i="1"/>
  <c r="Y193" i="1"/>
  <c r="CI64" i="1"/>
  <c r="CJ57" i="1"/>
  <c r="CJ39" i="1" s="1"/>
  <c r="CJ49" i="1" s="1"/>
  <c r="CJ84" i="1"/>
  <c r="Z71" i="1"/>
  <c r="CK100" i="1"/>
  <c r="CK63" i="1"/>
  <c r="CI74" i="1"/>
  <c r="CK62" i="1"/>
  <c r="Z74" i="1"/>
  <c r="CH73" i="1"/>
  <c r="Z70" i="1"/>
  <c r="Z192" i="1"/>
  <c r="CG70" i="1"/>
  <c r="X193" i="1"/>
  <c r="CG94" i="1"/>
  <c r="CG44" i="1" s="1"/>
  <c r="Y167" i="1"/>
  <c r="CH74" i="1"/>
  <c r="Y198" i="1"/>
  <c r="X176" i="1"/>
  <c r="Y181" i="1"/>
  <c r="X174" i="1"/>
  <c r="CI72" i="1"/>
  <c r="X201" i="1"/>
  <c r="CI84" i="1"/>
  <c r="CH84" i="1"/>
  <c r="Z95" i="1"/>
  <c r="Z174" i="1"/>
  <c r="CH174" i="1" s="1"/>
  <c r="CI174" i="1" s="1"/>
  <c r="CH69" i="1"/>
  <c r="CG69" i="1"/>
  <c r="Y192" i="1"/>
  <c r="X197" i="1"/>
  <c r="X73" i="1"/>
  <c r="CK112" i="1"/>
  <c r="Z197" i="1"/>
  <c r="CH197" i="1" s="1"/>
  <c r="Z173" i="1"/>
  <c r="CH173" i="1" s="1"/>
  <c r="CG57" i="1"/>
  <c r="Y186" i="1"/>
  <c r="Z57" i="1"/>
  <c r="CH58" i="1"/>
  <c r="CK81" i="1"/>
  <c r="Y72" i="1"/>
  <c r="CI85" i="1"/>
  <c r="X69" i="1"/>
  <c r="Y100" i="1"/>
  <c r="Y73" i="1"/>
  <c r="CJ63" i="1"/>
  <c r="CJ69" i="1"/>
  <c r="CN69" i="1" s="1"/>
  <c r="CR69" i="1" s="1"/>
  <c r="CV69" i="1" s="1"/>
  <c r="CZ69" i="1" s="1"/>
  <c r="Y84" i="1"/>
  <c r="CI95" i="1"/>
  <c r="X208" i="1"/>
  <c r="CH81" i="1"/>
  <c r="CH242" i="1" s="1"/>
  <c r="Z181" i="1"/>
  <c r="CH181" i="1" s="1"/>
  <c r="CB62" i="1"/>
  <c r="Y194" i="1"/>
  <c r="X100" i="1"/>
  <c r="Y71" i="1"/>
  <c r="CH70" i="1"/>
  <c r="Z100" i="1"/>
  <c r="Y190" i="1"/>
  <c r="CK95" i="1"/>
  <c r="X189" i="1"/>
  <c r="X95" i="1"/>
  <c r="Y197" i="1"/>
  <c r="CK85" i="1"/>
  <c r="X71" i="1"/>
  <c r="Y128" i="1"/>
  <c r="Y219" i="1"/>
  <c r="CG58" i="1"/>
  <c r="X211" i="1"/>
  <c r="CK84" i="1"/>
  <c r="CI58" i="1"/>
  <c r="Z185" i="1"/>
  <c r="CH185" i="1" s="1"/>
  <c r="CI185" i="1" s="1"/>
  <c r="Z88" i="1"/>
  <c r="Z96" i="1"/>
  <c r="Z62" i="1"/>
  <c r="CJ100" i="1"/>
  <c r="CK69" i="1"/>
  <c r="CO69" i="1" s="1"/>
  <c r="CS69" i="1" s="1"/>
  <c r="CW69" i="1" s="1"/>
  <c r="DA69" i="1" s="1"/>
  <c r="CJ71" i="1"/>
  <c r="X199" i="1"/>
  <c r="Z94" i="1"/>
  <c r="Z44" i="1" s="1"/>
  <c r="CG96" i="1"/>
  <c r="X81" i="1"/>
  <c r="X242" i="1" s="1"/>
  <c r="Y218" i="1"/>
  <c r="X116" i="1"/>
  <c r="Y94" i="1"/>
  <c r="Y44" i="1" s="1"/>
  <c r="X94" i="1"/>
  <c r="X44" i="1" s="1"/>
  <c r="Z220" i="1"/>
  <c r="X128" i="1"/>
  <c r="Z58" i="1"/>
  <c r="Y173" i="1"/>
  <c r="Z190" i="1"/>
  <c r="CH190" i="1" s="1"/>
  <c r="Z184" i="1"/>
  <c r="CH184" i="1" s="1"/>
  <c r="CI184" i="1" s="1"/>
  <c r="Y182" i="1"/>
  <c r="X70" i="1"/>
  <c r="Z195" i="1"/>
  <c r="CH195" i="1" s="1"/>
  <c r="Y58" i="1"/>
  <c r="Z207" i="1"/>
  <c r="CH207" i="1" s="1"/>
  <c r="X126" i="1"/>
  <c r="Z211" i="1"/>
  <c r="CH211" i="1" s="1"/>
  <c r="CH85" i="1"/>
  <c r="CH62" i="1"/>
  <c r="Y171" i="1"/>
  <c r="CG74" i="1"/>
  <c r="X203" i="1"/>
  <c r="Z171" i="1"/>
  <c r="CH171" i="1" s="1"/>
  <c r="CI171" i="1" s="1"/>
  <c r="CJ85" i="1"/>
  <c r="Y166" i="1"/>
  <c r="X58" i="1"/>
  <c r="Z167" i="1"/>
  <c r="CH167" i="1" s="1"/>
  <c r="CI167" i="1" s="1"/>
  <c r="X195" i="1"/>
  <c r="Z208" i="1"/>
  <c r="CH208" i="1" s="1"/>
  <c r="CK113" i="1"/>
  <c r="Y116" i="1"/>
  <c r="X190" i="1"/>
  <c r="CK74" i="1"/>
  <c r="Y174" i="1"/>
  <c r="Y211" i="1"/>
  <c r="X64" i="1"/>
  <c r="X57" i="1"/>
  <c r="JT7" i="4"/>
  <c r="JV8" i="4"/>
  <c r="JW15" i="4"/>
  <c r="KC7" i="4"/>
  <c r="KH14" i="4"/>
  <c r="KA15" i="4"/>
  <c r="CP69" i="1"/>
  <c r="CT69" i="1" s="1"/>
  <c r="CX69" i="1" s="1"/>
  <c r="DB69" i="1" s="1"/>
  <c r="CM182" i="1"/>
  <c r="CN182" i="1" s="1"/>
  <c r="CO182" i="1" s="1"/>
  <c r="CP182" i="1" s="1"/>
  <c r="KE7" i="4"/>
  <c r="KD14" i="4"/>
  <c r="KC14" i="4"/>
  <c r="BY71" i="1"/>
  <c r="CA58" i="1"/>
  <c r="CE71" i="1"/>
  <c r="CA71" i="1"/>
  <c r="CF71" i="1"/>
  <c r="CD71" i="1"/>
  <c r="BZ71" i="1"/>
  <c r="BL71" i="1"/>
  <c r="CC71" i="1"/>
  <c r="CB71" i="1"/>
  <c r="CF58" i="1"/>
  <c r="CD58" i="1"/>
  <c r="BY58" i="1"/>
  <c r="CE58" i="1"/>
  <c r="BZ58" i="1"/>
  <c r="CC58" i="1"/>
  <c r="CB58" i="1"/>
  <c r="BL58" i="1"/>
  <c r="CD74" i="1"/>
  <c r="CC94" i="1"/>
  <c r="CA57" i="1"/>
  <c r="CA279" i="1" s="1"/>
  <c r="CD88" i="1"/>
  <c r="AH7" i="6" s="1"/>
  <c r="CD84" i="1"/>
  <c r="CF85" i="1"/>
  <c r="BY94" i="1"/>
  <c r="BL94" i="1"/>
  <c r="CD95" i="1"/>
  <c r="AV7" i="6" s="1"/>
  <c r="CB69" i="1"/>
  <c r="R7" i="6" s="1"/>
  <c r="X7" i="6" s="1"/>
  <c r="CD94" i="1"/>
  <c r="CD64" i="1"/>
  <c r="V7" i="6" s="1"/>
  <c r="BY64" i="1"/>
  <c r="CB57" i="1"/>
  <c r="CB279" i="1" s="1"/>
  <c r="BY100" i="1"/>
  <c r="BL57" i="1"/>
  <c r="AW7" i="6" s="1"/>
  <c r="BY70" i="1"/>
  <c r="CA62" i="1"/>
  <c r="CB72" i="1"/>
  <c r="BZ85" i="1"/>
  <c r="O7" i="6" s="1"/>
  <c r="BL96" i="1"/>
  <c r="AQ7" i="6" s="1"/>
  <c r="CF57" i="1"/>
  <c r="CF39" i="1" s="1"/>
  <c r="CF49" i="1" s="1"/>
  <c r="JJ9" i="4" s="1"/>
  <c r="BY95" i="1"/>
  <c r="AM7" i="6" s="1"/>
  <c r="JM16" i="4" s="1"/>
  <c r="CF96" i="1"/>
  <c r="CA73" i="1"/>
  <c r="BL72" i="1"/>
  <c r="BL95" i="1"/>
  <c r="CF84" i="1"/>
  <c r="BL85" i="1"/>
  <c r="BZ94" i="1"/>
  <c r="CC74" i="1"/>
  <c r="CC70" i="1"/>
  <c r="JM9" i="4" s="1"/>
  <c r="CA70" i="1"/>
  <c r="JL16" i="4" s="1"/>
  <c r="BZ73" i="1"/>
  <c r="CB70" i="1"/>
  <c r="CC62" i="1"/>
  <c r="JK16" i="4" s="1"/>
  <c r="CA100" i="1"/>
  <c r="BZ63" i="1"/>
  <c r="CE64" i="1"/>
  <c r="CC63" i="1"/>
  <c r="C7" i="6" s="1"/>
  <c r="T7" i="6" s="1"/>
  <c r="BY73" i="1"/>
  <c r="CC95" i="1"/>
  <c r="CC57" i="1"/>
  <c r="CC279" i="1" s="1"/>
  <c r="CB84" i="1"/>
  <c r="JL9" i="4" s="1"/>
  <c r="CF88" i="1"/>
  <c r="AL7" i="6" s="1"/>
  <c r="BZ81" i="1"/>
  <c r="BZ242" i="1" s="1"/>
  <c r="BZ84" i="1"/>
  <c r="J7" i="6" s="1"/>
  <c r="BY96" i="1"/>
  <c r="Z7" i="6" s="1"/>
  <c r="BL69" i="1"/>
  <c r="CF62" i="1"/>
  <c r="CF72" i="1"/>
  <c r="BZ62" i="1"/>
  <c r="CA64" i="1"/>
  <c r="CD63" i="1"/>
  <c r="BL70" i="1"/>
  <c r="BY63" i="1"/>
  <c r="CE81" i="1"/>
  <c r="CE242" i="1" s="1"/>
  <c r="AD7" i="6" s="1"/>
  <c r="CF74" i="1"/>
  <c r="CE69" i="1"/>
  <c r="CA96" i="1"/>
  <c r="CD85" i="1"/>
  <c r="CB73" i="1"/>
  <c r="CD96" i="1"/>
  <c r="AP7" i="6" s="1"/>
  <c r="Y7" i="6" s="1"/>
  <c r="CA74" i="1"/>
  <c r="AA7" i="6" s="1"/>
  <c r="AJ7" i="6" s="1"/>
  <c r="BY57" i="1"/>
  <c r="BY72" i="1"/>
  <c r="CB88" i="1"/>
  <c r="CE74" i="1"/>
  <c r="I7" i="6" s="1"/>
  <c r="AK7" i="6" s="1"/>
  <c r="CE63" i="1"/>
  <c r="K7" i="6" s="1"/>
  <c r="F7" i="6" s="1"/>
  <c r="CB94" i="1"/>
  <c r="CF73" i="1"/>
  <c r="AC7" i="6" s="1"/>
  <c r="AE7" i="6" s="1"/>
  <c r="M7" i="6" s="1"/>
  <c r="Q7" i="6" s="1"/>
  <c r="CA95" i="1"/>
  <c r="BZ95" i="1"/>
  <c r="CA85" i="1"/>
  <c r="CF95" i="1"/>
  <c r="AU7" i="6" s="1"/>
  <c r="BL64" i="1"/>
  <c r="CE73" i="1"/>
  <c r="CB81" i="1"/>
  <c r="CB242" i="1" s="1"/>
  <c r="CC96" i="1"/>
  <c r="CC100" i="1"/>
  <c r="AX7" i="6" s="1"/>
  <c r="BZ72" i="1"/>
  <c r="AT7" i="6" s="1"/>
  <c r="S7" i="6" s="1"/>
  <c r="BY62" i="1"/>
  <c r="CE84" i="1"/>
  <c r="CA94" i="1"/>
  <c r="CB96" i="1"/>
  <c r="CA84" i="1"/>
  <c r="CF100" i="1"/>
  <c r="CF70" i="1"/>
  <c r="CA69" i="1"/>
  <c r="AN7" i="6" s="1"/>
  <c r="CE95" i="1"/>
  <c r="CC64" i="1"/>
  <c r="CE100" i="1"/>
  <c r="CF64" i="1"/>
  <c r="G7" i="6" s="1"/>
  <c r="BL81" i="1"/>
  <c r="AF7" i="6" s="1"/>
  <c r="CC69" i="1"/>
  <c r="CD69" i="1"/>
  <c r="JJ16" i="4" s="1"/>
  <c r="BY74" i="1"/>
  <c r="CB95" i="1"/>
  <c r="CE57" i="1"/>
  <c r="CE39" i="1" s="1"/>
  <c r="CE49" i="1" s="1"/>
  <c r="AB7" i="6" s="1"/>
  <c r="BL63" i="1"/>
  <c r="CD100" i="1"/>
  <c r="BY69" i="1"/>
  <c r="BZ64" i="1"/>
  <c r="CD70" i="1"/>
  <c r="L7" i="6" s="1"/>
  <c r="BL88" i="1"/>
  <c r="BZ57" i="1"/>
  <c r="BZ279" i="1" s="1"/>
  <c r="CA81" i="1"/>
  <c r="BZ88" i="1"/>
  <c r="BY81" i="1"/>
  <c r="BY242" i="1" s="1"/>
  <c r="AI7" i="6" s="1"/>
  <c r="CC88" i="1"/>
  <c r="D7" i="6" s="1"/>
  <c r="BZ70" i="1"/>
  <c r="AG7" i="6" s="1"/>
  <c r="BZ69" i="1"/>
  <c r="BL100" i="1"/>
  <c r="W7" i="6" s="1"/>
  <c r="CB100" i="1"/>
  <c r="CE96" i="1"/>
  <c r="CF69" i="1"/>
  <c r="CC72" i="1"/>
  <c r="CD72" i="1"/>
  <c r="CE62" i="1"/>
  <c r="BY84" i="1"/>
  <c r="CC84" i="1"/>
  <c r="BZ100" i="1"/>
  <c r="AS7" i="6" s="1"/>
  <c r="BZ96" i="1"/>
  <c r="CE85" i="1"/>
  <c r="CD62" i="1"/>
  <c r="BL84" i="1"/>
  <c r="CB63" i="1"/>
  <c r="CC81" i="1"/>
  <c r="CC242" i="1" s="1"/>
  <c r="BY88" i="1"/>
  <c r="H7" i="6" s="1"/>
  <c r="CA72" i="1"/>
  <c r="BZ74" i="1"/>
  <c r="CD57" i="1"/>
  <c r="CD279" i="1" s="1"/>
  <c r="AR7" i="6" s="1"/>
  <c r="CF63" i="1"/>
  <c r="BL62" i="1"/>
  <c r="BL73" i="1"/>
  <c r="JK9" i="4" s="1"/>
  <c r="AO7" i="6" s="1"/>
  <c r="CA88" i="1"/>
  <c r="BL74" i="1"/>
  <c r="CA63" i="1"/>
  <c r="CE94" i="1"/>
  <c r="CE44" i="1" s="1"/>
  <c r="CD73" i="1"/>
  <c r="P7" i="6" s="1"/>
  <c r="E7" i="6" s="1"/>
  <c r="U7" i="6" s="1"/>
  <c r="CC73" i="1"/>
  <c r="AY7" i="6" s="1"/>
  <c r="CD81" i="1"/>
  <c r="CB64" i="1"/>
  <c r="CC85" i="1"/>
  <c r="CB85" i="1"/>
  <c r="CE72" i="1"/>
  <c r="CE70" i="1"/>
  <c r="CF81" i="1"/>
  <c r="CF242" i="1" s="1"/>
  <c r="CB74" i="1"/>
  <c r="BY85" i="1"/>
  <c r="CF94" i="1"/>
  <c r="CF44" i="1" s="1"/>
  <c r="N7" i="6" s="1"/>
  <c r="AD84" i="1"/>
  <c r="BC56" i="3"/>
  <c r="AZ47" i="3"/>
  <c r="AY49" i="3"/>
  <c r="AX79" i="3"/>
  <c r="C61" i="3"/>
  <c r="AF55" i="3"/>
  <c r="AX73" i="3"/>
  <c r="AX54" i="3"/>
  <c r="C91" i="3"/>
  <c r="AY82" i="3"/>
  <c r="AT69" i="3"/>
  <c r="C70" i="3"/>
  <c r="AT84" i="3"/>
  <c r="AV89" i="3"/>
  <c r="AV65" i="3"/>
  <c r="AT82" i="3"/>
  <c r="AS66" i="3"/>
  <c r="AT67" i="3"/>
  <c r="AU60" i="3"/>
  <c r="AS71" i="3"/>
  <c r="AU67" i="3"/>
  <c r="AU64" i="3"/>
  <c r="AX78" i="3"/>
  <c r="C58" i="3"/>
  <c r="AY75" i="3"/>
  <c r="AW94" i="3"/>
  <c r="AS85" i="3"/>
  <c r="AZ94" i="3"/>
  <c r="AW59" i="3"/>
  <c r="AX81" i="3"/>
  <c r="AX63" i="3"/>
  <c r="AY76" i="3"/>
  <c r="AF86" i="3"/>
  <c r="AY71" i="3"/>
  <c r="AS69" i="3"/>
  <c r="C81" i="3"/>
  <c r="AZ59" i="3"/>
  <c r="AS59" i="3"/>
  <c r="AT55" i="3"/>
  <c r="AV60" i="3"/>
  <c r="AT48" i="3"/>
  <c r="AY83" i="3"/>
  <c r="AX95" i="3"/>
  <c r="AS96" i="3"/>
  <c r="AV94" i="3"/>
  <c r="AF96" i="3"/>
  <c r="AF82" i="3"/>
  <c r="AS90" i="3"/>
  <c r="AT47" i="3"/>
  <c r="AU84" i="3"/>
  <c r="AW55" i="3"/>
  <c r="AX70" i="3"/>
  <c r="AW89" i="3"/>
  <c r="AW66" i="3"/>
  <c r="AU79" i="3"/>
  <c r="AU62" i="3"/>
  <c r="AX61" i="3"/>
  <c r="AX67" i="3"/>
  <c r="AV55" i="3"/>
  <c r="AF85" i="3"/>
  <c r="AY56" i="3"/>
  <c r="AW74" i="3"/>
  <c r="AV84" i="3"/>
  <c r="AU58" i="3"/>
  <c r="AF77" i="3"/>
  <c r="AZ85" i="3"/>
  <c r="AZ89" i="3"/>
  <c r="AZ97" i="3"/>
  <c r="AX75" i="3"/>
  <c r="AY94" i="3"/>
  <c r="AW63" i="3"/>
  <c r="AX89" i="3"/>
  <c r="AT62" i="3"/>
  <c r="AV72" i="3"/>
  <c r="AY69" i="3"/>
  <c r="AF67" i="3"/>
  <c r="AF63" i="3"/>
  <c r="AU59" i="3"/>
  <c r="AZ83" i="3"/>
  <c r="AS91" i="3"/>
  <c r="AT74" i="3"/>
  <c r="AW57" i="3"/>
  <c r="AV78" i="3"/>
  <c r="AY47" i="3"/>
  <c r="AF94" i="3"/>
  <c r="AU92" i="3"/>
  <c r="AV62" i="3"/>
  <c r="AS77" i="3"/>
  <c r="AT59" i="3"/>
  <c r="AY70" i="3"/>
  <c r="AX97" i="3"/>
  <c r="AW83" i="3"/>
  <c r="AT61" i="3"/>
  <c r="C96" i="3"/>
  <c r="AY48" i="3"/>
  <c r="AF60" i="3"/>
  <c r="AX85" i="3"/>
  <c r="AX87" i="3"/>
  <c r="AZ60" i="3"/>
  <c r="AZ68" i="3"/>
  <c r="AU89" i="3"/>
  <c r="C72" i="3"/>
  <c r="AW70" i="3"/>
  <c r="AW75" i="3"/>
  <c r="AU78" i="3"/>
  <c r="AZ86" i="3"/>
  <c r="AY65" i="3"/>
  <c r="AY93" i="3"/>
  <c r="AZ55" i="3"/>
  <c r="AW96" i="3"/>
  <c r="AU97" i="3"/>
  <c r="AU56" i="3"/>
  <c r="AY88" i="3"/>
  <c r="AF95" i="3"/>
  <c r="AS62" i="3"/>
  <c r="AS88" i="3"/>
  <c r="AW84" i="3"/>
  <c r="AZ48" i="3"/>
  <c r="AS61" i="3"/>
  <c r="AT95" i="3"/>
  <c r="C75" i="3"/>
  <c r="AV69" i="3"/>
  <c r="AU55" i="3"/>
  <c r="AZ77" i="3"/>
  <c r="AY54" i="3"/>
  <c r="AY84" i="3"/>
  <c r="AS48" i="3"/>
  <c r="AS50" i="3"/>
  <c r="AW61" i="3"/>
  <c r="C68" i="3"/>
  <c r="AS78" i="3"/>
  <c r="C55" i="3"/>
  <c r="AT86" i="3"/>
  <c r="AS58" i="3"/>
  <c r="AS86" i="3"/>
  <c r="AU96" i="3"/>
  <c r="AX71" i="3"/>
  <c r="AZ58" i="3"/>
  <c r="AW95" i="3"/>
  <c r="AX62" i="3"/>
  <c r="AX84" i="3"/>
  <c r="AU68" i="3"/>
  <c r="AV96" i="3"/>
  <c r="AW60" i="3"/>
  <c r="AZ65" i="3"/>
  <c r="AZ70" i="3"/>
  <c r="AU93" i="3"/>
  <c r="AU61" i="3"/>
  <c r="AU50" i="3"/>
  <c r="AZ61" i="3"/>
  <c r="AU74" i="3"/>
  <c r="AY95" i="3"/>
  <c r="AW64" i="3"/>
  <c r="AS93" i="3"/>
  <c r="AU72" i="3"/>
  <c r="AX56" i="3"/>
  <c r="AZ79" i="3"/>
  <c r="AZ62" i="3"/>
  <c r="AZ90" i="3"/>
  <c r="AF76" i="3"/>
  <c r="AX55" i="3"/>
  <c r="AY66" i="3"/>
  <c r="AU54" i="3"/>
  <c r="AX68" i="3"/>
  <c r="AZ88" i="3"/>
  <c r="AX69" i="3"/>
  <c r="AF58" i="3"/>
  <c r="C90" i="3"/>
  <c r="AV70" i="3"/>
  <c r="AW72" i="3"/>
  <c r="AV47" i="3"/>
  <c r="AV74" i="3"/>
  <c r="AT89" i="3"/>
  <c r="AV56" i="3"/>
  <c r="AS95" i="3"/>
  <c r="AT85" i="3"/>
  <c r="AY86" i="3"/>
  <c r="AU83" i="3"/>
  <c r="AT58" i="3"/>
  <c r="AV75" i="3"/>
  <c r="AF72" i="3"/>
  <c r="AY72" i="3"/>
  <c r="AW48" i="3"/>
  <c r="AZ50" i="3"/>
  <c r="AU81" i="3"/>
  <c r="AZ66" i="3"/>
  <c r="AZ74" i="3"/>
  <c r="AV67" i="3"/>
  <c r="AT75" i="3"/>
  <c r="C67" i="3"/>
  <c r="AW81" i="3"/>
  <c r="AF84" i="3"/>
  <c r="AF75" i="3"/>
  <c r="AW62" i="3"/>
  <c r="AZ82" i="3"/>
  <c r="AV66" i="3"/>
  <c r="AT72" i="3"/>
  <c r="AU80" i="3"/>
  <c r="AS83" i="3"/>
  <c r="AZ96" i="3"/>
  <c r="C82" i="3"/>
  <c r="AW85" i="3"/>
  <c r="AY73" i="3"/>
  <c r="AS84" i="3"/>
  <c r="AT76" i="3"/>
  <c r="AT63" i="3"/>
  <c r="AY59" i="3"/>
  <c r="AZ54" i="3"/>
  <c r="AY55" i="3"/>
  <c r="AX83" i="3"/>
  <c r="AX90" i="3"/>
  <c r="C95" i="3"/>
  <c r="C54" i="3"/>
  <c r="AW92" i="3"/>
  <c r="AU57" i="3"/>
  <c r="C64" i="3"/>
  <c r="AV86" i="3"/>
  <c r="C94" i="3"/>
  <c r="AU77" i="3"/>
  <c r="AF57" i="3"/>
  <c r="AZ95" i="3"/>
  <c r="AV81" i="3"/>
  <c r="AS74" i="3"/>
  <c r="AY60" i="3"/>
  <c r="C79" i="3"/>
  <c r="AV90" i="3"/>
  <c r="C89" i="3"/>
  <c r="AU63" i="3"/>
  <c r="AT71" i="3"/>
  <c r="AF73" i="3"/>
  <c r="AW56" i="3"/>
  <c r="AX80" i="3"/>
  <c r="AX93" i="3"/>
  <c r="AV73" i="3"/>
  <c r="AF49" i="3"/>
  <c r="AS63" i="3"/>
  <c r="AY62" i="3"/>
  <c r="AY68" i="3"/>
  <c r="AU95" i="3"/>
  <c r="AX66" i="3"/>
  <c r="AX91" i="3"/>
  <c r="AY58" i="3"/>
  <c r="AF90" i="3"/>
  <c r="AF47" i="3"/>
  <c r="AS64" i="3"/>
  <c r="C78" i="3"/>
  <c r="AS82" i="3"/>
  <c r="AV54" i="3"/>
  <c r="AT92" i="3"/>
  <c r="AW73" i="3"/>
  <c r="AU94" i="3"/>
  <c r="AU90" i="3"/>
  <c r="AX94" i="3"/>
  <c r="AF79" i="3"/>
  <c r="AU70" i="3"/>
  <c r="AW93" i="3"/>
  <c r="AS75" i="3"/>
  <c r="AS89" i="3"/>
  <c r="AT79" i="3"/>
  <c r="AY97" i="3"/>
  <c r="AW71" i="3"/>
  <c r="AS80" i="3"/>
  <c r="AT56" i="3"/>
  <c r="AV80" i="3"/>
  <c r="AY87" i="3"/>
  <c r="AF69" i="3"/>
  <c r="AX58" i="3"/>
  <c r="AW77" i="3"/>
  <c r="AV97" i="3"/>
  <c r="C59" i="3"/>
  <c r="AT65" i="3"/>
  <c r="AW82" i="3"/>
  <c r="AY81" i="3"/>
  <c r="AT68" i="3"/>
  <c r="AV63" i="3"/>
  <c r="AY90" i="3"/>
  <c r="C63" i="3"/>
  <c r="C50" i="3"/>
  <c r="AT90" i="3"/>
  <c r="AZ75" i="3"/>
  <c r="AU88" i="3"/>
  <c r="AS73" i="3"/>
  <c r="AU75" i="3"/>
  <c r="AF74" i="3"/>
  <c r="AV49" i="3"/>
  <c r="AY64" i="3"/>
  <c r="AW91" i="3"/>
  <c r="AT97" i="3"/>
  <c r="AU69" i="3"/>
  <c r="AZ76" i="3"/>
  <c r="AU48" i="3"/>
  <c r="AY63" i="3"/>
  <c r="AU91" i="3"/>
  <c r="AV82" i="3"/>
  <c r="AZ56" i="3"/>
  <c r="AF97" i="3"/>
  <c r="AZ67" i="3"/>
  <c r="AS56" i="3"/>
  <c r="C93" i="3"/>
  <c r="AS54" i="3"/>
  <c r="AW68" i="3"/>
  <c r="AZ64" i="3"/>
  <c r="AS60" i="3"/>
  <c r="AZ72" i="3"/>
  <c r="AF66" i="3"/>
  <c r="AW47" i="3"/>
  <c r="AX49" i="3"/>
  <c r="AW90" i="3"/>
  <c r="AW80" i="3"/>
  <c r="AX76" i="3"/>
  <c r="AF64" i="3"/>
  <c r="AZ91" i="3"/>
  <c r="AF70" i="3"/>
  <c r="C80" i="3"/>
  <c r="AS70" i="3"/>
  <c r="AV71" i="3"/>
  <c r="AS57" i="3"/>
  <c r="AV68" i="3"/>
  <c r="AS87" i="3"/>
  <c r="AF91" i="3"/>
  <c r="AV92" i="3"/>
  <c r="C57" i="3"/>
  <c r="C71" i="3"/>
  <c r="AZ63" i="3"/>
  <c r="C97" i="3"/>
  <c r="AT78" i="3"/>
  <c r="AX82" i="3"/>
  <c r="AS79" i="3"/>
  <c r="AZ92" i="3"/>
  <c r="AV83" i="3"/>
  <c r="AT70" i="3"/>
  <c r="AX50" i="3"/>
  <c r="AF93" i="3"/>
  <c r="C56" i="3"/>
  <c r="AT49" i="3"/>
  <c r="C77" i="3"/>
  <c r="C62" i="3"/>
  <c r="C86" i="3"/>
  <c r="AY89" i="3"/>
  <c r="AV59" i="3"/>
  <c r="C76" i="3"/>
  <c r="AY80" i="3"/>
  <c r="AX86" i="3"/>
  <c r="C87" i="3"/>
  <c r="AX59" i="3"/>
  <c r="AU73" i="3"/>
  <c r="AW78" i="3"/>
  <c r="AU82" i="3"/>
  <c r="AX48" i="3"/>
  <c r="AW86" i="3"/>
  <c r="AV64" i="3"/>
  <c r="AS55" i="3"/>
  <c r="AT57" i="3"/>
  <c r="AF83" i="3"/>
  <c r="AF61" i="3"/>
  <c r="AU71" i="3"/>
  <c r="AW87" i="3"/>
  <c r="AZ57" i="3"/>
  <c r="AV77" i="3"/>
  <c r="AY57" i="3"/>
  <c r="AY67" i="3"/>
  <c r="AT50" i="3"/>
  <c r="AT73" i="3"/>
  <c r="AV50" i="3"/>
  <c r="AF68" i="3"/>
  <c r="AY78" i="3"/>
  <c r="AV93" i="3"/>
  <c r="AT96" i="3"/>
  <c r="AT64" i="3"/>
  <c r="AZ80" i="3"/>
  <c r="AS72" i="3"/>
  <c r="AF56" i="3"/>
  <c r="AV88" i="3"/>
  <c r="AF92" i="3"/>
  <c r="AV48" i="3"/>
  <c r="C88" i="3"/>
  <c r="AY74" i="3"/>
  <c r="AX65" i="3"/>
  <c r="AT93" i="3"/>
  <c r="C73" i="3"/>
  <c r="AF59" i="3"/>
  <c r="AX60" i="3"/>
  <c r="AW50" i="3"/>
  <c r="BN68" i="3"/>
  <c r="AF78" i="3"/>
  <c r="AF81" i="3"/>
  <c r="AX88" i="3"/>
  <c r="AV58" i="3"/>
  <c r="AW65" i="3"/>
  <c r="AY61" i="3"/>
  <c r="AT77" i="3"/>
  <c r="AV57" i="3"/>
  <c r="AZ69" i="3"/>
  <c r="AZ73" i="3"/>
  <c r="AZ49" i="3"/>
  <c r="AU47" i="3"/>
  <c r="AW54" i="3"/>
  <c r="AU76" i="3"/>
  <c r="AU66" i="3"/>
  <c r="AX92" i="3"/>
  <c r="C66" i="3"/>
  <c r="C85" i="3"/>
  <c r="AX64" i="3"/>
  <c r="AW79" i="3"/>
  <c r="AV79" i="3"/>
  <c r="AY77" i="3"/>
  <c r="AY91" i="3"/>
  <c r="C65" i="3"/>
  <c r="AW49" i="3"/>
  <c r="C60" i="3"/>
  <c r="AW97" i="3"/>
  <c r="AT80" i="3"/>
  <c r="AF62" i="3"/>
  <c r="C84" i="3"/>
  <c r="AX57" i="3"/>
  <c r="AW67" i="3"/>
  <c r="AS65" i="3"/>
  <c r="AT91" i="3"/>
  <c r="AV87" i="3"/>
  <c r="AS94" i="3"/>
  <c r="AT94" i="3"/>
  <c r="AX72" i="3"/>
  <c r="AF71" i="3"/>
  <c r="AT81" i="3"/>
  <c r="AF89" i="3"/>
  <c r="AT66" i="3"/>
  <c r="AW58" i="3"/>
  <c r="AW76" i="3"/>
  <c r="AU87" i="3"/>
  <c r="AF87" i="3"/>
  <c r="BV54" i="3"/>
  <c r="AF80" i="3"/>
  <c r="AT87" i="3"/>
  <c r="AS67" i="3"/>
  <c r="AX74" i="3"/>
  <c r="AZ84" i="3"/>
  <c r="AS97" i="3"/>
  <c r="AT60" i="3"/>
  <c r="AV76" i="3"/>
  <c r="AT88" i="3"/>
  <c r="AU65" i="3"/>
  <c r="AS68" i="3"/>
  <c r="AU86" i="3"/>
  <c r="AX77" i="3"/>
  <c r="C69" i="3"/>
  <c r="AY96" i="3"/>
  <c r="AF65" i="3"/>
  <c r="AY92" i="3"/>
  <c r="AZ81" i="3"/>
  <c r="AF88" i="3"/>
  <c r="AS92" i="3"/>
  <c r="AV91" i="3"/>
  <c r="C74" i="3"/>
  <c r="AT83" i="3"/>
  <c r="AS76" i="3"/>
  <c r="AX47" i="3"/>
  <c r="AZ87" i="3"/>
  <c r="AV61" i="3"/>
  <c r="C92" i="3"/>
  <c r="AT54" i="3"/>
  <c r="AW69" i="3"/>
  <c r="AV85" i="3"/>
  <c r="AZ71" i="3"/>
  <c r="AZ93" i="3"/>
  <c r="AY85" i="3"/>
  <c r="AV95" i="3"/>
  <c r="AZ78" i="3"/>
  <c r="AF54" i="3"/>
  <c r="AX96" i="3"/>
  <c r="AY50" i="3"/>
  <c r="AY79" i="3"/>
  <c r="AS81" i="3"/>
  <c r="AU49" i="3"/>
  <c r="C83" i="3"/>
  <c r="AW88" i="3"/>
  <c r="AU85" i="3"/>
  <c r="JX21" i="4" l="1"/>
  <c r="JY14" i="4" s="1"/>
  <c r="JU16" i="4" s="1"/>
  <c r="JW21" i="4"/>
  <c r="KC21" i="4"/>
  <c r="CI123" i="1"/>
  <c r="CK166" i="1"/>
  <c r="CM166" i="1" s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JY21" i="4"/>
  <c r="JX14" i="4" s="1"/>
  <c r="JO21" i="4"/>
  <c r="CI126" i="1" s="1"/>
  <c r="JT21" i="4"/>
  <c r="CH189" i="1"/>
  <c r="CI189" i="1" s="1"/>
  <c r="JP16" i="4" s="1"/>
  <c r="JP21" i="4" s="1"/>
  <c r="CJ126" i="1" s="1"/>
  <c r="AA250" i="1"/>
  <c r="KG21" i="4"/>
  <c r="JZ9" i="4" s="1"/>
  <c r="KA14" i="4" s="1"/>
  <c r="KH9" i="4" s="1"/>
  <c r="KH21" i="4" s="1"/>
  <c r="JQ21" i="4"/>
  <c r="CK126" i="1" s="1"/>
  <c r="KB16" i="4" s="1"/>
  <c r="KB21" i="4" s="1"/>
  <c r="KB7" i="4" s="1"/>
  <c r="JY8" i="4" s="1"/>
  <c r="KF9" i="4" s="1"/>
  <c r="KF21" i="4" s="1"/>
  <c r="CG279" i="1"/>
  <c r="CG39" i="1"/>
  <c r="CG49" i="1" s="1"/>
  <c r="Z279" i="1"/>
  <c r="Z39" i="1"/>
  <c r="Z49" i="1" s="1"/>
  <c r="X279" i="1"/>
  <c r="X39" i="1"/>
  <c r="X49" i="1" s="1"/>
  <c r="CL232" i="1"/>
  <c r="Z300" i="1"/>
  <c r="Z59" i="1"/>
  <c r="CR176" i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L76" i="1"/>
  <c r="CJ209" i="1"/>
  <c r="CK257" i="1" s="1"/>
  <c r="X231" i="1"/>
  <c r="CH231" i="1"/>
  <c r="CI231" i="1" s="1"/>
  <c r="CJ250" i="1"/>
  <c r="X300" i="1"/>
  <c r="X227" i="1"/>
  <c r="CJ187" i="1"/>
  <c r="X301" i="1"/>
  <c r="Y209" i="1"/>
  <c r="Z257" i="1" s="1"/>
  <c r="CJ227" i="1"/>
  <c r="CK227" i="1" s="1"/>
  <c r="CG300" i="1"/>
  <c r="JS21" i="4"/>
  <c r="KD15" i="4"/>
  <c r="JR14" i="4"/>
  <c r="JQ15" i="4"/>
  <c r="JV14" i="4"/>
  <c r="KD8" i="4"/>
  <c r="JN7" i="4"/>
  <c r="KG7" i="4"/>
  <c r="JZ21" i="4"/>
  <c r="JP14" i="4"/>
  <c r="KH15" i="4"/>
  <c r="X196" i="1"/>
  <c r="X230" i="1" s="1"/>
  <c r="JO15" i="4"/>
  <c r="Y228" i="1"/>
  <c r="JP15" i="4"/>
  <c r="X228" i="1"/>
  <c r="Y169" i="1"/>
  <c r="CL65" i="1"/>
  <c r="CL294" i="1"/>
  <c r="CL296" i="1"/>
  <c r="CL178" i="1"/>
  <c r="CL216" i="1"/>
  <c r="CL158" i="1" s="1"/>
  <c r="CL141" i="1"/>
  <c r="CL143" i="1" s="1"/>
  <c r="CL205" i="1"/>
  <c r="CL213" i="1" s="1"/>
  <c r="CL230" i="1"/>
  <c r="CJ196" i="1"/>
  <c r="KH7" i="4"/>
  <c r="KH19" i="4" s="1"/>
  <c r="KF15" i="4"/>
  <c r="JT14" i="4"/>
  <c r="JT19" i="4" s="1"/>
  <c r="JV21" i="4"/>
  <c r="KG14" i="4"/>
  <c r="JZ7" i="4"/>
  <c r="JZ19" i="4" s="1"/>
  <c r="JZ8" i="4"/>
  <c r="JZ20" i="4" s="1"/>
  <c r="KB8" i="4"/>
  <c r="KB20" i="4" s="1"/>
  <c r="JV7" i="4"/>
  <c r="JQ14" i="4"/>
  <c r="KG15" i="4"/>
  <c r="JQ7" i="4"/>
  <c r="KC15" i="4"/>
  <c r="JU21" i="4"/>
  <c r="KC8" i="4"/>
  <c r="KA21" i="4"/>
  <c r="CJ231" i="1"/>
  <c r="CK231" i="1" s="1"/>
  <c r="JS8" i="4"/>
  <c r="JS20" i="4" s="1"/>
  <c r="KA7" i="4"/>
  <c r="KA19" i="4" s="1"/>
  <c r="KH8" i="4"/>
  <c r="CK59" i="1"/>
  <c r="CK65" i="1" s="1"/>
  <c r="KD7" i="4"/>
  <c r="KD19" i="4" s="1"/>
  <c r="CI75" i="1"/>
  <c r="CJ147" i="1"/>
  <c r="JP7" i="4"/>
  <c r="JO8" i="4"/>
  <c r="CH75" i="1"/>
  <c r="CI59" i="1"/>
  <c r="Y221" i="1"/>
  <c r="Z209" i="1"/>
  <c r="AA257" i="1" s="1"/>
  <c r="CH300" i="1"/>
  <c r="CJ300" i="1"/>
  <c r="JN8" i="4"/>
  <c r="X59" i="1"/>
  <c r="CH279" i="1"/>
  <c r="CH59" i="1"/>
  <c r="CI300" i="1"/>
  <c r="CI279" i="1"/>
  <c r="CI301" i="1"/>
  <c r="CL147" i="1"/>
  <c r="CL148" i="1" s="1"/>
  <c r="CL151" i="1" s="1"/>
  <c r="CH175" i="1"/>
  <c r="Z202" i="1"/>
  <c r="CK167" i="1"/>
  <c r="CM167" i="1" s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J169" i="1"/>
  <c r="Z301" i="1"/>
  <c r="Z242" i="1"/>
  <c r="Z228" i="1"/>
  <c r="CH193" i="1"/>
  <c r="CH228" i="1" s="1"/>
  <c r="CI228" i="1" s="1"/>
  <c r="Y301" i="1"/>
  <c r="Y242" i="1"/>
  <c r="CJ279" i="1"/>
  <c r="CJ59" i="1"/>
  <c r="CJ228" i="1"/>
  <c r="CK228" i="1" s="1"/>
  <c r="CM228" i="1" s="1"/>
  <c r="CN228" i="1" s="1"/>
  <c r="CO228" i="1" s="1"/>
  <c r="CP228" i="1" s="1"/>
  <c r="CQ228" i="1" s="1"/>
  <c r="CR228" i="1" s="1"/>
  <c r="CS228" i="1" s="1"/>
  <c r="Z227" i="1"/>
  <c r="CH192" i="1"/>
  <c r="CK250" i="1"/>
  <c r="CL250" i="1"/>
  <c r="CJ204" i="1"/>
  <c r="CJ233" i="1" s="1"/>
  <c r="CG301" i="1"/>
  <c r="Z75" i="1"/>
  <c r="Z76" i="1" s="1"/>
  <c r="X221" i="1"/>
  <c r="Y75" i="1"/>
  <c r="Z250" i="1"/>
  <c r="JR8" i="4"/>
  <c r="JN15" i="4"/>
  <c r="JN20" i="4" s="1"/>
  <c r="CH128" i="1" s="1"/>
  <c r="KG8" i="4"/>
  <c r="JW8" i="4"/>
  <c r="JW20" i="4" s="1"/>
  <c r="JU15" i="4"/>
  <c r="JU20" i="4" s="1"/>
  <c r="KA8" i="4"/>
  <c r="JX7" i="4"/>
  <c r="JX19" i="4" s="1"/>
  <c r="JS14" i="4"/>
  <c r="JS19" i="4" s="1"/>
  <c r="Z180" i="1"/>
  <c r="Y196" i="1"/>
  <c r="X75" i="1"/>
  <c r="X204" i="1"/>
  <c r="X233" i="1" s="1"/>
  <c r="CG75" i="1"/>
  <c r="Y59" i="1"/>
  <c r="X177" i="1"/>
  <c r="X86" i="1" s="1"/>
  <c r="JU7" i="4"/>
  <c r="JU19" i="4" s="1"/>
  <c r="CJ75" i="1"/>
  <c r="Y204" i="1"/>
  <c r="Y233" i="1" s="1"/>
  <c r="KF8" i="4"/>
  <c r="KE14" i="4"/>
  <c r="KE19" i="4" s="1"/>
  <c r="JW14" i="4"/>
  <c r="JT8" i="4"/>
  <c r="Y177" i="1"/>
  <c r="Z196" i="1"/>
  <c r="AA244" i="1" s="1"/>
  <c r="CJ114" i="1"/>
  <c r="Y183" i="1"/>
  <c r="Y187" i="1" s="1"/>
  <c r="JN14" i="4"/>
  <c r="X169" i="1"/>
  <c r="X223" i="1" s="1"/>
  <c r="Y300" i="1"/>
  <c r="Z221" i="1"/>
  <c r="X183" i="1"/>
  <c r="CG59" i="1"/>
  <c r="CK147" i="1"/>
  <c r="CH209" i="1"/>
  <c r="CI257" i="1" s="1"/>
  <c r="CH301" i="1"/>
  <c r="Z169" i="1"/>
  <c r="Y231" i="1"/>
  <c r="CI181" i="1"/>
  <c r="CJ181" i="1" s="1"/>
  <c r="CJ180" i="1" s="1"/>
  <c r="CK180" i="1" s="1"/>
  <c r="CK82" i="1"/>
  <c r="CJ301" i="1"/>
  <c r="Z177" i="1"/>
  <c r="Y227" i="1"/>
  <c r="Z231" i="1"/>
  <c r="CK114" i="1"/>
  <c r="CK75" i="1"/>
  <c r="Y250" i="1"/>
  <c r="Y279" i="1"/>
  <c r="JV20" i="4"/>
  <c r="X209" i="1"/>
  <c r="Y257" i="1" s="1"/>
  <c r="CJ177" i="1"/>
  <c r="JY19" i="4"/>
  <c r="JN21" i="4"/>
  <c r="CH126" i="1" s="1"/>
  <c r="JO19" i="4"/>
  <c r="CI127" i="1" s="1"/>
  <c r="JP19" i="4"/>
  <c r="CJ127" i="1" s="1"/>
  <c r="KD20" i="4"/>
  <c r="JY20" i="4"/>
  <c r="KE20" i="4"/>
  <c r="KB19" i="4"/>
  <c r="KC19" i="4"/>
  <c r="CI250" i="1"/>
  <c r="JR19" i="4"/>
  <c r="CL127" i="1" s="1"/>
  <c r="CI166" i="1"/>
  <c r="CH169" i="1"/>
  <c r="JX20" i="4"/>
  <c r="CI211" i="1"/>
  <c r="CK177" i="1"/>
  <c r="CI173" i="1"/>
  <c r="JP20" i="4"/>
  <c r="CJ128" i="1" s="1"/>
  <c r="Z65" i="1"/>
  <c r="AA67" i="1" s="1"/>
  <c r="Z147" i="1"/>
  <c r="AB182" i="1"/>
  <c r="CQ182" i="1"/>
  <c r="CR182" i="1" s="1"/>
  <c r="CS182" i="1" s="1"/>
  <c r="CT182" i="1" s="1"/>
  <c r="KF19" i="4"/>
  <c r="CH112" i="1"/>
  <c r="CI114" i="1"/>
  <c r="CR174" i="1"/>
  <c r="BZ174" i="1"/>
  <c r="CA174" i="1" s="1"/>
  <c r="BL122" i="1"/>
  <c r="CF123" i="1"/>
  <c r="CB194" i="1"/>
  <c r="CC194" i="1" s="1"/>
  <c r="CD201" i="1"/>
  <c r="CD231" i="1" s="1"/>
  <c r="CE231" i="1" s="1"/>
  <c r="CB212" i="1"/>
  <c r="CC212" i="1" s="1"/>
  <c r="BL173" i="1"/>
  <c r="BM173" i="1" s="1"/>
  <c r="CD182" i="1"/>
  <c r="CD173" i="1"/>
  <c r="CE173" i="1" s="1"/>
  <c r="CF176" i="1"/>
  <c r="CG176" i="1" s="1"/>
  <c r="CB176" i="1"/>
  <c r="CC176" i="1" s="1"/>
  <c r="CB200" i="1"/>
  <c r="CC200" i="1" s="1"/>
  <c r="CB192" i="1"/>
  <c r="CB227" i="1" s="1"/>
  <c r="CC227" i="1" s="1"/>
  <c r="BZ201" i="1"/>
  <c r="BZ231" i="1" s="1"/>
  <c r="CA231" i="1" s="1"/>
  <c r="BZ212" i="1"/>
  <c r="CA212" i="1" s="1"/>
  <c r="BZ202" i="1"/>
  <c r="CA202" i="1" s="1"/>
  <c r="BZ208" i="1"/>
  <c r="BZ198" i="1"/>
  <c r="CA198" i="1" s="1"/>
  <c r="BZ181" i="1"/>
  <c r="BL193" i="1"/>
  <c r="BL228" i="1" s="1"/>
  <c r="BM228" i="1" s="1"/>
  <c r="BL201" i="1"/>
  <c r="BL231" i="1" s="1"/>
  <c r="BM231" i="1" s="1"/>
  <c r="BL171" i="1"/>
  <c r="BM171" i="1" s="1"/>
  <c r="CA122" i="1"/>
  <c r="CF122" i="1"/>
  <c r="CF194" i="1"/>
  <c r="CG194" i="1" s="1"/>
  <c r="CF182" i="1"/>
  <c r="CB123" i="1"/>
  <c r="CF192" i="1"/>
  <c r="CF227" i="1" s="1"/>
  <c r="CG227" i="1" s="1"/>
  <c r="CF171" i="1"/>
  <c r="CG171" i="1" s="1"/>
  <c r="CB197" i="1"/>
  <c r="CC197" i="1" s="1"/>
  <c r="CF212" i="1"/>
  <c r="CG212" i="1" s="1"/>
  <c r="CB174" i="1"/>
  <c r="CC174" i="1" s="1"/>
  <c r="CB211" i="1"/>
  <c r="CC211" i="1" s="1"/>
  <c r="CD123" i="1"/>
  <c r="CB207" i="1"/>
  <c r="CD193" i="1"/>
  <c r="CD228" i="1" s="1"/>
  <c r="CE228" i="1" s="1"/>
  <c r="CD171" i="1"/>
  <c r="CE171" i="1" s="1"/>
  <c r="BL174" i="1"/>
  <c r="CD180" i="1"/>
  <c r="CD199" i="1"/>
  <c r="CE199" i="1" s="1"/>
  <c r="CD207" i="1"/>
  <c r="CD190" i="1"/>
  <c r="CE190" i="1" s="1"/>
  <c r="CF189" i="1"/>
  <c r="CF175" i="1"/>
  <c r="CG175" i="1" s="1"/>
  <c r="CB190" i="1"/>
  <c r="CC190" i="1" s="1"/>
  <c r="BL202" i="1"/>
  <c r="BM202" i="1" s="1"/>
  <c r="BL211" i="1"/>
  <c r="BM211" i="1" s="1"/>
  <c r="BL212" i="1"/>
  <c r="CB175" i="1"/>
  <c r="CC175" i="1" s="1"/>
  <c r="CE123" i="1"/>
  <c r="BZ207" i="1"/>
  <c r="BZ211" i="1"/>
  <c r="CA211" i="1" s="1"/>
  <c r="BZ168" i="1"/>
  <c r="BZ176" i="1"/>
  <c r="CA176" i="1" s="1"/>
  <c r="CF193" i="1"/>
  <c r="CF228" i="1" s="1"/>
  <c r="CG228" i="1" s="1"/>
  <c r="CF181" i="1"/>
  <c r="CF197" i="1"/>
  <c r="CB168" i="1"/>
  <c r="CB193" i="1"/>
  <c r="CB228" i="1" s="1"/>
  <c r="CC228" i="1" s="1"/>
  <c r="CD208" i="1"/>
  <c r="CD200" i="1"/>
  <c r="CE200" i="1" s="1"/>
  <c r="CB122" i="1"/>
  <c r="BZ203" i="1"/>
  <c r="CA203" i="1" s="1"/>
  <c r="BZ182" i="1"/>
  <c r="BZ166" i="1"/>
  <c r="BZ195" i="1"/>
  <c r="CA195" i="1" s="1"/>
  <c r="BZ123" i="1"/>
  <c r="BZ173" i="1"/>
  <c r="CA173" i="1" s="1"/>
  <c r="BZ175" i="1"/>
  <c r="CA175" i="1" s="1"/>
  <c r="BZ190" i="1"/>
  <c r="CA190" i="1" s="1"/>
  <c r="BZ180" i="1"/>
  <c r="BL182" i="1"/>
  <c r="BL197" i="1"/>
  <c r="BM197" i="1" s="1"/>
  <c r="CF173" i="1"/>
  <c r="CF201" i="1"/>
  <c r="CF231" i="1" s="1"/>
  <c r="CG231" i="1" s="1"/>
  <c r="CD202" i="1"/>
  <c r="CE202" i="1" s="1"/>
  <c r="CF202" i="1"/>
  <c r="CG202" i="1" s="1"/>
  <c r="CB180" i="1"/>
  <c r="CB202" i="1"/>
  <c r="CC202" i="1" s="1"/>
  <c r="BY123" i="1"/>
  <c r="CD211" i="1"/>
  <c r="CE211" i="1" s="1"/>
  <c r="CD184" i="1"/>
  <c r="CE184" i="1" s="1"/>
  <c r="BL208" i="1"/>
  <c r="CB201" i="1"/>
  <c r="CB231" i="1" s="1"/>
  <c r="CC231" i="1" s="1"/>
  <c r="CB167" i="1"/>
  <c r="CC167" i="1" s="1"/>
  <c r="BL198" i="1"/>
  <c r="BM198" i="1" s="1"/>
  <c r="CD176" i="1"/>
  <c r="CE176" i="1" s="1"/>
  <c r="CD195" i="1"/>
  <c r="CE195" i="1" s="1"/>
  <c r="CD168" i="1"/>
  <c r="CD194" i="1"/>
  <c r="CE194" i="1" s="1"/>
  <c r="CD203" i="1"/>
  <c r="CE203" i="1" s="1"/>
  <c r="CD189" i="1"/>
  <c r="CE189" i="1" s="1"/>
  <c r="CF166" i="1"/>
  <c r="CF167" i="1"/>
  <c r="CG167" i="1" s="1"/>
  <c r="CF199" i="1"/>
  <c r="CG199" i="1" s="1"/>
  <c r="CF211" i="1"/>
  <c r="CG211" i="1" s="1"/>
  <c r="CB208" i="1"/>
  <c r="CB189" i="1"/>
  <c r="AI123" i="1"/>
  <c r="BL195" i="1"/>
  <c r="BM195" i="1" s="1"/>
  <c r="BL184" i="1"/>
  <c r="BM184" i="1" s="1"/>
  <c r="BL175" i="1"/>
  <c r="BM175" i="1" s="1"/>
  <c r="CB173" i="1"/>
  <c r="CC173" i="1" s="1"/>
  <c r="BL194" i="1"/>
  <c r="BM194" i="1" s="1"/>
  <c r="BZ184" i="1"/>
  <c r="CA184" i="1" s="1"/>
  <c r="BZ122" i="1"/>
  <c r="BL200" i="1"/>
  <c r="BM200" i="1" s="1"/>
  <c r="CB181" i="1"/>
  <c r="CF195" i="1"/>
  <c r="CG195" i="1" s="1"/>
  <c r="CB195" i="1"/>
  <c r="CC195" i="1" s="1"/>
  <c r="CD122" i="1"/>
  <c r="CC123" i="1"/>
  <c r="CD167" i="1"/>
  <c r="CE167" i="1" s="1"/>
  <c r="BL168" i="1"/>
  <c r="CD174" i="1"/>
  <c r="CE174" i="1" s="1"/>
  <c r="CF207" i="1"/>
  <c r="CF200" i="1"/>
  <c r="CG200" i="1" s="1"/>
  <c r="CE122" i="1"/>
  <c r="BZ193" i="1"/>
  <c r="BZ228" i="1" s="1"/>
  <c r="CA228" i="1" s="1"/>
  <c r="BZ171" i="1"/>
  <c r="CA171" i="1" s="1"/>
  <c r="BZ192" i="1"/>
  <c r="BZ227" i="1" s="1"/>
  <c r="CA227" i="1" s="1"/>
  <c r="BZ167" i="1"/>
  <c r="CA167" i="1" s="1"/>
  <c r="BZ197" i="1"/>
  <c r="BZ199" i="1"/>
  <c r="CA199" i="1" s="1"/>
  <c r="BZ194" i="1"/>
  <c r="CA194" i="1" s="1"/>
  <c r="BZ189" i="1"/>
  <c r="CA189" i="1" s="1"/>
  <c r="BZ200" i="1"/>
  <c r="CA200" i="1" s="1"/>
  <c r="BL203" i="1"/>
  <c r="BM203" i="1" s="1"/>
  <c r="BL192" i="1"/>
  <c r="BL227" i="1" s="1"/>
  <c r="BM227" i="1" s="1"/>
  <c r="BL180" i="1"/>
  <c r="BL181" i="1"/>
  <c r="CA123" i="1"/>
  <c r="CF203" i="1"/>
  <c r="CG203" i="1" s="1"/>
  <c r="CF198" i="1"/>
  <c r="CG198" i="1" s="1"/>
  <c r="CF208" i="1"/>
  <c r="CB166" i="1"/>
  <c r="CC166" i="1" s="1"/>
  <c r="CF180" i="1"/>
  <c r="CF168" i="1"/>
  <c r="CF174" i="1"/>
  <c r="CG174" i="1" s="1"/>
  <c r="CD175" i="1"/>
  <c r="CE175" i="1" s="1"/>
  <c r="CB203" i="1"/>
  <c r="CC203" i="1" s="1"/>
  <c r="CB184" i="1"/>
  <c r="CC184" i="1" s="1"/>
  <c r="CB199" i="1"/>
  <c r="CC199" i="1" s="1"/>
  <c r="CD166" i="1"/>
  <c r="BL189" i="1"/>
  <c r="CB182" i="1"/>
  <c r="BL176" i="1"/>
  <c r="BM176" i="1" s="1"/>
  <c r="CD181" i="1"/>
  <c r="CD192" i="1"/>
  <c r="CD227" i="1" s="1"/>
  <c r="CE227" i="1" s="1"/>
  <c r="CD198" i="1"/>
  <c r="CE198" i="1" s="1"/>
  <c r="CD197" i="1"/>
  <c r="CE197" i="1" s="1"/>
  <c r="CD212" i="1"/>
  <c r="CE212" i="1" s="1"/>
  <c r="CF184" i="1"/>
  <c r="CG184" i="1" s="1"/>
  <c r="CF190" i="1"/>
  <c r="CG190" i="1" s="1"/>
  <c r="CC122" i="1"/>
  <c r="CB198" i="1"/>
  <c r="CC198" i="1" s="1"/>
  <c r="CB171" i="1"/>
  <c r="CC171" i="1" s="1"/>
  <c r="BL207" i="1"/>
  <c r="BL166" i="1"/>
  <c r="BM166" i="1" s="1"/>
  <c r="BL199" i="1"/>
  <c r="BM199" i="1" s="1"/>
  <c r="BL190" i="1"/>
  <c r="BM190" i="1" s="1"/>
  <c r="BL167" i="1"/>
  <c r="BM167" i="1" s="1"/>
  <c r="BL301" i="1"/>
  <c r="CH147" i="1"/>
  <c r="CB186" i="1"/>
  <c r="CC186" i="1" s="1"/>
  <c r="CF186" i="1"/>
  <c r="CG186" i="1" s="1"/>
  <c r="CD186" i="1"/>
  <c r="CE186" i="1" s="1"/>
  <c r="BL186" i="1"/>
  <c r="BM186" i="1" s="1"/>
  <c r="BZ186" i="1"/>
  <c r="CA186" i="1" s="1"/>
  <c r="BL191" i="1"/>
  <c r="CD191" i="1"/>
  <c r="CB191" i="1"/>
  <c r="CF191" i="1"/>
  <c r="BZ191" i="1"/>
  <c r="CA300" i="1"/>
  <c r="JJ21" i="4"/>
  <c r="CD126" i="1" s="1"/>
  <c r="CA59" i="1"/>
  <c r="JK14" i="4"/>
  <c r="BL59" i="1"/>
  <c r="BY59" i="1"/>
  <c r="BL242" i="1"/>
  <c r="CF59" i="1"/>
  <c r="CF300" i="1"/>
  <c r="JL21" i="4"/>
  <c r="CF126" i="1" s="1"/>
  <c r="CF147" i="1"/>
  <c r="CB75" i="1"/>
  <c r="CE279" i="1"/>
  <c r="CC301" i="1"/>
  <c r="CA75" i="1"/>
  <c r="CE300" i="1"/>
  <c r="CC300" i="1"/>
  <c r="JM7" i="4"/>
  <c r="CA301" i="1"/>
  <c r="JJ8" i="4"/>
  <c r="CF75" i="1"/>
  <c r="BZ300" i="1"/>
  <c r="BZ59" i="1"/>
  <c r="BZ21" i="1" s="1"/>
  <c r="BZ25" i="1" s="1"/>
  <c r="CA242" i="1"/>
  <c r="CD301" i="1"/>
  <c r="CB147" i="1"/>
  <c r="JK21" i="4"/>
  <c r="CE126" i="1" s="1"/>
  <c r="JK15" i="4"/>
  <c r="CD300" i="1"/>
  <c r="JL14" i="4"/>
  <c r="CC75" i="1"/>
  <c r="BY75" i="1"/>
  <c r="CI147" i="1"/>
  <c r="CF279" i="1"/>
  <c r="BY301" i="1"/>
  <c r="JL8" i="4"/>
  <c r="CE75" i="1"/>
  <c r="BL300" i="1"/>
  <c r="CE147" i="1"/>
  <c r="CD59" i="1"/>
  <c r="CC59" i="1"/>
  <c r="CC21" i="1" s="1"/>
  <c r="CC25" i="1" s="1"/>
  <c r="CD242" i="1"/>
  <c r="CE59" i="1"/>
  <c r="CE21" i="1" s="1"/>
  <c r="CE25" i="1" s="1"/>
  <c r="CG147" i="1"/>
  <c r="CD147" i="1"/>
  <c r="CB59" i="1"/>
  <c r="CB300" i="1"/>
  <c r="CC147" i="1"/>
  <c r="JJ15" i="4"/>
  <c r="CB301" i="1"/>
  <c r="BY300" i="1"/>
  <c r="CD75" i="1"/>
  <c r="JM8" i="4"/>
  <c r="JL7" i="4"/>
  <c r="CF301" i="1"/>
  <c r="JJ7" i="4"/>
  <c r="JK8" i="4"/>
  <c r="JM21" i="4"/>
  <c r="CG126" i="1" s="1"/>
  <c r="BZ301" i="1"/>
  <c r="CE301" i="1"/>
  <c r="JK7" i="4"/>
  <c r="BL75" i="1"/>
  <c r="JL15" i="4"/>
  <c r="BZ75" i="1"/>
  <c r="JM14" i="4"/>
  <c r="JM15" i="4"/>
  <c r="JJ14" i="4"/>
  <c r="AE84" i="1"/>
  <c r="U57" i="1"/>
  <c r="U39" i="1" s="1"/>
  <c r="V57" i="1"/>
  <c r="V39" i="1" s="1"/>
  <c r="V49" i="1" s="1"/>
  <c r="W57" i="1"/>
  <c r="W39" i="1" s="1"/>
  <c r="W49" i="1" s="1"/>
  <c r="KG19" i="4" l="1"/>
  <c r="Z21" i="1"/>
  <c r="Z25" i="1" s="1"/>
  <c r="AA236" i="1"/>
  <c r="AA60" i="1"/>
  <c r="Z223" i="1"/>
  <c r="AA255" i="1"/>
  <c r="Z86" i="1"/>
  <c r="AA254" i="1"/>
  <c r="AA297" i="1"/>
  <c r="CF21" i="1"/>
  <c r="CF25" i="1" s="1"/>
  <c r="AA107" i="1"/>
  <c r="JV19" i="4"/>
  <c r="KF20" i="4"/>
  <c r="JQ19" i="4"/>
  <c r="CK127" i="1" s="1"/>
  <c r="KC20" i="4"/>
  <c r="KH20" i="4"/>
  <c r="JO20" i="4"/>
  <c r="CI128" i="1" s="1"/>
  <c r="JN19" i="4"/>
  <c r="CH127" i="1" s="1"/>
  <c r="JW19" i="4"/>
  <c r="JR20" i="4"/>
  <c r="CL128" i="1" s="1"/>
  <c r="JQ20" i="4"/>
  <c r="CK128" i="1" s="1"/>
  <c r="KA20" i="4"/>
  <c r="JT20" i="4"/>
  <c r="CK27" i="1"/>
  <c r="CK40" i="1"/>
  <c r="CL27" i="1"/>
  <c r="CL40" i="1"/>
  <c r="Z27" i="1"/>
  <c r="Z26" i="1" s="1"/>
  <c r="Z40" i="1"/>
  <c r="CJ296" i="1"/>
  <c r="X229" i="1"/>
  <c r="CL214" i="1"/>
  <c r="CJ76" i="1"/>
  <c r="Y296" i="1"/>
  <c r="Y294" i="1"/>
  <c r="Y223" i="1"/>
  <c r="Y232" i="1"/>
  <c r="CL68" i="1"/>
  <c r="Z244" i="1"/>
  <c r="CH76" i="1"/>
  <c r="CJ232" i="1"/>
  <c r="CK232" i="1" s="1"/>
  <c r="KG20" i="4"/>
  <c r="X76" i="1"/>
  <c r="CJ148" i="1"/>
  <c r="CK76" i="1"/>
  <c r="CJ178" i="1"/>
  <c r="CI76" i="1"/>
  <c r="CL236" i="1"/>
  <c r="CI175" i="1"/>
  <c r="CI177" i="1" s="1"/>
  <c r="CJ297" i="1" s="1"/>
  <c r="CH177" i="1"/>
  <c r="CL254" i="1"/>
  <c r="CL297" i="1"/>
  <c r="CL77" i="1"/>
  <c r="CL66" i="1"/>
  <c r="CM66" i="1" s="1"/>
  <c r="CL234" i="1"/>
  <c r="CL229" i="1"/>
  <c r="CL61" i="1"/>
  <c r="CK21" i="1"/>
  <c r="CK25" i="1" s="1"/>
  <c r="CL273" i="1"/>
  <c r="CG76" i="1"/>
  <c r="CG192" i="1"/>
  <c r="CG193" i="1"/>
  <c r="CG201" i="1"/>
  <c r="CK77" i="1"/>
  <c r="CJ230" i="1"/>
  <c r="CJ205" i="1"/>
  <c r="CJ213" i="1" s="1"/>
  <c r="CJ294" i="1"/>
  <c r="CJ292" i="1"/>
  <c r="CL292" i="1"/>
  <c r="CI21" i="1"/>
  <c r="CI25" i="1" s="1"/>
  <c r="CI65" i="1"/>
  <c r="CJ61" i="1"/>
  <c r="X21" i="1"/>
  <c r="X25" i="1" s="1"/>
  <c r="X65" i="1"/>
  <c r="X147" i="1"/>
  <c r="CL60" i="1"/>
  <c r="CH21" i="1"/>
  <c r="CL22" i="1" s="1"/>
  <c r="CH65" i="1"/>
  <c r="CI61" i="1"/>
  <c r="CH202" i="1"/>
  <c r="CH204" i="1" s="1"/>
  <c r="CH233" i="1" s="1"/>
  <c r="CH232" i="1" s="1"/>
  <c r="CI232" i="1" s="1"/>
  <c r="Z204" i="1"/>
  <c r="AA245" i="1" s="1"/>
  <c r="AA246" i="1" s="1"/>
  <c r="AA247" i="1" s="1"/>
  <c r="CK61" i="1"/>
  <c r="CJ65" i="1"/>
  <c r="CJ21" i="1"/>
  <c r="CJ25" i="1" s="1"/>
  <c r="CH227" i="1"/>
  <c r="CI227" i="1" s="1"/>
  <c r="CH196" i="1"/>
  <c r="Y244" i="1"/>
  <c r="Y205" i="1"/>
  <c r="Y213" i="1" s="1"/>
  <c r="Y230" i="1"/>
  <c r="X234" i="1"/>
  <c r="X232" i="1"/>
  <c r="Y21" i="1"/>
  <c r="Y25" i="1" s="1"/>
  <c r="Y236" i="1"/>
  <c r="Y86" i="1"/>
  <c r="Y178" i="1"/>
  <c r="Y216" i="1"/>
  <c r="Y158" i="1" s="1"/>
  <c r="X187" i="1"/>
  <c r="X292" i="1" s="1"/>
  <c r="X82" i="1"/>
  <c r="CG21" i="1"/>
  <c r="CG25" i="1" s="1"/>
  <c r="CH61" i="1"/>
  <c r="CG65" i="1"/>
  <c r="CG40" i="1" s="1"/>
  <c r="CJ273" i="1"/>
  <c r="CL152" i="1"/>
  <c r="CL144" i="1"/>
  <c r="CL156" i="1"/>
  <c r="CL159" i="1" s="1"/>
  <c r="Y292" i="1"/>
  <c r="CH296" i="1"/>
  <c r="Y82" i="1"/>
  <c r="Z254" i="1"/>
  <c r="Y147" i="1"/>
  <c r="Y76" i="1"/>
  <c r="Y60" i="1"/>
  <c r="Y297" i="1"/>
  <c r="Y254" i="1"/>
  <c r="Y65" i="1"/>
  <c r="Y40" i="1" s="1"/>
  <c r="Z230" i="1"/>
  <c r="Z229" i="1" s="1"/>
  <c r="Z60" i="1"/>
  <c r="CK60" i="1"/>
  <c r="CK148" i="1"/>
  <c r="CK151" i="1" s="1"/>
  <c r="Z216" i="1"/>
  <c r="Z158" i="1" s="1"/>
  <c r="X178" i="1"/>
  <c r="Z236" i="1"/>
  <c r="X296" i="1"/>
  <c r="Z183" i="1"/>
  <c r="CH180" i="1"/>
  <c r="CJ141" i="1"/>
  <c r="CJ143" i="1" s="1"/>
  <c r="X216" i="1"/>
  <c r="X158" i="1" s="1"/>
  <c r="X205" i="1"/>
  <c r="CJ156" i="1"/>
  <c r="Z297" i="1"/>
  <c r="Y245" i="1"/>
  <c r="AA44" i="1"/>
  <c r="Z178" i="1"/>
  <c r="CK66" i="1"/>
  <c r="CM95" i="1"/>
  <c r="Z296" i="1"/>
  <c r="CI156" i="1"/>
  <c r="CD65" i="1"/>
  <c r="CD27" i="1" s="1"/>
  <c r="CD21" i="1"/>
  <c r="CD25" i="1" s="1"/>
  <c r="BL65" i="1"/>
  <c r="BL27" i="1" s="1"/>
  <c r="BL21" i="1"/>
  <c r="BL25" i="1" s="1"/>
  <c r="CB65" i="1"/>
  <c r="CB21" i="1"/>
  <c r="CB25" i="1" s="1"/>
  <c r="BY65" i="1"/>
  <c r="BY21" i="1"/>
  <c r="BY25" i="1" s="1"/>
  <c r="CA65" i="1"/>
  <c r="CA27" i="1" s="1"/>
  <c r="CA21" i="1"/>
  <c r="CA25" i="1" s="1"/>
  <c r="CI148" i="1"/>
  <c r="Z77" i="1"/>
  <c r="Z66" i="1"/>
  <c r="CK254" i="1"/>
  <c r="CK297" i="1"/>
  <c r="CM231" i="1"/>
  <c r="CJ157" i="1"/>
  <c r="CM173" i="1"/>
  <c r="CG112" i="1"/>
  <c r="CH114" i="1"/>
  <c r="CH141" i="1" s="1"/>
  <c r="CU182" i="1"/>
  <c r="CV182" i="1" s="1"/>
  <c r="CW182" i="1" s="1"/>
  <c r="CX182" i="1" s="1"/>
  <c r="AC182" i="1"/>
  <c r="CM189" i="1"/>
  <c r="CM250" i="1" s="1"/>
  <c r="CM227" i="1"/>
  <c r="CS174" i="1"/>
  <c r="BZ209" i="1"/>
  <c r="BL209" i="1"/>
  <c r="CB250" i="1"/>
  <c r="CA166" i="1"/>
  <c r="BZ169" i="1"/>
  <c r="BL169" i="1"/>
  <c r="CB209" i="1"/>
  <c r="CC257" i="1" s="1"/>
  <c r="CG173" i="1"/>
  <c r="CG177" i="1" s="1"/>
  <c r="CF177" i="1"/>
  <c r="CD183" i="1"/>
  <c r="CE82" i="1" s="1"/>
  <c r="CC189" i="1"/>
  <c r="CD250" i="1" s="1"/>
  <c r="CE166" i="1"/>
  <c r="CD169" i="1"/>
  <c r="BM189" i="1"/>
  <c r="BM250" i="1" s="1"/>
  <c r="CD209" i="1"/>
  <c r="CF250" i="1"/>
  <c r="CE177" i="1"/>
  <c r="BM174" i="1"/>
  <c r="BM177" i="1" s="1"/>
  <c r="BL177" i="1"/>
  <c r="CG189" i="1"/>
  <c r="CG197" i="1"/>
  <c r="CF204" i="1"/>
  <c r="CF233" i="1" s="1"/>
  <c r="CF232" i="1" s="1"/>
  <c r="CG166" i="1"/>
  <c r="CF169" i="1"/>
  <c r="CA197" i="1"/>
  <c r="BZ204" i="1"/>
  <c r="BZ233" i="1" s="1"/>
  <c r="BZ232" i="1" s="1"/>
  <c r="BZ183" i="1"/>
  <c r="BZ187" i="1" s="1"/>
  <c r="CA177" i="1"/>
  <c r="CB183" i="1"/>
  <c r="CF209" i="1"/>
  <c r="BL183" i="1"/>
  <c r="CF183" i="1"/>
  <c r="CF187" i="1" s="1"/>
  <c r="CC177" i="1"/>
  <c r="CB177" i="1"/>
  <c r="CE250" i="1"/>
  <c r="BZ177" i="1"/>
  <c r="CB204" i="1"/>
  <c r="CB233" i="1" s="1"/>
  <c r="CB232" i="1" s="1"/>
  <c r="BL204" i="1"/>
  <c r="BL233" i="1" s="1"/>
  <c r="BL232" i="1" s="1"/>
  <c r="CD204" i="1"/>
  <c r="CD233" i="1" s="1"/>
  <c r="CD232" i="1" s="1"/>
  <c r="CB169" i="1"/>
  <c r="CD177" i="1"/>
  <c r="BM191" i="1"/>
  <c r="BL196" i="1"/>
  <c r="CE191" i="1"/>
  <c r="CD196" i="1"/>
  <c r="CC191" i="1"/>
  <c r="CB196" i="1"/>
  <c r="CG191" i="1"/>
  <c r="CF196" i="1"/>
  <c r="CA191" i="1"/>
  <c r="BZ196" i="1"/>
  <c r="CA76" i="1"/>
  <c r="CA61" i="1"/>
  <c r="JK19" i="4"/>
  <c r="CE127" i="1" s="1"/>
  <c r="BL76" i="1"/>
  <c r="CC60" i="1"/>
  <c r="CC76" i="1"/>
  <c r="CI273" i="1"/>
  <c r="CF65" i="1"/>
  <c r="CG61" i="1"/>
  <c r="CJ60" i="1"/>
  <c r="BY76" i="1"/>
  <c r="JL20" i="4"/>
  <c r="CF128" i="1" s="1"/>
  <c r="BZ65" i="1"/>
  <c r="BZ27" i="1" s="1"/>
  <c r="CF76" i="1"/>
  <c r="Y107" i="1"/>
  <c r="JJ19" i="4"/>
  <c r="CD127" i="1" s="1"/>
  <c r="JM20" i="4"/>
  <c r="CG128" i="1" s="1"/>
  <c r="CD76" i="1"/>
  <c r="JM19" i="4"/>
  <c r="CG127" i="1" s="1"/>
  <c r="CE201" i="1"/>
  <c r="CE204" i="1" s="1"/>
  <c r="CE233" i="1" s="1"/>
  <c r="CE232" i="1" s="1"/>
  <c r="JJ20" i="4"/>
  <c r="CD128" i="1" s="1"/>
  <c r="JL19" i="4"/>
  <c r="CF127" i="1" s="1"/>
  <c r="JK20" i="4"/>
  <c r="CE128" i="1" s="1"/>
  <c r="CD236" i="1"/>
  <c r="CD60" i="1"/>
  <c r="BZ61" i="1"/>
  <c r="CD273" i="1"/>
  <c r="BZ76" i="1"/>
  <c r="CE192" i="1"/>
  <c r="CE236" i="1"/>
  <c r="CG236" i="1"/>
  <c r="CF60" i="1"/>
  <c r="CH273" i="1"/>
  <c r="CJ236" i="1"/>
  <c r="CE76" i="1"/>
  <c r="CC65" i="1"/>
  <c r="CC27" i="1" s="1"/>
  <c r="CC26" i="1" s="1"/>
  <c r="CF273" i="1"/>
  <c r="CB61" i="1"/>
  <c r="Z107" i="1"/>
  <c r="CE60" i="1"/>
  <c r="CG273" i="1"/>
  <c r="CF61" i="1"/>
  <c r="CF236" i="1"/>
  <c r="CE273" i="1"/>
  <c r="CC61" i="1"/>
  <c r="CC273" i="1"/>
  <c r="CE193" i="1"/>
  <c r="CB76" i="1"/>
  <c r="CD61" i="1"/>
  <c r="CH60" i="1"/>
  <c r="CI236" i="1"/>
  <c r="CE65" i="1"/>
  <c r="CI60" i="1"/>
  <c r="CG60" i="1"/>
  <c r="CE61" i="1"/>
  <c r="CH236" i="1"/>
  <c r="CA250" i="1"/>
  <c r="CT228" i="1"/>
  <c r="V279" i="1"/>
  <c r="W279" i="1"/>
  <c r="U279" i="1"/>
  <c r="AA253" i="1" l="1"/>
  <c r="CK26" i="1"/>
  <c r="CK157" i="1"/>
  <c r="CK156" i="1"/>
  <c r="AA298" i="1"/>
  <c r="AA299" i="1" s="1"/>
  <c r="AA79" i="1"/>
  <c r="CF40" i="1"/>
  <c r="AA108" i="1"/>
  <c r="CL153" i="1"/>
  <c r="CL145" i="1"/>
  <c r="CL157" i="1"/>
  <c r="CL160" i="1" s="1"/>
  <c r="CI157" i="1"/>
  <c r="Y46" i="1"/>
  <c r="Y50" i="1"/>
  <c r="Z46" i="1"/>
  <c r="Z50" i="1"/>
  <c r="CF46" i="1"/>
  <c r="CF50" i="1"/>
  <c r="CL46" i="1"/>
  <c r="CL50" i="1"/>
  <c r="CK46" i="1"/>
  <c r="CK50" i="1"/>
  <c r="CG46" i="1"/>
  <c r="CG50" i="1"/>
  <c r="CH27" i="1"/>
  <c r="CH40" i="1"/>
  <c r="CL29" i="1"/>
  <c r="CL28" i="1" s="1"/>
  <c r="CL41" i="1"/>
  <c r="CJ27" i="1"/>
  <c r="CJ26" i="1" s="1"/>
  <c r="CJ40" i="1"/>
  <c r="CE27" i="1"/>
  <c r="CE26" i="1" s="1"/>
  <c r="CE40" i="1"/>
  <c r="CK29" i="1"/>
  <c r="CK28" i="1" s="1"/>
  <c r="CK41" i="1"/>
  <c r="CI27" i="1"/>
  <c r="CI26" i="1" s="1"/>
  <c r="CI40" i="1"/>
  <c r="X27" i="1"/>
  <c r="X26" i="1" s="1"/>
  <c r="X40" i="1"/>
  <c r="Z29" i="1"/>
  <c r="Z28" i="1" s="1"/>
  <c r="Z41" i="1"/>
  <c r="CM76" i="1"/>
  <c r="CN76" i="1" s="1"/>
  <c r="CO76" i="1" s="1"/>
  <c r="CK153" i="1"/>
  <c r="CF77" i="1"/>
  <c r="CF27" i="1"/>
  <c r="CB66" i="1"/>
  <c r="CB27" i="1"/>
  <c r="BL26" i="1"/>
  <c r="Y77" i="1"/>
  <c r="Y27" i="1"/>
  <c r="Y26" i="1" s="1"/>
  <c r="CK67" i="1"/>
  <c r="CG27" i="1"/>
  <c r="CG26" i="1" s="1"/>
  <c r="CG77" i="1"/>
  <c r="CA26" i="1"/>
  <c r="CD26" i="1"/>
  <c r="CH25" i="1"/>
  <c r="CG66" i="1"/>
  <c r="BZ26" i="1"/>
  <c r="CG22" i="1"/>
  <c r="BY66" i="1"/>
  <c r="BY27" i="1"/>
  <c r="Z67" i="1"/>
  <c r="CJ214" i="1"/>
  <c r="Y66" i="1"/>
  <c r="AB94" i="1"/>
  <c r="Y251" i="1"/>
  <c r="Y249" i="1" s="1"/>
  <c r="CK22" i="1"/>
  <c r="X294" i="1"/>
  <c r="Y214" i="1"/>
  <c r="X213" i="1"/>
  <c r="X214" i="1" s="1"/>
  <c r="CM232" i="1"/>
  <c r="CK233" i="1"/>
  <c r="CJ151" i="1"/>
  <c r="CJ153" i="1"/>
  <c r="CJ152" i="1"/>
  <c r="CJ254" i="1"/>
  <c r="CI254" i="1"/>
  <c r="CI297" i="1"/>
  <c r="CH216" i="1"/>
  <c r="CH178" i="1"/>
  <c r="CJ234" i="1"/>
  <c r="CJ229" i="1"/>
  <c r="CK229" i="1" s="1"/>
  <c r="CK230" i="1" s="1"/>
  <c r="CL83" i="1"/>
  <c r="CL87" i="1" s="1"/>
  <c r="CL78" i="1"/>
  <c r="CL298" i="1"/>
  <c r="CL299" i="1" s="1"/>
  <c r="CL280" i="1"/>
  <c r="CL281" i="1" s="1"/>
  <c r="Y22" i="1"/>
  <c r="Z22" i="1"/>
  <c r="Y246" i="1"/>
  <c r="CH67" i="1"/>
  <c r="CG204" i="1"/>
  <c r="CG196" i="1"/>
  <c r="CC68" i="1"/>
  <c r="CL80" i="1"/>
  <c r="CK78" i="1"/>
  <c r="CK83" i="1"/>
  <c r="CK87" i="1" s="1"/>
  <c r="CM21" i="1"/>
  <c r="CM57" i="1" s="1"/>
  <c r="CI22" i="1"/>
  <c r="CI66" i="1"/>
  <c r="CI77" i="1"/>
  <c r="CJ68" i="1"/>
  <c r="Y67" i="1"/>
  <c r="X77" i="1"/>
  <c r="X66" i="1"/>
  <c r="CL67" i="1"/>
  <c r="CH66" i="1"/>
  <c r="CH77" i="1"/>
  <c r="CI68" i="1"/>
  <c r="CH68" i="1"/>
  <c r="CI233" i="1"/>
  <c r="CI200" i="1"/>
  <c r="Z205" i="1"/>
  <c r="Z233" i="1"/>
  <c r="Z245" i="1"/>
  <c r="Z246" i="1" s="1"/>
  <c r="CJ66" i="1"/>
  <c r="CN66" i="1" s="1"/>
  <c r="CJ77" i="1"/>
  <c r="CK68" i="1"/>
  <c r="CN21" i="1"/>
  <c r="CN57" i="1" s="1"/>
  <c r="CJ22" i="1"/>
  <c r="CH230" i="1"/>
  <c r="CH205" i="1"/>
  <c r="Y229" i="1"/>
  <c r="Y234" i="1"/>
  <c r="Y237" i="1" s="1"/>
  <c r="Y238" i="1" s="1"/>
  <c r="CA66" i="1"/>
  <c r="CA77" i="1"/>
  <c r="CA29" i="1" s="1"/>
  <c r="CA28" i="1" s="1"/>
  <c r="CJ144" i="1"/>
  <c r="CJ145" i="1"/>
  <c r="Z187" i="1"/>
  <c r="AA251" i="1" s="1"/>
  <c r="AA249" i="1" s="1"/>
  <c r="Z82" i="1"/>
  <c r="CK152" i="1"/>
  <c r="CH183" i="1"/>
  <c r="CI180" i="1"/>
  <c r="CI183" i="1" s="1"/>
  <c r="CN95" i="1"/>
  <c r="CO95" i="1" s="1"/>
  <c r="CP95" i="1" s="1"/>
  <c r="CQ95" i="1" s="1"/>
  <c r="CE68" i="1"/>
  <c r="BL66" i="1"/>
  <c r="BL77" i="1"/>
  <c r="CI151" i="1"/>
  <c r="CI152" i="1"/>
  <c r="CI153" i="1"/>
  <c r="CH22" i="1"/>
  <c r="CD22" i="1"/>
  <c r="CD67" i="1"/>
  <c r="CD77" i="1"/>
  <c r="CB68" i="1"/>
  <c r="CD66" i="1"/>
  <c r="CC22" i="1"/>
  <c r="CE22" i="1"/>
  <c r="CF22" i="1"/>
  <c r="BY77" i="1"/>
  <c r="BY29" i="1" s="1"/>
  <c r="CB77" i="1"/>
  <c r="CB83" i="1" s="1"/>
  <c r="CB87" i="1" s="1"/>
  <c r="CH143" i="1"/>
  <c r="CH145" i="1"/>
  <c r="CH144" i="1"/>
  <c r="CN231" i="1"/>
  <c r="CC250" i="1"/>
  <c r="CN189" i="1"/>
  <c r="CY182" i="1"/>
  <c r="CZ182" i="1" s="1"/>
  <c r="DA182" i="1" s="1"/>
  <c r="DB182" i="1" s="1"/>
  <c r="AE182" i="1" s="1"/>
  <c r="AD182" i="1"/>
  <c r="CN173" i="1"/>
  <c r="CM177" i="1"/>
  <c r="CH157" i="1"/>
  <c r="CH156" i="1"/>
  <c r="CH148" i="1"/>
  <c r="Z83" i="1"/>
  <c r="Z78" i="1"/>
  <c r="Z161" i="1"/>
  <c r="Z280" i="1"/>
  <c r="Z281" i="1" s="1"/>
  <c r="CN227" i="1"/>
  <c r="CF112" i="1"/>
  <c r="CG114" i="1"/>
  <c r="CG148" i="1" s="1"/>
  <c r="CG151" i="1" s="1"/>
  <c r="CG297" i="1"/>
  <c r="CH250" i="1"/>
  <c r="CG250" i="1"/>
  <c r="CA257" i="1"/>
  <c r="BZ296" i="1"/>
  <c r="CT174" i="1"/>
  <c r="CD254" i="1"/>
  <c r="CF297" i="1"/>
  <c r="BM257" i="1"/>
  <c r="BL296" i="1"/>
  <c r="CF254" i="1"/>
  <c r="CF178" i="1"/>
  <c r="BL178" i="1"/>
  <c r="BL216" i="1"/>
  <c r="BL158" i="1" s="1"/>
  <c r="CA82" i="1"/>
  <c r="CA183" i="1"/>
  <c r="CB187" i="1"/>
  <c r="CC82" i="1"/>
  <c r="CC183" i="1"/>
  <c r="BZ216" i="1"/>
  <c r="BZ178" i="1"/>
  <c r="CD187" i="1"/>
  <c r="CE183" i="1"/>
  <c r="CE257" i="1"/>
  <c r="CD296" i="1"/>
  <c r="CA297" i="1"/>
  <c r="CA254" i="1"/>
  <c r="BM254" i="1"/>
  <c r="BM297" i="1"/>
  <c r="CG257" i="1"/>
  <c r="CF216" i="1"/>
  <c r="CF296" i="1"/>
  <c r="BM183" i="1"/>
  <c r="BM187" i="1" s="1"/>
  <c r="BL187" i="1"/>
  <c r="BL294" i="1" s="1"/>
  <c r="CG82" i="1"/>
  <c r="CG183" i="1"/>
  <c r="CH297" i="1"/>
  <c r="CH254" i="1"/>
  <c r="CG254" i="1"/>
  <c r="CB297" i="1"/>
  <c r="CB178" i="1"/>
  <c r="CB216" i="1"/>
  <c r="CB254" i="1"/>
  <c r="CB296" i="1"/>
  <c r="CC297" i="1"/>
  <c r="CC254" i="1"/>
  <c r="CE254" i="1"/>
  <c r="CD297" i="1"/>
  <c r="CD178" i="1"/>
  <c r="CD216" i="1"/>
  <c r="CE297" i="1"/>
  <c r="BL230" i="1"/>
  <c r="BL205" i="1"/>
  <c r="CD230" i="1"/>
  <c r="CD205" i="1"/>
  <c r="CB230" i="1"/>
  <c r="CB205" i="1"/>
  <c r="CF230" i="1"/>
  <c r="CF205" i="1"/>
  <c r="CF213" i="1" s="1"/>
  <c r="BZ230" i="1"/>
  <c r="BZ205" i="1"/>
  <c r="BZ213" i="1" s="1"/>
  <c r="BZ68" i="1"/>
  <c r="BZ77" i="1"/>
  <c r="BZ29" i="1" s="1"/>
  <c r="BZ28" i="1" s="1"/>
  <c r="BZ66" i="1"/>
  <c r="CA68" i="1"/>
  <c r="CJ67" i="1"/>
  <c r="CF66" i="1"/>
  <c r="CG68" i="1"/>
  <c r="CF67" i="1"/>
  <c r="BZ294" i="1"/>
  <c r="CF294" i="1"/>
  <c r="CF292" i="1"/>
  <c r="CG67" i="1"/>
  <c r="CC66" i="1"/>
  <c r="Y108" i="1"/>
  <c r="CC77" i="1"/>
  <c r="CD68" i="1"/>
  <c r="CC67" i="1"/>
  <c r="CE196" i="1"/>
  <c r="CE245" i="1"/>
  <c r="CF245" i="1"/>
  <c r="CF68" i="1"/>
  <c r="CE67" i="1"/>
  <c r="CI67" i="1"/>
  <c r="Z108" i="1"/>
  <c r="CE77" i="1"/>
  <c r="CE66" i="1"/>
  <c r="CU228" i="1"/>
  <c r="AB198" i="1"/>
  <c r="A1" i="1"/>
  <c r="AA109" i="1" l="1"/>
  <c r="AA261" i="1"/>
  <c r="AA258" i="1"/>
  <c r="AA259" i="1" s="1"/>
  <c r="CH26" i="1"/>
  <c r="CI46" i="1"/>
  <c r="CI50" i="1"/>
  <c r="CL47" i="1"/>
  <c r="CL51" i="1"/>
  <c r="CK47" i="1"/>
  <c r="CK51" i="1"/>
  <c r="CH46" i="1"/>
  <c r="CH50" i="1"/>
  <c r="Z47" i="1"/>
  <c r="Z51" i="1"/>
  <c r="CE46" i="1"/>
  <c r="CE50" i="1"/>
  <c r="X46" i="1"/>
  <c r="X50" i="1"/>
  <c r="CJ46" i="1"/>
  <c r="CJ50" i="1"/>
  <c r="CG29" i="1"/>
  <c r="CG41" i="1"/>
  <c r="CJ29" i="1"/>
  <c r="CJ28" i="1" s="1"/>
  <c r="CJ41" i="1"/>
  <c r="CI29" i="1"/>
  <c r="CI28" i="1" s="1"/>
  <c r="CI41" i="1"/>
  <c r="CF29" i="1"/>
  <c r="CF28" i="1" s="1"/>
  <c r="CF41" i="1"/>
  <c r="CH29" i="1"/>
  <c r="CH28" i="1" s="1"/>
  <c r="CH41" i="1"/>
  <c r="CE29" i="1"/>
  <c r="CE28" i="1" s="1"/>
  <c r="CE41" i="1"/>
  <c r="Y29" i="1"/>
  <c r="Y41" i="1"/>
  <c r="X29" i="1"/>
  <c r="X28" i="1" s="1"/>
  <c r="X41" i="1"/>
  <c r="CF280" i="1"/>
  <c r="CF281" i="1" s="1"/>
  <c r="CG280" i="1"/>
  <c r="CG281" i="1" s="1"/>
  <c r="CG78" i="1"/>
  <c r="CG83" i="1"/>
  <c r="CG87" i="1" s="1"/>
  <c r="CF83" i="1"/>
  <c r="CF87" i="1" s="1"/>
  <c r="CG80" i="1"/>
  <c r="CF78" i="1"/>
  <c r="CG298" i="1"/>
  <c r="CG299" i="1" s="1"/>
  <c r="CQ21" i="1"/>
  <c r="CM25" i="1"/>
  <c r="CR21" i="1"/>
  <c r="CN25" i="1"/>
  <c r="Y78" i="1"/>
  <c r="Y280" i="1"/>
  <c r="Y281" i="1" s="1"/>
  <c r="CF79" i="1"/>
  <c r="Z79" i="1"/>
  <c r="Y161" i="1"/>
  <c r="Y83" i="1"/>
  <c r="Y87" i="1" s="1"/>
  <c r="Z298" i="1"/>
  <c r="Z299" i="1" s="1"/>
  <c r="BY28" i="1"/>
  <c r="CD78" i="1"/>
  <c r="CD29" i="1"/>
  <c r="CD28" i="1" s="1"/>
  <c r="BL83" i="1"/>
  <c r="BL87" i="1" s="1"/>
  <c r="BL90" i="1" s="1"/>
  <c r="BL29" i="1"/>
  <c r="BL28" i="1" s="1"/>
  <c r="CB78" i="1"/>
  <c r="CB29" i="1"/>
  <c r="CB28" i="1" s="1"/>
  <c r="AB95" i="1"/>
  <c r="BY26" i="1"/>
  <c r="CK79" i="1"/>
  <c r="CP21" i="1"/>
  <c r="CL25" i="1"/>
  <c r="CL26" i="1" s="1"/>
  <c r="CB26" i="1"/>
  <c r="CF26" i="1"/>
  <c r="CC83" i="1"/>
  <c r="CC87" i="1" s="1"/>
  <c r="CC90" i="1" s="1"/>
  <c r="CC29" i="1"/>
  <c r="CC28" i="1" s="1"/>
  <c r="CD280" i="1"/>
  <c r="CD281" i="1" s="1"/>
  <c r="AC94" i="1"/>
  <c r="CK234" i="1"/>
  <c r="CN232" i="1"/>
  <c r="CO232" i="1" s="1"/>
  <c r="CP232" i="1" s="1"/>
  <c r="CQ232" i="1" s="1"/>
  <c r="CR232" i="1" s="1"/>
  <c r="CS232" i="1" s="1"/>
  <c r="CT232" i="1" s="1"/>
  <c r="CU232" i="1" s="1"/>
  <c r="CV232" i="1" s="1"/>
  <c r="CW232" i="1" s="1"/>
  <c r="CX232" i="1" s="1"/>
  <c r="CY232" i="1" s="1"/>
  <c r="CZ232" i="1" s="1"/>
  <c r="DA232" i="1" s="1"/>
  <c r="DB232" i="1" s="1"/>
  <c r="CM233" i="1"/>
  <c r="CH158" i="1"/>
  <c r="CH159" i="1" s="1"/>
  <c r="CI86" i="1"/>
  <c r="AE94" i="1"/>
  <c r="CA280" i="1"/>
  <c r="CA281" i="1" s="1"/>
  <c r="CA83" i="1"/>
  <c r="CA87" i="1" s="1"/>
  <c r="CA78" i="1"/>
  <c r="CL89" i="1"/>
  <c r="CL90" i="1"/>
  <c r="CL43" i="1" s="1"/>
  <c r="CL45" i="1" s="1"/>
  <c r="CL274" i="1"/>
  <c r="CL161" i="1"/>
  <c r="CJ280" i="1"/>
  <c r="CJ281" i="1" s="1"/>
  <c r="CJ78" i="1"/>
  <c r="CJ83" i="1"/>
  <c r="CJ87" i="1" s="1"/>
  <c r="CK80" i="1"/>
  <c r="Z213" i="1"/>
  <c r="Z214" i="1" s="1"/>
  <c r="CG233" i="1"/>
  <c r="CH245" i="1"/>
  <c r="CG245" i="1"/>
  <c r="CG230" i="1"/>
  <c r="CG229" i="1" s="1"/>
  <c r="CH244" i="1"/>
  <c r="CG244" i="1"/>
  <c r="CG205" i="1"/>
  <c r="CK89" i="1"/>
  <c r="CK90" i="1"/>
  <c r="CK43" i="1" s="1"/>
  <c r="CK45" i="1" s="1"/>
  <c r="CI298" i="1"/>
  <c r="CI299" i="1" s="1"/>
  <c r="CI280" i="1"/>
  <c r="CI281" i="1" s="1"/>
  <c r="CI78" i="1"/>
  <c r="CI83" i="1"/>
  <c r="CJ80" i="1"/>
  <c r="Y298" i="1"/>
  <c r="Y299" i="1" s="1"/>
  <c r="X78" i="1"/>
  <c r="Y79" i="1"/>
  <c r="X83" i="1"/>
  <c r="X280" i="1"/>
  <c r="X281" i="1" s="1"/>
  <c r="X161" i="1"/>
  <c r="CL79" i="1"/>
  <c r="CK161" i="1"/>
  <c r="CH80" i="1"/>
  <c r="CJ161" i="1"/>
  <c r="CJ274" i="1"/>
  <c r="CI80" i="1"/>
  <c r="CH78" i="1"/>
  <c r="CH298" i="1"/>
  <c r="CH299" i="1" s="1"/>
  <c r="CI161" i="1"/>
  <c r="CH280" i="1"/>
  <c r="CH281" i="1" s="1"/>
  <c r="CI274" i="1"/>
  <c r="CH83" i="1"/>
  <c r="CH87" i="1" s="1"/>
  <c r="CH90" i="1" s="1"/>
  <c r="CH43" i="1" s="1"/>
  <c r="CH45" i="1" s="1"/>
  <c r="Z232" i="1"/>
  <c r="Z234" i="1"/>
  <c r="CJ79" i="1"/>
  <c r="CJ298" i="1"/>
  <c r="CJ299" i="1" s="1"/>
  <c r="CH229" i="1"/>
  <c r="CI229" i="1" s="1"/>
  <c r="CI230" i="1" s="1"/>
  <c r="CH234" i="1"/>
  <c r="CL237" i="1" s="1"/>
  <c r="CB298" i="1"/>
  <c r="CB299" i="1" s="1"/>
  <c r="CB80" i="1"/>
  <c r="CI187" i="1"/>
  <c r="CJ251" i="1" s="1"/>
  <c r="CJ249" i="1" s="1"/>
  <c r="CJ82" i="1"/>
  <c r="CB280" i="1"/>
  <c r="CB281" i="1" s="1"/>
  <c r="CH187" i="1"/>
  <c r="CI82" i="1"/>
  <c r="Z292" i="1"/>
  <c r="Z251" i="1"/>
  <c r="Z249" i="1" s="1"/>
  <c r="Z294" i="1"/>
  <c r="BL78" i="1"/>
  <c r="CR95" i="1"/>
  <c r="CS95" i="1" s="1"/>
  <c r="CT95" i="1" s="1"/>
  <c r="CU95" i="1" s="1"/>
  <c r="CG274" i="1"/>
  <c r="CH79" i="1"/>
  <c r="CD83" i="1"/>
  <c r="BY83" i="1"/>
  <c r="BY87" i="1" s="1"/>
  <c r="BY78" i="1"/>
  <c r="CG152" i="1"/>
  <c r="CG153" i="1"/>
  <c r="CG157" i="1"/>
  <c r="CP76" i="1"/>
  <c r="CM229" i="1"/>
  <c r="CH151" i="1"/>
  <c r="CH152" i="1"/>
  <c r="CH153" i="1"/>
  <c r="CO189" i="1"/>
  <c r="CP189" i="1" s="1"/>
  <c r="CK242" i="1"/>
  <c r="CK181" i="1"/>
  <c r="CE112" i="1"/>
  <c r="CF114" i="1"/>
  <c r="CG156" i="1"/>
  <c r="CO227" i="1"/>
  <c r="CO231" i="1"/>
  <c r="CM297" i="1"/>
  <c r="CM254" i="1"/>
  <c r="Z104" i="1"/>
  <c r="Z87" i="1"/>
  <c r="CO173" i="1"/>
  <c r="CN177" i="1"/>
  <c r="CN250" i="1"/>
  <c r="CF214" i="1"/>
  <c r="CA187" i="1"/>
  <c r="CB82" i="1"/>
  <c r="CB213" i="1"/>
  <c r="CB214" i="1" s="1"/>
  <c r="CD213" i="1"/>
  <c r="CD214" i="1" s="1"/>
  <c r="CU174" i="1"/>
  <c r="CB294" i="1"/>
  <c r="CB292" i="1"/>
  <c r="CE187" i="1"/>
  <c r="CF82" i="1"/>
  <c r="BZ214" i="1"/>
  <c r="CD82" i="1"/>
  <c r="CC187" i="1"/>
  <c r="BZ158" i="1"/>
  <c r="CA86" i="1"/>
  <c r="CD292" i="1"/>
  <c r="CD294" i="1"/>
  <c r="CF158" i="1"/>
  <c r="CG86" i="1"/>
  <c r="CH82" i="1"/>
  <c r="CG187" i="1"/>
  <c r="CB158" i="1"/>
  <c r="CC86" i="1"/>
  <c r="CD158" i="1"/>
  <c r="CE86" i="1"/>
  <c r="CF229" i="1"/>
  <c r="CF234" i="1"/>
  <c r="CJ237" i="1" s="1"/>
  <c r="BL234" i="1"/>
  <c r="BL229" i="1"/>
  <c r="CD234" i="1"/>
  <c r="CD229" i="1"/>
  <c r="CB234" i="1"/>
  <c r="CB229" i="1"/>
  <c r="BZ229" i="1"/>
  <c r="BZ234" i="1"/>
  <c r="BZ78" i="1"/>
  <c r="BZ83" i="1"/>
  <c r="CA298" i="1"/>
  <c r="CA299" i="1" s="1"/>
  <c r="CA80" i="1"/>
  <c r="BZ280" i="1"/>
  <c r="BZ281" i="1" s="1"/>
  <c r="CD79" i="1"/>
  <c r="BZ80" i="1"/>
  <c r="BZ298" i="1"/>
  <c r="CB161" i="1"/>
  <c r="CD161" i="1"/>
  <c r="CC298" i="1"/>
  <c r="CC299" i="1" s="1"/>
  <c r="CE244" i="1"/>
  <c r="CE246" i="1" s="1"/>
  <c r="CE205" i="1"/>
  <c r="CC280" i="1"/>
  <c r="CC281" i="1" s="1"/>
  <c r="CG79" i="1"/>
  <c r="Y109" i="1"/>
  <c r="CC78" i="1"/>
  <c r="CC274" i="1"/>
  <c r="CD298" i="1"/>
  <c r="CD299" i="1" s="1"/>
  <c r="CC161" i="1"/>
  <c r="CD274" i="1"/>
  <c r="CC80" i="1"/>
  <c r="CD80" i="1"/>
  <c r="CC79" i="1"/>
  <c r="CE230" i="1"/>
  <c r="CF244" i="1"/>
  <c r="CF246" i="1" s="1"/>
  <c r="CF161" i="1"/>
  <c r="CE80" i="1"/>
  <c r="CE161" i="1"/>
  <c r="CE274" i="1"/>
  <c r="CB89" i="1"/>
  <c r="CB90" i="1"/>
  <c r="CE298" i="1"/>
  <c r="CE299" i="1" s="1"/>
  <c r="CF298" i="1"/>
  <c r="CF299" i="1" s="1"/>
  <c r="CE280" i="1"/>
  <c r="CE281" i="1" s="1"/>
  <c r="Z109" i="1"/>
  <c r="CE79" i="1"/>
  <c r="CH161" i="1"/>
  <c r="CE78" i="1"/>
  <c r="CG161" i="1"/>
  <c r="CE83" i="1"/>
  <c r="CH274" i="1"/>
  <c r="CF80" i="1"/>
  <c r="CI79" i="1"/>
  <c r="CF274" i="1"/>
  <c r="CV228" i="1"/>
  <c r="AC198" i="1"/>
  <c r="Z237" i="1" l="1"/>
  <c r="Z238" i="1" s="1"/>
  <c r="AA237" i="1"/>
  <c r="AA238" i="1" s="1"/>
  <c r="CG28" i="1"/>
  <c r="Y28" i="1"/>
  <c r="CH42" i="1"/>
  <c r="CK42" i="1"/>
  <c r="CL42" i="1"/>
  <c r="CF47" i="1"/>
  <c r="CF51" i="1"/>
  <c r="Y47" i="1"/>
  <c r="Y51" i="1"/>
  <c r="CI47" i="1"/>
  <c r="CI51" i="1"/>
  <c r="CE47" i="1"/>
  <c r="CE51" i="1"/>
  <c r="CJ47" i="1"/>
  <c r="CJ51" i="1"/>
  <c r="X47" i="1"/>
  <c r="X51" i="1"/>
  <c r="CH47" i="1"/>
  <c r="CH51" i="1"/>
  <c r="CG47" i="1"/>
  <c r="CG51" i="1"/>
  <c r="CN233" i="1"/>
  <c r="CH160" i="1"/>
  <c r="CT21" i="1"/>
  <c r="CP25" i="1"/>
  <c r="CV21" i="1"/>
  <c r="CR25" i="1"/>
  <c r="BL89" i="1"/>
  <c r="CU21" i="1"/>
  <c r="CQ25" i="1"/>
  <c r="CH89" i="1"/>
  <c r="CC89" i="1"/>
  <c r="Y104" i="1"/>
  <c r="CL92" i="1"/>
  <c r="CH246" i="1"/>
  <c r="AD94" i="1"/>
  <c r="CI194" i="1"/>
  <c r="CG246" i="1"/>
  <c r="CJ104" i="1"/>
  <c r="CA90" i="1"/>
  <c r="CB93" i="1" s="1"/>
  <c r="CA89" i="1"/>
  <c r="CL91" i="1"/>
  <c r="CL293" i="1" s="1"/>
  <c r="CL282" i="1"/>
  <c r="CL97" i="1"/>
  <c r="CL162" i="1"/>
  <c r="CL163" i="1"/>
  <c r="CJ89" i="1"/>
  <c r="CJ90" i="1"/>
  <c r="CJ43" i="1" s="1"/>
  <c r="CJ45" i="1" s="1"/>
  <c r="CL104" i="1"/>
  <c r="CI87" i="1"/>
  <c r="CG232" i="1"/>
  <c r="CG234" i="1"/>
  <c r="CL93" i="1"/>
  <c r="CK97" i="1"/>
  <c r="CK91" i="1"/>
  <c r="X87" i="1"/>
  <c r="X104" i="1"/>
  <c r="CK183" i="1"/>
  <c r="CL181" i="1"/>
  <c r="CL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H292" i="1"/>
  <c r="CH294" i="1"/>
  <c r="CH213" i="1"/>
  <c r="CH214" i="1" s="1"/>
  <c r="CI251" i="1"/>
  <c r="CI249" i="1" s="1"/>
  <c r="AC95" i="1"/>
  <c r="CV95" i="1"/>
  <c r="CW95" i="1" s="1"/>
  <c r="CX95" i="1" s="1"/>
  <c r="CY95" i="1" s="1"/>
  <c r="CD87" i="1"/>
  <c r="CD104" i="1"/>
  <c r="BY89" i="1"/>
  <c r="BY90" i="1"/>
  <c r="CC92" i="1" s="1"/>
  <c r="CO250" i="1"/>
  <c r="CQ76" i="1"/>
  <c r="CR76" i="1" s="1"/>
  <c r="CO66" i="1"/>
  <c r="CP227" i="1"/>
  <c r="CD112" i="1"/>
  <c r="CE114" i="1"/>
  <c r="CG90" i="1"/>
  <c r="CG89" i="1"/>
  <c r="Y90" i="1"/>
  <c r="Y43" i="1" s="1"/>
  <c r="Y45" i="1" s="1"/>
  <c r="Y89" i="1"/>
  <c r="CH282" i="1"/>
  <c r="CH97" i="1"/>
  <c r="CH91" i="1"/>
  <c r="CH293" i="1" s="1"/>
  <c r="CP231" i="1"/>
  <c r="CO233" i="1"/>
  <c r="CN297" i="1"/>
  <c r="CN254" i="1"/>
  <c r="CP173" i="1"/>
  <c r="CO177" i="1"/>
  <c r="Z90" i="1"/>
  <c r="Z89" i="1"/>
  <c r="CF148" i="1"/>
  <c r="CF157" i="1"/>
  <c r="CF160" i="1" s="1"/>
  <c r="CF163" i="1" s="1"/>
  <c r="CF141" i="1"/>
  <c r="CF156" i="1"/>
  <c r="CF159" i="1" s="1"/>
  <c r="CF162" i="1" s="1"/>
  <c r="CP250" i="1"/>
  <c r="CQ189" i="1"/>
  <c r="CN229" i="1"/>
  <c r="CM230" i="1"/>
  <c r="CM234" i="1" s="1"/>
  <c r="CA251" i="1"/>
  <c r="CA249" i="1" s="1"/>
  <c r="CB251" i="1"/>
  <c r="CB249" i="1" s="1"/>
  <c r="CE251" i="1"/>
  <c r="CE249" i="1" s="1"/>
  <c r="CF251" i="1"/>
  <c r="CF249" i="1" s="1"/>
  <c r="CH251" i="1"/>
  <c r="CH249" i="1" s="1"/>
  <c r="CG251" i="1"/>
  <c r="CG249" i="1" s="1"/>
  <c r="CV174" i="1"/>
  <c r="CD251" i="1"/>
  <c r="CD249" i="1" s="1"/>
  <c r="CC251" i="1"/>
  <c r="CC249" i="1" s="1"/>
  <c r="CF237" i="1"/>
  <c r="CD237" i="1"/>
  <c r="CH237" i="1"/>
  <c r="BZ87" i="1"/>
  <c r="CB104" i="1"/>
  <c r="CF90" i="1"/>
  <c r="CF89" i="1"/>
  <c r="CC282" i="1"/>
  <c r="CC97" i="1"/>
  <c r="CC91" i="1"/>
  <c r="CC293" i="1" s="1"/>
  <c r="CE229" i="1"/>
  <c r="CE234" i="1"/>
  <c r="CC93" i="1"/>
  <c r="CH162" i="1"/>
  <c r="CF104" i="1"/>
  <c r="CH104" i="1"/>
  <c r="CE87" i="1"/>
  <c r="CB97" i="1"/>
  <c r="CB282" i="1"/>
  <c r="CB91" i="1"/>
  <c r="CB293" i="1" s="1"/>
  <c r="BL97" i="1"/>
  <c r="BL91" i="1"/>
  <c r="BL293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W228" i="1"/>
  <c r="AE198" i="1"/>
  <c r="AD198" i="1"/>
  <c r="Z43" i="1" l="1"/>
  <c r="Z45" i="1" s="1"/>
  <c r="AA92" i="1"/>
  <c r="CH163" i="1"/>
  <c r="CJ42" i="1"/>
  <c r="CF282" i="1"/>
  <c r="CF43" i="1"/>
  <c r="CK92" i="1"/>
  <c r="CG43" i="1"/>
  <c r="CY21" i="1"/>
  <c r="CY25" i="1" s="1"/>
  <c r="CU25" i="1"/>
  <c r="CV25" i="1"/>
  <c r="CZ21" i="1"/>
  <c r="CZ25" i="1" s="1"/>
  <c r="CX21" i="1"/>
  <c r="CX25" i="1" s="1"/>
  <c r="CT25" i="1"/>
  <c r="CG92" i="1"/>
  <c r="AD95" i="1"/>
  <c r="CA91" i="1"/>
  <c r="CA293" i="1" s="1"/>
  <c r="CA282" i="1"/>
  <c r="CA97" i="1"/>
  <c r="CK101" i="1"/>
  <c r="CK115" i="1"/>
  <c r="X90" i="1"/>
  <c r="X89" i="1"/>
  <c r="CL101" i="1"/>
  <c r="CL115" i="1"/>
  <c r="CL241" i="1"/>
  <c r="CL243" i="1" s="1"/>
  <c r="CJ97" i="1"/>
  <c r="CJ282" i="1"/>
  <c r="CJ91" i="1"/>
  <c r="CJ293" i="1" s="1"/>
  <c r="CK93" i="1"/>
  <c r="CI89" i="1"/>
  <c r="CI90" i="1"/>
  <c r="CL82" i="1"/>
  <c r="CM82" i="1" s="1"/>
  <c r="CN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K187" i="1"/>
  <c r="CZ95" i="1"/>
  <c r="DA95" i="1" s="1"/>
  <c r="DB95" i="1" s="1"/>
  <c r="CD89" i="1"/>
  <c r="CD90" i="1"/>
  <c r="BY91" i="1"/>
  <c r="BY293" i="1" s="1"/>
  <c r="BY97" i="1"/>
  <c r="CS76" i="1"/>
  <c r="CT76" i="1" s="1"/>
  <c r="CP66" i="1"/>
  <c r="CQ66" i="1" s="1"/>
  <c r="CF151" i="1"/>
  <c r="CF153" i="1"/>
  <c r="CF152" i="1"/>
  <c r="CQ173" i="1"/>
  <c r="CP177" i="1"/>
  <c r="CQ231" i="1"/>
  <c r="CP233" i="1"/>
  <c r="CG282" i="1"/>
  <c r="CG97" i="1"/>
  <c r="CH93" i="1"/>
  <c r="CG91" i="1"/>
  <c r="CG293" i="1" s="1"/>
  <c r="CO229" i="1"/>
  <c r="CN230" i="1"/>
  <c r="CN234" i="1" s="1"/>
  <c r="Z97" i="1"/>
  <c r="Z91" i="1"/>
  <c r="Z293" i="1" s="1"/>
  <c r="Z282" i="1"/>
  <c r="CH101" i="1"/>
  <c r="CH241" i="1"/>
  <c r="CH243" i="1" s="1"/>
  <c r="CH247" i="1" s="1"/>
  <c r="CH261" i="1" s="1"/>
  <c r="CH115" i="1"/>
  <c r="CQ250" i="1"/>
  <c r="CR189" i="1"/>
  <c r="CE148" i="1"/>
  <c r="CE157" i="1"/>
  <c r="CE156" i="1"/>
  <c r="CC112" i="1"/>
  <c r="CD114" i="1"/>
  <c r="CF143" i="1"/>
  <c r="CF145" i="1"/>
  <c r="CF144" i="1"/>
  <c r="Y282" i="1"/>
  <c r="Z92" i="1"/>
  <c r="Y91" i="1"/>
  <c r="Y293" i="1" s="1"/>
  <c r="Y97" i="1"/>
  <c r="CQ227" i="1"/>
  <c r="CO297" i="1"/>
  <c r="CO254" i="1"/>
  <c r="CW174" i="1"/>
  <c r="CF92" i="1"/>
  <c r="CF91" i="1"/>
  <c r="CF293" i="1" s="1"/>
  <c r="BZ90" i="1"/>
  <c r="BZ89" i="1"/>
  <c r="CJ92" i="1"/>
  <c r="CG93" i="1"/>
  <c r="CF97" i="1"/>
  <c r="CC101" i="1"/>
  <c r="CC168" i="1"/>
  <c r="CC169" i="1" s="1"/>
  <c r="CC241" i="1"/>
  <c r="CC243" i="1" s="1"/>
  <c r="CB101" i="1"/>
  <c r="CB241" i="1"/>
  <c r="CB243" i="1" s="1"/>
  <c r="CE90" i="1"/>
  <c r="CE43" i="1" s="1"/>
  <c r="CE89" i="1"/>
  <c r="BL241" i="1"/>
  <c r="BL243" i="1" s="1"/>
  <c r="BL101" i="1"/>
  <c r="CX228" i="1"/>
  <c r="AB175" i="1"/>
  <c r="AB185" i="1"/>
  <c r="AB184" i="1"/>
  <c r="AB176" i="1"/>
  <c r="AB171" i="1"/>
  <c r="AB199" i="1"/>
  <c r="AB191" i="1"/>
  <c r="AB167" i="1"/>
  <c r="CI43" i="1" l="1"/>
  <c r="AA110" i="1"/>
  <c r="CI45" i="1"/>
  <c r="CI42" i="1"/>
  <c r="CG45" i="1"/>
  <c r="CG42" i="1"/>
  <c r="CF45" i="1"/>
  <c r="CF42" i="1"/>
  <c r="CE45" i="1"/>
  <c r="CE42" i="1"/>
  <c r="X282" i="1"/>
  <c r="X43" i="1"/>
  <c r="X45" i="1" s="1"/>
  <c r="DB21" i="1"/>
  <c r="DB25" i="1" s="1"/>
  <c r="X97" i="1"/>
  <c r="X103" i="1" s="1"/>
  <c r="Y92" i="1"/>
  <c r="X91" i="1"/>
  <c r="X293" i="1" s="1"/>
  <c r="AE95" i="1"/>
  <c r="CA101" i="1"/>
  <c r="CA168" i="1"/>
  <c r="CA169" i="1" s="1"/>
  <c r="CA241" i="1"/>
  <c r="CA243" i="1" s="1"/>
  <c r="CJ241" i="1"/>
  <c r="CJ243" i="1" s="1"/>
  <c r="CJ115" i="1"/>
  <c r="CJ101" i="1"/>
  <c r="CI282" i="1"/>
  <c r="CI91" i="1"/>
  <c r="CI293" i="1" s="1"/>
  <c r="CJ93" i="1"/>
  <c r="CI97" i="1"/>
  <c r="CJ103" i="1" s="1"/>
  <c r="CI93" i="1"/>
  <c r="CL275" i="1"/>
  <c r="CL251" i="1"/>
  <c r="CL249" i="1" s="1"/>
  <c r="CK251" i="1"/>
  <c r="CK249" i="1" s="1"/>
  <c r="AB180" i="1"/>
  <c r="CJ275" i="1"/>
  <c r="CI275" i="1"/>
  <c r="CD275" i="1"/>
  <c r="CD93" i="1"/>
  <c r="Y110" i="1"/>
  <c r="BY241" i="1"/>
  <c r="BY243" i="1" s="1"/>
  <c r="BY101" i="1"/>
  <c r="CH92" i="1"/>
  <c r="CD97" i="1"/>
  <c r="CD115" i="1" s="1"/>
  <c r="CD91" i="1"/>
  <c r="CD293" i="1" s="1"/>
  <c r="CD282" i="1"/>
  <c r="CP57" i="1"/>
  <c r="CR66" i="1"/>
  <c r="CU76" i="1"/>
  <c r="CR231" i="1"/>
  <c r="CQ233" i="1"/>
  <c r="CP297" i="1"/>
  <c r="CP254" i="1"/>
  <c r="CE151" i="1"/>
  <c r="CE152" i="1"/>
  <c r="CE153" i="1"/>
  <c r="CR173" i="1"/>
  <c r="CQ177" i="1"/>
  <c r="CR250" i="1"/>
  <c r="CS189" i="1"/>
  <c r="Z241" i="1"/>
  <c r="Z243" i="1" s="1"/>
  <c r="Z247" i="1" s="1"/>
  <c r="Z261" i="1" s="1"/>
  <c r="Z255" i="1"/>
  <c r="Z253" i="1" s="1"/>
  <c r="Z103" i="1"/>
  <c r="Z101" i="1"/>
  <c r="CR227" i="1"/>
  <c r="CD148" i="1"/>
  <c r="CD157" i="1"/>
  <c r="CD160" i="1" s="1"/>
  <c r="CD163" i="1" s="1"/>
  <c r="CD156" i="1"/>
  <c r="CD159" i="1" s="1"/>
  <c r="CD162" i="1" s="1"/>
  <c r="CD141" i="1"/>
  <c r="Y241" i="1"/>
  <c r="Y243" i="1" s="1"/>
  <c r="Y247" i="1" s="1"/>
  <c r="Y261" i="1" s="1"/>
  <c r="Y255" i="1"/>
  <c r="Y253" i="1" s="1"/>
  <c r="Y103" i="1"/>
  <c r="Y101" i="1"/>
  <c r="CB112" i="1"/>
  <c r="CC114" i="1"/>
  <c r="CC141" i="1" s="1"/>
  <c r="CP229" i="1"/>
  <c r="CO230" i="1"/>
  <c r="CO234" i="1" s="1"/>
  <c r="CG241" i="1"/>
  <c r="CG243" i="1" s="1"/>
  <c r="CG247" i="1" s="1"/>
  <c r="CG261" i="1" s="1"/>
  <c r="CG101" i="1"/>
  <c r="CG115" i="1"/>
  <c r="CG168" i="1"/>
  <c r="CG169" i="1" s="1"/>
  <c r="CX174" i="1"/>
  <c r="BZ91" i="1"/>
  <c r="BZ293" i="1" s="1"/>
  <c r="BZ93" i="1"/>
  <c r="CC275" i="1"/>
  <c r="BZ97" i="1"/>
  <c r="CC103" i="1" s="1"/>
  <c r="BZ282" i="1"/>
  <c r="CD92" i="1"/>
  <c r="CA93" i="1"/>
  <c r="CF241" i="1"/>
  <c r="CF243" i="1" s="1"/>
  <c r="CF247" i="1" s="1"/>
  <c r="CF261" i="1" s="1"/>
  <c r="CF101" i="1"/>
  <c r="CF115" i="1"/>
  <c r="CC178" i="1"/>
  <c r="CC104" i="1" s="1"/>
  <c r="CC255" i="1"/>
  <c r="CC253" i="1" s="1"/>
  <c r="CG275" i="1"/>
  <c r="CI92" i="1"/>
  <c r="CH275" i="1"/>
  <c r="CE93" i="1"/>
  <c r="CE91" i="1"/>
  <c r="CE293" i="1" s="1"/>
  <c r="CE92" i="1"/>
  <c r="CF93" i="1"/>
  <c r="CE97" i="1"/>
  <c r="CF275" i="1"/>
  <c r="CE275" i="1"/>
  <c r="Z110" i="1"/>
  <c r="CE282" i="1"/>
  <c r="CY228" i="1"/>
  <c r="AC185" i="1"/>
  <c r="AC175" i="1"/>
  <c r="AB212" i="1"/>
  <c r="AC171" i="1"/>
  <c r="AC199" i="1"/>
  <c r="AB195" i="1"/>
  <c r="AB202" i="1"/>
  <c r="AC191" i="1"/>
  <c r="AC176" i="1"/>
  <c r="AB203" i="1"/>
  <c r="AC167" i="1"/>
  <c r="AC184" i="1"/>
  <c r="X101" i="1" l="1"/>
  <c r="X241" i="1"/>
  <c r="X243" i="1" s="1"/>
  <c r="CB255" i="1"/>
  <c r="CB253" i="1" s="1"/>
  <c r="CA178" i="1"/>
  <c r="CA255" i="1"/>
  <c r="CA253" i="1" s="1"/>
  <c r="CI241" i="1"/>
  <c r="CI243" i="1" s="1"/>
  <c r="CI101" i="1"/>
  <c r="CI115" i="1"/>
  <c r="CI118" i="1" s="1"/>
  <c r="CI168" i="1"/>
  <c r="CI169" i="1" s="1"/>
  <c r="CL103" i="1"/>
  <c r="AC180" i="1"/>
  <c r="CD255" i="1"/>
  <c r="CD253" i="1" s="1"/>
  <c r="CD103" i="1"/>
  <c r="CD241" i="1"/>
  <c r="CD243" i="1" s="1"/>
  <c r="CD101" i="1"/>
  <c r="CQ57" i="1"/>
  <c r="CS66" i="1"/>
  <c r="CT66" i="1" s="1"/>
  <c r="CV76" i="1"/>
  <c r="CQ229" i="1"/>
  <c r="CP230" i="1"/>
  <c r="CP234" i="1" s="1"/>
  <c r="Y258" i="1"/>
  <c r="Y259" i="1" s="1"/>
  <c r="Z258" i="1"/>
  <c r="Z259" i="1" s="1"/>
  <c r="CC148" i="1"/>
  <c r="CC115" i="1"/>
  <c r="CG141" i="1"/>
  <c r="CG255" i="1"/>
  <c r="CG253" i="1" s="1"/>
  <c r="CG258" i="1" s="1"/>
  <c r="CG208" i="1" s="1"/>
  <c r="CG209" i="1" s="1"/>
  <c r="CG178" i="1"/>
  <c r="CG104" i="1" s="1"/>
  <c r="CH255" i="1"/>
  <c r="CH253" i="1" s="1"/>
  <c r="CA112" i="1"/>
  <c r="CB114" i="1"/>
  <c r="CS250" i="1"/>
  <c r="CT189" i="1"/>
  <c r="CD143" i="1"/>
  <c r="CD145" i="1"/>
  <c r="CD144" i="1"/>
  <c r="CQ297" i="1"/>
  <c r="CQ254" i="1"/>
  <c r="CR233" i="1"/>
  <c r="CS231" i="1"/>
  <c r="CS227" i="1"/>
  <c r="CS173" i="1"/>
  <c r="CR177" i="1"/>
  <c r="CD151" i="1"/>
  <c r="CD152" i="1"/>
  <c r="CD153" i="1"/>
  <c r="CY174" i="1"/>
  <c r="CB103" i="1"/>
  <c r="BZ101" i="1"/>
  <c r="BZ241" i="1"/>
  <c r="BZ243" i="1" s="1"/>
  <c r="CE101" i="1"/>
  <c r="CE168" i="1"/>
  <c r="CE169" i="1" s="1"/>
  <c r="CE103" i="1" s="1"/>
  <c r="CE241" i="1"/>
  <c r="CE243" i="1" s="1"/>
  <c r="CE247" i="1" s="1"/>
  <c r="CE261" i="1" s="1"/>
  <c r="CE115" i="1"/>
  <c r="CF103" i="1"/>
  <c r="CG103" i="1"/>
  <c r="CH103" i="1"/>
  <c r="CZ228" i="1"/>
  <c r="AE185" i="1"/>
  <c r="AD185" i="1"/>
  <c r="AE175" i="1"/>
  <c r="AD175" i="1"/>
  <c r="AC212" i="1"/>
  <c r="AE199" i="1"/>
  <c r="AD199" i="1"/>
  <c r="AE191" i="1"/>
  <c r="AD191" i="1"/>
  <c r="AD167" i="1"/>
  <c r="AE167" i="1"/>
  <c r="AC202" i="1"/>
  <c r="AE176" i="1"/>
  <c r="AD176" i="1"/>
  <c r="AE184" i="1"/>
  <c r="AD184" i="1"/>
  <c r="AC203" i="1"/>
  <c r="AC195" i="1"/>
  <c r="AE171" i="1"/>
  <c r="AD171" i="1"/>
  <c r="CL118" i="1" l="1"/>
  <c r="CL134" i="1" s="1"/>
  <c r="CK118" i="1"/>
  <c r="CJ118" i="1"/>
  <c r="CI103" i="1"/>
  <c r="CJ255" i="1"/>
  <c r="CJ253" i="1" s="1"/>
  <c r="CI178" i="1"/>
  <c r="CI104" i="1" s="1"/>
  <c r="CI255" i="1"/>
  <c r="CI253" i="1" s="1"/>
  <c r="CI141" i="1"/>
  <c r="AD180" i="1"/>
  <c r="AE180" i="1"/>
  <c r="CE138" i="1"/>
  <c r="CI136" i="1"/>
  <c r="CI134" i="1"/>
  <c r="CI135" i="1"/>
  <c r="CR57" i="1"/>
  <c r="CU66" i="1"/>
  <c r="CV66" i="1" s="1"/>
  <c r="CW76" i="1"/>
  <c r="CG259" i="1"/>
  <c r="CG294" i="1"/>
  <c r="CG213" i="1"/>
  <c r="CG214" i="1" s="1"/>
  <c r="CG216" i="1"/>
  <c r="CG296" i="1"/>
  <c r="CH257" i="1"/>
  <c r="CH258" i="1" s="1"/>
  <c r="CH259" i="1" s="1"/>
  <c r="CG292" i="1"/>
  <c r="CR297" i="1"/>
  <c r="CR254" i="1"/>
  <c r="CG144" i="1"/>
  <c r="CG145" i="1"/>
  <c r="CG143" i="1"/>
  <c r="CT173" i="1"/>
  <c r="CS177" i="1"/>
  <c r="CT250" i="1"/>
  <c r="CU189" i="1"/>
  <c r="CT227" i="1"/>
  <c r="CB148" i="1"/>
  <c r="CB141" i="1"/>
  <c r="CB115" i="1"/>
  <c r="CE118" i="1" s="1"/>
  <c r="BZ112" i="1"/>
  <c r="CA114" i="1"/>
  <c r="CT231" i="1"/>
  <c r="CS233" i="1"/>
  <c r="CR229" i="1"/>
  <c r="CQ230" i="1"/>
  <c r="CQ234" i="1" s="1"/>
  <c r="CZ174" i="1"/>
  <c r="CF118" i="1"/>
  <c r="CH118" i="1"/>
  <c r="CG118" i="1"/>
  <c r="CE141" i="1"/>
  <c r="CF255" i="1"/>
  <c r="CF253" i="1" s="1"/>
  <c r="CE178" i="1"/>
  <c r="CE104" i="1" s="1"/>
  <c r="CE255" i="1"/>
  <c r="CE253" i="1" s="1"/>
  <c r="CE258" i="1" s="1"/>
  <c r="CE208" i="1" s="1"/>
  <c r="CE209" i="1" s="1"/>
  <c r="CE213" i="1" s="1"/>
  <c r="DA228" i="1"/>
  <c r="AE212" i="1"/>
  <c r="AD212" i="1"/>
  <c r="AE202" i="1"/>
  <c r="AD202" i="1"/>
  <c r="AE203" i="1"/>
  <c r="AD203" i="1"/>
  <c r="AE195" i="1"/>
  <c r="AD195" i="1"/>
  <c r="BY279" i="1"/>
  <c r="CL135" i="1" l="1"/>
  <c r="CL136" i="1"/>
  <c r="CL119" i="1"/>
  <c r="CK135" i="1"/>
  <c r="CK134" i="1"/>
  <c r="CK136" i="1"/>
  <c r="CJ134" i="1"/>
  <c r="CJ136" i="1"/>
  <c r="CJ135" i="1"/>
  <c r="CF138" i="1"/>
  <c r="CK119" i="1"/>
  <c r="CI144" i="1"/>
  <c r="CI143" i="1"/>
  <c r="CI145" i="1"/>
  <c r="CD138" i="1"/>
  <c r="CT57" i="1"/>
  <c r="CU57" i="1"/>
  <c r="CW66" i="1"/>
  <c r="CX66" i="1" s="1"/>
  <c r="CY66" i="1" s="1"/>
  <c r="CZ66" i="1" s="1"/>
  <c r="CX76" i="1"/>
  <c r="CA115" i="1"/>
  <c r="CD118" i="1" s="1"/>
  <c r="CH119" i="1" s="1"/>
  <c r="CA141" i="1"/>
  <c r="CV189" i="1"/>
  <c r="CV250" i="1" s="1"/>
  <c r="BY112" i="1"/>
  <c r="BZ114" i="1"/>
  <c r="CS297" i="1"/>
  <c r="CS254" i="1"/>
  <c r="CU173" i="1"/>
  <c r="CT177" i="1"/>
  <c r="CG158" i="1"/>
  <c r="CH86" i="1"/>
  <c r="CS229" i="1"/>
  <c r="CR230" i="1"/>
  <c r="CR234" i="1" s="1"/>
  <c r="CU227" i="1"/>
  <c r="CT233" i="1"/>
  <c r="CU231" i="1"/>
  <c r="CU250" i="1"/>
  <c r="DA174" i="1"/>
  <c r="CE143" i="1"/>
  <c r="CE144" i="1"/>
  <c r="CE145" i="1"/>
  <c r="CE292" i="1"/>
  <c r="CE134" i="1"/>
  <c r="CE135" i="1"/>
  <c r="CI119" i="1"/>
  <c r="CE136" i="1"/>
  <c r="CE296" i="1"/>
  <c r="CG134" i="1"/>
  <c r="CG136" i="1"/>
  <c r="CG135" i="1"/>
  <c r="CE216" i="1"/>
  <c r="CE158" i="1" s="1"/>
  <c r="CE160" i="1" s="1"/>
  <c r="CE163" i="1" s="1"/>
  <c r="CF257" i="1"/>
  <c r="CF258" i="1" s="1"/>
  <c r="CF259" i="1" s="1"/>
  <c r="CE294" i="1"/>
  <c r="CH135" i="1"/>
  <c r="CH134" i="1"/>
  <c r="CH136" i="1"/>
  <c r="CE259" i="1"/>
  <c r="CJ119" i="1"/>
  <c r="CF136" i="1"/>
  <c r="CF134" i="1"/>
  <c r="CF135" i="1"/>
  <c r="DB228" i="1"/>
  <c r="CE214" i="1"/>
  <c r="AB69" i="1"/>
  <c r="CL139" i="1" l="1"/>
  <c r="CK139" i="1"/>
  <c r="CV57" i="1"/>
  <c r="DA66" i="1"/>
  <c r="DB66" i="1" s="1"/>
  <c r="CY76" i="1"/>
  <c r="CZ76" i="1" s="1"/>
  <c r="CV227" i="1"/>
  <c r="BZ141" i="1"/>
  <c r="BZ115" i="1"/>
  <c r="CC118" i="1" s="1"/>
  <c r="CG119" i="1" s="1"/>
  <c r="CT229" i="1"/>
  <c r="CS230" i="1"/>
  <c r="CS234" i="1" s="1"/>
  <c r="BX112" i="1"/>
  <c r="BW112" i="1" s="1"/>
  <c r="BV112" i="1" s="1"/>
  <c r="BU112" i="1" s="1"/>
  <c r="BT112" i="1" s="1"/>
  <c r="BS112" i="1" s="1"/>
  <c r="BR112" i="1" s="1"/>
  <c r="BQ112" i="1" s="1"/>
  <c r="BP112" i="1" s="1"/>
  <c r="BO112" i="1" s="1"/>
  <c r="BN112" i="1" s="1"/>
  <c r="BM112" i="1" s="1"/>
  <c r="BL112" i="1" s="1"/>
  <c r="BY114" i="1"/>
  <c r="BY115" i="1" s="1"/>
  <c r="CG160" i="1"/>
  <c r="CG163" i="1" s="1"/>
  <c r="CG159" i="1"/>
  <c r="CG162" i="1" s="1"/>
  <c r="CW189" i="1"/>
  <c r="CW250" i="1" s="1"/>
  <c r="CU233" i="1"/>
  <c r="CV231" i="1"/>
  <c r="CT297" i="1"/>
  <c r="CT254" i="1"/>
  <c r="CV173" i="1"/>
  <c r="CU177" i="1"/>
  <c r="CD135" i="1"/>
  <c r="CG139" i="1" s="1"/>
  <c r="CD134" i="1"/>
  <c r="CD136" i="1"/>
  <c r="DB174" i="1"/>
  <c r="CJ139" i="1"/>
  <c r="CH139" i="1"/>
  <c r="CF86" i="1"/>
  <c r="CI139" i="1"/>
  <c r="CE159" i="1"/>
  <c r="CE162" i="1" s="1"/>
  <c r="AC69" i="1"/>
  <c r="BY280" i="1"/>
  <c r="BY281" i="1" s="1"/>
  <c r="CX57" i="1" l="1"/>
  <c r="CB118" i="1"/>
  <c r="CF119" i="1" s="1"/>
  <c r="DA76" i="1"/>
  <c r="DB76" i="1" s="1"/>
  <c r="BK112" i="1"/>
  <c r="BJ112" i="1" s="1"/>
  <c r="BI112" i="1" s="1"/>
  <c r="BH112" i="1" s="1"/>
  <c r="BG112" i="1" s="1"/>
  <c r="BF112" i="1" s="1"/>
  <c r="BE112" i="1" s="1"/>
  <c r="BD112" i="1" s="1"/>
  <c r="BC112" i="1" s="1"/>
  <c r="BB112" i="1" s="1"/>
  <c r="BA112" i="1" s="1"/>
  <c r="AZ112" i="1" s="1"/>
  <c r="AY112" i="1" s="1"/>
  <c r="AX112" i="1" s="1"/>
  <c r="AW112" i="1" s="1"/>
  <c r="AV112" i="1" s="1"/>
  <c r="AU112" i="1" s="1"/>
  <c r="AT112" i="1" s="1"/>
  <c r="AS112" i="1" s="1"/>
  <c r="AR112" i="1" s="1"/>
  <c r="AQ112" i="1" s="1"/>
  <c r="AP112" i="1" s="1"/>
  <c r="AO112" i="1" s="1"/>
  <c r="AN112" i="1" s="1"/>
  <c r="AM112" i="1" s="1"/>
  <c r="AL112" i="1" s="1"/>
  <c r="BL114" i="1"/>
  <c r="CU229" i="1"/>
  <c r="CT230" i="1"/>
  <c r="CT234" i="1" s="1"/>
  <c r="CV233" i="1"/>
  <c r="CW231" i="1"/>
  <c r="CU297" i="1"/>
  <c r="CU254" i="1"/>
  <c r="CX189" i="1"/>
  <c r="CY189" i="1" s="1"/>
  <c r="CW173" i="1"/>
  <c r="CV177" i="1"/>
  <c r="CW227" i="1"/>
  <c r="AD69" i="1"/>
  <c r="BY282" i="1"/>
  <c r="CY57" i="1" l="1"/>
  <c r="CX231" i="1"/>
  <c r="CW233" i="1"/>
  <c r="CV229" i="1"/>
  <c r="CU230" i="1"/>
  <c r="CU234" i="1" s="1"/>
  <c r="CX227" i="1"/>
  <c r="CV297" i="1"/>
  <c r="CV254" i="1"/>
  <c r="CX173" i="1"/>
  <c r="CW177" i="1"/>
  <c r="CX250" i="1"/>
  <c r="BL141" i="1"/>
  <c r="BL115" i="1"/>
  <c r="CY250" i="1"/>
  <c r="CZ189" i="1"/>
  <c r="AK112" i="1"/>
  <c r="AJ112" i="1" s="1"/>
  <c r="AI112" i="1" s="1"/>
  <c r="AL114" i="1"/>
  <c r="AE69" i="1"/>
  <c r="CZ57" i="1" l="1"/>
  <c r="CY227" i="1"/>
  <c r="CZ250" i="1"/>
  <c r="DA189" i="1"/>
  <c r="CW297" i="1"/>
  <c r="CW254" i="1"/>
  <c r="CW229" i="1"/>
  <c r="CV230" i="1"/>
  <c r="CV234" i="1" s="1"/>
  <c r="CY173" i="1"/>
  <c r="CX177" i="1"/>
  <c r="CY231" i="1"/>
  <c r="CX233" i="1"/>
  <c r="BI114" i="1"/>
  <c r="AT114" i="1"/>
  <c r="BT114" i="1"/>
  <c r="AV114" i="1"/>
  <c r="AX114" i="1"/>
  <c r="AR114" i="1"/>
  <c r="DB189" i="1" l="1"/>
  <c r="DB250" i="1" s="1"/>
  <c r="DA250" i="1"/>
  <c r="CY233" i="1"/>
  <c r="CZ231" i="1"/>
  <c r="CX297" i="1"/>
  <c r="CX254" i="1"/>
  <c r="CX229" i="1"/>
  <c r="CW230" i="1"/>
  <c r="CW234" i="1" s="1"/>
  <c r="CZ173" i="1"/>
  <c r="CY177" i="1"/>
  <c r="CZ227" i="1"/>
  <c r="AO114" i="1"/>
  <c r="BK114" i="1"/>
  <c r="AN114" i="1"/>
  <c r="AW114" i="1"/>
  <c r="BB114" i="1"/>
  <c r="BM114" i="1"/>
  <c r="BQ114" i="1"/>
  <c r="AJ114" i="1"/>
  <c r="BS114" i="1"/>
  <c r="BR114" i="1"/>
  <c r="BO114" i="1"/>
  <c r="AM114" i="1"/>
  <c r="AI114" i="1"/>
  <c r="AP114" i="1"/>
  <c r="AZ114" i="1"/>
  <c r="AS114" i="1"/>
  <c r="BN114" i="1"/>
  <c r="BU114" i="1"/>
  <c r="BA114" i="1"/>
  <c r="BC114" i="1"/>
  <c r="AU114" i="1"/>
  <c r="BW114" i="1"/>
  <c r="BP114" i="1"/>
  <c r="BJ114" i="1"/>
  <c r="BH114" i="1"/>
  <c r="BX114" i="1"/>
  <c r="BG114" i="1"/>
  <c r="AQ114" i="1"/>
  <c r="AY114" i="1"/>
  <c r="AK114" i="1"/>
  <c r="BE114" i="1"/>
  <c r="BD114" i="1"/>
  <c r="BV114" i="1"/>
  <c r="BF114" i="1"/>
  <c r="DB57" i="1" l="1"/>
  <c r="CY297" i="1"/>
  <c r="CY254" i="1"/>
  <c r="CY229" i="1"/>
  <c r="CX230" i="1"/>
  <c r="CX234" i="1" s="1"/>
  <c r="DA173" i="1"/>
  <c r="CZ177" i="1"/>
  <c r="DA231" i="1"/>
  <c r="CZ233" i="1"/>
  <c r="DA227" i="1"/>
  <c r="BL279" i="1"/>
  <c r="DB173" i="1" l="1"/>
  <c r="DB177" i="1" s="1"/>
  <c r="DA177" i="1"/>
  <c r="DB231" i="1"/>
  <c r="DB233" i="1" s="1"/>
  <c r="DA233" i="1"/>
  <c r="CZ229" i="1"/>
  <c r="CY230" i="1"/>
  <c r="CY234" i="1" s="1"/>
  <c r="CZ254" i="1"/>
  <c r="CZ297" i="1"/>
  <c r="DB227" i="1"/>
  <c r="AB189" i="1"/>
  <c r="DA229" i="1" l="1"/>
  <c r="CZ230" i="1"/>
  <c r="CZ234" i="1" s="1"/>
  <c r="DA297" i="1"/>
  <c r="DA254" i="1"/>
  <c r="DB254" i="1"/>
  <c r="DB297" i="1"/>
  <c r="CN126" i="1"/>
  <c r="AB250" i="1"/>
  <c r="CO126" i="1" l="1"/>
  <c r="CM112" i="1"/>
  <c r="DB229" i="1" l="1"/>
  <c r="DB230" i="1" s="1"/>
  <c r="DB234" i="1" s="1"/>
  <c r="DA230" i="1"/>
  <c r="DA234" i="1" s="1"/>
  <c r="CP126" i="1"/>
  <c r="CN112" i="1"/>
  <c r="CM114" i="1"/>
  <c r="Q5" i="2"/>
  <c r="J33" i="2"/>
  <c r="Q12" i="2"/>
  <c r="Q24" i="2"/>
  <c r="H7" i="2"/>
  <c r="D13" i="2"/>
  <c r="V17" i="2"/>
  <c r="M21" i="2"/>
  <c r="AD17" i="3"/>
  <c r="D32" i="3"/>
  <c r="E27" i="3"/>
  <c r="CF16" i="4" a="1"/>
  <c r="F89" i="2"/>
  <c r="R5" i="2"/>
  <c r="P14" i="2"/>
  <c r="E26" i="2"/>
  <c r="Q29" i="2"/>
  <c r="Q7" i="2"/>
  <c r="F8" i="2"/>
  <c r="C12" i="2"/>
  <c r="I46" i="3"/>
  <c r="F34" i="3"/>
  <c r="S27" i="2"/>
  <c r="K12" i="2"/>
  <c r="S62" i="2"/>
  <c r="X15" i="2"/>
  <c r="Q10" i="2"/>
  <c r="F16" i="2"/>
  <c r="T32" i="2"/>
  <c r="F15" i="2"/>
  <c r="AR9" i="3"/>
  <c r="AP46" i="3"/>
  <c r="D14" i="3"/>
  <c r="T34" i="2"/>
  <c r="G20" i="2"/>
  <c r="T33" i="2"/>
  <c r="P17" i="2"/>
  <c r="K30" i="2"/>
  <c r="W28" i="2"/>
  <c r="AR62" i="3"/>
  <c r="AR67" i="3"/>
  <c r="F10" i="3"/>
  <c r="AR30" i="3"/>
  <c r="G19" i="3"/>
  <c r="Q19" i="2"/>
  <c r="G29" i="2"/>
  <c r="S13" i="2"/>
  <c r="Q9" i="2"/>
  <c r="U20" i="2"/>
  <c r="E15" i="2"/>
  <c r="P18" i="2"/>
  <c r="C11" i="2"/>
  <c r="AI46" i="3"/>
  <c r="AD14" i="3"/>
  <c r="D25" i="3"/>
  <c r="F12" i="4" a="1"/>
  <c r="K28" i="2"/>
  <c r="L16" i="2"/>
  <c r="N28" i="2"/>
  <c r="S30" i="2"/>
  <c r="P24" i="2"/>
  <c r="L14" i="2"/>
  <c r="T25" i="2"/>
  <c r="S11" i="2"/>
  <c r="X45" i="3"/>
  <c r="E38" i="3"/>
  <c r="F10" i="2"/>
  <c r="C6" i="2"/>
  <c r="D29" i="2"/>
  <c r="K7" i="2"/>
  <c r="G35" i="2"/>
  <c r="F29" i="2"/>
  <c r="AR60" i="3"/>
  <c r="F22" i="2"/>
  <c r="F39" i="3"/>
  <c r="G45" i="3"/>
  <c r="G23" i="2"/>
  <c r="D8" i="2"/>
  <c r="I20" i="2"/>
  <c r="C59" i="2"/>
  <c r="L18" i="2"/>
  <c r="J20" i="2"/>
  <c r="F26" i="2"/>
  <c r="I34" i="2"/>
  <c r="AR12" i="3"/>
  <c r="E35" i="3"/>
  <c r="AR29" i="3"/>
  <c r="AJ12" i="4" a="1"/>
  <c r="BV13" i="4" a="1"/>
  <c r="BT13" i="4" a="1"/>
  <c r="DD13" i="4" a="1"/>
  <c r="CF6" i="4" a="1"/>
  <c r="AC6" i="4" a="1"/>
  <c r="O9" i="2"/>
  <c r="X66" i="2"/>
  <c r="C27" i="2"/>
  <c r="D23" i="2"/>
  <c r="S31" i="2"/>
  <c r="S21" i="2"/>
  <c r="W74" i="2"/>
  <c r="I13" i="2"/>
  <c r="C45" i="3"/>
  <c r="G6" i="3"/>
  <c r="F40" i="3"/>
  <c r="V32" i="2"/>
  <c r="S33" i="2"/>
  <c r="D26" i="2"/>
  <c r="M25" i="2"/>
  <c r="I29" i="2"/>
  <c r="W27" i="2"/>
  <c r="L25" i="2"/>
  <c r="W22" i="2"/>
  <c r="AR66" i="3"/>
  <c r="D17" i="3"/>
  <c r="AD5" i="3"/>
  <c r="N9" i="2"/>
  <c r="T12" i="2"/>
  <c r="D28" i="2"/>
  <c r="D10" i="2"/>
  <c r="D33" i="2"/>
  <c r="C14" i="2"/>
  <c r="C26" i="2"/>
  <c r="C30" i="2"/>
  <c r="E20" i="3"/>
  <c r="P45" i="3"/>
  <c r="F26" i="3"/>
  <c r="K26" i="2"/>
  <c r="K32" i="2"/>
  <c r="O12" i="2"/>
  <c r="J19" i="2"/>
  <c r="E10" i="2"/>
  <c r="H15" i="2"/>
  <c r="T8" i="2"/>
  <c r="I11" i="2"/>
  <c r="F22" i="3"/>
  <c r="K46" i="3"/>
  <c r="E34" i="3"/>
  <c r="E32" i="2"/>
  <c r="H30" i="2"/>
  <c r="C19" i="2"/>
  <c r="H16" i="2"/>
  <c r="E25" i="2"/>
  <c r="P31" i="2"/>
  <c r="J8" i="2"/>
  <c r="N32" i="2"/>
  <c r="D36" i="3"/>
  <c r="E33" i="3"/>
  <c r="Q46" i="3"/>
  <c r="BV14" i="4" a="1"/>
  <c r="G16" i="2"/>
  <c r="X8" i="2"/>
  <c r="J25" i="2"/>
  <c r="P6" i="2"/>
  <c r="T14" i="2"/>
  <c r="J17" i="2"/>
  <c r="C23" i="2"/>
  <c r="J34" i="2"/>
  <c r="AD18" i="3"/>
  <c r="G10" i="3"/>
  <c r="N5" i="2"/>
  <c r="P9" i="2"/>
  <c r="V33" i="2"/>
  <c r="J6" i="2"/>
  <c r="T27" i="2"/>
  <c r="H21" i="2"/>
  <c r="AR88" i="3"/>
  <c r="AR65" i="3"/>
  <c r="F17" i="3"/>
  <c r="AR17" i="3"/>
  <c r="D9" i="2"/>
  <c r="R54" i="2"/>
  <c r="O30" i="2"/>
  <c r="J12" i="2"/>
  <c r="M20" i="2"/>
  <c r="AR89" i="3"/>
  <c r="U24" i="2"/>
  <c r="E9" i="2"/>
  <c r="AR24" i="3"/>
  <c r="Q45" i="3"/>
  <c r="AB46" i="3"/>
  <c r="AI9" i="4" a="1"/>
  <c r="BG5" i="4" a="1"/>
  <c r="AA12" i="4" a="1"/>
  <c r="EF13" i="4" a="1"/>
  <c r="CR9" i="4" a="1"/>
  <c r="DO9" i="4" a="1"/>
  <c r="AS9" i="4" a="1"/>
  <c r="EH7" i="4" a="1"/>
  <c r="AH9" i="4" a="1"/>
  <c r="BL11" i="4" a="1"/>
  <c r="DX15" i="4" a="1"/>
  <c r="AW11" i="4" a="1"/>
  <c r="BO7" i="4" a="1"/>
  <c r="BX15" i="4" a="1"/>
  <c r="AO15" i="4" a="1"/>
  <c r="CF7" i="4" a="1"/>
  <c r="EI14" i="4" a="1"/>
  <c r="AO11" i="4" a="1"/>
  <c r="BE7" i="4" a="1"/>
  <c r="CS12" i="4" a="1"/>
  <c r="AT8" i="4" a="1"/>
  <c r="AS15" i="4" a="1"/>
  <c r="BC13" i="4" a="1"/>
  <c r="DZ13" i="4" a="1"/>
  <c r="CC6" i="4" a="1"/>
  <c r="S7" i="4" a="1"/>
  <c r="EK9" i="4" a="1"/>
  <c r="CR15" i="4" a="1"/>
  <c r="AN6" i="4" a="1"/>
  <c r="J8" i="4" a="1"/>
  <c r="CD5" i="4" a="1"/>
  <c r="M5" i="4" a="1"/>
  <c r="BQ9" i="4" a="1"/>
  <c r="DR12" i="4" a="1"/>
  <c r="DP7" i="4" a="1"/>
  <c r="BP16" i="4" a="1"/>
  <c r="BG15" i="4" a="1"/>
  <c r="DH13" i="4" a="1"/>
  <c r="O6" i="2"/>
  <c r="W5" i="2"/>
  <c r="N33" i="2"/>
  <c r="V5" i="2"/>
  <c r="G28" i="2"/>
  <c r="T20" i="2"/>
  <c r="Q57" i="2"/>
  <c r="D25" i="2"/>
  <c r="AC46" i="3"/>
  <c r="D27" i="3"/>
  <c r="E8" i="3"/>
  <c r="X28" i="2"/>
  <c r="M18" i="2"/>
  <c r="I9" i="2"/>
  <c r="L32" i="2"/>
  <c r="T24" i="2"/>
  <c r="I22" i="2"/>
  <c r="N21" i="2"/>
  <c r="R7" i="2"/>
  <c r="E45" i="2"/>
  <c r="AN45" i="3"/>
  <c r="N46" i="3"/>
  <c r="Q78" i="2"/>
  <c r="K13" i="2"/>
  <c r="P36" i="2"/>
  <c r="Q27" i="2"/>
  <c r="Q31" i="2"/>
  <c r="O23" i="2"/>
  <c r="F32" i="2"/>
  <c r="U31" i="2"/>
  <c r="E32" i="3"/>
  <c r="P46" i="3"/>
  <c r="AR16" i="3"/>
  <c r="X41" i="2"/>
  <c r="X23" i="2"/>
  <c r="F34" i="2"/>
  <c r="E29" i="2"/>
  <c r="U36" i="2"/>
  <c r="Q21" i="2"/>
  <c r="H13" i="2"/>
  <c r="E31" i="2"/>
  <c r="P30" i="2"/>
  <c r="Q32" i="2"/>
  <c r="J16" i="2"/>
  <c r="E21" i="2"/>
  <c r="E18" i="3"/>
  <c r="F24" i="3"/>
  <c r="F38" i="3"/>
  <c r="E33" i="2"/>
  <c r="N24" i="2"/>
  <c r="U35" i="2"/>
  <c r="W20" i="2"/>
  <c r="M26" i="2"/>
  <c r="F36" i="2"/>
  <c r="L5" i="2"/>
  <c r="AR87" i="3"/>
  <c r="AM46" i="3"/>
  <c r="AR11" i="3"/>
  <c r="V21" i="2"/>
  <c r="H29" i="2"/>
  <c r="R18" i="2"/>
  <c r="I32" i="2"/>
  <c r="W10" i="2"/>
  <c r="U10" i="2"/>
  <c r="L30" i="2"/>
  <c r="O31" i="2"/>
  <c r="AR77" i="3"/>
  <c r="AP45" i="3"/>
  <c r="G13" i="3"/>
  <c r="N9" i="4" a="1"/>
  <c r="W25" i="2"/>
  <c r="O26" i="2"/>
  <c r="V14" i="2"/>
  <c r="K8" i="2"/>
  <c r="L24" i="2"/>
  <c r="I33" i="2"/>
  <c r="N12" i="2"/>
  <c r="R30" i="2"/>
  <c r="S45" i="3"/>
  <c r="AK46" i="3"/>
  <c r="Y45" i="3"/>
  <c r="L8" i="2"/>
  <c r="P34" i="2"/>
  <c r="I15" i="2"/>
  <c r="W11" i="2"/>
  <c r="H18" i="2"/>
  <c r="W14" i="2"/>
  <c r="H14" i="2"/>
  <c r="H25" i="2"/>
  <c r="G31" i="3"/>
  <c r="AR46" i="3"/>
  <c r="D41" i="3"/>
  <c r="Q22" i="2"/>
  <c r="R25" i="2"/>
  <c r="W23" i="2"/>
  <c r="W8" i="2"/>
  <c r="N26" i="2"/>
  <c r="Q23" i="2"/>
  <c r="M23" i="2"/>
  <c r="AR85" i="3"/>
  <c r="AR61" i="3"/>
  <c r="E6" i="3"/>
  <c r="G24" i="3"/>
  <c r="H8" i="2"/>
  <c r="L20" i="2"/>
  <c r="S17" i="2"/>
  <c r="R34" i="2"/>
  <c r="R14" i="2"/>
  <c r="V31" i="2"/>
  <c r="J11" i="2"/>
  <c r="K27" i="2"/>
  <c r="F20" i="3"/>
  <c r="O45" i="3"/>
  <c r="I14" i="2"/>
  <c r="R29" i="2"/>
  <c r="D7" i="2"/>
  <c r="N31" i="2"/>
  <c r="M32" i="2"/>
  <c r="U5" i="2"/>
  <c r="E5" i="2"/>
  <c r="E22" i="2"/>
  <c r="AA45" i="3"/>
  <c r="D8" i="3"/>
  <c r="J45" i="3"/>
  <c r="Z15" i="4" a="1"/>
  <c r="DH15" i="4" a="1"/>
  <c r="D13" i="4" a="1"/>
  <c r="CN7" i="4" a="1"/>
  <c r="AD12" i="4" a="1"/>
  <c r="DZ11" i="4" a="1"/>
  <c r="AH12" i="4" a="1"/>
  <c r="CK13" i="4" a="1"/>
  <c r="CS6" i="4" a="1"/>
  <c r="H15" i="4" a="1"/>
  <c r="DD11" i="4" a="1"/>
  <c r="DY6" i="4" a="1"/>
  <c r="BU11" i="4" a="1"/>
  <c r="S16" i="4" a="1"/>
  <c r="D45" i="3"/>
  <c r="CR13" i="4" a="1"/>
  <c r="EH16" i="4" a="1"/>
  <c r="CO13" i="4" a="1"/>
  <c r="AU11" i="4" a="1"/>
  <c r="N13" i="4" a="1"/>
  <c r="DK16" i="4" a="1"/>
  <c r="BF14" i="4" a="1"/>
  <c r="CB15" i="4" a="1"/>
  <c r="BN6" i="4" a="1"/>
  <c r="F6" i="4" a="1"/>
  <c r="DD8" i="4" a="1"/>
  <c r="F21" i="2"/>
  <c r="X9" i="2"/>
  <c r="X16" i="2"/>
  <c r="O5" i="2"/>
  <c r="N30" i="2"/>
  <c r="S18" i="2"/>
  <c r="I6" i="2"/>
  <c r="AR82" i="3"/>
  <c r="AI45" i="3"/>
  <c r="E36" i="3"/>
  <c r="EH5" i="4" a="1"/>
  <c r="S32" i="2"/>
  <c r="R12" i="2"/>
  <c r="H19" i="2"/>
  <c r="R28" i="2"/>
  <c r="F7" i="2"/>
  <c r="X31" i="2"/>
  <c r="AR64" i="3"/>
  <c r="D30" i="2"/>
  <c r="AQ6" i="3"/>
  <c r="E22" i="3"/>
  <c r="T35" i="2"/>
  <c r="Q16" i="2"/>
  <c r="U11" i="2"/>
  <c r="N14" i="2"/>
  <c r="U13" i="2"/>
  <c r="H11" i="2"/>
  <c r="R36" i="2"/>
  <c r="E20" i="2"/>
  <c r="I26" i="2"/>
  <c r="W46" i="3"/>
  <c r="D6" i="3"/>
  <c r="AZ15" i="4" a="1"/>
  <c r="Q6" i="2"/>
  <c r="O15" i="2"/>
  <c r="D24" i="2"/>
  <c r="N19" i="2"/>
  <c r="T19" i="2"/>
  <c r="I25" i="2"/>
  <c r="F13" i="2"/>
  <c r="R10" i="2"/>
  <c r="N27" i="2"/>
  <c r="C34" i="2"/>
  <c r="R9" i="2"/>
  <c r="H26" i="2"/>
  <c r="T21" i="2"/>
  <c r="S24" i="2"/>
  <c r="N15" i="2"/>
  <c r="F12" i="3"/>
  <c r="G23" i="3"/>
  <c r="DV16" i="4" a="1"/>
  <c r="V34" i="2"/>
  <c r="W21" i="2"/>
  <c r="G31" i="2"/>
  <c r="H6" i="2"/>
  <c r="O11" i="2"/>
  <c r="W15" i="2"/>
  <c r="AR49" i="3"/>
  <c r="N8" i="2"/>
  <c r="W45" i="3"/>
  <c r="AH46" i="3"/>
  <c r="H9" i="2"/>
  <c r="X11" i="2"/>
  <c r="P22" i="2"/>
  <c r="L19" i="2"/>
  <c r="I17" i="2"/>
  <c r="O34" i="2"/>
  <c r="V11" i="2"/>
  <c r="AR75" i="3"/>
  <c r="AG45" i="3"/>
  <c r="R46" i="3"/>
  <c r="AJ45" i="3"/>
  <c r="AF7" i="4" a="1"/>
  <c r="O16" i="2"/>
  <c r="C17" i="2"/>
  <c r="K36" i="2"/>
  <c r="O28" i="2"/>
  <c r="W33" i="2"/>
  <c r="T31" i="2"/>
  <c r="K22" i="2"/>
  <c r="T17" i="2"/>
  <c r="F29" i="3"/>
  <c r="AL45" i="3"/>
  <c r="K45" i="3"/>
  <c r="Q46" i="2"/>
  <c r="J26" i="2"/>
  <c r="W30" i="2"/>
  <c r="R8" i="2"/>
  <c r="E28" i="2"/>
  <c r="M11" i="2"/>
  <c r="R22" i="2"/>
  <c r="X12" i="2"/>
  <c r="F33" i="3"/>
  <c r="AC45" i="3"/>
  <c r="AR35" i="3"/>
  <c r="M22" i="2"/>
  <c r="O35" i="2"/>
  <c r="H22" i="2"/>
  <c r="D15" i="2"/>
  <c r="T18" i="2"/>
  <c r="U16" i="2"/>
  <c r="AR71" i="3"/>
  <c r="E27" i="2"/>
  <c r="D33" i="3"/>
  <c r="D39" i="3"/>
  <c r="F16" i="3"/>
  <c r="N11" i="2"/>
  <c r="I31" i="2"/>
  <c r="W12" i="2"/>
  <c r="V10" i="2"/>
  <c r="L21" i="2"/>
  <c r="E23" i="2"/>
  <c r="R26" i="2"/>
  <c r="I21" i="2"/>
  <c r="E26" i="3"/>
  <c r="AD46" i="3"/>
  <c r="G36" i="2"/>
  <c r="N29" i="2"/>
  <c r="S23" i="2"/>
  <c r="I5" i="2"/>
  <c r="Q26" i="2"/>
  <c r="C29" i="2"/>
  <c r="S14" i="2"/>
  <c r="AR59" i="3"/>
  <c r="E10" i="3"/>
  <c r="AN46" i="3"/>
  <c r="F5" i="3"/>
  <c r="DE11" i="4" a="1"/>
  <c r="DR5" i="4" a="1"/>
  <c r="CD8" i="4" a="1"/>
  <c r="DQ11" i="4" a="1"/>
  <c r="T12" i="4" a="1"/>
  <c r="BY14" i="4" a="1"/>
  <c r="DN15" i="4" a="1"/>
  <c r="DX12" i="4" a="1"/>
  <c r="W15" i="4" a="1"/>
  <c r="EA14" i="4" a="1"/>
  <c r="J15" i="4" a="1"/>
  <c r="CN6" i="4" a="1"/>
  <c r="DY9" i="4" a="1"/>
  <c r="EE5" i="4" a="1"/>
  <c r="F24" i="2"/>
  <c r="U23" i="2"/>
  <c r="U18" i="2"/>
  <c r="D12" i="2"/>
  <c r="W29" i="2"/>
  <c r="S7" i="2"/>
  <c r="C7" i="2"/>
  <c r="AR48" i="3"/>
  <c r="AR37" i="3"/>
  <c r="G46" i="3"/>
  <c r="F9" i="3"/>
  <c r="BV7" i="4" a="1"/>
  <c r="G6" i="2"/>
  <c r="C20" i="2"/>
  <c r="F28" i="2"/>
  <c r="X22" i="2"/>
  <c r="S6" i="2"/>
  <c r="D18" i="2"/>
  <c r="X24" i="2"/>
  <c r="S10" i="2"/>
  <c r="G27" i="3"/>
  <c r="V46" i="3"/>
  <c r="W36" i="2"/>
  <c r="P27" i="2"/>
  <c r="W24" i="2"/>
  <c r="F11" i="2"/>
  <c r="H34" i="2"/>
  <c r="F33" i="2"/>
  <c r="AR56" i="3"/>
  <c r="C16" i="2"/>
  <c r="E9" i="3"/>
  <c r="T45" i="3"/>
  <c r="AO45" i="3"/>
  <c r="BY7" i="4" a="1"/>
  <c r="H12" i="2"/>
  <c r="O27" i="2"/>
  <c r="S34" i="2"/>
  <c r="X5" i="2"/>
  <c r="O29" i="2"/>
  <c r="X17" i="2"/>
  <c r="V30" i="2"/>
  <c r="P10" i="2"/>
  <c r="G26" i="3"/>
  <c r="H46" i="3"/>
  <c r="V29" i="2"/>
  <c r="U14" i="2"/>
  <c r="J21" i="2"/>
  <c r="Q55" i="2"/>
  <c r="N10" i="2"/>
  <c r="L36" i="2"/>
  <c r="T10" i="2"/>
  <c r="K19" i="2"/>
  <c r="AR81" i="3"/>
  <c r="D40" i="3"/>
  <c r="F27" i="3"/>
  <c r="F11" i="4" a="1"/>
  <c r="G7" i="2"/>
  <c r="L35" i="2"/>
  <c r="S36" i="2"/>
  <c r="W18" i="2"/>
  <c r="X25" i="2"/>
  <c r="E11" i="2"/>
  <c r="AR76" i="3"/>
  <c r="AR73" i="3"/>
  <c r="E5" i="3"/>
  <c r="D23" i="3"/>
  <c r="F23" i="3"/>
  <c r="O32" i="2"/>
  <c r="E19" i="2"/>
  <c r="V23" i="2"/>
  <c r="G10" i="2"/>
  <c r="M13" i="2"/>
  <c r="P5" i="2"/>
  <c r="R19" i="2"/>
  <c r="K15" i="2"/>
  <c r="AD15" i="3"/>
  <c r="M14" i="2"/>
  <c r="L17" i="2"/>
  <c r="D20" i="2"/>
  <c r="R21" i="2"/>
  <c r="V36" i="2"/>
  <c r="P35" i="2"/>
  <c r="R17" i="2"/>
  <c r="M30" i="2"/>
  <c r="O14" i="2"/>
  <c r="D29" i="3"/>
  <c r="AD12" i="3"/>
  <c r="AD6" i="3"/>
  <c r="BX8" i="4" a="1"/>
  <c r="CT8" i="4" a="1"/>
  <c r="DE15" i="4" a="1"/>
  <c r="BS12" i="4" a="1"/>
  <c r="BQ8" i="4" a="1"/>
  <c r="AT15" i="4" a="1"/>
  <c r="AX13" i="4" a="1"/>
  <c r="I15" i="4" a="1"/>
  <c r="AV12" i="4" a="1"/>
  <c r="EH9" i="4" a="1"/>
  <c r="Y9" i="4" a="1"/>
  <c r="CA7" i="4" a="1"/>
  <c r="DD7" i="4" a="1"/>
  <c r="AF15" i="4" a="1"/>
  <c r="L45" i="3"/>
  <c r="BT7" i="4" a="1"/>
  <c r="O13" i="2"/>
  <c r="Q35" i="2"/>
  <c r="K21" i="2"/>
  <c r="F5" i="2"/>
  <c r="M35" i="2"/>
  <c r="D27" i="2"/>
  <c r="AR70" i="3"/>
  <c r="AR58" i="3"/>
  <c r="G17" i="3"/>
  <c r="E21" i="3"/>
  <c r="E16" i="3"/>
  <c r="DA11" i="4" a="1"/>
  <c r="U17" i="2"/>
  <c r="X13" i="2"/>
  <c r="R32" i="2"/>
  <c r="G5" i="2"/>
  <c r="W26" i="2"/>
  <c r="K43" i="2"/>
  <c r="AR92" i="3"/>
  <c r="G12" i="2"/>
  <c r="F18" i="3"/>
  <c r="U45" i="3"/>
  <c r="T5" i="2"/>
  <c r="K33" i="2"/>
  <c r="P23" i="2"/>
  <c r="O22" i="2"/>
  <c r="G24" i="2"/>
  <c r="Q20" i="2"/>
  <c r="AR55" i="3"/>
  <c r="X26" i="2"/>
  <c r="H45" i="3"/>
  <c r="AR32" i="3"/>
  <c r="E29" i="3"/>
  <c r="DZ14" i="4" a="1"/>
  <c r="F75" i="2"/>
  <c r="V28" i="2"/>
  <c r="W31" i="2"/>
  <c r="K16" i="2"/>
  <c r="K59" i="2"/>
  <c r="J32" i="2"/>
  <c r="R11" i="2"/>
  <c r="Q18" i="2"/>
  <c r="N36" i="2"/>
  <c r="O25" i="2"/>
  <c r="H23" i="2"/>
  <c r="P13" i="2"/>
  <c r="D31" i="2"/>
  <c r="AS49" i="3"/>
  <c r="V8" i="2"/>
  <c r="X46" i="3"/>
  <c r="G14" i="3"/>
  <c r="E30" i="3"/>
  <c r="CY6" i="4" a="1"/>
  <c r="D16" i="2"/>
  <c r="I16" i="2"/>
  <c r="F35" i="2"/>
  <c r="Q8" i="2"/>
  <c r="K9" i="2"/>
  <c r="H10" i="2"/>
  <c r="U28" i="2"/>
  <c r="N20" i="2"/>
  <c r="D24" i="3"/>
  <c r="F6" i="3"/>
  <c r="U27" i="2"/>
  <c r="S12" i="2"/>
  <c r="Q14" i="2"/>
  <c r="H36" i="2"/>
  <c r="F20" i="2"/>
  <c r="X30" i="2"/>
  <c r="C10" i="2"/>
  <c r="K14" i="2"/>
  <c r="S46" i="3"/>
  <c r="AR27" i="3"/>
  <c r="D20" i="3"/>
  <c r="W9" i="2"/>
  <c r="T36" i="2"/>
  <c r="K29" i="2"/>
  <c r="X10" i="2"/>
  <c r="O36" i="2"/>
  <c r="C35" i="2"/>
  <c r="L11" i="2"/>
  <c r="Q34" i="2"/>
  <c r="AR96" i="3"/>
  <c r="AE45" i="3"/>
  <c r="E24" i="3"/>
  <c r="U19" i="2"/>
  <c r="V35" i="2"/>
  <c r="T15" i="2"/>
  <c r="T29" i="2"/>
  <c r="J31" i="2"/>
  <c r="M36" i="2"/>
  <c r="E17" i="2"/>
  <c r="AR80" i="3"/>
  <c r="AR34" i="3"/>
  <c r="N45" i="3"/>
  <c r="Z46" i="3"/>
  <c r="AB12" i="4" a="1"/>
  <c r="L34" i="2"/>
  <c r="N18" i="2"/>
  <c r="F17" i="2"/>
  <c r="U7" i="2"/>
  <c r="T13" i="2"/>
  <c r="M15" i="2"/>
  <c r="AR93" i="3"/>
  <c r="P12" i="2"/>
  <c r="D37" i="3"/>
  <c r="D11" i="3"/>
  <c r="F30" i="3"/>
  <c r="Y16" i="4" a="1"/>
  <c r="U21" i="2"/>
  <c r="W13" i="2"/>
  <c r="F31" i="2"/>
  <c r="S22" i="2"/>
  <c r="L26" i="2"/>
  <c r="I7" i="2"/>
  <c r="E18" i="2"/>
  <c r="N22" i="2"/>
  <c r="D16" i="3"/>
  <c r="D9" i="3"/>
  <c r="I27" i="2"/>
  <c r="C31" i="2"/>
  <c r="V16" i="2"/>
  <c r="R24" i="2"/>
  <c r="P26" i="2"/>
  <c r="C32" i="2"/>
  <c r="AR72" i="3"/>
  <c r="W34" i="2"/>
  <c r="D19" i="3"/>
  <c r="F13" i="3"/>
  <c r="AH45" i="3"/>
  <c r="Q28" i="2"/>
  <c r="J27" i="2"/>
  <c r="N25" i="2"/>
  <c r="E35" i="2"/>
  <c r="D21" i="2"/>
  <c r="T28" i="2"/>
  <c r="N23" i="2"/>
  <c r="S29" i="2"/>
  <c r="F18" i="2"/>
  <c r="F14" i="3"/>
  <c r="G28" i="3"/>
  <c r="I23" i="2"/>
  <c r="I28" i="2"/>
  <c r="Q33" i="2"/>
  <c r="H54" i="2"/>
  <c r="P33" i="2"/>
  <c r="G8" i="2"/>
  <c r="AR57" i="3"/>
  <c r="AR83" i="3"/>
  <c r="AR19" i="3"/>
  <c r="D30" i="3"/>
  <c r="AR31" i="3"/>
  <c r="BF11" i="4" a="1"/>
  <c r="G15" i="2"/>
  <c r="M19" i="2"/>
  <c r="E30" i="2"/>
  <c r="H31" i="2"/>
  <c r="X18" i="2"/>
  <c r="C36" i="2"/>
  <c r="G21" i="2"/>
  <c r="C33" i="2"/>
  <c r="AR13" i="3"/>
  <c r="G9" i="3"/>
  <c r="F23" i="2"/>
  <c r="L23" i="2"/>
  <c r="L33" i="2"/>
  <c r="C28" i="2"/>
  <c r="I35" i="2"/>
  <c r="E24" i="2"/>
  <c r="R27" i="2"/>
  <c r="M31" i="2"/>
  <c r="V15" i="2"/>
  <c r="AD13" i="3"/>
  <c r="T26" i="2"/>
  <c r="O17" i="2"/>
  <c r="K10" i="2"/>
  <c r="G32" i="2"/>
  <c r="G27" i="2"/>
  <c r="S8" i="2"/>
  <c r="AR69" i="3"/>
  <c r="V19" i="2"/>
  <c r="J46" i="3"/>
  <c r="E23" i="3"/>
  <c r="AR18" i="3"/>
  <c r="BB8" i="4" a="1"/>
  <c r="DB14" i="4" a="1"/>
  <c r="BM15" i="4" a="1"/>
  <c r="CX15" i="4" a="1"/>
  <c r="CL9" i="4" a="1"/>
  <c r="DA14" i="4" a="1"/>
  <c r="CG14" i="4" a="1"/>
  <c r="BZ13" i="4" a="1"/>
  <c r="J12" i="4" a="1"/>
  <c r="BX6" i="4" a="1"/>
  <c r="CW11" i="4" a="1"/>
  <c r="AT16" i="4" a="1"/>
  <c r="CR11" i="4" a="1"/>
  <c r="J11" i="4" a="1"/>
  <c r="L12" i="4" a="1"/>
  <c r="BY8" i="4" a="1"/>
  <c r="AI7" i="4" a="1"/>
  <c r="DG13" i="4" a="1"/>
  <c r="O7" i="2"/>
  <c r="K87" i="2"/>
  <c r="S16" i="2"/>
  <c r="M28" i="2"/>
  <c r="F9" i="2"/>
  <c r="G9" i="2"/>
  <c r="K18" i="2"/>
  <c r="H33" i="2"/>
  <c r="AD10" i="3"/>
  <c r="E37" i="3"/>
  <c r="AR10" i="3"/>
  <c r="CM12" i="4" a="1"/>
  <c r="U12" i="2"/>
  <c r="I8" i="2"/>
  <c r="T30" i="2"/>
  <c r="P8" i="2"/>
  <c r="V22" i="2"/>
  <c r="T6" i="2"/>
  <c r="J23" i="2"/>
  <c r="U9" i="2"/>
  <c r="D26" i="3"/>
  <c r="F11" i="3"/>
  <c r="U29" i="2"/>
  <c r="U30" i="2"/>
  <c r="W35" i="2"/>
  <c r="S19" i="2"/>
  <c r="L31" i="2"/>
  <c r="E12" i="2"/>
  <c r="U33" i="2"/>
  <c r="D14" i="2"/>
  <c r="E41" i="3"/>
  <c r="Z45" i="3"/>
  <c r="U46" i="3"/>
  <c r="K5" i="2"/>
  <c r="V26" i="2"/>
  <c r="S26" i="2"/>
  <c r="L9" i="2"/>
  <c r="K24" i="2"/>
  <c r="C25" i="2"/>
  <c r="AR90" i="3"/>
  <c r="AS47" i="3"/>
  <c r="F32" i="3"/>
  <c r="AB45" i="3"/>
  <c r="AR8" i="3"/>
  <c r="K11" i="2"/>
  <c r="W17" i="2"/>
  <c r="J22" i="2"/>
  <c r="G14" i="2"/>
  <c r="T9" i="2"/>
  <c r="V9" i="2"/>
  <c r="E7" i="2"/>
  <c r="W19" i="2"/>
  <c r="D13" i="3"/>
  <c r="AR15" i="3"/>
  <c r="G30" i="3"/>
  <c r="BM8" i="4" a="1"/>
  <c r="U15" i="2"/>
  <c r="T22" i="2"/>
  <c r="P20" i="2"/>
  <c r="D35" i="2"/>
  <c r="U8" i="2"/>
  <c r="M17" i="2"/>
  <c r="R16" i="2"/>
  <c r="M6" i="2"/>
  <c r="E39" i="3"/>
  <c r="M46" i="3"/>
  <c r="X19" i="2"/>
  <c r="Q56" i="2"/>
  <c r="U34" i="2"/>
  <c r="C22" i="2"/>
  <c r="I24" i="2"/>
  <c r="P32" i="2"/>
  <c r="T11" i="2"/>
  <c r="AR95" i="3"/>
  <c r="AJ46" i="3"/>
  <c r="D15" i="3"/>
  <c r="C21" i="2"/>
  <c r="H24" i="2"/>
  <c r="I12" i="2"/>
  <c r="O20" i="2"/>
  <c r="P16" i="2"/>
  <c r="P29" i="2"/>
  <c r="J29" i="2"/>
  <c r="E13" i="2"/>
  <c r="E11" i="3"/>
  <c r="AD45" i="3"/>
  <c r="G29" i="3"/>
  <c r="CI15" i="4" a="1"/>
  <c r="CN11" i="4" a="1"/>
  <c r="W5" i="4" a="1"/>
  <c r="DL13" i="4" a="1"/>
  <c r="CA9" i="4" a="1"/>
  <c r="CJ13" i="4" a="1"/>
  <c r="BW12" i="4" a="1"/>
  <c r="DG7" i="4" a="1"/>
  <c r="AX14" i="4" a="1"/>
  <c r="CP7" i="4" a="1"/>
  <c r="N6" i="4" a="1"/>
  <c r="BG16" i="4" a="1"/>
  <c r="O14" i="4" a="1"/>
  <c r="AO16" i="4" a="1"/>
  <c r="DJ12" i="4" a="1"/>
  <c r="BJ11" i="4" a="1"/>
  <c r="CX14" i="4" a="1"/>
  <c r="AG15" i="4" a="1"/>
  <c r="CP14" i="4" a="1"/>
  <c r="BB16" i="4" a="1"/>
  <c r="BI9" i="4" a="1"/>
  <c r="CZ8" i="4" a="1"/>
  <c r="BB11" i="4" a="1"/>
  <c r="BP9" i="4" a="1"/>
  <c r="AE9" i="4" a="1"/>
  <c r="M9" i="4" a="1"/>
  <c r="EH6" i="4" a="1"/>
  <c r="BM11" i="4" a="1"/>
  <c r="CL8" i="4" a="1"/>
  <c r="DL9" i="4" a="1"/>
  <c r="I14" i="4" a="1"/>
  <c r="AD11" i="4" a="1"/>
  <c r="CU8" i="4" a="1"/>
  <c r="BU13" i="4" a="1"/>
  <c r="DG14" i="4" a="1"/>
  <c r="AA13" i="4" a="1"/>
  <c r="EA9" i="4" a="1"/>
  <c r="CN12" i="4" a="1"/>
  <c r="BZ7" i="4" a="1"/>
  <c r="AY14" i="4" a="1"/>
  <c r="L29" i="2"/>
  <c r="R35" i="2"/>
  <c r="I19" i="2"/>
  <c r="R23" i="2"/>
  <c r="G7" i="3"/>
  <c r="K34" i="2"/>
  <c r="K35" i="2"/>
  <c r="AF50" i="3"/>
  <c r="D10" i="3"/>
  <c r="M16" i="2"/>
  <c r="W32" i="2"/>
  <c r="C18" i="2"/>
  <c r="H5" i="2"/>
  <c r="AR14" i="3"/>
  <c r="U25" i="2"/>
  <c r="G25" i="2"/>
  <c r="J14" i="2"/>
  <c r="AR42" i="3"/>
  <c r="J10" i="2"/>
  <c r="I10" i="2"/>
  <c r="E16" i="2"/>
  <c r="D21" i="3"/>
  <c r="AX8" i="4" a="1"/>
  <c r="AC15" i="4" a="1"/>
  <c r="AY11" i="4" a="1"/>
  <c r="F7" i="4" a="1"/>
  <c r="CQ12" i="4" a="1"/>
  <c r="Y14" i="4" a="1"/>
  <c r="DS15" i="4" a="1"/>
  <c r="E16" i="4" a="1"/>
  <c r="EG5" i="4" a="1"/>
  <c r="DQ9" i="4" a="1"/>
  <c r="CT7" i="4" a="1"/>
  <c r="AA9" i="4" a="1"/>
  <c r="EC8" i="4" a="1"/>
  <c r="EC14" i="4" a="1"/>
  <c r="BT8" i="4" a="1"/>
  <c r="T5" i="4" a="1"/>
  <c r="AF14" i="4" a="1"/>
  <c r="AB8" i="4" a="1"/>
  <c r="BE15" i="4" a="1"/>
  <c r="AH8" i="4" a="1"/>
  <c r="AY7" i="4" a="1"/>
  <c r="D15" i="4" a="1"/>
  <c r="CT15" i="4" a="1"/>
  <c r="BU14" i="4" a="1"/>
  <c r="EI5" i="4" a="1"/>
  <c r="DN14" i="4" a="1"/>
  <c r="AD6" i="4" a="1"/>
  <c r="T13" i="4" a="1"/>
  <c r="BB7" i="4" a="1"/>
  <c r="DH14" i="4" a="1"/>
  <c r="DP9" i="4" a="1"/>
  <c r="DY16" i="4" a="1"/>
  <c r="DL11" i="4" a="1"/>
  <c r="BG11" i="4" a="1"/>
  <c r="AA11" i="4" a="1"/>
  <c r="BS13" i="4" a="1"/>
  <c r="AR16" i="4" a="1"/>
  <c r="BJ14" i="4" a="1"/>
  <c r="DW13" i="4" a="1"/>
  <c r="BA14" i="4" a="1"/>
  <c r="AD15" i="4" a="1"/>
  <c r="EJ5" i="4" a="1"/>
  <c r="EC7" i="4" a="1"/>
  <c r="AE16" i="4" a="1"/>
  <c r="DD9" i="4" a="1"/>
  <c r="BK15" i="4" a="1"/>
  <c r="L6" i="4" a="1"/>
  <c r="E9" i="4" a="1"/>
  <c r="CL6" i="4" a="1"/>
  <c r="AE11" i="4" a="1"/>
  <c r="DR7" i="4" a="1"/>
  <c r="AW13" i="4" a="1"/>
  <c r="N15" i="4" a="1"/>
  <c r="EE9" i="4" a="1"/>
  <c r="CC15" i="4" a="1"/>
  <c r="AO46" i="3"/>
  <c r="BI13" i="4" a="1"/>
  <c r="BG8" i="4" a="1"/>
  <c r="BT9" i="4" a="1"/>
  <c r="BI7" i="4" a="1"/>
  <c r="AI5" i="4" a="1"/>
  <c r="CW9" i="4" a="1"/>
  <c r="AN15" i="4" a="1"/>
  <c r="T9" i="4" a="1"/>
  <c r="V9" i="4" a="1"/>
  <c r="I9" i="4" a="1"/>
  <c r="AL12" i="4" a="1"/>
  <c r="W11" i="4" a="1"/>
  <c r="DH8" i="4" a="1"/>
  <c r="AK7" i="4" a="1"/>
  <c r="AR12" i="4" a="1"/>
  <c r="DT9" i="4" a="1"/>
  <c r="AO14" i="4" a="1"/>
  <c r="DF6" i="4" a="1"/>
  <c r="BO9" i="4" a="1"/>
  <c r="CO14" i="4" a="1"/>
  <c r="DS16" i="4" a="1"/>
  <c r="H16" i="4" a="1"/>
  <c r="M15" i="4" a="1"/>
  <c r="AE5" i="4" a="1"/>
  <c r="BE6" i="4" a="1"/>
  <c r="BZ16" i="4" a="1"/>
  <c r="CU13" i="4" a="1"/>
  <c r="DT15" i="4" a="1"/>
  <c r="CZ9" i="4" a="1"/>
  <c r="AX7" i="4" a="1"/>
  <c r="CY7" i="4" a="1"/>
  <c r="CA13" i="4" a="1"/>
  <c r="CL16" i="4" a="1"/>
  <c r="EB12" i="4" a="1"/>
  <c r="CG13" i="4" a="1"/>
  <c r="AL11" i="4" a="1"/>
  <c r="EG15" i="4" a="1"/>
  <c r="Z5" i="4" a="1"/>
  <c r="AZ16" i="4" a="1"/>
  <c r="EI13" i="4" a="1"/>
  <c r="DM6" i="4" a="1"/>
  <c r="AP14" i="4" a="1"/>
  <c r="O16" i="4" a="1"/>
  <c r="AD14" i="4" a="1"/>
  <c r="CO11" i="4" a="1"/>
  <c r="DF8" i="4" a="1"/>
  <c r="CH15" i="4" a="1"/>
  <c r="L7" i="2"/>
  <c r="C24" i="2"/>
  <c r="S15" i="2"/>
  <c r="V18" i="2"/>
  <c r="AE46" i="3"/>
  <c r="W46" i="2"/>
  <c r="R20" i="2"/>
  <c r="X36" i="2"/>
  <c r="G21" i="3"/>
  <c r="Q58" i="2"/>
  <c r="S9" i="2"/>
  <c r="W7" i="2"/>
  <c r="G18" i="2"/>
  <c r="F15" i="3"/>
  <c r="R6" i="2"/>
  <c r="R15" i="2"/>
  <c r="C65" i="2"/>
  <c r="E42" i="3"/>
  <c r="E14" i="2"/>
  <c r="J36" i="2"/>
  <c r="X32" i="2"/>
  <c r="E17" i="3"/>
  <c r="EI16" i="4" a="1"/>
  <c r="O7" i="4" a="1"/>
  <c r="AK12" i="4" a="1"/>
  <c r="DV6" i="4" a="1"/>
  <c r="DU16" i="4" a="1"/>
  <c r="DZ8" i="4" a="1"/>
  <c r="BA12" i="4" a="1"/>
  <c r="EC15" i="4" a="1"/>
  <c r="CW14" i="4" a="1"/>
  <c r="AL5" i="4" a="1"/>
  <c r="DF16" i="4" a="1"/>
  <c r="F15" i="4" a="1"/>
  <c r="P6" i="4" a="1"/>
  <c r="AF13" i="4" a="1"/>
  <c r="DK9" i="4" a="1"/>
  <c r="CB8" i="4" a="1"/>
  <c r="DE6" i="4" a="1"/>
  <c r="DE7" i="4" a="1"/>
  <c r="AS6" i="4" a="1"/>
  <c r="CA15" i="4" a="1"/>
  <c r="BI5" i="4" a="1"/>
  <c r="DV15" i="4" a="1"/>
  <c r="CL12" i="4" a="1"/>
  <c r="AN9" i="4" a="1"/>
  <c r="CP15" i="4" a="1"/>
  <c r="DT13" i="4" a="1"/>
  <c r="C11" i="4" a="1"/>
  <c r="AO13" i="4" a="1"/>
  <c r="AL9" i="4" a="1"/>
  <c r="AT14" i="4" a="1"/>
  <c r="DC9" i="4" a="1"/>
  <c r="V14" i="4" a="1"/>
  <c r="EC11" i="4" a="1"/>
  <c r="P8" i="4" a="1"/>
  <c r="Z7" i="4" a="1"/>
  <c r="AL8" i="4" a="1"/>
  <c r="AS13" i="4" a="1"/>
  <c r="CD12" i="4" a="1"/>
  <c r="DZ7" i="4" a="1"/>
  <c r="EC13" i="4" a="1"/>
  <c r="DJ5" i="4" a="1"/>
  <c r="AV9" i="4" a="1"/>
  <c r="CO6" i="4" a="1"/>
  <c r="BH12" i="4" a="1"/>
  <c r="AY9" i="4" a="1"/>
  <c r="BB6" i="4" a="1"/>
  <c r="EF15" i="4" a="1"/>
  <c r="AG14" i="4" a="1"/>
  <c r="BR6" i="4" a="1"/>
  <c r="DD6" i="4" a="1"/>
  <c r="DN8" i="4" a="1"/>
  <c r="BH9" i="4" a="1"/>
  <c r="BC7" i="4" a="1"/>
  <c r="AN5" i="4" a="1"/>
  <c r="AM16" i="4" a="1"/>
  <c r="AD16" i="3"/>
  <c r="D8" i="4" a="1"/>
  <c r="EK15" i="4" a="1"/>
  <c r="CV12" i="4" a="1"/>
  <c r="AK5" i="4" a="1"/>
  <c r="DQ5" i="4" a="1"/>
  <c r="AJ9" i="4" a="1"/>
  <c r="CM15" i="4" a="1"/>
  <c r="CR16" i="4" a="1"/>
  <c r="BB5" i="4" a="1"/>
  <c r="CG5" i="4" a="1"/>
  <c r="CK15" i="4" a="1"/>
  <c r="BL9" i="4" a="1"/>
  <c r="CX6" i="4" a="1"/>
  <c r="AD5" i="4" a="1"/>
  <c r="DI13" i="4" a="1"/>
  <c r="BP5" i="4" a="1"/>
  <c r="BV11" i="4" a="1"/>
  <c r="V8" i="4" a="1"/>
  <c r="AU15" i="4" a="1"/>
  <c r="K6" i="4" a="1"/>
  <c r="DL12" i="4" a="1"/>
  <c r="CL5" i="4" a="1"/>
  <c r="BR9" i="4" a="1"/>
  <c r="H7" i="4" a="1"/>
  <c r="CE6" i="4" a="1"/>
  <c r="CE14" i="4" a="1"/>
  <c r="BY6" i="4" a="1"/>
  <c r="CO12" i="4" a="1"/>
  <c r="CY8" i="4" a="1"/>
  <c r="AZ11" i="4" a="1"/>
  <c r="EB14" i="4" a="1"/>
  <c r="BN14" i="4" a="1"/>
  <c r="CD6" i="4" a="1"/>
  <c r="CW6" i="4" a="1"/>
  <c r="M33" i="2"/>
  <c r="G22" i="2"/>
  <c r="H27" i="2"/>
  <c r="M12" i="2"/>
  <c r="F19" i="3"/>
  <c r="G34" i="2"/>
  <c r="D36" i="2"/>
  <c r="N13" i="2"/>
  <c r="AR45" i="3"/>
  <c r="G19" i="2"/>
  <c r="S20" i="2"/>
  <c r="U26" i="2"/>
  <c r="AA46" i="3"/>
  <c r="Y46" i="3"/>
  <c r="K17" i="2"/>
  <c r="M29" i="2"/>
  <c r="AR94" i="3"/>
  <c r="AL46" i="3"/>
  <c r="Q11" i="2"/>
  <c r="L28" i="2"/>
  <c r="AR84" i="3"/>
  <c r="AR25" i="3"/>
  <c r="BW11" i="4" a="1"/>
  <c r="Y8" i="4" a="1"/>
  <c r="U12" i="4" a="1"/>
  <c r="BN9" i="4" a="1"/>
  <c r="CY9" i="4" a="1"/>
  <c r="EG9" i="4" a="1"/>
  <c r="BG14" i="4" a="1"/>
  <c r="AM11" i="4" a="1"/>
  <c r="EA5" i="4" a="1"/>
  <c r="DW6" i="4" a="1"/>
  <c r="CP12" i="4" a="1"/>
  <c r="T6" i="4" a="1"/>
  <c r="CE7" i="4" a="1"/>
  <c r="CD11" i="4" a="1"/>
  <c r="DA9" i="4" a="1"/>
  <c r="CU16" i="4" a="1"/>
  <c r="CE9" i="4" a="1"/>
  <c r="D22" i="3"/>
  <c r="AC11" i="4" a="1"/>
  <c r="DM15" i="4" a="1"/>
  <c r="DP16" i="4" a="1"/>
  <c r="AM6" i="4" a="1"/>
  <c r="AB5" i="4" a="1"/>
  <c r="F9" i="4" a="1"/>
  <c r="AI15" i="4" a="1"/>
  <c r="CN13" i="4" a="1"/>
  <c r="CX16" i="4" a="1"/>
  <c r="DN7" i="4" a="1"/>
  <c r="Q15" i="4" a="1"/>
  <c r="AN7" i="4" a="1"/>
  <c r="AZ7" i="4" a="1"/>
  <c r="BP11" i="4" a="1"/>
  <c r="EK8" i="4" a="1"/>
  <c r="BG12" i="4" a="1"/>
  <c r="DS5" i="4" a="1"/>
  <c r="CS5" i="4" a="1"/>
  <c r="AE15" i="4" a="1"/>
  <c r="AL7" i="4" a="1"/>
  <c r="AH7" i="4" a="1"/>
  <c r="CE8" i="4" a="1"/>
  <c r="AF12" i="4" a="1"/>
  <c r="CT11" i="4" a="1"/>
  <c r="EG14" i="4" a="1"/>
  <c r="DL6" i="4" a="1"/>
  <c r="DZ12" i="4" a="1"/>
  <c r="BS15" i="4" a="1"/>
  <c r="G26" i="2"/>
  <c r="M27" i="2"/>
  <c r="L6" i="2"/>
  <c r="X21" i="2"/>
  <c r="AR33" i="3"/>
  <c r="J13" i="2"/>
  <c r="P19" i="2"/>
  <c r="AR74" i="3"/>
  <c r="AD9" i="3"/>
  <c r="S25" i="2"/>
  <c r="N17" i="2"/>
  <c r="E34" i="2"/>
  <c r="G11" i="3"/>
  <c r="X33" i="2"/>
  <c r="U22" i="2"/>
  <c r="F19" i="2"/>
  <c r="M9" i="2"/>
  <c r="S35" i="2"/>
  <c r="D17" i="2"/>
  <c r="L22" i="2"/>
  <c r="AR63" i="3"/>
  <c r="D42" i="3"/>
  <c r="AG12" i="4" a="1"/>
  <c r="AF9" i="4" a="1"/>
  <c r="AR8" i="4" a="1"/>
  <c r="M16" i="4" a="1"/>
  <c r="DF9" i="4" a="1"/>
  <c r="BN12" i="4" a="1"/>
  <c r="AO6" i="4" a="1"/>
  <c r="DK7" i="4" a="1"/>
  <c r="CY16" i="4" a="1"/>
  <c r="AF8" i="4" a="1"/>
  <c r="BJ5" i="4" a="1"/>
  <c r="EF14" i="4" a="1"/>
  <c r="BO15" i="4" a="1"/>
  <c r="BY11" i="4" a="1"/>
  <c r="CW5" i="4" a="1"/>
  <c r="M8" i="4" a="1"/>
  <c r="DW11" i="4" a="1"/>
  <c r="AR26" i="3"/>
  <c r="K20" i="2"/>
  <c r="F12" i="2"/>
  <c r="V20" i="2"/>
  <c r="O10" i="2"/>
  <c r="V45" i="3"/>
  <c r="H20" i="2"/>
  <c r="P11" i="2"/>
  <c r="AR79" i="3"/>
  <c r="G12" i="3"/>
  <c r="L12" i="2"/>
  <c r="P28" i="2"/>
  <c r="Q36" i="2"/>
  <c r="AR41" i="3"/>
  <c r="D19" i="2"/>
  <c r="C9" i="2"/>
  <c r="P69" i="2"/>
  <c r="C13" i="2"/>
  <c r="W16" i="2"/>
  <c r="R31" i="2"/>
  <c r="J28" i="2"/>
  <c r="AR47" i="3"/>
  <c r="AD7" i="3"/>
  <c r="BD15" i="4" a="1"/>
  <c r="O6" i="4" a="1"/>
  <c r="DP8" i="4" a="1"/>
  <c r="N7" i="4" a="1"/>
  <c r="DX14" i="4" a="1"/>
  <c r="AD13" i="4" a="1"/>
  <c r="AN16" i="4" a="1"/>
  <c r="EG12" i="4" a="1"/>
  <c r="BK6" i="4" a="1"/>
  <c r="DN12" i="4" a="1"/>
  <c r="BM14" i="4" a="1"/>
  <c r="EA7" i="4" a="1"/>
  <c r="R8" i="4" a="1"/>
  <c r="DJ9" i="4" a="1"/>
  <c r="AP5" i="4" a="1"/>
  <c r="DV12" i="4" a="1"/>
  <c r="CY5" i="4" a="1"/>
  <c r="G8" i="3"/>
  <c r="BO8" i="4" a="1"/>
  <c r="CN8" i="4" a="1"/>
  <c r="BD5" i="4" a="1"/>
  <c r="BX5" i="4" a="1"/>
  <c r="BJ6" i="4" a="1"/>
  <c r="BJ8" i="4" a="1"/>
  <c r="CT13" i="4" a="1"/>
  <c r="D16" i="4" a="1"/>
  <c r="W9" i="4" a="1"/>
  <c r="DJ11" i="4" a="1"/>
  <c r="E46" i="3"/>
  <c r="AH13" i="4" a="1"/>
  <c r="BN11" i="4" a="1"/>
  <c r="CN14" i="4" a="1"/>
  <c r="AP16" i="4" a="1"/>
  <c r="AP11" i="4" a="1"/>
  <c r="Z16" i="4" a="1"/>
  <c r="AR5" i="4" a="1"/>
  <c r="BT15" i="4" a="1"/>
  <c r="ED5" i="4" a="1"/>
  <c r="BT6" i="4" a="1"/>
  <c r="CJ6" i="4" a="1"/>
  <c r="AR39" i="3"/>
  <c r="BU12" i="4" a="1"/>
  <c r="AC16" i="4" a="1"/>
  <c r="BH6" i="4" a="1"/>
  <c r="EB8" i="4" a="1"/>
  <c r="DO6" i="4" a="1"/>
  <c r="BW16" i="4" a="1"/>
  <c r="BI15" i="4" a="1"/>
  <c r="BR11" i="4" a="1"/>
  <c r="CM14" i="4" a="1"/>
  <c r="DM8" i="4" a="1"/>
  <c r="CX12" i="4" a="1"/>
  <c r="CK9" i="4" a="1"/>
  <c r="DM9" i="4" a="1"/>
  <c r="R15" i="4" a="1"/>
  <c r="ED16" i="4" a="1"/>
  <c r="BZ15" i="4" a="1"/>
  <c r="BE12" i="4" a="1"/>
  <c r="AC12" i="4" a="1"/>
  <c r="DQ14" i="4" a="1"/>
  <c r="BH7" i="4" a="1"/>
  <c r="AA16" i="4" a="1"/>
  <c r="AR9" i="4" a="1"/>
  <c r="DG9" i="4" a="1"/>
  <c r="BZ6" i="4" a="1"/>
  <c r="CU14" i="4" a="1"/>
  <c r="BX9" i="4" a="1"/>
  <c r="CQ14" i="4" a="1"/>
  <c r="AQ13" i="4" a="1"/>
  <c r="CF14" i="4" a="1"/>
  <c r="BK11" i="4" a="1"/>
  <c r="D9" i="4" a="1"/>
  <c r="G11" i="4" a="1"/>
  <c r="EE6" i="4" a="1"/>
  <c r="CE11" i="4" a="1"/>
  <c r="BT14" i="4" a="1"/>
  <c r="X16" i="4" a="1"/>
  <c r="AT9" i="4" a="1"/>
  <c r="X12" i="4" a="1"/>
  <c r="BU16" i="4" a="1"/>
  <c r="D11" i="4" a="1"/>
  <c r="AC13" i="4" a="1"/>
  <c r="AM9" i="4" a="1"/>
  <c r="AJ14" i="4" a="1"/>
  <c r="G9" i="4" a="1"/>
  <c r="EG11" i="4" a="1"/>
  <c r="BT11" i="4" a="1"/>
  <c r="R45" i="3"/>
  <c r="BC14" i="4" a="1"/>
  <c r="CU12" i="4" a="1"/>
  <c r="EJ9" i="4" a="1"/>
  <c r="DM7" i="4" a="1"/>
  <c r="CI14" i="4" a="1"/>
  <c r="AY5" i="4" a="1"/>
  <c r="BL15" i="4" a="1"/>
  <c r="CE15" i="4" a="1"/>
  <c r="BL8" i="4" a="1"/>
  <c r="BH8" i="4" a="1"/>
  <c r="CO8" i="4" a="1"/>
  <c r="AG6" i="4" a="1"/>
  <c r="AU14" i="4" a="1"/>
  <c r="DT12" i="4" a="1"/>
  <c r="EE15" i="4" a="1"/>
  <c r="DI11" i="4" a="1"/>
  <c r="E11" i="4" a="1"/>
  <c r="CM6" i="4" a="1"/>
  <c r="AR7" i="4" a="1"/>
  <c r="DV9" i="4" a="1"/>
  <c r="N16" i="4" a="1"/>
  <c r="AX5" i="4" a="1"/>
  <c r="DM16" i="4" a="1"/>
  <c r="AR14" i="4" a="1"/>
  <c r="CP11" i="4" a="1"/>
  <c r="DY13" i="4" a="1"/>
  <c r="DW16" i="4" a="1"/>
  <c r="F91" i="3"/>
  <c r="E74" i="3"/>
  <c r="E90" i="3"/>
  <c r="E86" i="3"/>
  <c r="F92" i="3"/>
  <c r="F87" i="3"/>
  <c r="E73" i="3"/>
  <c r="F84" i="3"/>
  <c r="DV5" i="4" a="1"/>
  <c r="DY8" i="4" a="1"/>
  <c r="X6" i="4" a="1"/>
  <c r="BZ11" i="4" a="1"/>
  <c r="DM13" i="4" a="1"/>
  <c r="BW7" i="4" a="1"/>
  <c r="AZ9" i="4" a="1"/>
  <c r="DA12" i="4" a="1"/>
  <c r="AK16" i="4" a="1"/>
  <c r="AA14" i="4" a="1"/>
  <c r="BM12" i="4" a="1"/>
  <c r="CC9" i="4" a="1"/>
  <c r="DO14" i="4" a="1"/>
  <c r="L9" i="4" a="1"/>
  <c r="R14" i="4" a="1"/>
  <c r="DX6" i="4" a="1"/>
  <c r="I5" i="4" a="1"/>
  <c r="J35" i="2"/>
  <c r="E6" i="2"/>
  <c r="X29" i="2"/>
  <c r="Q59" i="2"/>
  <c r="F31" i="3"/>
  <c r="O19" i="2"/>
  <c r="E8" i="2"/>
  <c r="Q54" i="2"/>
  <c r="D7" i="3"/>
  <c r="D34" i="2"/>
  <c r="G30" i="2"/>
  <c r="J5" i="2"/>
  <c r="G5" i="3"/>
  <c r="J18" i="2"/>
  <c r="N35" i="2"/>
  <c r="G11" i="2"/>
  <c r="J30" i="2"/>
  <c r="J24" i="2"/>
  <c r="M8" i="2"/>
  <c r="Q15" i="2"/>
  <c r="F30" i="2"/>
  <c r="M45" i="3"/>
  <c r="BZ8" i="4" a="1"/>
  <c r="BC5" i="4" a="1"/>
  <c r="AA6" i="4" a="1"/>
  <c r="BT5" i="4" a="1"/>
  <c r="P5" i="4" a="1"/>
  <c r="AB7" i="4" a="1"/>
  <c r="BC6" i="4" a="1"/>
  <c r="DU7" i="4" a="1"/>
  <c r="CJ5" i="4" a="1"/>
  <c r="T8" i="4" a="1"/>
  <c r="U5" i="4" a="1"/>
  <c r="EA16" i="4" a="1"/>
  <c r="EF7" i="4" a="1"/>
  <c r="CO5" i="4" a="1"/>
  <c r="P11" i="4" a="1"/>
  <c r="BJ13" i="4" a="1"/>
  <c r="Q7" i="4" a="1"/>
  <c r="D5" i="3"/>
  <c r="D65" i="3" s="1"/>
  <c r="CG16" i="4" a="1"/>
  <c r="CS8" i="4" a="1"/>
  <c r="CM13" i="4" a="1"/>
  <c r="BO13" i="4" a="1"/>
  <c r="DJ16" i="4" a="1"/>
  <c r="CP9" i="4" a="1"/>
  <c r="AQ7" i="4" a="1"/>
  <c r="BR15" i="4" a="1"/>
  <c r="CS13" i="4" a="1"/>
  <c r="EG8" i="4" a="1"/>
  <c r="AR23" i="3"/>
  <c r="CR8" i="4" a="1"/>
  <c r="BN16" i="4" a="1"/>
  <c r="DG11" i="4" a="1"/>
  <c r="DF11" i="4" a="1"/>
  <c r="CP8" i="4" a="1"/>
  <c r="BH16" i="4" a="1"/>
  <c r="DN6" i="4" a="1"/>
  <c r="CC14" i="4" a="1"/>
  <c r="BR7" i="4" a="1"/>
  <c r="CV7" i="4" a="1"/>
  <c r="BY16" i="4" a="1"/>
  <c r="AR28" i="3"/>
  <c r="AP9" i="4" a="1"/>
  <c r="BQ13" i="4" a="1"/>
  <c r="CM7" i="4" a="1"/>
  <c r="DE8" i="4" a="1"/>
  <c r="E6" i="4" a="1"/>
  <c r="DS13" i="4" a="1"/>
  <c r="AR97" i="3"/>
  <c r="N34" i="2"/>
  <c r="AR36" i="3"/>
  <c r="AR68" i="3"/>
  <c r="AQ45" i="3"/>
  <c r="I18" i="2"/>
  <c r="T16" i="2"/>
  <c r="U32" i="2"/>
  <c r="D28" i="3"/>
  <c r="Q30" i="2"/>
  <c r="X20" i="2"/>
  <c r="O21" i="2"/>
  <c r="D12" i="3"/>
  <c r="X14" i="2"/>
  <c r="J9" i="2"/>
  <c r="K6" i="2"/>
  <c r="AR86" i="3"/>
  <c r="D6" i="2"/>
  <c r="N16" i="2"/>
  <c r="X92" i="2"/>
  <c r="V25" i="2"/>
  <c r="G16" i="3"/>
  <c r="CS14" i="4" a="1"/>
  <c r="AP15" i="4" a="1"/>
  <c r="AB15" i="4" a="1"/>
  <c r="EK16" i="4" a="1"/>
  <c r="EE8" i="4" a="1"/>
  <c r="S14" i="4" a="1"/>
  <c r="BI11" i="4" a="1"/>
  <c r="AD8" i="4" a="1"/>
  <c r="K14" i="4" a="1"/>
  <c r="G12" i="4" a="1"/>
  <c r="DB8" i="4" a="1"/>
  <c r="AU5" i="4" a="1"/>
  <c r="AJ7" i="4" a="1"/>
  <c r="AQ9" i="4" a="1"/>
  <c r="S9" i="4" a="1"/>
  <c r="BH15" i="4" a="1"/>
  <c r="AU6" i="4" a="1"/>
  <c r="AD9" i="4" a="1"/>
  <c r="DV7" i="4" a="1"/>
  <c r="CO9" i="4" a="1"/>
  <c r="DF13" i="4" a="1"/>
  <c r="EJ12" i="4" a="1"/>
  <c r="DT16" i="4" a="1"/>
  <c r="DM11" i="4" a="1"/>
  <c r="AT5" i="4" a="1"/>
  <c r="AB14" i="4" a="1"/>
  <c r="AH6" i="4" a="1"/>
  <c r="DO13" i="4" a="1"/>
  <c r="AK45" i="3"/>
  <c r="CZ12" i="4" a="1"/>
  <c r="CQ13" i="4" a="1"/>
  <c r="AG9" i="4" a="1"/>
  <c r="AH15" i="4" a="1"/>
  <c r="BC8" i="4" a="1"/>
  <c r="CG7" i="4" a="1"/>
  <c r="AQ5" i="4" a="1"/>
  <c r="EH8" i="4" a="1"/>
  <c r="DS8" i="4" a="1"/>
  <c r="EF6" i="4" a="1"/>
  <c r="DX16" i="4" a="1"/>
  <c r="D35" i="3"/>
  <c r="BV5" i="4" a="1"/>
  <c r="K15" i="4" a="1"/>
  <c r="AI13" i="4" a="1"/>
  <c r="DK13" i="4" a="1"/>
  <c r="BA7" i="4" a="1"/>
  <c r="DH6" i="4" a="1"/>
  <c r="AX15" i="4" a="1"/>
  <c r="AZ5" i="4" a="1"/>
  <c r="CI11" i="4" a="1"/>
  <c r="E13" i="4" a="1"/>
  <c r="C14" i="4" a="1"/>
  <c r="AV6" i="4" a="1"/>
  <c r="CB16" i="4" a="1"/>
  <c r="CE16" i="4" a="1"/>
  <c r="DM5" i="4" a="1"/>
  <c r="AI11" i="4" a="1"/>
  <c r="DF7" i="4" a="1"/>
  <c r="CI13" i="4" a="1"/>
  <c r="AY6" i="4" a="1"/>
  <c r="EE16" i="4" a="1"/>
  <c r="I7" i="4" a="1"/>
  <c r="DB12" i="4" a="1"/>
  <c r="C13" i="4" a="1"/>
  <c r="DO11" i="4" a="1"/>
  <c r="X35" i="2"/>
  <c r="V27" i="2"/>
  <c r="AR38" i="3"/>
  <c r="W70" i="2"/>
  <c r="E13" i="3"/>
  <c r="O33" i="2"/>
  <c r="Q13" i="2"/>
  <c r="G13" i="2"/>
  <c r="DT7" i="4" a="1"/>
  <c r="P15" i="2"/>
  <c r="X27" i="2"/>
  <c r="D11" i="2"/>
  <c r="AR40" i="3"/>
  <c r="D32" i="2"/>
  <c r="J7" i="2"/>
  <c r="M10" i="2"/>
  <c r="AR78" i="3"/>
  <c r="U6" i="2"/>
  <c r="K25" i="2"/>
  <c r="S5" i="2"/>
  <c r="AF48" i="3"/>
  <c r="E7" i="3"/>
  <c r="V15" i="4" a="1"/>
  <c r="Q5" i="4" a="1"/>
  <c r="AW5" i="4" a="1"/>
  <c r="Y7" i="4" a="1"/>
  <c r="EJ6" i="4" a="1"/>
  <c r="AE14" i="4" a="1"/>
  <c r="AF6" i="4" a="1"/>
  <c r="DR16" i="4" a="1"/>
  <c r="CH7" i="4" a="1"/>
  <c r="AI8" i="4" a="1"/>
  <c r="EI9" i="4" a="1"/>
  <c r="L16" i="4" a="1"/>
  <c r="DX11" i="4" a="1"/>
  <c r="DO15" i="4" a="1"/>
  <c r="EA11" i="4" a="1"/>
  <c r="AU8" i="4" a="1"/>
  <c r="EA12" i="4" a="1"/>
  <c r="AZ14" i="4" a="1"/>
  <c r="BC12" i="4" a="1"/>
  <c r="R11" i="4" a="1"/>
  <c r="DR11" i="4" a="1"/>
  <c r="DC15" i="4" a="1"/>
  <c r="O11" i="4" a="1"/>
  <c r="BW6" i="4" a="1"/>
  <c r="CO15" i="4" a="1"/>
  <c r="H12" i="4" a="1"/>
  <c r="AW15" i="4" a="1"/>
  <c r="DR15" i="4" a="1"/>
  <c r="R16" i="4" a="1"/>
  <c r="BU7" i="4" a="1"/>
  <c r="AQ12" i="4" a="1"/>
  <c r="X5" i="4" a="1"/>
  <c r="CF12" i="4" a="1"/>
  <c r="BV16" i="4" a="1"/>
  <c r="DX7" i="4" a="1"/>
  <c r="N14" i="4" a="1"/>
  <c r="CN9" i="4" a="1"/>
  <c r="V11" i="4" a="1"/>
  <c r="DK6" i="4" a="1"/>
  <c r="DI15" i="4" a="1"/>
  <c r="F41" i="3"/>
  <c r="BE11" i="4" a="1"/>
  <c r="R13" i="4" a="1"/>
  <c r="P9" i="4" a="1"/>
  <c r="DG16" i="4" a="1"/>
  <c r="I13" i="4" a="1"/>
  <c r="BC15" i="4" a="1"/>
  <c r="BB15" i="4" a="1"/>
  <c r="G6" i="4" a="1"/>
  <c r="DY5" i="4" a="1"/>
  <c r="EE13" i="4" a="1"/>
  <c r="DH5" i="4" a="1"/>
  <c r="F36" i="3"/>
  <c r="AR21" i="3"/>
  <c r="F7" i="3"/>
  <c r="AR54" i="3"/>
  <c r="D38" i="3"/>
  <c r="Q17" i="2"/>
  <c r="I36" i="2"/>
  <c r="AR22" i="3"/>
  <c r="BN7" i="4" a="1"/>
  <c r="G33" i="2"/>
  <c r="I30" i="2"/>
  <c r="D5" i="2"/>
  <c r="C46" i="3"/>
  <c r="V7" i="2"/>
  <c r="D22" i="2"/>
  <c r="P25" i="2"/>
  <c r="E25" i="3"/>
  <c r="V12" i="2"/>
  <c r="T7" i="2"/>
  <c r="H28" i="2"/>
  <c r="E40" i="3"/>
  <c r="E19" i="3"/>
  <c r="EE14" i="4" a="1"/>
  <c r="ED6" i="4" a="1"/>
  <c r="EB6" i="4" a="1"/>
  <c r="AC9" i="4" a="1"/>
  <c r="CD7" i="4" a="1"/>
  <c r="AP6" i="4" a="1"/>
  <c r="AV7" i="4" a="1"/>
  <c r="DP14" i="4" a="1"/>
  <c r="AV16" i="4" a="1"/>
  <c r="DU5" i="4" a="1"/>
  <c r="CB5" i="4" a="1"/>
  <c r="CD15" i="4" a="1"/>
  <c r="CQ5" i="4" a="1"/>
  <c r="AN12" i="4" a="1"/>
  <c r="S5" i="4" a="1"/>
  <c r="DQ12" i="4" a="1"/>
  <c r="AO8" i="4" a="1"/>
  <c r="BU6" i="4" a="1"/>
  <c r="CN16" i="4" a="1"/>
  <c r="CZ15" i="4" a="1"/>
  <c r="V5" i="4" a="1"/>
  <c r="DW15" i="4" a="1"/>
  <c r="DK14" i="4" a="1"/>
  <c r="L7" i="4" a="1"/>
  <c r="DB13" i="4" a="1"/>
  <c r="AS14" i="4" a="1"/>
  <c r="BF5" i="4" a="1"/>
  <c r="EI8" i="4" a="1"/>
  <c r="X13" i="4" a="1"/>
  <c r="BQ7" i="4" a="1"/>
  <c r="AK13" i="4" a="1"/>
  <c r="C8" i="4" a="1"/>
  <c r="CQ8" i="4" a="1"/>
  <c r="DL5" i="4" a="1"/>
  <c r="N12" i="4" a="1"/>
  <c r="CQ11" i="4" a="1"/>
  <c r="R5" i="4" a="1"/>
  <c r="DC8" i="4" a="1"/>
  <c r="CZ5" i="4" a="1"/>
  <c r="BN15" i="4" a="1"/>
  <c r="BO14" i="4" a="1"/>
  <c r="AN8" i="4" a="1"/>
  <c r="Q14" i="4" a="1"/>
  <c r="DI16" i="4" a="1"/>
  <c r="CE5" i="4" a="1"/>
  <c r="EJ13" i="4" a="1"/>
  <c r="DW5" i="4" a="1"/>
  <c r="AS5" i="4" a="1"/>
  <c r="EA6" i="4" a="1"/>
  <c r="CG6" i="4" a="1"/>
  <c r="Q8" i="4" a="1"/>
  <c r="AR15" i="4" a="1"/>
  <c r="DK15" i="4" a="1"/>
  <c r="H11" i="4" a="1"/>
  <c r="AN14" i="4" a="1"/>
  <c r="AK9" i="4" a="1"/>
  <c r="DF5" i="4" a="1"/>
  <c r="DO12" i="4" a="1"/>
  <c r="C7" i="4" a="1"/>
  <c r="AY12" i="4" a="1"/>
  <c r="BJ16" i="4" a="1"/>
  <c r="AJ13" i="4" a="1"/>
  <c r="AG16" i="4" a="1"/>
  <c r="T15" i="4" a="1"/>
  <c r="BB9" i="4" a="1"/>
  <c r="G20" i="3"/>
  <c r="S11" i="4" a="1"/>
  <c r="DG15" i="4" a="1"/>
  <c r="CU6" i="4" a="1"/>
  <c r="EI6" i="4" a="1"/>
  <c r="CH14" i="4" a="1"/>
  <c r="U14" i="4" a="1"/>
  <c r="DT11" i="4" a="1"/>
  <c r="CV5" i="4" a="1"/>
  <c r="AE13" i="4" a="1"/>
  <c r="AT13" i="4" a="1"/>
  <c r="M13" i="4" a="1"/>
  <c r="AM8" i="4" a="1"/>
  <c r="DV11" i="4" a="1"/>
  <c r="C15" i="4" a="1"/>
  <c r="X14" i="4" a="1"/>
  <c r="DU14" i="4" a="1"/>
  <c r="BK16" i="4" a="1"/>
  <c r="DG5" i="4" a="1"/>
  <c r="DR9" i="4" a="1"/>
  <c r="BD8" i="4" a="1"/>
  <c r="DL8" i="4" a="1"/>
  <c r="AE7" i="4" a="1"/>
  <c r="O12" i="4" a="1"/>
  <c r="DS7" i="4" a="1"/>
  <c r="DN16" i="4" a="1"/>
  <c r="O13" i="4" a="1"/>
  <c r="AO5" i="4" a="1"/>
  <c r="DQ6" i="4" a="1"/>
  <c r="BL5" i="4" a="1"/>
  <c r="CM5" i="4" a="1"/>
  <c r="AZ12" i="4" a="1"/>
  <c r="AG8" i="4" a="1"/>
  <c r="CV8" i="4" a="1"/>
  <c r="CG15" i="4" a="1"/>
  <c r="CB11" i="4" a="1"/>
  <c r="ED9" i="4" a="1"/>
  <c r="CY12" i="4" a="1"/>
  <c r="BW14" i="4" a="1"/>
  <c r="BF8" i="4" a="1"/>
  <c r="AD8" i="3"/>
  <c r="O46" i="3"/>
  <c r="Q69" i="2"/>
  <c r="C15" i="2"/>
  <c r="E15" i="3"/>
  <c r="R13" i="2"/>
  <c r="M7" i="2"/>
  <c r="F25" i="3"/>
  <c r="X7" i="2"/>
  <c r="K23" i="2"/>
  <c r="N7" i="2"/>
  <c r="AR91" i="3"/>
  <c r="AG46" i="3"/>
  <c r="R33" i="2"/>
  <c r="M5" i="2"/>
  <c r="H32" i="2"/>
  <c r="E28" i="3"/>
  <c r="L13" i="2"/>
  <c r="K31" i="2"/>
  <c r="O24" i="2"/>
  <c r="F8" i="3"/>
  <c r="G15" i="3"/>
  <c r="AR11" i="4" a="1"/>
  <c r="CA12" i="4" a="1"/>
  <c r="EC9" i="4" a="1"/>
  <c r="DZ9" i="4" a="1"/>
  <c r="BL14" i="4" a="1"/>
  <c r="CB6" i="4" a="1"/>
  <c r="E12" i="3"/>
  <c r="CQ6" i="4" a="1"/>
  <c r="BE8" i="4" a="1"/>
  <c r="CG8" i="4" a="1"/>
  <c r="AD16" i="4" a="1"/>
  <c r="AG11" i="4" a="1"/>
  <c r="DL16" i="4" a="1"/>
  <c r="CQ7" i="4" a="1"/>
  <c r="DU9" i="4" a="1"/>
  <c r="BX7" i="4" a="1"/>
  <c r="BA13" i="4" a="1"/>
  <c r="CZ16" i="4" a="1"/>
  <c r="BK13" i="4" a="1"/>
  <c r="AQ15" i="4" a="1"/>
  <c r="BY15" i="4" a="1"/>
  <c r="CS7" i="4" a="1"/>
  <c r="AL13" i="4" a="1"/>
  <c r="BP15" i="4" a="1"/>
  <c r="BM6" i="4" a="1"/>
  <c r="CO16" i="4" a="1"/>
  <c r="CD13" i="4" a="1"/>
  <c r="BG13" i="4" a="1"/>
  <c r="CY15" i="4" a="1"/>
  <c r="DS12" i="4" a="1"/>
  <c r="AE6" i="4" a="1"/>
  <c r="W13" i="4" a="1"/>
  <c r="AU13" i="4" a="1"/>
  <c r="BM13" i="4" a="1"/>
  <c r="CK5" i="4" a="1"/>
  <c r="DX5" i="4" a="1"/>
  <c r="CF8" i="4" a="1"/>
  <c r="AY16" i="4" a="1"/>
  <c r="P12" i="4" a="1"/>
  <c r="BX14" i="4" a="1"/>
  <c r="EJ14" i="4" a="1"/>
  <c r="BD6" i="4" a="1"/>
  <c r="J5" i="4" a="1"/>
  <c r="BO12" i="4" a="1"/>
  <c r="EA15" i="4" a="1"/>
  <c r="DJ6" i="4" a="1"/>
  <c r="AN13" i="4" a="1"/>
  <c r="AO7" i="4" a="1"/>
  <c r="AX9" i="4" a="1"/>
  <c r="CM11" i="4" a="1"/>
  <c r="EK14" i="4" a="1"/>
  <c r="CA16" i="4" a="1"/>
  <c r="DS9" i="4" a="1"/>
  <c r="DU15" i="4" a="1"/>
  <c r="DK12" i="4" a="1"/>
  <c r="AO12" i="4" a="1"/>
  <c r="CF9" i="4" a="1"/>
  <c r="V12" i="4" a="1"/>
  <c r="BH14" i="4" a="1"/>
  <c r="F21" i="3"/>
  <c r="G17" i="2"/>
  <c r="P7" i="2"/>
  <c r="H35" i="2"/>
  <c r="D31" i="3"/>
  <c r="O18" i="2"/>
  <c r="Q25" i="2"/>
  <c r="T46" i="3"/>
  <c r="C8" i="2"/>
  <c r="H49" i="2"/>
  <c r="V13" i="2"/>
  <c r="P21" i="2"/>
  <c r="G18" i="3"/>
  <c r="F27" i="2"/>
  <c r="X63" i="2"/>
  <c r="M24" i="2"/>
  <c r="D34" i="3"/>
  <c r="D47" i="2"/>
  <c r="L15" i="2"/>
  <c r="T23" i="2"/>
  <c r="AQ46" i="3"/>
  <c r="G22" i="3"/>
  <c r="R6" i="4" a="1"/>
  <c r="BJ9" i="4" a="1"/>
  <c r="CD9" i="4" a="1"/>
  <c r="BW13" i="4" a="1"/>
  <c r="CV11" i="4" a="1"/>
  <c r="CV16" i="4" a="1"/>
  <c r="D18" i="3"/>
  <c r="CT14" i="4" a="1"/>
  <c r="AM5" i="4" a="1"/>
  <c r="BS16" i="4" a="1"/>
  <c r="DX8" i="4" a="1"/>
  <c r="BC16" i="4" a="1"/>
  <c r="K12" i="4" a="1"/>
  <c r="O9" i="4" a="1"/>
  <c r="AG13" i="4" a="1"/>
  <c r="CS11" i="4" a="1"/>
  <c r="BQ6" i="4" a="1"/>
  <c r="J9" i="4" a="1"/>
  <c r="S15" i="4" a="1"/>
  <c r="DE12" i="4" a="1"/>
  <c r="DP12" i="4" a="1"/>
  <c r="CH6" i="4" a="1"/>
  <c r="CC11" i="4" a="1"/>
  <c r="F6" i="2"/>
  <c r="V24" i="2"/>
  <c r="L27" i="2"/>
  <c r="H17" i="2"/>
  <c r="X34" i="2"/>
  <c r="E36" i="2"/>
  <c r="F42" i="3"/>
  <c r="O8" i="2"/>
  <c r="J15" i="2"/>
  <c r="N6" i="2"/>
  <c r="F14" i="2"/>
  <c r="F37" i="3"/>
  <c r="L10" i="2"/>
  <c r="F25" i="2"/>
  <c r="M34" i="2"/>
  <c r="L46" i="3"/>
  <c r="H99" i="2"/>
  <c r="S28" i="2"/>
  <c r="AR50" i="3"/>
  <c r="E14" i="3"/>
  <c r="F35" i="3"/>
  <c r="DC12" i="4" a="1"/>
  <c r="CJ11" i="4" a="1"/>
  <c r="D12" i="4" a="1"/>
  <c r="BX13" i="4" a="1"/>
  <c r="BZ12" i="4" a="1"/>
  <c r="CY11" i="4" a="1"/>
  <c r="G25" i="3"/>
  <c r="CG12" i="4" a="1"/>
  <c r="X15" i="4" a="1"/>
  <c r="CC16" i="4" a="1"/>
  <c r="AR13" i="4" a="1"/>
  <c r="CI8" i="4" a="1"/>
  <c r="AQ16" i="4" a="1"/>
  <c r="EB15" i="4" a="1"/>
  <c r="R9" i="4" a="1"/>
  <c r="AU9" i="4" a="1"/>
  <c r="EJ15" i="4" a="1"/>
  <c r="CB7" i="4" a="1"/>
  <c r="EK5" i="4" a="1"/>
  <c r="CK14" i="4" a="1"/>
  <c r="EA8" i="4" a="1"/>
  <c r="V6" i="4" a="1"/>
  <c r="DB7" i="4" a="1"/>
  <c r="CD16" i="4" a="1"/>
  <c r="BK9" i="4" a="1"/>
  <c r="CI5" i="4" a="1"/>
  <c r="CH16" i="4" a="1"/>
  <c r="ED8" i="4" a="1"/>
  <c r="BL13" i="4" a="1"/>
  <c r="AF16" i="4" a="1"/>
  <c r="CV9" i="4" a="1"/>
  <c r="BR13" i="4" a="1"/>
  <c r="DP5" i="4" a="1"/>
  <c r="AZ6" i="4" a="1"/>
  <c r="BD11" i="4" a="1"/>
  <c r="F13" i="4" a="1"/>
  <c r="AV5" i="4" a="1"/>
  <c r="CO7" i="4" a="1"/>
  <c r="AY13" i="4" a="1"/>
  <c r="CP6" i="4" a="1"/>
  <c r="Z8" i="4" a="1"/>
  <c r="DY11" i="4" a="1"/>
  <c r="BX16" i="4" a="1"/>
  <c r="DX13" i="4" a="1"/>
  <c r="EF5" i="4" a="1"/>
  <c r="AU16" i="4" a="1"/>
  <c r="U11" i="4" a="1"/>
  <c r="DF14" i="4" a="1"/>
  <c r="AC5" i="4" a="1"/>
  <c r="BQ16" i="4" a="1"/>
  <c r="CV15" i="4" a="1"/>
  <c r="L14" i="4" a="1"/>
  <c r="CP5" i="4" a="1"/>
  <c r="L15" i="4" a="1"/>
  <c r="AO6" i="3"/>
  <c r="CM16" i="4" a="1"/>
  <c r="T7" i="4" a="1"/>
  <c r="CV6" i="4" a="1"/>
  <c r="BK12" i="4" a="1"/>
  <c r="L5" i="4" a="1"/>
  <c r="CJ8" i="4" a="1"/>
  <c r="W6" i="4" a="1"/>
  <c r="BA15" i="4" a="1"/>
  <c r="EC12" i="4" a="1"/>
  <c r="CW13" i="4" a="1"/>
  <c r="DO5" i="4" a="1"/>
  <c r="DF15" i="4" a="1"/>
  <c r="M7" i="4" a="1"/>
  <c r="J7" i="4" a="1"/>
  <c r="AZ8" i="4" a="1"/>
  <c r="CK11" i="4" a="1"/>
  <c r="BV9" i="4" a="1"/>
  <c r="AP7" i="4" a="1"/>
  <c r="BM5" i="4" a="1"/>
  <c r="S12" i="4" a="1"/>
  <c r="BG6" i="4" a="1"/>
  <c r="EF9" i="4" a="1"/>
  <c r="CW16" i="4" a="1"/>
  <c r="AG5" i="4" a="1"/>
  <c r="BF7" i="4" a="1"/>
  <c r="M11" i="4" a="1"/>
  <c r="CP13" i="4" a="1"/>
  <c r="AA7" i="4" a="1"/>
  <c r="EA13" i="4" a="1"/>
  <c r="AB16" i="4" a="1"/>
  <c r="CS16" i="4" a="1"/>
  <c r="AK11" i="4" a="1"/>
  <c r="F16" i="4" a="1"/>
  <c r="DI7" i="4" a="1"/>
  <c r="U8" i="4" a="1"/>
  <c r="U15" i="4" a="1"/>
  <c r="AM7" i="4" a="1"/>
  <c r="BY5" i="4" a="1"/>
  <c r="D7" i="4" a="1"/>
  <c r="AK15" i="4" a="1"/>
  <c r="AW12" i="4" a="1"/>
  <c r="Z9" i="4" a="1"/>
  <c r="CK8" i="4" a="1"/>
  <c r="BQ12" i="4" a="1"/>
  <c r="CY13" i="4" a="1"/>
  <c r="CI9" i="4" a="1"/>
  <c r="EJ16" i="4" a="1"/>
  <c r="BN5" i="4" a="1"/>
  <c r="EH14" i="4" a="1"/>
  <c r="DC14" i="4" a="1"/>
  <c r="BP6" i="4" a="1"/>
  <c r="DD16" i="4" a="1"/>
  <c r="E14" i="4" a="1"/>
  <c r="EC5" i="4" a="1"/>
  <c r="I6" i="4" a="1"/>
  <c r="Y6" i="4" a="1"/>
  <c r="BF16" i="4" a="1"/>
  <c r="AL16" i="4" a="1"/>
  <c r="CX13" i="4" a="1"/>
  <c r="DJ14" i="4" a="1"/>
  <c r="ED15" i="4" a="1"/>
  <c r="BW5" i="4" a="1"/>
  <c r="CH8" i="4" a="1"/>
  <c r="EK7" i="4" a="1"/>
  <c r="Z14" i="4" a="1"/>
  <c r="BK7" i="4" a="1"/>
  <c r="CB9" i="4" a="1"/>
  <c r="AW9" i="4" a="1"/>
  <c r="G15" i="4" a="1"/>
  <c r="AI12" i="4" a="1"/>
  <c r="AM15" i="4" a="1"/>
  <c r="D97" i="3"/>
  <c r="D89" i="3"/>
  <c r="F85" i="3"/>
  <c r="G69" i="3"/>
  <c r="E54" i="3"/>
  <c r="E92" i="3"/>
  <c r="G76" i="3"/>
  <c r="G84" i="3"/>
  <c r="F60" i="3"/>
  <c r="E71" i="3"/>
  <c r="F97" i="3"/>
  <c r="F93" i="3"/>
  <c r="F76" i="3"/>
  <c r="E64" i="3"/>
  <c r="D69" i="3"/>
  <c r="AA5" i="4" a="1"/>
  <c r="F67" i="3"/>
  <c r="ED14" i="4" a="1"/>
  <c r="R7" i="4" a="1"/>
  <c r="F8" i="4" a="1"/>
  <c r="DT5" i="4" a="1"/>
  <c r="DS6" i="4" a="1"/>
  <c r="I8" i="4" a="1"/>
  <c r="Z13" i="4" a="1"/>
  <c r="J16" i="4" a="1"/>
  <c r="DP11" i="4" a="1"/>
  <c r="BQ11" i="4" a="1"/>
  <c r="E12" i="4" a="1"/>
  <c r="AR20" i="3"/>
  <c r="BB13" i="4" a="1"/>
  <c r="AK6" i="4" a="1"/>
  <c r="DU11" i="4" a="1"/>
  <c r="AJ16" i="4" a="1"/>
  <c r="CF15" i="4" a="1"/>
  <c r="BZ14" i="4" a="1"/>
  <c r="AY8" i="4" a="1"/>
  <c r="EI7" i="4" a="1"/>
  <c r="M12" i="4" a="1"/>
  <c r="CZ6" i="4" a="1"/>
  <c r="H6" i="4" a="1"/>
  <c r="DZ15" i="4" a="1"/>
  <c r="DA5" i="4" a="1"/>
  <c r="ED11" i="4" a="1"/>
  <c r="CL14" i="4" a="1"/>
  <c r="BC11" i="4" a="1"/>
  <c r="Q12" i="4" a="1"/>
  <c r="CG9" i="4" a="1"/>
  <c r="DJ15" i="4" a="1"/>
  <c r="K16" i="4" a="1"/>
  <c r="AQ14" i="4" a="1"/>
  <c r="BI8" i="4" a="1"/>
  <c r="DB15" i="4" a="1"/>
  <c r="BA6" i="4" a="1"/>
  <c r="AM12" i="4" a="1"/>
  <c r="CK12" i="4" a="1"/>
  <c r="AN11" i="4" a="1"/>
  <c r="CH11" i="4" a="1"/>
  <c r="Q6" i="4" a="1"/>
  <c r="DO7" i="4" a="1"/>
  <c r="AH5" i="4" a="1"/>
  <c r="AI6" i="4" a="1"/>
  <c r="CX11" i="4" a="1"/>
  <c r="G5" i="4" a="1"/>
  <c r="EJ8" i="4" a="1"/>
  <c r="E69" i="3"/>
  <c r="F54" i="3"/>
  <c r="E89" i="3"/>
  <c r="E65" i="3"/>
  <c r="D72" i="3"/>
  <c r="E59" i="3"/>
  <c r="E87" i="3"/>
  <c r="G81" i="3"/>
  <c r="D61" i="3"/>
  <c r="F90" i="3"/>
  <c r="ED13" i="4" a="1"/>
  <c r="Q16" i="4" a="1"/>
  <c r="E58" i="3"/>
  <c r="E77" i="3"/>
  <c r="G61" i="3"/>
  <c r="E94" i="3"/>
  <c r="D71" i="3"/>
  <c r="H9" i="4" a="1"/>
  <c r="K11" i="4" a="1"/>
  <c r="V7" i="4" a="1"/>
  <c r="BS7" i="4" a="1"/>
  <c r="AP12" i="4" a="1"/>
  <c r="X8" i="4" a="1"/>
  <c r="DM14" i="4" a="1"/>
  <c r="AE12" i="4" a="1"/>
  <c r="DV8" i="4" a="1"/>
  <c r="DZ6" i="4" a="1"/>
  <c r="H14" i="4" a="1"/>
  <c r="CK7" i="4" a="1"/>
  <c r="DK5" i="4" a="1"/>
  <c r="EE11" i="4" a="1"/>
  <c r="BX12" i="4" a="1"/>
  <c r="AZ13" i="4" a="1"/>
  <c r="I45" i="3"/>
  <c r="T16" i="4" a="1"/>
  <c r="BF12" i="4" a="1"/>
  <c r="AW14" i="4" a="1"/>
  <c r="AL6" i="4" a="1"/>
  <c r="AP13" i="4" a="1"/>
  <c r="EB11" i="4" a="1"/>
  <c r="BR8" i="4" a="1"/>
  <c r="E45" i="3"/>
  <c r="G8" i="4" a="1"/>
  <c r="K13" i="4" a="1"/>
  <c r="BT16" i="4" a="1"/>
  <c r="AT11" i="4" a="1"/>
  <c r="Z11" i="4" a="1"/>
  <c r="AS11" i="4" a="1"/>
  <c r="DI12" i="4" a="1"/>
  <c r="AW6" i="4" a="1"/>
  <c r="BA9" i="4" a="1"/>
  <c r="Z6" i="4" a="1"/>
  <c r="DZ5" i="4" a="1"/>
  <c r="DF12" i="4" a="1"/>
  <c r="CW12" i="4" a="1"/>
  <c r="CQ16" i="4" a="1"/>
  <c r="T14" i="4" a="1"/>
  <c r="AV15" i="4" a="1"/>
  <c r="AA15" i="4" a="1"/>
  <c r="BU5" i="4" a="1"/>
  <c r="EH13" i="4" a="1"/>
  <c r="EI11" i="4" a="1"/>
  <c r="AQ11" i="4" a="1"/>
  <c r="DD15" i="4" a="1"/>
  <c r="CN15" i="4" a="1"/>
  <c r="DH9" i="4" a="1"/>
  <c r="G16" i="4" a="1"/>
  <c r="BP13" i="4" a="1"/>
  <c r="BK14" i="4" a="1"/>
  <c r="F82" i="3"/>
  <c r="F48" i="3"/>
  <c r="F72" i="3"/>
  <c r="F70" i="3"/>
  <c r="D94" i="3"/>
  <c r="D87" i="3"/>
  <c r="E82" i="3"/>
  <c r="F86" i="3"/>
  <c r="E68" i="3"/>
  <c r="E88" i="3"/>
  <c r="BU9" i="4" a="1"/>
  <c r="D70" i="3"/>
  <c r="R12" i="4" a="1"/>
  <c r="ED12" i="4" a="1"/>
  <c r="DQ7" i="4" a="1"/>
  <c r="DW12" i="4" a="1"/>
  <c r="AR6" i="4" a="1"/>
  <c r="K9" i="4" a="1"/>
  <c r="AT12" i="4" a="1"/>
  <c r="DK11" i="4" a="1"/>
  <c r="F59" i="3"/>
  <c r="E76" i="3"/>
  <c r="F83" i="3"/>
  <c r="E60" i="3"/>
  <c r="F88" i="3"/>
  <c r="G65" i="3"/>
  <c r="E75" i="3"/>
  <c r="S8" i="4" a="1"/>
  <c r="E66" i="3"/>
  <c r="CT12" i="4" a="1"/>
  <c r="CG11" i="4" a="1"/>
  <c r="AL15" i="4" a="1"/>
  <c r="EF8" i="4" a="1"/>
  <c r="X9" i="4" a="1"/>
  <c r="CU5" i="4" a="1"/>
  <c r="DB9" i="4" a="1"/>
  <c r="AK8" i="4" a="1"/>
  <c r="CS15" i="4" a="1"/>
  <c r="CI16" i="4" a="1"/>
  <c r="E8" i="4" a="1"/>
  <c r="F28" i="3"/>
  <c r="DI14" i="4" a="1"/>
  <c r="AB9" i="4" a="1"/>
  <c r="BL16" i="4" a="1"/>
  <c r="BI14" i="4" a="1"/>
  <c r="L13" i="4" a="1"/>
  <c r="DT14" i="4" a="1"/>
  <c r="CL13" i="4" a="1"/>
  <c r="BJ12" i="4" a="1"/>
  <c r="DI9" i="4" a="1"/>
  <c r="DH11" i="4" a="1"/>
  <c r="DC13" i="4" a="1"/>
  <c r="BE16" i="4" a="1"/>
  <c r="BH11" i="4" a="1"/>
  <c r="BN8" i="4" a="1"/>
  <c r="J6" i="4" a="1"/>
  <c r="CR14" i="4" a="1"/>
  <c r="CU9" i="4" a="1"/>
  <c r="DU13" i="4" a="1"/>
  <c r="EE7" i="4" a="1"/>
  <c r="BQ15" i="4" a="1"/>
  <c r="BR16" i="4" a="1"/>
  <c r="EB9" i="4" a="1"/>
  <c r="H13" i="4" a="1"/>
  <c r="BM9" i="4" a="1"/>
  <c r="DN5" i="4" a="1"/>
  <c r="AT7" i="4" a="1"/>
  <c r="DT6" i="4" a="1"/>
  <c r="CX9" i="4" a="1"/>
  <c r="AS7" i="4" a="1"/>
  <c r="DE9" i="4" a="1"/>
  <c r="DQ15" i="4" a="1"/>
  <c r="AC8" i="4" a="1"/>
  <c r="AJ6" i="4" a="1"/>
  <c r="DV14" i="4" a="1"/>
  <c r="G68" i="3"/>
  <c r="CI12" i="4" a="1"/>
  <c r="BY12" i="4" a="1"/>
  <c r="BA8" i="4" a="1"/>
  <c r="BJ15" i="4" a="1"/>
  <c r="EJ11" i="4" a="1"/>
  <c r="AS12" i="4" a="1"/>
  <c r="CT16" i="4" a="1"/>
  <c r="F61" i="3"/>
  <c r="F49" i="3"/>
  <c r="E72" i="3"/>
  <c r="AD93" i="3"/>
  <c r="AX6" i="4" a="1"/>
  <c r="DY15" i="4" a="1"/>
  <c r="AD92" i="3"/>
  <c r="G90" i="3"/>
  <c r="D76" i="3"/>
  <c r="AD61" i="3"/>
  <c r="D62" i="3"/>
  <c r="BM16" i="4" a="1"/>
  <c r="E31" i="3"/>
  <c r="M6" i="4" a="1"/>
  <c r="G13" i="4" a="1"/>
  <c r="CK6" i="4" a="1"/>
  <c r="ED7" i="4" a="1"/>
  <c r="AM14" i="4" a="1"/>
  <c r="AB13" i="4" a="1"/>
  <c r="BP8" i="4" a="1"/>
  <c r="CB12" i="4" a="1"/>
  <c r="BE9" i="4" a="1"/>
  <c r="BF13" i="4" a="1"/>
  <c r="BY13" i="4" a="1"/>
  <c r="DB16" i="4" a="1"/>
  <c r="BB14" i="4" a="1"/>
  <c r="EB16" i="4" a="1"/>
  <c r="DR14" i="4" a="1"/>
  <c r="CC5" i="4" a="1"/>
  <c r="CL7" i="4" a="1"/>
  <c r="DE14" i="4" a="1"/>
  <c r="P13" i="4" a="1"/>
  <c r="Q9" i="4" a="1"/>
  <c r="I12" i="4" a="1"/>
  <c r="EK6" i="4" a="1"/>
  <c r="AH14" i="4" a="1"/>
  <c r="DC5" i="4" a="1"/>
  <c r="AJ11" i="4" a="1"/>
  <c r="N8" i="4" a="1"/>
  <c r="CR5" i="4" a="1"/>
  <c r="CB14" i="4" a="1"/>
  <c r="Y5" i="4" a="1"/>
  <c r="BV8" i="4" a="1"/>
  <c r="BF9" i="4" a="1"/>
  <c r="BE5" i="4" a="1"/>
  <c r="DJ8" i="4" a="1"/>
  <c r="EH11" i="4" a="1"/>
  <c r="DQ16" i="4" a="1"/>
  <c r="EG6" i="4" a="1"/>
  <c r="BP12" i="4" a="1"/>
  <c r="CT9" i="4" a="1"/>
  <c r="BC9" i="4" a="1"/>
  <c r="AB11" i="4" a="1"/>
  <c r="BO5" i="4" a="1"/>
  <c r="BG7" i="4" a="1"/>
  <c r="AS8" i="4" a="1"/>
  <c r="AU12" i="4" a="1"/>
  <c r="CX5" i="4" a="1"/>
  <c r="CP16" i="4" a="1"/>
  <c r="DZ16" i="4" a="1"/>
  <c r="AM13" i="4" a="1"/>
  <c r="U13" i="4" a="1"/>
  <c r="DB6" i="4" a="1"/>
  <c r="CW15" i="4" a="1"/>
  <c r="AI14" i="4" a="1"/>
  <c r="CX8" i="4" a="1"/>
  <c r="BX11" i="4" a="1"/>
  <c r="DT8" i="4" a="1"/>
  <c r="AX16" i="4" a="1"/>
  <c r="CC12" i="4" a="1"/>
  <c r="DR13" i="4" a="1"/>
  <c r="CF13" i="4" a="1"/>
  <c r="AH11" i="4" a="1"/>
  <c r="Q11" i="4" a="1"/>
  <c r="EH12" i="4" a="1"/>
  <c r="DC11" i="4" a="1"/>
  <c r="EF12" i="4" a="1"/>
  <c r="CQ9" i="4" a="1"/>
  <c r="U6" i="4" a="1"/>
  <c r="AY15" i="4" a="1"/>
  <c r="AL14" i="4" a="1"/>
  <c r="BQ5" i="4" a="1"/>
  <c r="EG7" i="4" a="1"/>
  <c r="BA11" i="4" a="1"/>
  <c r="EK13" i="4" a="1"/>
  <c r="D5" i="4" a="1"/>
  <c r="T11" i="4" a="1"/>
  <c r="G57" i="3"/>
  <c r="D88" i="3"/>
  <c r="F89" i="3"/>
  <c r="D60" i="3"/>
  <c r="D63" i="3"/>
  <c r="F68" i="3"/>
  <c r="G71" i="3"/>
  <c r="F75" i="3"/>
  <c r="G58" i="3"/>
  <c r="D86" i="3"/>
  <c r="D92" i="3"/>
  <c r="D75" i="3"/>
  <c r="AO9" i="4" a="1"/>
  <c r="BR5" i="4" a="1"/>
  <c r="CC8" i="4" a="1"/>
  <c r="BO11" i="4" a="1"/>
  <c r="CA5" i="4" a="1"/>
  <c r="F62" i="3"/>
  <c r="EB5" i="4" a="1"/>
  <c r="D14" i="4" a="1"/>
  <c r="J14" i="4" a="1"/>
  <c r="AI16" i="4" a="1"/>
  <c r="AJ5" i="4" a="1"/>
  <c r="X11" i="4" a="1"/>
  <c r="DB11" i="4" a="1"/>
  <c r="BA5" i="4" a="1"/>
  <c r="DE16" i="4" a="1"/>
  <c r="CE13" i="4" a="1"/>
  <c r="H5" i="4" a="1"/>
  <c r="DG12" i="4" a="1"/>
  <c r="DQ13" i="4" a="1"/>
  <c r="EJ7" i="4" a="1"/>
  <c r="I16" i="4" a="1"/>
  <c r="CH13" i="4" a="1"/>
  <c r="AF11" i="4" a="1"/>
  <c r="CH5" i="4" a="1"/>
  <c r="EF16" i="4" a="1"/>
  <c r="CW7" i="4" a="1"/>
  <c r="EH15" i="4" a="1"/>
  <c r="DA6" i="4" a="1"/>
  <c r="DD5" i="4" a="1"/>
  <c r="CK16" i="4" a="1"/>
  <c r="K7" i="4" a="1"/>
  <c r="CZ11" i="4" a="1"/>
  <c r="AE8" i="4" a="1"/>
  <c r="EK11" i="4" a="1"/>
  <c r="Q13" i="4" a="1"/>
  <c r="H8" i="4" a="1"/>
  <c r="AV13" i="4" a="1"/>
  <c r="AJ8" i="4" a="1"/>
  <c r="EB13" i="4" a="1"/>
  <c r="CI6" i="4" a="1"/>
  <c r="DK8" i="4" a="1"/>
  <c r="BK5" i="4" a="1"/>
  <c r="BS8" i="4" a="1"/>
  <c r="DP13" i="4" a="1"/>
  <c r="EK12" i="4" a="1"/>
  <c r="AF5" i="4" a="1"/>
  <c r="BF15" i="4" a="1"/>
  <c r="BV12" i="4" a="1"/>
  <c r="CJ12" i="4" a="1"/>
  <c r="BS5" i="4" a="1"/>
  <c r="W16" i="4" a="1"/>
  <c r="AQ6" i="4" a="1"/>
  <c r="E95" i="3"/>
  <c r="G67" i="3"/>
  <c r="G73" i="3"/>
  <c r="G85" i="3"/>
  <c r="AD81" i="3"/>
  <c r="AD69" i="3"/>
  <c r="G96" i="3"/>
  <c r="E85" i="3"/>
  <c r="AD80" i="3"/>
  <c r="E67" i="3"/>
  <c r="AD64" i="3"/>
  <c r="AD70" i="3"/>
  <c r="E84" i="3"/>
  <c r="F57" i="3"/>
  <c r="D64" i="3"/>
  <c r="G79" i="3"/>
  <c r="D55" i="3"/>
  <c r="F94" i="3"/>
  <c r="E61" i="3"/>
  <c r="AD85" i="3"/>
  <c r="F56" i="3"/>
  <c r="F63" i="3"/>
  <c r="DQ8" i="4" a="1"/>
  <c r="DX9" i="4" a="1"/>
  <c r="S13" i="4" a="1"/>
  <c r="EI15" i="4" a="1"/>
  <c r="DH7" i="4" a="1"/>
  <c r="EC16" i="4" a="1"/>
  <c r="Z12" i="4" a="1"/>
  <c r="G80" i="3"/>
  <c r="F47" i="3"/>
  <c r="AD90" i="3"/>
  <c r="CQ15" i="4" a="1"/>
  <c r="D6" i="4" a="1"/>
  <c r="DD12" i="4" a="1"/>
  <c r="BP7" i="4" a="1"/>
  <c r="DW14" i="4" a="1"/>
  <c r="DL7" i="4" a="1"/>
  <c r="EB7" i="4" a="1"/>
  <c r="EG16" i="4" a="1"/>
  <c r="AU7" i="4" a="1"/>
  <c r="CV14" i="4" a="1"/>
  <c r="AA8" i="4" a="1"/>
  <c r="AX11" i="4" a="1"/>
  <c r="DU8" i="4" a="1"/>
  <c r="EE12" i="4" a="1"/>
  <c r="EI12" i="4" a="1"/>
  <c r="G7" i="4" a="1"/>
  <c r="CM9" i="4" a="1"/>
  <c r="BV6" i="4" a="1"/>
  <c r="DJ13" i="4" a="1"/>
  <c r="V16" i="4" a="1"/>
  <c r="BW8" i="4" a="1"/>
  <c r="AM45" i="3"/>
  <c r="U7" i="4" a="1"/>
  <c r="CZ14" i="4" a="1"/>
  <c r="DN9" i="4" a="1"/>
  <c r="F5" i="4" a="1"/>
  <c r="CU11" i="4" a="1"/>
  <c r="DU12" i="4" a="1"/>
  <c r="DO16" i="4" a="1"/>
  <c r="CJ16" i="4" a="1"/>
  <c r="C12" i="4" a="1"/>
  <c r="BD14" i="4" a="1"/>
  <c r="E7" i="4" a="1"/>
  <c r="BL6" i="4" a="1"/>
  <c r="W14" i="4" a="1"/>
  <c r="BB12" i="4" a="1"/>
  <c r="BG9" i="4" a="1"/>
  <c r="BK8" i="4" a="1"/>
  <c r="BR14" i="4" a="1"/>
  <c r="CF5" i="4" a="1"/>
  <c r="BU15" i="4" a="1"/>
  <c r="BA16" i="4" a="1"/>
  <c r="DP6" i="4" a="1"/>
  <c r="CZ7" i="4" a="1"/>
  <c r="EG13" i="4" a="1"/>
  <c r="CN5" i="4" a="1"/>
  <c r="F77" i="3"/>
  <c r="AD58" i="3"/>
  <c r="E70" i="3"/>
  <c r="G82" i="3"/>
  <c r="E62" i="3"/>
  <c r="F55" i="3"/>
  <c r="G95" i="3"/>
  <c r="D84" i="3"/>
  <c r="F78" i="3"/>
  <c r="D56" i="3"/>
  <c r="F58" i="3"/>
  <c r="F79" i="3"/>
  <c r="E79" i="3"/>
  <c r="G56" i="3"/>
  <c r="D79" i="3"/>
  <c r="E83" i="3"/>
  <c r="AD83" i="3"/>
  <c r="G89" i="3"/>
  <c r="E56" i="3"/>
  <c r="AD78" i="3"/>
  <c r="G60" i="3"/>
  <c r="G14" i="4" a="1"/>
  <c r="AW16" i="4" a="1"/>
  <c r="DE13" i="4" a="1"/>
  <c r="BF6" i="4" a="1"/>
  <c r="E80" i="3"/>
  <c r="F64" i="3"/>
  <c r="CV13" i="4" a="1"/>
  <c r="DM12" i="4" a="1"/>
  <c r="Y11" i="4" a="1"/>
  <c r="DH12" i="4" a="1"/>
  <c r="Y12" i="4" a="1"/>
  <c r="BE13" i="4" a="1"/>
  <c r="CW8" i="4" a="1"/>
  <c r="AC14" i="4" a="1"/>
  <c r="CC13" i="4" a="1"/>
  <c r="CF11" i="4" a="1"/>
  <c r="CJ14" i="4" a="1"/>
  <c r="DL15" i="4" a="1"/>
  <c r="DC7" i="4" a="1"/>
  <c r="DA8" i="4" a="1"/>
  <c r="AW7" i="4" a="1"/>
  <c r="CA6" i="4" a="1"/>
  <c r="CT6" i="4" a="1"/>
  <c r="CH12" i="4" a="1"/>
  <c r="CZ13" i="4" a="1"/>
  <c r="CT5" i="4" a="1"/>
  <c r="E5" i="4" a="1"/>
  <c r="BR12" i="4" a="1"/>
  <c r="V13" i="4" a="1"/>
  <c r="DE5" i="4" a="1"/>
  <c r="BI16" i="4" a="1"/>
  <c r="BH13" i="4" a="1"/>
  <c r="CJ15" i="4" a="1"/>
  <c r="AC7" i="4" a="1"/>
  <c r="AV11" i="4" a="1"/>
  <c r="CU7" i="4" a="1"/>
  <c r="CX7" i="4" a="1"/>
  <c r="BY9" i="4" a="1"/>
  <c r="BI12" i="4" a="1"/>
  <c r="DS11" i="4" a="1"/>
  <c r="CI7" i="4" a="1"/>
  <c r="CR12" i="4" a="1"/>
  <c r="EC6" i="4" a="1"/>
  <c r="DG8" i="4" a="1"/>
  <c r="DA13" i="4" a="1"/>
  <c r="AH16" i="4" a="1"/>
  <c r="AJ15" i="4" a="1"/>
  <c r="AG7" i="4" a="1"/>
  <c r="CY14" i="4" a="1"/>
  <c r="DW9" i="4" a="1"/>
  <c r="DA16" i="4" a="1"/>
  <c r="BW9" i="4" a="1"/>
  <c r="D67" i="3"/>
  <c r="AD68" i="3"/>
  <c r="D73" i="3"/>
  <c r="F66" i="3"/>
  <c r="G59" i="3"/>
  <c r="AD91" i="3"/>
  <c r="D58" i="3"/>
  <c r="F65" i="3"/>
  <c r="F73" i="3"/>
  <c r="F74" i="3"/>
  <c r="DC16" i="4" a="1"/>
  <c r="BL12" i="4" a="1"/>
  <c r="BS11" i="4" a="1"/>
  <c r="BU8" i="4" a="1"/>
  <c r="CA11" i="4" a="1"/>
  <c r="AQ8" i="4" a="1"/>
  <c r="CE12" i="4" a="1"/>
  <c r="DI8" i="4" a="1"/>
  <c r="DY14" i="4" a="1"/>
  <c r="L11" i="4" a="1"/>
  <c r="K8" i="4" a="1"/>
  <c r="DL14" i="4" a="1"/>
  <c r="DA7" i="4" a="1"/>
  <c r="BV15" i="4" a="1"/>
  <c r="BS14" i="4" a="1"/>
  <c r="AB6" i="4" a="1"/>
  <c r="DI5" i="4" a="1"/>
  <c r="CC7" i="4" a="1"/>
  <c r="DH16" i="4" a="1"/>
  <c r="BD12" i="4" a="1"/>
  <c r="O15" i="4" a="1"/>
  <c r="BZ5" i="4" a="1"/>
  <c r="CR7" i="4" a="1"/>
  <c r="BD7" i="4" a="1"/>
  <c r="U9" i="4" a="1"/>
  <c r="O5" i="4" a="1"/>
  <c r="DN13" i="4" a="1"/>
  <c r="BM7" i="4" a="1"/>
  <c r="BP14" i="4" a="1"/>
  <c r="BQ14" i="4" a="1"/>
  <c r="BW15" i="4" a="1"/>
  <c r="F14" i="4" a="1"/>
  <c r="K5" i="4" a="1"/>
  <c r="DV13" i="4" a="1"/>
  <c r="CM8" i="4" a="1"/>
  <c r="AW8" i="4" a="1"/>
  <c r="N5" i="4" a="1"/>
  <c r="CB13" i="4" a="1"/>
  <c r="BD16" i="4" a="1"/>
  <c r="DD14" i="4" a="1"/>
  <c r="DG6" i="4" a="1"/>
  <c r="BS6" i="4" a="1"/>
  <c r="BL7" i="4" a="1"/>
  <c r="P15" i="4" a="1"/>
  <c r="BO6" i="4" a="1"/>
  <c r="BE14" i="4" a="1"/>
  <c r="AD89" i="3"/>
  <c r="G78" i="3"/>
  <c r="D95" i="3"/>
  <c r="F96" i="3"/>
  <c r="D85" i="3"/>
  <c r="E97" i="3"/>
  <c r="AD75" i="3"/>
  <c r="F81" i="3"/>
  <c r="G88" i="3"/>
  <c r="AD63" i="3"/>
  <c r="G97" i="3"/>
  <c r="G77" i="3"/>
  <c r="D66" i="3"/>
  <c r="AD84" i="3"/>
  <c r="F95" i="3"/>
  <c r="D74" i="3"/>
  <c r="G92" i="3"/>
  <c r="W8" i="4" a="1"/>
  <c r="BN13" i="4" a="1"/>
  <c r="DA15" i="4" a="1"/>
  <c r="CL15" i="4" a="1"/>
  <c r="M14" i="4" a="1"/>
  <c r="F50" i="3"/>
  <c r="J13" i="4" a="1"/>
  <c r="P16" i="4" a="1"/>
  <c r="N11" i="4" a="1"/>
  <c r="P14" i="4" a="1"/>
  <c r="CR6" i="4" a="1"/>
  <c r="BT12" i="4" a="1"/>
  <c r="D46" i="3"/>
  <c r="CA8" i="4" a="1"/>
  <c r="AV8" i="4" a="1"/>
  <c r="CL11" i="4" a="1"/>
  <c r="DU6" i="4" a="1"/>
  <c r="BH5" i="4" a="1"/>
  <c r="CJ9" i="4" a="1"/>
  <c r="W12" i="4" a="1"/>
  <c r="BO16" i="4" a="1"/>
  <c r="DR6" i="4" a="1"/>
  <c r="CD14" i="4" a="1"/>
  <c r="E15" i="4" a="1"/>
  <c r="DY12" i="4" a="1"/>
  <c r="O8" i="4" a="1"/>
  <c r="CU15" i="4" a="1"/>
  <c r="I11" i="4" a="1"/>
  <c r="DY7" i="4" a="1"/>
  <c r="DW8" i="4" a="1"/>
  <c r="DP15" i="4" a="1"/>
  <c r="L8" i="4" a="1"/>
  <c r="DN11" i="4" a="1"/>
  <c r="CH9" i="4" a="1"/>
  <c r="DJ7" i="4" a="1"/>
  <c r="DC6" i="4" a="1"/>
  <c r="U16" i="4" a="1"/>
  <c r="CJ7" i="4" a="1"/>
  <c r="Y13" i="4" a="1"/>
  <c r="DS14" i="4" a="1"/>
  <c r="X7" i="4" a="1"/>
  <c r="AX12" i="4" a="1"/>
  <c r="AP8" i="4" a="1"/>
  <c r="P7" i="4" a="1"/>
  <c r="BD9" i="4" a="1"/>
  <c r="CA14" i="4" a="1"/>
  <c r="S6" i="4" a="1"/>
  <c r="AK14" i="4" a="1"/>
  <c r="W7" i="4" a="1"/>
  <c r="Y15" i="4" a="1"/>
  <c r="DI6" i="4" a="1"/>
  <c r="BS9" i="4" a="1"/>
  <c r="F69" i="3"/>
  <c r="E93" i="3"/>
  <c r="AD57" i="3"/>
  <c r="G72" i="3"/>
  <c r="D77" i="3"/>
  <c r="D91" i="3"/>
  <c r="D96" i="3"/>
  <c r="E96" i="3"/>
  <c r="D80" i="3"/>
  <c r="F80" i="3"/>
  <c r="E91" i="3"/>
  <c r="E55" i="3"/>
  <c r="AD94" i="3"/>
  <c r="D82" i="3"/>
  <c r="E78" i="3"/>
  <c r="F71" i="3"/>
  <c r="E63" i="3"/>
  <c r="DR8" i="4" a="1"/>
  <c r="AD7" i="4" a="1"/>
  <c r="DW7" i="4" a="1"/>
  <c r="BZ9" i="4" a="1"/>
  <c r="BJ7" i="4" a="1"/>
  <c r="AS16" i="4" a="1"/>
  <c r="AD11" i="3"/>
  <c r="BI6" i="4" a="1"/>
  <c r="AT6" i="4" a="1"/>
  <c r="DO8" i="4" a="1"/>
  <c r="EF11" i="4" a="1"/>
  <c r="C9" i="4" a="1"/>
  <c r="C16" i="4" a="1"/>
  <c r="AV14" i="4" a="1"/>
  <c r="BD13" i="4" a="1"/>
  <c r="DB5" i="4" a="1"/>
  <c r="CS9" i="4" a="1"/>
  <c r="G62" i="3"/>
  <c r="G75" i="3"/>
  <c r="G55" i="3"/>
  <c r="G64" i="3" l="1"/>
  <c r="E57" i="3"/>
  <c r="G87" i="3"/>
  <c r="E81" i="3"/>
  <c r="G83" i="3"/>
  <c r="G63" i="3"/>
  <c r="G66" i="3"/>
  <c r="G54" i="3"/>
  <c r="D68" i="3"/>
  <c r="G93" i="3"/>
  <c r="D83" i="3"/>
  <c r="D57" i="3"/>
  <c r="G94" i="3"/>
  <c r="D93" i="3"/>
  <c r="D90" i="3"/>
  <c r="D59" i="3"/>
  <c r="G74" i="3"/>
  <c r="D54" i="3"/>
  <c r="D78" i="3"/>
  <c r="D81" i="3"/>
  <c r="G86" i="3"/>
  <c r="G70" i="3"/>
  <c r="G91" i="3"/>
  <c r="AD74" i="3"/>
  <c r="BJ186" i="1" s="1"/>
  <c r="BK186" i="1" s="1"/>
  <c r="AD88" i="3"/>
  <c r="BJ176" i="1" s="1"/>
  <c r="BK176" i="1" s="1"/>
  <c r="AD97" i="3"/>
  <c r="AD62" i="3"/>
  <c r="BJ173" i="1" s="1"/>
  <c r="BK173" i="1" s="1"/>
  <c r="AD87" i="3"/>
  <c r="BJ200" i="1" s="1"/>
  <c r="BK200" i="1" s="1"/>
  <c r="AD71" i="3"/>
  <c r="AD96" i="3"/>
  <c r="BJ211" i="1" s="1"/>
  <c r="BK211" i="1" s="1"/>
  <c r="AD86" i="3"/>
  <c r="AD79" i="3"/>
  <c r="BJ191" i="1" s="1"/>
  <c r="BK191" i="1" s="1"/>
  <c r="AD72" i="3"/>
  <c r="BJ184" i="1" s="1"/>
  <c r="BK184" i="1" s="1"/>
  <c r="AD60" i="3"/>
  <c r="BJ171" i="1" s="1"/>
  <c r="BK171" i="1" s="1"/>
  <c r="AD77" i="3"/>
  <c r="BJ189" i="1" s="1"/>
  <c r="AD66" i="3"/>
  <c r="BJ199" i="1" s="1"/>
  <c r="BK199" i="1" s="1"/>
  <c r="AD95" i="3"/>
  <c r="BJ212" i="1" s="1"/>
  <c r="AD55" i="3"/>
  <c r="AD59" i="3"/>
  <c r="AD67" i="3"/>
  <c r="AD56" i="3"/>
  <c r="BJ166" i="1" s="1"/>
  <c r="BK166" i="1" s="1"/>
  <c r="AD82" i="3"/>
  <c r="BJ193" i="1" s="1"/>
  <c r="AD54" i="3"/>
  <c r="AD65" i="3"/>
  <c r="BJ198" i="1" s="1"/>
  <c r="BK198" i="1" s="1"/>
  <c r="AD73" i="3"/>
  <c r="AD76" i="3"/>
  <c r="BJ64" i="1"/>
  <c r="IC16" i="4" s="1"/>
  <c r="IN9" i="4" s="1"/>
  <c r="AJ193" i="1"/>
  <c r="AL207" i="1"/>
  <c r="AJ207" i="1"/>
  <c r="AJ211" i="1"/>
  <c r="AK211" i="1" s="1"/>
  <c r="AJ202" i="1"/>
  <c r="AK202" i="1" s="1"/>
  <c r="AJ189" i="1"/>
  <c r="AK189" i="1" s="1"/>
  <c r="BJ167" i="1"/>
  <c r="BK167" i="1" s="1"/>
  <c r="AL181" i="1"/>
  <c r="HU16" i="4" s="1"/>
  <c r="AL123" i="1"/>
  <c r="AJ186" i="1"/>
  <c r="AK186" i="1" s="1"/>
  <c r="AL212" i="1"/>
  <c r="AM212" i="1" s="1"/>
  <c r="BJ194" i="1"/>
  <c r="BK194" i="1" s="1"/>
  <c r="AJ199" i="1"/>
  <c r="AK199" i="1" s="1"/>
  <c r="BJ174" i="1"/>
  <c r="BK174" i="1" s="1"/>
  <c r="AL192" i="1"/>
  <c r="AJ195" i="1"/>
  <c r="AK195" i="1" s="1"/>
  <c r="AL211" i="1"/>
  <c r="AM211" i="1" s="1"/>
  <c r="AJ212" i="1"/>
  <c r="BJ201" i="1"/>
  <c r="HU9" i="4" s="1"/>
  <c r="AL186" i="1"/>
  <c r="AM186" i="1" s="1"/>
  <c r="AL198" i="1"/>
  <c r="AM198" i="1" s="1"/>
  <c r="AJ168" i="1"/>
  <c r="BJ202" i="1"/>
  <c r="BK202" i="1" s="1"/>
  <c r="AL199" i="1"/>
  <c r="AM199" i="1" s="1"/>
  <c r="BJ180" i="1"/>
  <c r="IM9" i="4" s="1"/>
  <c r="IW16" i="4" s="1"/>
  <c r="AL197" i="1"/>
  <c r="AM197" i="1" s="1"/>
  <c r="BJ190" i="1"/>
  <c r="BK190" i="1" s="1"/>
  <c r="BJ208" i="1"/>
  <c r="AJ191" i="1"/>
  <c r="AK191" i="1" s="1"/>
  <c r="AL191" i="1"/>
  <c r="AM191" i="1" s="1"/>
  <c r="AL168" i="1"/>
  <c r="AJ166" i="1"/>
  <c r="AL190" i="1"/>
  <c r="AM190" i="1" s="1"/>
  <c r="AJ194" i="1"/>
  <c r="AK194" i="1" s="1"/>
  <c r="BJ168" i="1"/>
  <c r="AL189" i="1"/>
  <c r="BJ175" i="1"/>
  <c r="BK175" i="1" s="1"/>
  <c r="AL174" i="1"/>
  <c r="AM174" i="1" s="1"/>
  <c r="AL166" i="1"/>
  <c r="BJ195" i="1"/>
  <c r="BK195" i="1" s="1"/>
  <c r="AJ197" i="1"/>
  <c r="AK197" i="1" s="1"/>
  <c r="AL167" i="1"/>
  <c r="AM167" i="1" s="1"/>
  <c r="BJ182" i="1"/>
  <c r="BJ197" i="1"/>
  <c r="BJ207" i="1"/>
  <c r="BJ181" i="1"/>
  <c r="BJ192" i="1"/>
  <c r="HQ16" i="4" s="1"/>
  <c r="AL173" i="1"/>
  <c r="AJ203" i="1"/>
  <c r="AK203" i="1" s="1"/>
  <c r="AL180" i="1"/>
  <c r="AJ174" i="1"/>
  <c r="AK174" i="1" s="1"/>
  <c r="AJ171" i="1"/>
  <c r="AK171" i="1" s="1"/>
  <c r="AL201" i="1"/>
  <c r="AJ176" i="1"/>
  <c r="AK176" i="1" s="1"/>
  <c r="JF16" i="4" s="1"/>
  <c r="IG9" i="4" s="1"/>
  <c r="AJ173" i="1"/>
  <c r="AK173" i="1" s="1"/>
  <c r="BJ203" i="1"/>
  <c r="BK203" i="1" s="1"/>
  <c r="AL122" i="1"/>
  <c r="IV9" i="4" s="1"/>
  <c r="JF9" i="4" s="1"/>
  <c r="IU9" i="4" s="1"/>
  <c r="IG16" i="4" s="1"/>
  <c r="AL81" i="1"/>
  <c r="AL242" i="1" s="1"/>
  <c r="IQ16" i="4" s="1"/>
  <c r="HV9" i="4" s="1"/>
  <c r="AL176" i="1"/>
  <c r="AM176" i="1" s="1"/>
  <c r="AL208" i="1"/>
  <c r="AJ182" i="1"/>
  <c r="AJ200" i="1"/>
  <c r="AK200" i="1" s="1"/>
  <c r="AL182" i="1"/>
  <c r="AL184" i="1"/>
  <c r="AM184" i="1" s="1"/>
  <c r="AL193" i="1"/>
  <c r="AL175" i="1"/>
  <c r="AM175" i="1" s="1"/>
  <c r="AJ184" i="1"/>
  <c r="AK184" i="1" s="1"/>
  <c r="BX58" i="1"/>
  <c r="AJ181" i="1"/>
  <c r="AL171" i="1"/>
  <c r="AM171" i="1" s="1"/>
  <c r="AL195" i="1"/>
  <c r="AM195" i="1" s="1"/>
  <c r="AJ201" i="1"/>
  <c r="IX16" i="4" s="1"/>
  <c r="IQ9" i="4" s="1"/>
  <c r="IA15" i="4" s="1"/>
  <c r="HP16" i="4" s="1"/>
  <c r="IK16" i="4" s="1"/>
  <c r="II9" i="4" s="1"/>
  <c r="HT9" i="4" s="1"/>
  <c r="JF15" i="4" s="1"/>
  <c r="IO16" i="4" s="1"/>
  <c r="AM85" i="1"/>
  <c r="AL95" i="1"/>
  <c r="AK72" i="1"/>
  <c r="BX123" i="1"/>
  <c r="E85" i="1"/>
  <c r="E69" i="1"/>
  <c r="M57" i="1"/>
  <c r="M279" i="1" s="1"/>
  <c r="I72" i="1"/>
  <c r="AL100" i="1"/>
  <c r="G70" i="1"/>
  <c r="K81" i="1"/>
  <c r="K242" i="1" s="1"/>
  <c r="E57" i="1"/>
  <c r="E279" i="1" s="1"/>
  <c r="HS9" i="4" s="1"/>
  <c r="AJ74" i="1"/>
  <c r="S84" i="1"/>
  <c r="K72" i="1"/>
  <c r="C173" i="1"/>
  <c r="AJ94" i="1"/>
  <c r="W181" i="1"/>
  <c r="E81" i="1"/>
  <c r="E242" i="1" s="1"/>
  <c r="AM74" i="1"/>
  <c r="U73" i="1"/>
  <c r="G211" i="1"/>
  <c r="P85" i="1"/>
  <c r="N74" i="1"/>
  <c r="G100" i="1"/>
  <c r="O58" i="1"/>
  <c r="F70" i="1"/>
  <c r="AL71" i="1"/>
  <c r="IP9" i="4" s="1"/>
  <c r="JC9" i="4" s="1"/>
  <c r="IE16" i="4" s="1"/>
  <c r="IS16" i="4" s="1"/>
  <c r="HX16" i="4" s="1"/>
  <c r="AK63" i="1"/>
  <c r="AM73" i="1"/>
  <c r="K73" i="1"/>
  <c r="AK81" i="1"/>
  <c r="AK242" i="1" s="1"/>
  <c r="G94" i="1"/>
  <c r="Q95" i="1"/>
  <c r="BX202" i="1"/>
  <c r="BY202" i="1" s="1"/>
  <c r="M58" i="1"/>
  <c r="J84" i="1"/>
  <c r="W58" i="1"/>
  <c r="W59" i="1" s="1"/>
  <c r="AL85" i="1"/>
  <c r="L58" i="1"/>
  <c r="Q73" i="1"/>
  <c r="AK73" i="1"/>
  <c r="B72" i="1"/>
  <c r="II16" i="4" s="1"/>
  <c r="AM58" i="1"/>
  <c r="IF9" i="4" s="1"/>
  <c r="HY16" i="4" s="1"/>
  <c r="ID16" i="4" s="1"/>
  <c r="S58" i="1"/>
  <c r="U64" i="1"/>
  <c r="AK85" i="1"/>
  <c r="O85" i="1"/>
  <c r="U58" i="1"/>
  <c r="U59" i="1" s="1"/>
  <c r="H88" i="1"/>
  <c r="F95" i="1"/>
  <c r="P70" i="1"/>
  <c r="BX71" i="1"/>
  <c r="IY16" i="4" s="1"/>
  <c r="HT16" i="4" s="1"/>
  <c r="HR16" i="4" s="1"/>
  <c r="J85" i="1"/>
  <c r="T57" i="1"/>
  <c r="BX190" i="1"/>
  <c r="BY190" i="1" s="1"/>
  <c r="I58" i="1"/>
  <c r="C94" i="1"/>
  <c r="C62" i="1"/>
  <c r="W81" i="1"/>
  <c r="W301" i="1" s="1"/>
  <c r="O72" i="1"/>
  <c r="JD7" i="4" s="1"/>
  <c r="F73" i="1"/>
  <c r="P73" i="1"/>
  <c r="N95" i="1"/>
  <c r="U81" i="1"/>
  <c r="U242" i="1" s="1"/>
  <c r="W100" i="1"/>
  <c r="JG16" i="4" s="1"/>
  <c r="AJ95" i="1"/>
  <c r="HY9" i="4" s="1"/>
  <c r="HX14" i="4" s="1"/>
  <c r="IS9" i="4" s="1"/>
  <c r="HX9" i="4" s="1"/>
  <c r="JI16" i="4" s="1"/>
  <c r="AM69" i="1"/>
  <c r="U85" i="1"/>
  <c r="U300" i="1" s="1"/>
  <c r="C57" i="1"/>
  <c r="C279" i="1" s="1"/>
  <c r="J57" i="1"/>
  <c r="J279" i="1" s="1"/>
  <c r="W69" i="1"/>
  <c r="AJ63" i="1"/>
  <c r="P88" i="1"/>
  <c r="AJ81" i="1"/>
  <c r="AJ242" i="1" s="1"/>
  <c r="T94" i="1"/>
  <c r="T44" i="1" s="1"/>
  <c r="H74" i="1"/>
  <c r="BX180" i="1"/>
  <c r="IB9" i="4" s="1"/>
  <c r="BX81" i="1"/>
  <c r="IO14" i="4" s="1"/>
  <c r="IH16" i="4" s="1"/>
  <c r="IJ16" i="4" s="1"/>
  <c r="BX84" i="1"/>
  <c r="IZ16" i="4" s="1"/>
  <c r="AJ198" i="1"/>
  <c r="AK198" i="1" s="1"/>
  <c r="E88" i="1"/>
  <c r="P72" i="1"/>
  <c r="I88" i="1"/>
  <c r="F62" i="1"/>
  <c r="M100" i="1"/>
  <c r="I74" i="1"/>
  <c r="F88" i="1"/>
  <c r="P201" i="1"/>
  <c r="N71" i="1"/>
  <c r="W96" i="1"/>
  <c r="D57" i="1"/>
  <c r="D279" i="1" s="1"/>
  <c r="I100" i="1"/>
  <c r="HR9" i="4" s="1"/>
  <c r="IO9" i="4" s="1"/>
  <c r="AL194" i="1"/>
  <c r="AM194" i="1" s="1"/>
  <c r="AL200" i="1"/>
  <c r="AM200" i="1" s="1"/>
  <c r="AL203" i="1"/>
  <c r="AM203" i="1" s="1"/>
  <c r="AL202" i="1"/>
  <c r="AM202" i="1" s="1"/>
  <c r="JA16" i="4" s="1"/>
  <c r="JD9" i="4" s="1"/>
  <c r="IA9" i="4" s="1"/>
  <c r="HV16" i="4" s="1"/>
  <c r="IY9" i="4" s="1"/>
  <c r="HW16" i="4" s="1"/>
  <c r="B73" i="1"/>
  <c r="C71" i="1"/>
  <c r="K64" i="1"/>
  <c r="AM63" i="1"/>
  <c r="BX191" i="1"/>
  <c r="BY191" i="1" s="1"/>
  <c r="O62" i="1"/>
  <c r="E64" i="1"/>
  <c r="BX96" i="1"/>
  <c r="AJ100" i="1"/>
  <c r="BX174" i="1"/>
  <c r="BY174" i="1" s="1"/>
  <c r="C70" i="1"/>
  <c r="R100" i="1"/>
  <c r="E71" i="1"/>
  <c r="W95" i="1"/>
  <c r="AM64" i="1"/>
  <c r="M70" i="1"/>
  <c r="R85" i="1"/>
  <c r="BX186" i="1"/>
  <c r="BY186" i="1" s="1"/>
  <c r="O71" i="1"/>
  <c r="I73" i="1"/>
  <c r="K57" i="1"/>
  <c r="K279" i="1" s="1"/>
  <c r="L81" i="1"/>
  <c r="IV16" i="4" s="1"/>
  <c r="IV21" i="4" s="1"/>
  <c r="BP126" i="1" s="1"/>
  <c r="HP9" i="4" s="1"/>
  <c r="JB16" i="4" s="1"/>
  <c r="IU16" i="4" s="1"/>
  <c r="IU21" i="4" s="1"/>
  <c r="BO126" i="1" s="1"/>
  <c r="IW9" i="4" s="1"/>
  <c r="IJ9" i="4" s="1"/>
  <c r="BX85" i="1"/>
  <c r="BX194" i="1"/>
  <c r="BY194" i="1" s="1"/>
  <c r="P62" i="1"/>
  <c r="L96" i="1"/>
  <c r="J70" i="1"/>
  <c r="F71" i="1"/>
  <c r="M73" i="1"/>
  <c r="L64" i="1"/>
  <c r="G81" i="1"/>
  <c r="G242" i="1" s="1"/>
  <c r="L95" i="1"/>
  <c r="HV8" i="4" s="1"/>
  <c r="IT16" i="4" s="1"/>
  <c r="IS15" i="4" s="1"/>
  <c r="HZ9" i="4" s="1"/>
  <c r="BJ69" i="1"/>
  <c r="IA16" i="4" s="1"/>
  <c r="IH9" i="4" s="1"/>
  <c r="IE9" i="4" s="1"/>
  <c r="ID9" i="4" s="1"/>
  <c r="JF7" i="4" s="1"/>
  <c r="HT8" i="4" s="1"/>
  <c r="ID14" i="4" s="1"/>
  <c r="AK70" i="1"/>
  <c r="W94" i="1"/>
  <c r="W44" i="1" s="1"/>
  <c r="D69" i="1"/>
  <c r="AK100" i="1"/>
  <c r="Q72" i="1"/>
  <c r="Q57" i="1"/>
  <c r="Q279" i="1" s="1"/>
  <c r="AL73" i="1"/>
  <c r="F74" i="1"/>
  <c r="V58" i="1"/>
  <c r="V59" i="1" s="1"/>
  <c r="AM71" i="1"/>
  <c r="U74" i="1"/>
  <c r="R72" i="1"/>
  <c r="K58" i="1"/>
  <c r="HS16" i="4" s="1"/>
  <c r="IR16" i="4" s="1"/>
  <c r="IN16" i="4" s="1"/>
  <c r="IN21" i="4" s="1"/>
  <c r="BH126" i="1" s="1"/>
  <c r="JC16" i="4" s="1"/>
  <c r="HQ9" i="4" s="1"/>
  <c r="IL9" i="4" s="1"/>
  <c r="JG9" i="4" s="1"/>
  <c r="IX9" i="4" s="1"/>
  <c r="JE16" i="4" s="1"/>
  <c r="JB9" i="4" s="1"/>
  <c r="HW9" i="4" s="1"/>
  <c r="AJ71" i="1"/>
  <c r="BX100" i="1"/>
  <c r="I69" i="1"/>
  <c r="F85" i="1"/>
  <c r="T85" i="1"/>
  <c r="BX72" i="1"/>
  <c r="B74" i="1"/>
  <c r="V94" i="1"/>
  <c r="V44" i="1" s="1"/>
  <c r="AJ62" i="1"/>
  <c r="BL123" i="1"/>
  <c r="J100" i="1"/>
  <c r="Q84" i="1"/>
  <c r="H71" i="1"/>
  <c r="Q100" i="1"/>
  <c r="K96" i="1"/>
  <c r="IF16" i="4" s="1"/>
  <c r="IT14" i="4" s="1"/>
  <c r="AM88" i="1"/>
  <c r="AK64" i="1"/>
  <c r="D73" i="1"/>
  <c r="I96" i="1"/>
  <c r="O96" i="1"/>
  <c r="H64" i="1"/>
  <c r="AJ73" i="1"/>
  <c r="BX212" i="1"/>
  <c r="BY212" i="1" s="1"/>
  <c r="S62" i="1"/>
  <c r="O94" i="1"/>
  <c r="P176" i="1"/>
  <c r="W71" i="1"/>
  <c r="L57" i="1"/>
  <c r="L70" i="1"/>
  <c r="C100" i="1"/>
  <c r="T72" i="1"/>
  <c r="BX73" i="1"/>
  <c r="V71" i="1"/>
  <c r="D58" i="1"/>
  <c r="F69" i="1"/>
  <c r="V70" i="1"/>
  <c r="J62" i="1"/>
  <c r="BX57" i="1"/>
  <c r="BX279" i="1" s="1"/>
  <c r="BX175" i="1"/>
  <c r="BY175" i="1" s="1"/>
  <c r="B85" i="1"/>
  <c r="C69" i="1"/>
  <c r="T95" i="1"/>
  <c r="D64" i="1"/>
  <c r="R71" i="1"/>
  <c r="V100" i="1"/>
  <c r="T88" i="1"/>
  <c r="T96" i="1"/>
  <c r="AL64" i="1"/>
  <c r="AJ96" i="1"/>
  <c r="I84" i="1"/>
  <c r="S57" i="1"/>
  <c r="S279" i="1" s="1"/>
  <c r="S88" i="1"/>
  <c r="T64" i="1"/>
  <c r="BX62" i="1"/>
  <c r="BJ62" i="1"/>
  <c r="G95" i="1"/>
  <c r="J74" i="1"/>
  <c r="N58" i="1"/>
  <c r="IQ14" i="4" s="1"/>
  <c r="IW14" i="4" s="1"/>
  <c r="IR9" i="4" s="1"/>
  <c r="IX14" i="4" s="1"/>
  <c r="BX74" i="1"/>
  <c r="AK84" i="1"/>
  <c r="U71" i="1"/>
  <c r="BX181" i="1"/>
  <c r="F81" i="1"/>
  <c r="F242" i="1" s="1"/>
  <c r="F94" i="1"/>
  <c r="N70" i="1"/>
  <c r="U72" i="1"/>
  <c r="Q81" i="1"/>
  <c r="Q242" i="1" s="1"/>
  <c r="H100" i="1"/>
  <c r="K95" i="1"/>
  <c r="K84" i="1"/>
  <c r="E84" i="1"/>
  <c r="B95" i="1"/>
  <c r="W74" i="1"/>
  <c r="D88" i="1"/>
  <c r="L71" i="1"/>
  <c r="F72" i="1"/>
  <c r="BX208" i="1"/>
  <c r="BX167" i="1"/>
  <c r="BY167" i="1" s="1"/>
  <c r="O95" i="1"/>
  <c r="G201" i="1"/>
  <c r="P95" i="1"/>
  <c r="H84" i="1"/>
  <c r="AM81" i="1"/>
  <c r="AM242" i="1" s="1"/>
  <c r="AL72" i="1"/>
  <c r="E74" i="1"/>
  <c r="R96" i="1"/>
  <c r="M84" i="1"/>
  <c r="D100" i="1"/>
  <c r="M85" i="1"/>
  <c r="I81" i="1"/>
  <c r="I242" i="1" s="1"/>
  <c r="BX184" i="1"/>
  <c r="BY184" i="1" s="1"/>
  <c r="B94" i="1"/>
  <c r="H81" i="1"/>
  <c r="AJ69" i="1"/>
  <c r="D74" i="1"/>
  <c r="H58" i="1"/>
  <c r="V73" i="1"/>
  <c r="AJ64" i="1"/>
  <c r="O64" i="1"/>
  <c r="L72" i="1"/>
  <c r="S73" i="1"/>
  <c r="T58" i="1"/>
  <c r="E70" i="1"/>
  <c r="M74" i="1"/>
  <c r="BX94" i="1"/>
  <c r="BX207" i="1"/>
  <c r="D70" i="1"/>
  <c r="S96" i="1"/>
  <c r="S72" i="1"/>
  <c r="U100" i="1"/>
  <c r="T71" i="1"/>
  <c r="BX211" i="1"/>
  <c r="BY211" i="1" s="1"/>
  <c r="K62" i="1"/>
  <c r="B100" i="1"/>
  <c r="J96" i="1"/>
  <c r="AJ58" i="1"/>
  <c r="J69" i="1"/>
  <c r="W88" i="1"/>
  <c r="P69" i="1"/>
  <c r="R64" i="1"/>
  <c r="T81" i="1"/>
  <c r="T242" i="1" s="1"/>
  <c r="AL57" i="1"/>
  <c r="AL279" i="1" s="1"/>
  <c r="E100" i="1"/>
  <c r="AM72" i="1"/>
  <c r="BY122" i="1"/>
  <c r="O73" i="1"/>
  <c r="G84" i="1"/>
  <c r="N85" i="1"/>
  <c r="P74" i="1"/>
  <c r="Q62" i="1"/>
  <c r="I94" i="1"/>
  <c r="E207" i="1"/>
  <c r="AK88" i="1"/>
  <c r="O84" i="1"/>
  <c r="J95" i="1"/>
  <c r="AL74" i="1"/>
  <c r="F64" i="1"/>
  <c r="BX203" i="1"/>
  <c r="BY203" i="1" s="1"/>
  <c r="J168" i="1"/>
  <c r="Q94" i="1"/>
  <c r="W73" i="1"/>
  <c r="T70" i="1"/>
  <c r="AK69" i="1"/>
  <c r="AK71" i="1"/>
  <c r="AM70" i="1"/>
  <c r="BX168" i="1"/>
  <c r="BY168" i="1" s="1"/>
  <c r="BX182" i="1"/>
  <c r="C81" i="1"/>
  <c r="L100" i="1"/>
  <c r="P100" i="1"/>
  <c r="N73" i="1"/>
  <c r="IX7" i="4" s="1"/>
  <c r="IX19" i="4" s="1"/>
  <c r="BR127" i="1" s="1"/>
  <c r="BR156" i="1" s="1"/>
  <c r="IO7" i="4" s="1"/>
  <c r="JH9" i="4" s="1"/>
  <c r="ID15" i="4" s="1"/>
  <c r="IY15" i="4" s="1"/>
  <c r="BJ57" i="1"/>
  <c r="BJ279" i="1" s="1"/>
  <c r="BJ63" i="1"/>
  <c r="AJ88" i="1"/>
  <c r="N69" i="1"/>
  <c r="L88" i="1"/>
  <c r="Q70" i="1"/>
  <c r="O100" i="1"/>
  <c r="K70" i="1"/>
  <c r="L69" i="1"/>
  <c r="BJ73" i="1"/>
  <c r="J72" i="1"/>
  <c r="Q71" i="1"/>
  <c r="L73" i="1"/>
  <c r="U84" i="1"/>
  <c r="D71" i="1"/>
  <c r="N94" i="1"/>
  <c r="AL84" i="1"/>
  <c r="AJ84" i="1"/>
  <c r="D62" i="1"/>
  <c r="W85" i="1"/>
  <c r="W300" i="1" s="1"/>
  <c r="V74" i="1"/>
  <c r="K100" i="1"/>
  <c r="F58" i="1"/>
  <c r="BX192" i="1"/>
  <c r="J71" i="1"/>
  <c r="T69" i="1"/>
  <c r="U96" i="1"/>
  <c r="U88" i="1"/>
  <c r="W70" i="1"/>
  <c r="N96" i="1"/>
  <c r="N81" i="1"/>
  <c r="N242" i="1" s="1"/>
  <c r="G64" i="1"/>
  <c r="BX166" i="1"/>
  <c r="BY166" i="1" s="1"/>
  <c r="E95" i="1"/>
  <c r="E62" i="1"/>
  <c r="O81" i="1"/>
  <c r="O242" i="1" s="1"/>
  <c r="C74" i="1"/>
  <c r="R57" i="1"/>
  <c r="R279" i="1" s="1"/>
  <c r="F57" i="1"/>
  <c r="F279" i="1" s="1"/>
  <c r="B58" i="1"/>
  <c r="R58" i="1"/>
  <c r="V96" i="1"/>
  <c r="C64" i="1"/>
  <c r="T74" i="1"/>
  <c r="T84" i="1"/>
  <c r="JE9" i="4" s="1"/>
  <c r="AK62" i="1"/>
  <c r="R69" i="1"/>
  <c r="B96" i="1"/>
  <c r="R84" i="1"/>
  <c r="M96" i="1"/>
  <c r="AK96" i="1"/>
  <c r="D84" i="1"/>
  <c r="V64" i="1"/>
  <c r="M62" i="1"/>
  <c r="AL69" i="1"/>
  <c r="D81" i="1"/>
  <c r="S74" i="1"/>
  <c r="C72" i="1"/>
  <c r="N100" i="1"/>
  <c r="BX95" i="1"/>
  <c r="W64" i="1"/>
  <c r="L62" i="1"/>
  <c r="V88" i="1"/>
  <c r="AL88" i="1"/>
  <c r="S70" i="1"/>
  <c r="V95" i="1"/>
  <c r="B70" i="1"/>
  <c r="U62" i="1"/>
  <c r="H70" i="1"/>
  <c r="K71" i="1"/>
  <c r="W62" i="1"/>
  <c r="BX122" i="1"/>
  <c r="V72" i="1"/>
  <c r="N62" i="1"/>
  <c r="G57" i="1"/>
  <c r="G279" i="1" s="1"/>
  <c r="JD16" i="4" s="1"/>
  <c r="AM84" i="1"/>
  <c r="AL63" i="1"/>
  <c r="M72" i="1"/>
  <c r="M81" i="1"/>
  <c r="M242" i="1" s="1"/>
  <c r="E73" i="1"/>
  <c r="H85" i="1"/>
  <c r="S71" i="1"/>
  <c r="M71" i="1"/>
  <c r="N72" i="1"/>
  <c r="P57" i="1"/>
  <c r="AJ57" i="1"/>
  <c r="AJ279" i="1" s="1"/>
  <c r="G62" i="1"/>
  <c r="T73" i="1"/>
  <c r="M69" i="1"/>
  <c r="T62" i="1"/>
  <c r="S100" i="1"/>
  <c r="C88" i="1"/>
  <c r="BX197" i="1"/>
  <c r="BY197" i="1" s="1"/>
  <c r="E58" i="1"/>
  <c r="G71" i="1"/>
  <c r="Q64" i="1"/>
  <c r="R94" i="1"/>
  <c r="BX193" i="1"/>
  <c r="H57" i="1"/>
  <c r="R74" i="1"/>
  <c r="M88" i="1"/>
  <c r="JH16" i="4" s="1"/>
  <c r="L94" i="1"/>
  <c r="C58" i="1"/>
  <c r="Q96" i="1"/>
  <c r="H69" i="1"/>
  <c r="AL58" i="1"/>
  <c r="J81" i="1"/>
  <c r="J242" i="1" s="1"/>
  <c r="I62" i="1"/>
  <c r="Q69" i="1"/>
  <c r="R70" i="1"/>
  <c r="AK57" i="1"/>
  <c r="BX195" i="1"/>
  <c r="BY195" i="1" s="1"/>
  <c r="L84" i="1"/>
  <c r="P84" i="1"/>
  <c r="V84" i="1"/>
  <c r="Q85" i="1"/>
  <c r="G85" i="1"/>
  <c r="G300" i="1" s="1"/>
  <c r="G69" i="1"/>
  <c r="V69" i="1"/>
  <c r="G74" i="1"/>
  <c r="V62" i="1"/>
  <c r="H72" i="1"/>
  <c r="Q88" i="1"/>
  <c r="M64" i="1"/>
  <c r="H95" i="1"/>
  <c r="U69" i="1"/>
  <c r="V85" i="1"/>
  <c r="V300" i="1" s="1"/>
  <c r="BX189" i="1"/>
  <c r="BY189" i="1" s="1"/>
  <c r="BZ250" i="1" s="1"/>
  <c r="K88" i="1"/>
  <c r="H94" i="1"/>
  <c r="Q74" i="1"/>
  <c r="G96" i="1"/>
  <c r="BX64" i="1"/>
  <c r="BX200" i="1"/>
  <c r="BY200" i="1" s="1"/>
  <c r="T100" i="1"/>
  <c r="D95" i="1"/>
  <c r="AK74" i="1"/>
  <c r="P94" i="1"/>
  <c r="O88" i="1"/>
  <c r="G73" i="1"/>
  <c r="D96" i="1"/>
  <c r="W84" i="1"/>
  <c r="W166" i="1"/>
  <c r="BX69" i="1"/>
  <c r="E94" i="1"/>
  <c r="N84" i="1"/>
  <c r="P81" i="1"/>
  <c r="J73" i="1"/>
  <c r="P208" i="1"/>
  <c r="D171" i="1"/>
  <c r="Q58" i="1"/>
  <c r="K94" i="1"/>
  <c r="L74" i="1"/>
  <c r="C85" i="1"/>
  <c r="P203" i="1"/>
  <c r="M95" i="1"/>
  <c r="N57" i="1"/>
  <c r="N279" i="1" s="1"/>
  <c r="IK9" i="4" s="1"/>
  <c r="HR8" i="4" s="1"/>
  <c r="JI9" i="4" s="1"/>
  <c r="IC9" i="4" s="1"/>
  <c r="IT9" i="4" s="1"/>
  <c r="BX201" i="1"/>
  <c r="I64" i="1"/>
  <c r="N88" i="1"/>
  <c r="Q201" i="1"/>
  <c r="BX70" i="1"/>
  <c r="AL70" i="1"/>
  <c r="BX198" i="1"/>
  <c r="BY198" i="1" s="1"/>
  <c r="BX176" i="1"/>
  <c r="BY176" i="1" s="1"/>
  <c r="S81" i="1"/>
  <c r="S242" i="1" s="1"/>
  <c r="I57" i="1"/>
  <c r="I279" i="1" s="1"/>
  <c r="U95" i="1"/>
  <c r="AM62" i="1"/>
  <c r="BJ74" i="1"/>
  <c r="B84" i="1"/>
  <c r="I70" i="1"/>
  <c r="S69" i="1"/>
  <c r="O57" i="1"/>
  <c r="O279" i="1" s="1"/>
  <c r="I85" i="1"/>
  <c r="I300" i="1" s="1"/>
  <c r="M94" i="1"/>
  <c r="D85" i="1"/>
  <c r="B71" i="1"/>
  <c r="G88" i="1"/>
  <c r="D94" i="1"/>
  <c r="AK94" i="1"/>
  <c r="H62" i="1"/>
  <c r="G72" i="1"/>
  <c r="I71" i="1"/>
  <c r="N64" i="1"/>
  <c r="J94" i="1"/>
  <c r="AL96" i="1"/>
  <c r="AK58" i="1"/>
  <c r="B88" i="1"/>
  <c r="B69" i="1"/>
  <c r="C95" i="1"/>
  <c r="S64" i="1"/>
  <c r="AJ70" i="1"/>
  <c r="BX199" i="1"/>
  <c r="BY199" i="1" s="1"/>
  <c r="K85" i="1"/>
  <c r="V81" i="1"/>
  <c r="V242" i="1" s="1"/>
  <c r="H96" i="1"/>
  <c r="L85" i="1"/>
  <c r="R95" i="1"/>
  <c r="U94" i="1"/>
  <c r="U44" i="1" s="1"/>
  <c r="AM57" i="1"/>
  <c r="AM279" i="1" s="1"/>
  <c r="H73" i="1"/>
  <c r="C84" i="1"/>
  <c r="B81" i="1"/>
  <c r="BX88" i="1"/>
  <c r="AK95" i="1"/>
  <c r="BX63" i="1"/>
  <c r="K74" i="1"/>
  <c r="F84" i="1"/>
  <c r="BX171" i="1"/>
  <c r="BY171" i="1" s="1"/>
  <c r="E96" i="1"/>
  <c r="F100" i="1"/>
  <c r="J58" i="1"/>
  <c r="C96" i="1"/>
  <c r="B57" i="1"/>
  <c r="B279" i="1" s="1"/>
  <c r="R62" i="1"/>
  <c r="S85" i="1"/>
  <c r="K69" i="1"/>
  <c r="R88" i="1"/>
  <c r="AJ85" i="1"/>
  <c r="BJ72" i="1"/>
  <c r="B62" i="1"/>
  <c r="O74" i="1"/>
  <c r="D72" i="1"/>
  <c r="R73" i="1"/>
  <c r="F96" i="1"/>
  <c r="P71" i="1"/>
  <c r="AL62" i="1"/>
  <c r="BX173" i="1"/>
  <c r="J88" i="1"/>
  <c r="O70" i="1"/>
  <c r="S95" i="1"/>
  <c r="AJ72" i="1"/>
  <c r="E72" i="1"/>
  <c r="S94" i="1"/>
  <c r="W72" i="1"/>
  <c r="J64" i="1"/>
  <c r="R81" i="1"/>
  <c r="R242" i="1" s="1"/>
  <c r="AL94" i="1"/>
  <c r="B64" i="1"/>
  <c r="P58" i="1"/>
  <c r="P96" i="1"/>
  <c r="O69" i="1"/>
  <c r="IP16" i="4" s="1"/>
  <c r="IP21" i="4" s="1"/>
  <c r="BJ126" i="1" s="1"/>
  <c r="BJ70" i="1"/>
  <c r="U70" i="1"/>
  <c r="C73" i="1"/>
  <c r="G58" i="1"/>
  <c r="P64" i="1"/>
  <c r="I95" i="1"/>
  <c r="HR7" i="4"/>
  <c r="JA14" i="4"/>
  <c r="ID8" i="4"/>
  <c r="HU8" i="4"/>
  <c r="JI14" i="4"/>
  <c r="IP7" i="4"/>
  <c r="IT7" i="4"/>
  <c r="HZ14" i="4"/>
  <c r="IB15" i="4"/>
  <c r="HP8" i="4"/>
  <c r="IG8" i="4"/>
  <c r="CM81" i="1"/>
  <c r="AB126" i="1"/>
  <c r="CQ126" i="1"/>
  <c r="AC189" i="1"/>
  <c r="CN114" i="1"/>
  <c r="CO112" i="1"/>
  <c r="AJ180" i="1" l="1"/>
  <c r="AJ175" i="1"/>
  <c r="AK175" i="1" s="1"/>
  <c r="AJ192" i="1"/>
  <c r="IL16" i="4" s="1"/>
  <c r="HV7" i="4" s="1"/>
  <c r="AJ190" i="1"/>
  <c r="AK190" i="1" s="1"/>
  <c r="AJ167" i="1"/>
  <c r="AK167" i="1" s="1"/>
  <c r="HZ16" i="4" s="1"/>
  <c r="AJ208" i="1"/>
  <c r="AL209" i="1"/>
  <c r="AM257" i="1" s="1"/>
  <c r="W242" i="1"/>
  <c r="J300" i="1"/>
  <c r="AJ209" i="1"/>
  <c r="AK257" i="1" s="1"/>
  <c r="HW21" i="4"/>
  <c r="AQ126" i="1" s="1"/>
  <c r="JA9" i="4" s="1"/>
  <c r="IM16" i="4" s="1"/>
  <c r="IM21" i="4" s="1"/>
  <c r="BG126" i="1" s="1"/>
  <c r="IB16" i="4" s="1"/>
  <c r="IZ9" i="4" s="1"/>
  <c r="IE21" i="4"/>
  <c r="AY126" i="1" s="1"/>
  <c r="HP21" i="4"/>
  <c r="AJ126" i="1" s="1"/>
  <c r="IT19" i="4"/>
  <c r="BN127" i="1" s="1"/>
  <c r="BN156" i="1" s="1"/>
  <c r="IF21" i="4"/>
  <c r="AZ126" i="1" s="1"/>
  <c r="F300" i="1"/>
  <c r="T279" i="1"/>
  <c r="T39" i="1"/>
  <c r="AM300" i="1"/>
  <c r="BY250" i="1"/>
  <c r="AM59" i="1"/>
  <c r="AM65" i="1" s="1"/>
  <c r="AM66" i="1" s="1"/>
  <c r="G231" i="1"/>
  <c r="J301" i="1"/>
  <c r="AJ59" i="1"/>
  <c r="AJ227" i="1"/>
  <c r="T301" i="1"/>
  <c r="K59" i="1"/>
  <c r="K65" i="1" s="1"/>
  <c r="P59" i="1"/>
  <c r="P147" i="1" s="1"/>
  <c r="G59" i="1"/>
  <c r="V301" i="1"/>
  <c r="K300" i="1"/>
  <c r="G301" i="1"/>
  <c r="N300" i="1"/>
  <c r="AJ231" i="1"/>
  <c r="K301" i="1"/>
  <c r="O300" i="1"/>
  <c r="M300" i="1"/>
  <c r="Q75" i="1"/>
  <c r="H75" i="1"/>
  <c r="F301" i="1"/>
  <c r="B300" i="1"/>
  <c r="AJ183" i="1"/>
  <c r="AJ187" i="1" s="1"/>
  <c r="AJ228" i="1"/>
  <c r="AK228" i="1" s="1"/>
  <c r="AL183" i="1"/>
  <c r="AM183" i="1" s="1"/>
  <c r="AM187" i="1" s="1"/>
  <c r="AK212" i="1"/>
  <c r="AI244" i="1"/>
  <c r="AI246" i="1" s="1"/>
  <c r="JC8" i="4"/>
  <c r="HX7" i="4"/>
  <c r="IZ8" i="4"/>
  <c r="F59" i="1"/>
  <c r="F65" i="1" s="1"/>
  <c r="IM7" i="4"/>
  <c r="HR15" i="4"/>
  <c r="HV15" i="4"/>
  <c r="HV20" i="4" s="1"/>
  <c r="AP128" i="1" s="1"/>
  <c r="AP157" i="1" s="1"/>
  <c r="IN14" i="4"/>
  <c r="C300" i="1"/>
  <c r="IK7" i="4"/>
  <c r="BX231" i="1"/>
  <c r="BY231" i="1" s="1"/>
  <c r="J59" i="1"/>
  <c r="P75" i="1"/>
  <c r="C242" i="1"/>
  <c r="C301" i="1"/>
  <c r="BJ183" i="1"/>
  <c r="R75" i="1"/>
  <c r="BX183" i="1"/>
  <c r="AK166" i="1"/>
  <c r="AJ169" i="1"/>
  <c r="AM189" i="1"/>
  <c r="AM250" i="1" s="1"/>
  <c r="AL250" i="1"/>
  <c r="AM166" i="1"/>
  <c r="AL169" i="1"/>
  <c r="BJ204" i="1"/>
  <c r="BJ233" i="1" s="1"/>
  <c r="BK197" i="1"/>
  <c r="AM173" i="1"/>
  <c r="AM177" i="1" s="1"/>
  <c r="AL177" i="1"/>
  <c r="BK189" i="1"/>
  <c r="BL250" i="1" s="1"/>
  <c r="X60" i="1"/>
  <c r="W21" i="1"/>
  <c r="W25" i="1" s="1"/>
  <c r="W236" i="1"/>
  <c r="W147" i="1"/>
  <c r="X236" i="1"/>
  <c r="W60" i="1"/>
  <c r="V236" i="1"/>
  <c r="V147" i="1"/>
  <c r="V21" i="1"/>
  <c r="V25" i="1" s="1"/>
  <c r="V60" i="1"/>
  <c r="AL196" i="1"/>
  <c r="IW21" i="4"/>
  <c r="BQ126" i="1" s="1"/>
  <c r="BJ209" i="1"/>
  <c r="IZ7" i="4"/>
  <c r="ID20" i="4"/>
  <c r="AX128" i="1" s="1"/>
  <c r="AX157" i="1" s="1"/>
  <c r="AK177" i="1"/>
  <c r="ID7" i="4"/>
  <c r="ID19" i="4" s="1"/>
  <c r="AX127" i="1" s="1"/>
  <c r="AX156" i="1" s="1"/>
  <c r="IG21" i="4"/>
  <c r="BA126" i="1" s="1"/>
  <c r="IQ21" i="4"/>
  <c r="BK126" i="1" s="1"/>
  <c r="HQ8" i="4"/>
  <c r="IU7" i="4"/>
  <c r="HX21" i="4"/>
  <c r="AR126" i="1" s="1"/>
  <c r="IQ8" i="4"/>
  <c r="IV8" i="4"/>
  <c r="II21" i="4"/>
  <c r="BC126" i="1" s="1"/>
  <c r="ID21" i="4"/>
  <c r="AX126" i="1" s="1"/>
  <c r="HT21" i="4"/>
  <c r="AN126" i="1" s="1"/>
  <c r="IX15" i="4"/>
  <c r="HR21" i="4"/>
  <c r="AL126" i="1" s="1"/>
  <c r="IQ7" i="4"/>
  <c r="IQ19" i="4" s="1"/>
  <c r="BK127" i="1" s="1"/>
  <c r="BK156" i="1" s="1"/>
  <c r="HU14" i="4"/>
  <c r="IV7" i="4"/>
  <c r="IJ21" i="4"/>
  <c r="BD126" i="1" s="1"/>
  <c r="JC21" i="4"/>
  <c r="BW126" i="1" s="1"/>
  <c r="T75" i="1"/>
  <c r="JA21" i="4"/>
  <c r="BU126" i="1" s="1"/>
  <c r="IG14" i="4"/>
  <c r="HV21" i="4"/>
  <c r="AP126" i="1" s="1"/>
  <c r="IB21" i="4"/>
  <c r="AV126" i="1" s="1"/>
  <c r="IK8" i="4"/>
  <c r="HY8" i="4"/>
  <c r="JA7" i="4"/>
  <c r="JA19" i="4" s="1"/>
  <c r="BU127" i="1" s="1"/>
  <c r="BU156" i="1" s="1"/>
  <c r="HW8" i="4"/>
  <c r="JI15" i="4"/>
  <c r="HS21" i="4"/>
  <c r="AM126" i="1" s="1"/>
  <c r="JF14" i="4"/>
  <c r="JF19" i="4" s="1"/>
  <c r="BZ127" i="1" s="1"/>
  <c r="II7" i="4"/>
  <c r="JG7" i="4"/>
  <c r="IZ14" i="4"/>
  <c r="IZ19" i="4" s="1"/>
  <c r="BT127" i="1" s="1"/>
  <c r="BT156" i="1" s="1"/>
  <c r="JB14" i="4"/>
  <c r="HW14" i="4"/>
  <c r="IW8" i="4"/>
  <c r="W75" i="1"/>
  <c r="W76" i="1" s="1"/>
  <c r="V75" i="1"/>
  <c r="V76" i="1" s="1"/>
  <c r="BX59" i="1"/>
  <c r="IN8" i="4"/>
  <c r="BX209" i="1"/>
  <c r="IO19" i="4"/>
  <c r="BI127" i="1" s="1"/>
  <c r="BI156" i="1" s="1"/>
  <c r="HY7" i="4"/>
  <c r="U65" i="1"/>
  <c r="W65" i="1"/>
  <c r="P300" i="1"/>
  <c r="E59" i="1"/>
  <c r="H59" i="1"/>
  <c r="IX8" i="4"/>
  <c r="IS7" i="4"/>
  <c r="IZ15" i="4"/>
  <c r="IZ20" i="4" s="1"/>
  <c r="BT128" i="1" s="1"/>
  <c r="BT157" i="1" s="1"/>
  <c r="C59" i="1"/>
  <c r="G75" i="1"/>
  <c r="V65" i="1"/>
  <c r="U75" i="1"/>
  <c r="HU7" i="4"/>
  <c r="IG7" i="4"/>
  <c r="AJ86" i="1"/>
  <c r="AK250" i="1"/>
  <c r="AJ250" i="1"/>
  <c r="BJ196" i="1"/>
  <c r="BJ169" i="1"/>
  <c r="BJ141" i="1" s="1"/>
  <c r="D75" i="1"/>
  <c r="AM75" i="1"/>
  <c r="HS14" i="4"/>
  <c r="HS15" i="4"/>
  <c r="JH15" i="4"/>
  <c r="E75" i="1"/>
  <c r="IJ15" i="4"/>
  <c r="BK177" i="1"/>
  <c r="JE15" i="4"/>
  <c r="HZ8" i="4"/>
  <c r="JC14" i="4"/>
  <c r="IJ8" i="4"/>
  <c r="IN15" i="4"/>
  <c r="AK75" i="1"/>
  <c r="AJ177" i="1"/>
  <c r="BX169" i="1"/>
  <c r="BX141" i="1" s="1"/>
  <c r="AL75" i="1"/>
  <c r="IP8" i="4"/>
  <c r="F75" i="1"/>
  <c r="IE7" i="4"/>
  <c r="IA7" i="4"/>
  <c r="IH7" i="4"/>
  <c r="HZ15" i="4"/>
  <c r="HZ20" i="4" s="1"/>
  <c r="AT128" i="1" s="1"/>
  <c r="AT157" i="1" s="1"/>
  <c r="JC7" i="4"/>
  <c r="P231" i="1"/>
  <c r="I59" i="1"/>
  <c r="D300" i="1"/>
  <c r="BY169" i="1"/>
  <c r="BY141" i="1" s="1"/>
  <c r="L75" i="1"/>
  <c r="JB8" i="4"/>
  <c r="JH14" i="4"/>
  <c r="IS14" i="4"/>
  <c r="IE15" i="4"/>
  <c r="P279" i="1"/>
  <c r="B301" i="1"/>
  <c r="S300" i="1"/>
  <c r="N75" i="1"/>
  <c r="AM301" i="1"/>
  <c r="N59" i="1"/>
  <c r="O301" i="1"/>
  <c r="H279" i="1"/>
  <c r="C75" i="1"/>
  <c r="J75" i="1"/>
  <c r="S59" i="1"/>
  <c r="M75" i="1"/>
  <c r="D301" i="1"/>
  <c r="O75" i="1"/>
  <c r="B75" i="1"/>
  <c r="AJ82" i="1"/>
  <c r="HR20" i="4"/>
  <c r="AL128" i="1" s="1"/>
  <c r="AL157" i="1" s="1"/>
  <c r="IW15" i="4"/>
  <c r="M59" i="1"/>
  <c r="IW7" i="4"/>
  <c r="IW19" i="4" s="1"/>
  <c r="BQ127" i="1" s="1"/>
  <c r="BQ156" i="1" s="1"/>
  <c r="R300" i="1"/>
  <c r="AJ196" i="1"/>
  <c r="O59" i="1"/>
  <c r="I75" i="1"/>
  <c r="S75" i="1"/>
  <c r="Q231" i="1"/>
  <c r="Q59" i="1"/>
  <c r="Q300" i="1"/>
  <c r="JG15" i="4"/>
  <c r="D59" i="1"/>
  <c r="R301" i="1"/>
  <c r="JE14" i="4"/>
  <c r="CA147" i="1"/>
  <c r="CA148" i="1" s="1"/>
  <c r="H300" i="1"/>
  <c r="K75" i="1"/>
  <c r="L279" i="1"/>
  <c r="L59" i="1"/>
  <c r="IF7" i="4"/>
  <c r="IL15" i="4"/>
  <c r="JI21" i="4"/>
  <c r="CC126" i="1" s="1"/>
  <c r="IH15" i="4"/>
  <c r="IG15" i="4"/>
  <c r="IG20" i="4" s="1"/>
  <c r="BA128" i="1" s="1"/>
  <c r="BA157" i="1" s="1"/>
  <c r="IH8" i="4"/>
  <c r="IO21" i="4"/>
  <c r="BI126" i="1" s="1"/>
  <c r="IX21" i="4"/>
  <c r="BR126" i="1" s="1"/>
  <c r="II8" i="4"/>
  <c r="IL8" i="4"/>
  <c r="JE8" i="4"/>
  <c r="IC21" i="4"/>
  <c r="AW126" i="1" s="1"/>
  <c r="P242" i="1"/>
  <c r="P301" i="1"/>
  <c r="JB21" i="4"/>
  <c r="BV126" i="1" s="1"/>
  <c r="IR8" i="4"/>
  <c r="JA8" i="4"/>
  <c r="AL227" i="1"/>
  <c r="AM227" i="1" s="1"/>
  <c r="HT7" i="4"/>
  <c r="T300" i="1"/>
  <c r="JE21" i="4"/>
  <c r="BY126" i="1" s="1"/>
  <c r="BY138" i="1" s="1"/>
  <c r="IT15" i="4"/>
  <c r="II15" i="4"/>
  <c r="BX242" i="1"/>
  <c r="BX301" i="1"/>
  <c r="IP15" i="4"/>
  <c r="IL21" i="4"/>
  <c r="BF126" i="1" s="1"/>
  <c r="JF21" i="4"/>
  <c r="BZ126" i="1" s="1"/>
  <c r="HQ14" i="4"/>
  <c r="IM8" i="4"/>
  <c r="BX204" i="1"/>
  <c r="BX233" i="1" s="1"/>
  <c r="BX227" i="1"/>
  <c r="BY227" i="1" s="1"/>
  <c r="L301" i="1"/>
  <c r="L242" i="1"/>
  <c r="HX8" i="4"/>
  <c r="IS21" i="4"/>
  <c r="BM126" i="1" s="1"/>
  <c r="IK21" i="4"/>
  <c r="BE126" i="1" s="1"/>
  <c r="HP15" i="4"/>
  <c r="AL300" i="1"/>
  <c r="IV15" i="4"/>
  <c r="HQ15" i="4"/>
  <c r="AL228" i="1"/>
  <c r="AM228" i="1" s="1"/>
  <c r="AL231" i="1"/>
  <c r="AM231" i="1" s="1"/>
  <c r="HP14" i="4"/>
  <c r="IC8" i="4"/>
  <c r="HT14" i="4"/>
  <c r="HT19" i="4" s="1"/>
  <c r="AN127" i="1" s="1"/>
  <c r="AN156" i="1" s="1"/>
  <c r="IP14" i="4"/>
  <c r="IP19" i="4" s="1"/>
  <c r="BJ127" i="1" s="1"/>
  <c r="BJ156" i="1" s="1"/>
  <c r="AK279" i="1"/>
  <c r="AK59" i="1"/>
  <c r="B59" i="1"/>
  <c r="B65" i="1" s="1"/>
  <c r="JH21" i="4"/>
  <c r="CB126" i="1" s="1"/>
  <c r="AL204" i="1"/>
  <c r="AL233" i="1" s="1"/>
  <c r="T59" i="1"/>
  <c r="T21" i="1" s="1"/>
  <c r="T25" i="1" s="1"/>
  <c r="HX19" i="4"/>
  <c r="AR127" i="1" s="1"/>
  <c r="AR156" i="1" s="1"/>
  <c r="U301" i="1"/>
  <c r="BY173" i="1"/>
  <c r="BY177" i="1" s="1"/>
  <c r="BX177" i="1"/>
  <c r="JD21" i="4"/>
  <c r="BX126" i="1" s="1"/>
  <c r="BX138" i="1" s="1"/>
  <c r="IL7" i="4"/>
  <c r="JD15" i="4"/>
  <c r="IT21" i="4"/>
  <c r="BN126" i="1" s="1"/>
  <c r="BX300" i="1"/>
  <c r="HY15" i="4"/>
  <c r="IK15" i="4"/>
  <c r="IU8" i="4"/>
  <c r="HW7" i="4"/>
  <c r="BX75" i="1"/>
  <c r="HY21" i="4"/>
  <c r="AS126" i="1" s="1"/>
  <c r="IN7" i="4"/>
  <c r="HZ21" i="4"/>
  <c r="AT126" i="1" s="1"/>
  <c r="JH8" i="4"/>
  <c r="II14" i="4"/>
  <c r="HR14" i="4"/>
  <c r="HR19" i="4" s="1"/>
  <c r="AL127" i="1" s="1"/>
  <c r="AL156" i="1" s="1"/>
  <c r="HQ21" i="4"/>
  <c r="AK126" i="1" s="1"/>
  <c r="IR14" i="4"/>
  <c r="IJ7" i="4"/>
  <c r="IA14" i="4"/>
  <c r="BX196" i="1"/>
  <c r="BX230" i="1" s="1"/>
  <c r="I301" i="1"/>
  <c r="IF15" i="4"/>
  <c r="IM14" i="4"/>
  <c r="IM19" i="4" s="1"/>
  <c r="BG127" i="1" s="1"/>
  <c r="BG156" i="1" s="1"/>
  <c r="IY8" i="4"/>
  <c r="IY20" i="4" s="1"/>
  <c r="BS128" i="1" s="1"/>
  <c r="BS157" i="1" s="1"/>
  <c r="JI8" i="4"/>
  <c r="IQ15" i="4"/>
  <c r="IJ14" i="4"/>
  <c r="IJ19" i="4" s="1"/>
  <c r="BD127" i="1" s="1"/>
  <c r="BD156" i="1" s="1"/>
  <c r="IY14" i="4"/>
  <c r="HT15" i="4"/>
  <c r="HT20" i="4" s="1"/>
  <c r="AN128" i="1" s="1"/>
  <c r="AN157" i="1" s="1"/>
  <c r="HU21" i="4"/>
  <c r="AO126" i="1" s="1"/>
  <c r="AL59" i="1"/>
  <c r="AL65" i="1" s="1"/>
  <c r="BJ227" i="1"/>
  <c r="BK227" i="1" s="1"/>
  <c r="BX228" i="1"/>
  <c r="BY228" i="1" s="1"/>
  <c r="AJ204" i="1"/>
  <c r="AJ245" i="1" s="1"/>
  <c r="BJ177" i="1"/>
  <c r="BJ228" i="1"/>
  <c r="BK228" i="1" s="1"/>
  <c r="D242" i="1"/>
  <c r="N301" i="1"/>
  <c r="L300" i="1"/>
  <c r="JB15" i="4"/>
  <c r="R59" i="1"/>
  <c r="IY7" i="4"/>
  <c r="JG8" i="4"/>
  <c r="JF8" i="4"/>
  <c r="JF20" i="4" s="1"/>
  <c r="BZ128" i="1" s="1"/>
  <c r="BZ157" i="1" s="1"/>
  <c r="BZ160" i="1" s="1"/>
  <c r="HZ7" i="4"/>
  <c r="HZ19" i="4" s="1"/>
  <c r="AT127" i="1" s="1"/>
  <c r="AT156" i="1" s="1"/>
  <c r="IT8" i="4"/>
  <c r="JG21" i="4"/>
  <c r="CA126" i="1" s="1"/>
  <c r="HY14" i="4"/>
  <c r="IF14" i="4"/>
  <c r="IB8" i="4"/>
  <c r="IB20" i="4" s="1"/>
  <c r="AV128" i="1" s="1"/>
  <c r="AV157" i="1" s="1"/>
  <c r="IK14" i="4"/>
  <c r="IK19" i="4" s="1"/>
  <c r="BE127" i="1" s="1"/>
  <c r="BE156" i="1" s="1"/>
  <c r="JA15" i="4"/>
  <c r="JA20" i="4" s="1"/>
  <c r="BU128" i="1" s="1"/>
  <c r="BU157" i="1" s="1"/>
  <c r="IE14" i="4"/>
  <c r="JD14" i="4"/>
  <c r="JD19" i="4" s="1"/>
  <c r="BX127" i="1" s="1"/>
  <c r="BX156" i="1" s="1"/>
  <c r="JD8" i="4"/>
  <c r="IO8" i="4"/>
  <c r="IR7" i="4"/>
  <c r="HW15" i="4"/>
  <c r="IH14" i="4"/>
  <c r="AJ75" i="1"/>
  <c r="JG14" i="4"/>
  <c r="IA21" i="4"/>
  <c r="AU126" i="1" s="1"/>
  <c r="JB7" i="4"/>
  <c r="HS8" i="4"/>
  <c r="IH21" i="4"/>
  <c r="BB126" i="1" s="1"/>
  <c r="IU14" i="4"/>
  <c r="JC15" i="4"/>
  <c r="IL14" i="4"/>
  <c r="JE7" i="4"/>
  <c r="BJ231" i="1"/>
  <c r="BK231" i="1" s="1"/>
  <c r="IO15" i="4"/>
  <c r="H242" i="1"/>
  <c r="H301" i="1"/>
  <c r="HV14" i="4"/>
  <c r="HV19" i="4" s="1"/>
  <c r="AP127" i="1" s="1"/>
  <c r="AP156" i="1" s="1"/>
  <c r="HS7" i="4"/>
  <c r="IY21" i="4"/>
  <c r="BS126" i="1" s="1"/>
  <c r="IB14" i="4"/>
  <c r="IC15" i="4"/>
  <c r="JI7" i="4"/>
  <c r="IA8" i="4"/>
  <c r="IA20" i="4" s="1"/>
  <c r="AU128" i="1" s="1"/>
  <c r="AU157" i="1" s="1"/>
  <c r="IR15" i="4"/>
  <c r="IS8" i="4"/>
  <c r="IS20" i="4" s="1"/>
  <c r="BM128" i="1" s="1"/>
  <c r="BM157" i="1" s="1"/>
  <c r="AL301" i="1"/>
  <c r="M301" i="1"/>
  <c r="Q301" i="1"/>
  <c r="S301" i="1"/>
  <c r="AM147" i="1"/>
  <c r="AM148" i="1" s="1"/>
  <c r="JI19" i="4"/>
  <c r="CC127" i="1" s="1"/>
  <c r="CC135" i="1" s="1"/>
  <c r="CF139" i="1" s="1"/>
  <c r="IR21" i="4"/>
  <c r="BL126" i="1" s="1"/>
  <c r="BL143" i="1" s="1"/>
  <c r="IV14" i="4"/>
  <c r="IB7" i="4"/>
  <c r="JH7" i="4"/>
  <c r="IC7" i="4"/>
  <c r="HX15" i="4"/>
  <c r="U21" i="1"/>
  <c r="U25" i="1" s="1"/>
  <c r="U147" i="1"/>
  <c r="HU15" i="4"/>
  <c r="HU20" i="4" s="1"/>
  <c r="AO128" i="1" s="1"/>
  <c r="AO157" i="1" s="1"/>
  <c r="IF8" i="4"/>
  <c r="HP7" i="4"/>
  <c r="IC14" i="4"/>
  <c r="IU15" i="4"/>
  <c r="HQ7" i="4"/>
  <c r="IM15" i="4"/>
  <c r="IE8" i="4"/>
  <c r="CM242" i="1"/>
  <c r="CM181" i="1"/>
  <c r="CM183" i="1" s="1"/>
  <c r="CM187" i="1" s="1"/>
  <c r="CM251" i="1" s="1"/>
  <c r="CM249" i="1" s="1"/>
  <c r="CR126" i="1"/>
  <c r="AC250" i="1"/>
  <c r="AB197" i="1"/>
  <c r="AB166" i="1"/>
  <c r="CO114" i="1"/>
  <c r="CP112" i="1"/>
  <c r="AK61" i="1" l="1"/>
  <c r="IG19" i="4"/>
  <c r="BA127" i="1" s="1"/>
  <c r="BA156" i="1" s="1"/>
  <c r="J65" i="1"/>
  <c r="IN19" i="4"/>
  <c r="BH127" i="1" s="1"/>
  <c r="BH156" i="1" s="1"/>
  <c r="AJ65" i="1"/>
  <c r="IX20" i="4"/>
  <c r="BR128" i="1" s="1"/>
  <c r="BR157" i="1" s="1"/>
  <c r="IJ20" i="4"/>
  <c r="BD128" i="1" s="1"/>
  <c r="BD157" i="1" s="1"/>
  <c r="JE20" i="4"/>
  <c r="BY128" i="1" s="1"/>
  <c r="AJ76" i="1"/>
  <c r="IZ21" i="4"/>
  <c r="BT126" i="1" s="1"/>
  <c r="JC20" i="4"/>
  <c r="BW128" i="1" s="1"/>
  <c r="BW157" i="1" s="1"/>
  <c r="HP20" i="4"/>
  <c r="AJ128" i="1" s="1"/>
  <c r="IC20" i="4"/>
  <c r="AW128" i="1" s="1"/>
  <c r="AW157" i="1" s="1"/>
  <c r="IR20" i="4"/>
  <c r="BL128" i="1" s="1"/>
  <c r="BL145" i="1" s="1"/>
  <c r="IM20" i="4"/>
  <c r="BG128" i="1" s="1"/>
  <c r="BG157" i="1" s="1"/>
  <c r="JB20" i="4"/>
  <c r="BV128" i="1" s="1"/>
  <c r="BV157" i="1" s="1"/>
  <c r="K60" i="1"/>
  <c r="V27" i="1"/>
  <c r="V26" i="1" s="1"/>
  <c r="V40" i="1"/>
  <c r="W27" i="1"/>
  <c r="W26" i="1" s="1"/>
  <c r="W40" i="1"/>
  <c r="U27" i="1"/>
  <c r="U26" i="1" s="1"/>
  <c r="U40" i="1"/>
  <c r="U46" i="1" s="1"/>
  <c r="BX232" i="1"/>
  <c r="AK183" i="1"/>
  <c r="AK187" i="1" s="1"/>
  <c r="J147" i="1"/>
  <c r="K147" i="1"/>
  <c r="F147" i="1"/>
  <c r="CC152" i="1"/>
  <c r="G236" i="1"/>
  <c r="G65" i="1"/>
  <c r="G66" i="1" s="1"/>
  <c r="P65" i="1"/>
  <c r="P66" i="1" s="1"/>
  <c r="G60" i="1"/>
  <c r="K236" i="1"/>
  <c r="L60" i="1"/>
  <c r="AK82" i="1"/>
  <c r="AJ244" i="1"/>
  <c r="AJ246" i="1" s="1"/>
  <c r="G147" i="1"/>
  <c r="BK250" i="1"/>
  <c r="CC156" i="1"/>
  <c r="CC144" i="1"/>
  <c r="E76" i="1"/>
  <c r="AL187" i="1"/>
  <c r="AL294" i="1" s="1"/>
  <c r="AM82" i="1"/>
  <c r="BY143" i="1"/>
  <c r="C76" i="1"/>
  <c r="JH19" i="4"/>
  <c r="CB127" i="1" s="1"/>
  <c r="IE20" i="4"/>
  <c r="AY128" i="1" s="1"/>
  <c r="AY157" i="1" s="1"/>
  <c r="T65" i="1"/>
  <c r="U60" i="1"/>
  <c r="T147" i="1"/>
  <c r="B76" i="1"/>
  <c r="D76" i="1"/>
  <c r="BK183" i="1"/>
  <c r="BJ187" i="1"/>
  <c r="BJ294" i="1" s="1"/>
  <c r="V22" i="1"/>
  <c r="BY183" i="1"/>
  <c r="BX187" i="1"/>
  <c r="BX294" i="1" s="1"/>
  <c r="BY82" i="1"/>
  <c r="AL296" i="1"/>
  <c r="AL141" i="1"/>
  <c r="AL145" i="1" s="1"/>
  <c r="AL216" i="1"/>
  <c r="AL178" i="1"/>
  <c r="X22" i="1"/>
  <c r="W22" i="1"/>
  <c r="BL297" i="1"/>
  <c r="BL254" i="1"/>
  <c r="AJ216" i="1"/>
  <c r="AK86" i="1" s="1"/>
  <c r="AJ254" i="1"/>
  <c r="AJ178" i="1"/>
  <c r="JC19" i="4"/>
  <c r="BW127" i="1" s="1"/>
  <c r="BW156" i="1" s="1"/>
  <c r="IN20" i="4"/>
  <c r="BH128" i="1" s="1"/>
  <c r="BH157" i="1" s="1"/>
  <c r="IS19" i="4"/>
  <c r="BM127" i="1" s="1"/>
  <c r="BM156" i="1" s="1"/>
  <c r="IW20" i="4"/>
  <c r="BQ128" i="1" s="1"/>
  <c r="BQ157" i="1" s="1"/>
  <c r="II20" i="4"/>
  <c r="BC128" i="1" s="1"/>
  <c r="BC157" i="1" s="1"/>
  <c r="IP20" i="4"/>
  <c r="BJ128" i="1" s="1"/>
  <c r="IV20" i="4"/>
  <c r="BP128" i="1" s="1"/>
  <c r="BP157" i="1" s="1"/>
  <c r="HQ20" i="4"/>
  <c r="AK128" i="1" s="1"/>
  <c r="HP19" i="4"/>
  <c r="AJ127" i="1" s="1"/>
  <c r="HY20" i="4"/>
  <c r="AS128" i="1" s="1"/>
  <c r="AS157" i="1" s="1"/>
  <c r="IK20" i="4"/>
  <c r="BE128" i="1" s="1"/>
  <c r="BE157" i="1" s="1"/>
  <c r="HW19" i="4"/>
  <c r="AQ127" i="1" s="1"/>
  <c r="AQ156" i="1" s="1"/>
  <c r="BX76" i="1"/>
  <c r="JH20" i="4"/>
  <c r="CB128" i="1" s="1"/>
  <c r="II19" i="4"/>
  <c r="BC127" i="1" s="1"/>
  <c r="BC156" i="1" s="1"/>
  <c r="IA19" i="4"/>
  <c r="AU127" i="1" s="1"/>
  <c r="AU156" i="1" s="1"/>
  <c r="BX234" i="1"/>
  <c r="CB237" i="1" s="1"/>
  <c r="IF20" i="4"/>
  <c r="AZ128" i="1" s="1"/>
  <c r="AZ157" i="1" s="1"/>
  <c r="JI20" i="4"/>
  <c r="CC128" i="1" s="1"/>
  <c r="IQ20" i="4"/>
  <c r="BK128" i="1" s="1"/>
  <c r="BK157" i="1" s="1"/>
  <c r="AL77" i="1"/>
  <c r="S236" i="1"/>
  <c r="JG20" i="4"/>
  <c r="CA128" i="1" s="1"/>
  <c r="HY19" i="4"/>
  <c r="AS127" i="1" s="1"/>
  <c r="AS156" i="1" s="1"/>
  <c r="IF19" i="4"/>
  <c r="AZ127" i="1" s="1"/>
  <c r="AZ156" i="1" s="1"/>
  <c r="IE19" i="4"/>
  <c r="AY127" i="1" s="1"/>
  <c r="AY156" i="1" s="1"/>
  <c r="HW20" i="4"/>
  <c r="AQ128" i="1" s="1"/>
  <c r="AQ157" i="1" s="1"/>
  <c r="IH19" i="4"/>
  <c r="BB127" i="1" s="1"/>
  <c r="BB156" i="1" s="1"/>
  <c r="IB19" i="4"/>
  <c r="AV127" i="1" s="1"/>
  <c r="AV156" i="1" s="1"/>
  <c r="JG19" i="4"/>
  <c r="CA127" i="1" s="1"/>
  <c r="JB19" i="4"/>
  <c r="BV127" i="1" s="1"/>
  <c r="BV156" i="1" s="1"/>
  <c r="HS20" i="4"/>
  <c r="AM128" i="1" s="1"/>
  <c r="IU19" i="4"/>
  <c r="BO127" i="1" s="1"/>
  <c r="BO156" i="1" s="1"/>
  <c r="IL19" i="4"/>
  <c r="BF127" i="1" s="1"/>
  <c r="BF156" i="1" s="1"/>
  <c r="HS19" i="4"/>
  <c r="AM127" i="1" s="1"/>
  <c r="AM151" i="1"/>
  <c r="IV19" i="4"/>
  <c r="BP127" i="1" s="1"/>
  <c r="BP156" i="1" s="1"/>
  <c r="HU19" i="4"/>
  <c r="AO127" i="1" s="1"/>
  <c r="AO156" i="1" s="1"/>
  <c r="AL205" i="1"/>
  <c r="AL230" i="1"/>
  <c r="BK257" i="1"/>
  <c r="BJ296" i="1"/>
  <c r="AL297" i="1"/>
  <c r="AK254" i="1"/>
  <c r="AL254" i="1"/>
  <c r="AM254" i="1"/>
  <c r="AM297" i="1"/>
  <c r="BZ144" i="1"/>
  <c r="BZ156" i="1"/>
  <c r="BZ159" i="1" s="1"/>
  <c r="BX21" i="1"/>
  <c r="CA273" i="1"/>
  <c r="BX65" i="1"/>
  <c r="BX27" i="1" s="1"/>
  <c r="CC236" i="1"/>
  <c r="CB60" i="1"/>
  <c r="BY61" i="1"/>
  <c r="BY257" i="1"/>
  <c r="BX296" i="1"/>
  <c r="U66" i="1"/>
  <c r="V67" i="1"/>
  <c r="W66" i="1"/>
  <c r="W77" i="1"/>
  <c r="X67" i="1"/>
  <c r="E147" i="1"/>
  <c r="E65" i="1"/>
  <c r="E236" i="1"/>
  <c r="F60" i="1"/>
  <c r="F236" i="1"/>
  <c r="E60" i="1"/>
  <c r="H236" i="1"/>
  <c r="H60" i="1"/>
  <c r="H147" i="1"/>
  <c r="H65" i="1"/>
  <c r="C60" i="1"/>
  <c r="C236" i="1"/>
  <c r="C65" i="1"/>
  <c r="V66" i="1"/>
  <c r="W67" i="1"/>
  <c r="V77" i="1"/>
  <c r="BJ205" i="1"/>
  <c r="BJ230" i="1"/>
  <c r="AM77" i="1"/>
  <c r="AM76" i="1"/>
  <c r="I65" i="1"/>
  <c r="I66" i="1" s="1"/>
  <c r="I236" i="1"/>
  <c r="I60" i="1"/>
  <c r="J236" i="1"/>
  <c r="I147" i="1"/>
  <c r="J60" i="1"/>
  <c r="N236" i="1"/>
  <c r="N65" i="1"/>
  <c r="N66" i="1" s="1"/>
  <c r="N147" i="1"/>
  <c r="S147" i="1"/>
  <c r="T60" i="1"/>
  <c r="S65" i="1"/>
  <c r="S66" i="1" s="1"/>
  <c r="O60" i="1"/>
  <c r="O147" i="1"/>
  <c r="O65" i="1"/>
  <c r="O66" i="1" s="1"/>
  <c r="O236" i="1"/>
  <c r="P60" i="1"/>
  <c r="P236" i="1"/>
  <c r="Q65" i="1"/>
  <c r="Q66" i="1" s="1"/>
  <c r="Q236" i="1"/>
  <c r="Q60" i="1"/>
  <c r="Q147" i="1"/>
  <c r="D65" i="1"/>
  <c r="D66" i="1" s="1"/>
  <c r="D60" i="1"/>
  <c r="D236" i="1"/>
  <c r="B66" i="1"/>
  <c r="B77" i="1"/>
  <c r="B78" i="1" s="1"/>
  <c r="U236" i="1"/>
  <c r="T236" i="1"/>
  <c r="BY255" i="1"/>
  <c r="BZ255" i="1"/>
  <c r="BJ232" i="1"/>
  <c r="BX178" i="1"/>
  <c r="AM68" i="1"/>
  <c r="S60" i="1"/>
  <c r="AL76" i="1"/>
  <c r="CA151" i="1"/>
  <c r="JE19" i="4"/>
  <c r="BY127" i="1" s="1"/>
  <c r="BY144" i="1" s="1"/>
  <c r="BK254" i="1"/>
  <c r="M147" i="1"/>
  <c r="M65" i="1"/>
  <c r="M66" i="1" s="1"/>
  <c r="AL66" i="1"/>
  <c r="AJ230" i="1"/>
  <c r="AM273" i="1"/>
  <c r="AL232" i="1"/>
  <c r="N60" i="1"/>
  <c r="BX205" i="1"/>
  <c r="BX229" i="1"/>
  <c r="AM61" i="1"/>
  <c r="BX216" i="1"/>
  <c r="BX158" i="1" s="1"/>
  <c r="HX20" i="4"/>
  <c r="AR128" i="1" s="1"/>
  <c r="AR157" i="1" s="1"/>
  <c r="IR19" i="4"/>
  <c r="BL127" i="1" s="1"/>
  <c r="BJ216" i="1"/>
  <c r="BJ158" i="1" s="1"/>
  <c r="BJ159" i="1" s="1"/>
  <c r="BJ178" i="1"/>
  <c r="R147" i="1"/>
  <c r="R65" i="1"/>
  <c r="R60" i="1"/>
  <c r="R236" i="1"/>
  <c r="AJ205" i="1"/>
  <c r="AJ213" i="1" s="1"/>
  <c r="JD20" i="4"/>
  <c r="BX128" i="1" s="1"/>
  <c r="BX157" i="1" s="1"/>
  <c r="L236" i="1"/>
  <c r="BK297" i="1"/>
  <c r="IO20" i="4"/>
  <c r="BI128" i="1" s="1"/>
  <c r="BI157" i="1" s="1"/>
  <c r="CB138" i="1"/>
  <c r="CB143" i="1"/>
  <c r="CB151" i="1"/>
  <c r="CB134" i="1"/>
  <c r="HQ19" i="4"/>
  <c r="AK127" i="1" s="1"/>
  <c r="IU20" i="4"/>
  <c r="BO128" i="1" s="1"/>
  <c r="BO157" i="1" s="1"/>
  <c r="BZ143" i="1"/>
  <c r="BZ138" i="1"/>
  <c r="IH20" i="4"/>
  <c r="BB128" i="1" s="1"/>
  <c r="BB157" i="1" s="1"/>
  <c r="IT20" i="4"/>
  <c r="BN128" i="1" s="1"/>
  <c r="BN157" i="1" s="1"/>
  <c r="IC19" i="4"/>
  <c r="AW127" i="1" s="1"/>
  <c r="AW156" i="1" s="1"/>
  <c r="CC151" i="1"/>
  <c r="CC143" i="1"/>
  <c r="CC134" i="1"/>
  <c r="CC138" i="1"/>
  <c r="BZ145" i="1"/>
  <c r="AJ233" i="1"/>
  <c r="BZ297" i="1"/>
  <c r="BZ299" i="1" s="1"/>
  <c r="BZ254" i="1"/>
  <c r="BY254" i="1"/>
  <c r="BY253" i="1" s="1"/>
  <c r="BY297" i="1"/>
  <c r="AL61" i="1"/>
  <c r="AK65" i="1"/>
  <c r="IL20" i="4"/>
  <c r="BF128" i="1" s="1"/>
  <c r="BF157" i="1" s="1"/>
  <c r="BY178" i="1"/>
  <c r="AK76" i="1"/>
  <c r="L65" i="1"/>
  <c r="L67" i="1" s="1"/>
  <c r="L147" i="1"/>
  <c r="M60" i="1"/>
  <c r="M236" i="1"/>
  <c r="CA138" i="1"/>
  <c r="CA143" i="1"/>
  <c r="IY19" i="4"/>
  <c r="BS127" i="1" s="1"/>
  <c r="BS156" i="1" s="1"/>
  <c r="F66" i="1"/>
  <c r="BX144" i="1"/>
  <c r="BX143" i="1"/>
  <c r="K66" i="1"/>
  <c r="BJ143" i="1"/>
  <c r="BJ144" i="1"/>
  <c r="AJ251" i="1"/>
  <c r="AJ249" i="1" s="1"/>
  <c r="CN81" i="1"/>
  <c r="CS126" i="1"/>
  <c r="AB211" i="1"/>
  <c r="CP114" i="1"/>
  <c r="CQ112" i="1"/>
  <c r="AC166" i="1"/>
  <c r="AC197" i="1"/>
  <c r="CB273" i="1"/>
  <c r="BQ1" i="1"/>
  <c r="BR1" i="1" s="1"/>
  <c r="BS1" i="1" s="1"/>
  <c r="BT1" i="1" s="1"/>
  <c r="S67" i="1" l="1"/>
  <c r="K67" i="1"/>
  <c r="J66" i="1"/>
  <c r="AK68" i="1"/>
  <c r="AJ77" i="1"/>
  <c r="AJ66" i="1"/>
  <c r="BY157" i="1"/>
  <c r="BY145" i="1"/>
  <c r="BL157" i="1"/>
  <c r="BL160" i="1" s="1"/>
  <c r="W46" i="1"/>
  <c r="W50" i="1"/>
  <c r="V46" i="1"/>
  <c r="V50" i="1"/>
  <c r="AL82" i="1"/>
  <c r="V29" i="1"/>
  <c r="V28" i="1" s="1"/>
  <c r="V41" i="1"/>
  <c r="W29" i="1"/>
  <c r="W28" i="1" s="1"/>
  <c r="W41" i="1"/>
  <c r="T27" i="1"/>
  <c r="T26" i="1" s="1"/>
  <c r="T40" i="1"/>
  <c r="T46" i="1" s="1"/>
  <c r="G67" i="1"/>
  <c r="D77" i="1"/>
  <c r="D83" i="1" s="1"/>
  <c r="D87" i="1" s="1"/>
  <c r="D90" i="1" s="1"/>
  <c r="P67" i="1"/>
  <c r="O67" i="1"/>
  <c r="AM251" i="1"/>
  <c r="AM249" i="1" s="1"/>
  <c r="Q67" i="1"/>
  <c r="AL213" i="1"/>
  <c r="AL214" i="1" s="1"/>
  <c r="T67" i="1"/>
  <c r="T66" i="1"/>
  <c r="CB22" i="1"/>
  <c r="BX25" i="1"/>
  <c r="BX26" i="1" s="1"/>
  <c r="BZ253" i="1"/>
  <c r="U67" i="1"/>
  <c r="J67" i="1"/>
  <c r="N67" i="1"/>
  <c r="B161" i="1"/>
  <c r="CB156" i="1"/>
  <c r="CB159" i="1" s="1"/>
  <c r="CB162" i="1" s="1"/>
  <c r="CB135" i="1"/>
  <c r="CE139" i="1" s="1"/>
  <c r="CB144" i="1"/>
  <c r="CB152" i="1"/>
  <c r="BJ157" i="1"/>
  <c r="BJ160" i="1" s="1"/>
  <c r="BJ145" i="1"/>
  <c r="BL82" i="1"/>
  <c r="BK187" i="1"/>
  <c r="BL251" i="1" s="1"/>
  <c r="BL249" i="1" s="1"/>
  <c r="BX213" i="1"/>
  <c r="BX214" i="1" s="1"/>
  <c r="AJ214" i="1"/>
  <c r="BY187" i="1"/>
  <c r="BZ82" i="1"/>
  <c r="AL143" i="1"/>
  <c r="AL144" i="1"/>
  <c r="AL158" i="1"/>
  <c r="AM86" i="1"/>
  <c r="CA157" i="1"/>
  <c r="CA145" i="1"/>
  <c r="CA153" i="1"/>
  <c r="BY68" i="1"/>
  <c r="CB67" i="1"/>
  <c r="BX77" i="1"/>
  <c r="BX29" i="1" s="1"/>
  <c r="BX28" i="1" s="1"/>
  <c r="BX66" i="1"/>
  <c r="CB145" i="1"/>
  <c r="CB157" i="1"/>
  <c r="CB160" i="1" s="1"/>
  <c r="CB163" i="1" s="1"/>
  <c r="CB153" i="1"/>
  <c r="CB136" i="1"/>
  <c r="CC153" i="1"/>
  <c r="CC145" i="1"/>
  <c r="CC136" i="1"/>
  <c r="CC157" i="1"/>
  <c r="AL280" i="1"/>
  <c r="AL281" i="1" s="1"/>
  <c r="AL83" i="1"/>
  <c r="AL87" i="1" s="1"/>
  <c r="AM80" i="1"/>
  <c r="AL78" i="1"/>
  <c r="CA144" i="1"/>
  <c r="CA152" i="1"/>
  <c r="CA156" i="1"/>
  <c r="AM157" i="1"/>
  <c r="AM153" i="1"/>
  <c r="AM152" i="1"/>
  <c r="AM156" i="1"/>
  <c r="AL234" i="1"/>
  <c r="AL229" i="1"/>
  <c r="W78" i="1"/>
  <c r="W83" i="1"/>
  <c r="W87" i="1" s="1"/>
  <c r="W280" i="1"/>
  <c r="W281" i="1" s="1"/>
  <c r="W298" i="1"/>
  <c r="X79" i="1"/>
  <c r="X298" i="1"/>
  <c r="W161" i="1"/>
  <c r="E77" i="1"/>
  <c r="E66" i="1"/>
  <c r="F67" i="1"/>
  <c r="E67" i="1"/>
  <c r="H66" i="1"/>
  <c r="I67" i="1"/>
  <c r="H67" i="1"/>
  <c r="C67" i="1"/>
  <c r="C66" i="1"/>
  <c r="D67" i="1"/>
  <c r="C77" i="1"/>
  <c r="V78" i="1"/>
  <c r="V280" i="1"/>
  <c r="V281" i="1" s="1"/>
  <c r="W79" i="1"/>
  <c r="V161" i="1"/>
  <c r="V83" i="1"/>
  <c r="V87" i="1" s="1"/>
  <c r="BJ234" i="1"/>
  <c r="BJ229" i="1"/>
  <c r="AM298" i="1"/>
  <c r="AM299" i="1" s="1"/>
  <c r="AM83" i="1"/>
  <c r="AM87" i="1" s="1"/>
  <c r="AM78" i="1"/>
  <c r="AM280" i="1"/>
  <c r="AM281" i="1" s="1"/>
  <c r="BX145" i="1"/>
  <c r="BY86" i="1"/>
  <c r="BY156" i="1"/>
  <c r="L66" i="1"/>
  <c r="M67" i="1"/>
  <c r="R67" i="1"/>
  <c r="R66" i="1"/>
  <c r="AL68" i="1"/>
  <c r="AK77" i="1"/>
  <c r="AK66" i="1"/>
  <c r="BL144" i="1"/>
  <c r="BL156" i="1"/>
  <c r="BL159" i="1" s="1"/>
  <c r="BX159" i="1"/>
  <c r="BX160" i="1"/>
  <c r="AK251" i="1"/>
  <c r="AK249" i="1" s="1"/>
  <c r="AL251" i="1"/>
  <c r="AL249" i="1" s="1"/>
  <c r="CN181" i="1"/>
  <c r="CN183" i="1" s="1"/>
  <c r="CO81" i="1" s="1"/>
  <c r="CT126" i="1"/>
  <c r="AB186" i="1"/>
  <c r="AD197" i="1"/>
  <c r="AE197" i="1"/>
  <c r="AD166" i="1"/>
  <c r="AE166" i="1"/>
  <c r="CQ114" i="1"/>
  <c r="CR112" i="1"/>
  <c r="AC211" i="1"/>
  <c r="BU1" i="1"/>
  <c r="Q76" i="1"/>
  <c r="P76" i="1"/>
  <c r="O76" i="1"/>
  <c r="I76" i="1"/>
  <c r="H76" i="1"/>
  <c r="G76" i="1"/>
  <c r="U76" i="1"/>
  <c r="T76" i="1"/>
  <c r="S76" i="1"/>
  <c r="R76" i="1"/>
  <c r="N76" i="1"/>
  <c r="M76" i="1"/>
  <c r="L76" i="1"/>
  <c r="K76" i="1"/>
  <c r="J76" i="1"/>
  <c r="F76" i="1"/>
  <c r="AJ280" i="1" l="1"/>
  <c r="AJ281" i="1" s="1"/>
  <c r="AJ83" i="1"/>
  <c r="AJ87" i="1" s="1"/>
  <c r="AJ78" i="1"/>
  <c r="V47" i="1"/>
  <c r="V51" i="1"/>
  <c r="W47" i="1"/>
  <c r="W51" i="1"/>
  <c r="D280" i="1"/>
  <c r="D281" i="1" s="1"/>
  <c r="D78" i="1"/>
  <c r="D161" i="1"/>
  <c r="D89" i="1"/>
  <c r="BZ251" i="1"/>
  <c r="BZ249" i="1" s="1"/>
  <c r="BY251" i="1"/>
  <c r="BY249" i="1" s="1"/>
  <c r="AL160" i="1"/>
  <c r="AL159" i="1"/>
  <c r="BY80" i="1"/>
  <c r="BX280" i="1"/>
  <c r="BX281" i="1" s="1"/>
  <c r="BY298" i="1"/>
  <c r="BY299" i="1" s="1"/>
  <c r="CA161" i="1"/>
  <c r="CB79" i="1"/>
  <c r="BX83" i="1"/>
  <c r="BX78" i="1"/>
  <c r="V89" i="1"/>
  <c r="V90" i="1"/>
  <c r="V43" i="1" s="1"/>
  <c r="V45" i="1" s="1"/>
  <c r="AM89" i="1"/>
  <c r="AM90" i="1"/>
  <c r="AL90" i="1"/>
  <c r="AL89" i="1"/>
  <c r="W89" i="1"/>
  <c r="W90" i="1"/>
  <c r="E78" i="1"/>
  <c r="E79" i="1"/>
  <c r="C78" i="1"/>
  <c r="D298" i="1"/>
  <c r="C298" i="1"/>
  <c r="D79" i="1"/>
  <c r="C79" i="1"/>
  <c r="AM161" i="1"/>
  <c r="AK80" i="1"/>
  <c r="AL80" i="1"/>
  <c r="AL298" i="1"/>
  <c r="AL299" i="1" s="1"/>
  <c r="AM274" i="1"/>
  <c r="AK280" i="1"/>
  <c r="AK281" i="1" s="1"/>
  <c r="AK83" i="1"/>
  <c r="AK87" i="1" s="1"/>
  <c r="AK78" i="1"/>
  <c r="D282" i="1"/>
  <c r="D91" i="1"/>
  <c r="D97" i="1"/>
  <c r="CO242" i="1"/>
  <c r="CO181" i="1"/>
  <c r="CN187" i="1"/>
  <c r="CN242" i="1"/>
  <c r="AC126" i="1"/>
  <c r="CU126" i="1"/>
  <c r="AD211" i="1"/>
  <c r="AE211" i="1"/>
  <c r="AD189" i="1"/>
  <c r="CR114" i="1"/>
  <c r="CS112" i="1"/>
  <c r="AC186" i="1"/>
  <c r="BV1" i="1"/>
  <c r="BW1" i="1" s="1"/>
  <c r="BX1" i="1" s="1"/>
  <c r="B280" i="1"/>
  <c r="B281" i="1" s="1"/>
  <c r="BL280" i="1"/>
  <c r="BL281" i="1" s="1"/>
  <c r="G77" i="1"/>
  <c r="O77" i="1"/>
  <c r="H77" i="1"/>
  <c r="P77" i="1"/>
  <c r="I77" i="1"/>
  <c r="Q77" i="1"/>
  <c r="J77" i="1"/>
  <c r="R77" i="1"/>
  <c r="K77" i="1"/>
  <c r="S77" i="1"/>
  <c r="L77" i="1"/>
  <c r="T77" i="1"/>
  <c r="M77" i="1"/>
  <c r="U77" i="1"/>
  <c r="F77" i="1"/>
  <c r="F298" i="1" s="1"/>
  <c r="N77" i="1"/>
  <c r="AJ89" i="1" l="1"/>
  <c r="AJ90" i="1"/>
  <c r="X92" i="1"/>
  <c r="W43" i="1"/>
  <c r="W45" i="1" s="1"/>
  <c r="T29" i="1"/>
  <c r="T28" i="1" s="1"/>
  <c r="T41" i="1"/>
  <c r="T47" i="1" s="1"/>
  <c r="U29" i="1"/>
  <c r="U28" i="1" s="1"/>
  <c r="U41" i="1"/>
  <c r="U47" i="1" s="1"/>
  <c r="CA104" i="1"/>
  <c r="BX87" i="1"/>
  <c r="V97" i="1"/>
  <c r="V91" i="1"/>
  <c r="V293" i="1" s="1"/>
  <c r="AL91" i="1"/>
  <c r="AL293" i="1" s="1"/>
  <c r="AL97" i="1"/>
  <c r="AM93" i="1"/>
  <c r="AL282" i="1"/>
  <c r="W91" i="1"/>
  <c r="W293" i="1" s="1"/>
  <c r="W282" i="1"/>
  <c r="W97" i="1"/>
  <c r="W101" i="1" s="1"/>
  <c r="W92" i="1"/>
  <c r="AM91" i="1"/>
  <c r="AM293" i="1" s="1"/>
  <c r="AM282" i="1"/>
  <c r="AK90" i="1"/>
  <c r="AK89" i="1"/>
  <c r="T298" i="1"/>
  <c r="P298" i="1"/>
  <c r="D241" i="1"/>
  <c r="D243" i="1" s="1"/>
  <c r="D101" i="1"/>
  <c r="M298" i="1"/>
  <c r="R298" i="1"/>
  <c r="I298" i="1"/>
  <c r="K298" i="1"/>
  <c r="G298" i="1"/>
  <c r="H298" i="1"/>
  <c r="L298" i="1"/>
  <c r="S298" i="1"/>
  <c r="O298" i="1"/>
  <c r="J298" i="1"/>
  <c r="N298" i="1"/>
  <c r="U298" i="1"/>
  <c r="V298" i="1"/>
  <c r="Q298" i="1"/>
  <c r="R161" i="1"/>
  <c r="S79" i="1"/>
  <c r="T161" i="1"/>
  <c r="U79" i="1"/>
  <c r="U161" i="1"/>
  <c r="V79" i="1"/>
  <c r="P161" i="1"/>
  <c r="Q79" i="1"/>
  <c r="Q161" i="1"/>
  <c r="R79" i="1"/>
  <c r="I161" i="1"/>
  <c r="J79" i="1"/>
  <c r="S161" i="1"/>
  <c r="T79" i="1"/>
  <c r="H161" i="1"/>
  <c r="I79" i="1"/>
  <c r="E161" i="1"/>
  <c r="F79" i="1"/>
  <c r="L161" i="1"/>
  <c r="M79" i="1"/>
  <c r="O161" i="1"/>
  <c r="P79" i="1"/>
  <c r="N161" i="1"/>
  <c r="O79" i="1"/>
  <c r="K161" i="1"/>
  <c r="L79" i="1"/>
  <c r="F161" i="1"/>
  <c r="G79" i="1"/>
  <c r="G161" i="1"/>
  <c r="H79" i="1"/>
  <c r="M161" i="1"/>
  <c r="N79" i="1"/>
  <c r="J161" i="1"/>
  <c r="K79" i="1"/>
  <c r="CN251" i="1"/>
  <c r="CN249" i="1" s="1"/>
  <c r="CO183" i="1"/>
  <c r="CV126" i="1"/>
  <c r="AD250" i="1"/>
  <c r="AB190" i="1"/>
  <c r="AE186" i="1"/>
  <c r="AD186" i="1"/>
  <c r="CT112" i="1"/>
  <c r="CS114" i="1"/>
  <c r="C161" i="1"/>
  <c r="BY1" i="1"/>
  <c r="L78" i="1"/>
  <c r="N78" i="1"/>
  <c r="F78" i="1"/>
  <c r="O78" i="1"/>
  <c r="U83" i="1"/>
  <c r="U87" i="1" s="1"/>
  <c r="U78" i="1"/>
  <c r="G78" i="1"/>
  <c r="S78" i="1"/>
  <c r="M78" i="1"/>
  <c r="R78" i="1"/>
  <c r="J78" i="1"/>
  <c r="I78" i="1"/>
  <c r="P78" i="1"/>
  <c r="H78" i="1"/>
  <c r="K78" i="1"/>
  <c r="T78" i="1"/>
  <c r="Q78" i="1"/>
  <c r="T280" i="1"/>
  <c r="T281" i="1" s="1"/>
  <c r="Q280" i="1"/>
  <c r="Q281" i="1" s="1"/>
  <c r="K280" i="1"/>
  <c r="K281" i="1" s="1"/>
  <c r="O280" i="1"/>
  <c r="O281" i="1" s="1"/>
  <c r="U280" i="1"/>
  <c r="U281" i="1" s="1"/>
  <c r="L280" i="1"/>
  <c r="L281" i="1" s="1"/>
  <c r="C280" i="1"/>
  <c r="C281" i="1" s="1"/>
  <c r="I280" i="1"/>
  <c r="I281" i="1" s="1"/>
  <c r="G280" i="1"/>
  <c r="G281" i="1" s="1"/>
  <c r="R280" i="1"/>
  <c r="R281" i="1" s="1"/>
  <c r="P280" i="1"/>
  <c r="P281" i="1" s="1"/>
  <c r="F280" i="1"/>
  <c r="F281" i="1" s="1"/>
  <c r="M280" i="1"/>
  <c r="M281" i="1" s="1"/>
  <c r="N280" i="1"/>
  <c r="N281" i="1" s="1"/>
  <c r="E280" i="1"/>
  <c r="E281" i="1" s="1"/>
  <c r="S280" i="1"/>
  <c r="S281" i="1" s="1"/>
  <c r="J280" i="1"/>
  <c r="J281" i="1" s="1"/>
  <c r="H280" i="1"/>
  <c r="H281" i="1" s="1"/>
  <c r="B83" i="1"/>
  <c r="L83" i="1"/>
  <c r="Q83" i="1"/>
  <c r="T83" i="1"/>
  <c r="N83" i="1"/>
  <c r="S83" i="1"/>
  <c r="F83" i="1"/>
  <c r="K83" i="1"/>
  <c r="H83" i="1"/>
  <c r="I83" i="1"/>
  <c r="P83" i="1"/>
  <c r="C83" i="1"/>
  <c r="O83" i="1"/>
  <c r="R83" i="1"/>
  <c r="M83" i="1"/>
  <c r="G83" i="1"/>
  <c r="E83" i="1"/>
  <c r="J83" i="1"/>
  <c r="AM275" i="1" l="1"/>
  <c r="AJ282" i="1"/>
  <c r="AJ97" i="1"/>
  <c r="AJ91" i="1"/>
  <c r="AK93" i="1"/>
  <c r="BX90" i="1"/>
  <c r="BX89" i="1"/>
  <c r="AL101" i="1"/>
  <c r="AL115" i="1"/>
  <c r="AL241" i="1"/>
  <c r="AL243" i="1" s="1"/>
  <c r="AK91" i="1"/>
  <c r="AL93" i="1"/>
  <c r="AK282" i="1"/>
  <c r="AK97" i="1"/>
  <c r="AJ101" i="1"/>
  <c r="AJ255" i="1"/>
  <c r="AJ253" i="1" s="1"/>
  <c r="AJ115" i="1"/>
  <c r="AJ241" i="1"/>
  <c r="AJ243" i="1" s="1"/>
  <c r="AJ247" i="1" s="1"/>
  <c r="AJ261" i="1" s="1"/>
  <c r="BK212" i="1"/>
  <c r="BM212" i="1"/>
  <c r="CO187" i="1"/>
  <c r="CP81" i="1"/>
  <c r="CW126" i="1"/>
  <c r="AE189" i="1"/>
  <c r="AE250" i="1" s="1"/>
  <c r="CT114" i="1"/>
  <c r="CU112" i="1"/>
  <c r="BZ1" i="1"/>
  <c r="U90" i="1"/>
  <c r="U89" i="1"/>
  <c r="P87" i="1"/>
  <c r="P90" i="1" s="1"/>
  <c r="R87" i="1"/>
  <c r="R90" i="1" s="1"/>
  <c r="E87" i="1"/>
  <c r="S87" i="1"/>
  <c r="S89" i="1" s="1"/>
  <c r="G87" i="1"/>
  <c r="G90" i="1" s="1"/>
  <c r="K87" i="1"/>
  <c r="K90" i="1" s="1"/>
  <c r="B87" i="1"/>
  <c r="O87" i="1"/>
  <c r="O90" i="1" s="1"/>
  <c r="H87" i="1"/>
  <c r="H90" i="1" s="1"/>
  <c r="N87" i="1"/>
  <c r="N90" i="1" s="1"/>
  <c r="L87" i="1"/>
  <c r="L89" i="1" s="1"/>
  <c r="C87" i="1"/>
  <c r="M87" i="1"/>
  <c r="M89" i="1" s="1"/>
  <c r="T87" i="1"/>
  <c r="T90" i="1" s="1"/>
  <c r="T43" i="1" s="1"/>
  <c r="T45" i="1" s="1"/>
  <c r="F87" i="1"/>
  <c r="F89" i="1" s="1"/>
  <c r="J87" i="1"/>
  <c r="J89" i="1" s="1"/>
  <c r="I87" i="1"/>
  <c r="I89" i="1" s="1"/>
  <c r="Q87" i="1"/>
  <c r="Q90" i="1" s="1"/>
  <c r="V282" i="1"/>
  <c r="V92" i="1" l="1"/>
  <c r="U43" i="1"/>
  <c r="U45" i="1" s="1"/>
  <c r="BY93" i="1"/>
  <c r="BX97" i="1"/>
  <c r="BX91" i="1"/>
  <c r="BX293" i="1" s="1"/>
  <c r="BX282" i="1"/>
  <c r="CB92" i="1"/>
  <c r="AK168" i="1"/>
  <c r="AK169" i="1" s="1"/>
  <c r="AK241" i="1"/>
  <c r="AK243" i="1" s="1"/>
  <c r="AK115" i="1"/>
  <c r="AK101" i="1"/>
  <c r="AJ258" i="1"/>
  <c r="AJ259" i="1" s="1"/>
  <c r="R92" i="1"/>
  <c r="U92" i="1"/>
  <c r="O92" i="1"/>
  <c r="AB81" i="1"/>
  <c r="B90" i="1"/>
  <c r="B89" i="1"/>
  <c r="C90" i="1"/>
  <c r="C89" i="1"/>
  <c r="E90" i="1"/>
  <c r="E97" i="1" s="1"/>
  <c r="E89" i="1"/>
  <c r="P92" i="1"/>
  <c r="H92" i="1"/>
  <c r="Q92" i="1"/>
  <c r="BJ213" i="1"/>
  <c r="BJ214" i="1" s="1"/>
  <c r="BL213" i="1"/>
  <c r="BL214" i="1" s="1"/>
  <c r="CP242" i="1"/>
  <c r="CP181" i="1"/>
  <c r="CO251" i="1"/>
  <c r="CO249" i="1" s="1"/>
  <c r="CX126" i="1"/>
  <c r="CV112" i="1"/>
  <c r="CU114" i="1"/>
  <c r="CA1" i="1"/>
  <c r="CB1" i="1" s="1"/>
  <c r="O89" i="1"/>
  <c r="BL282" i="1"/>
  <c r="S90" i="1"/>
  <c r="U91" i="1"/>
  <c r="U293" i="1" s="1"/>
  <c r="P91" i="1"/>
  <c r="P293" i="1" s="1"/>
  <c r="Q97" i="1"/>
  <c r="Q91" i="1"/>
  <c r="Q293" i="1" s="1"/>
  <c r="L90" i="1"/>
  <c r="P89" i="1"/>
  <c r="H91" i="1"/>
  <c r="H293" i="1" s="1"/>
  <c r="G91" i="1"/>
  <c r="G293" i="1" s="1"/>
  <c r="U97" i="1"/>
  <c r="N91" i="1"/>
  <c r="N293" i="1" s="1"/>
  <c r="R91" i="1"/>
  <c r="R293" i="1" s="1"/>
  <c r="K91" i="1"/>
  <c r="K293" i="1" s="1"/>
  <c r="O97" i="1"/>
  <c r="O91" i="1"/>
  <c r="O293" i="1" s="1"/>
  <c r="T97" i="1"/>
  <c r="T91" i="1"/>
  <c r="T293" i="1" s="1"/>
  <c r="R89" i="1"/>
  <c r="K89" i="1"/>
  <c r="N89" i="1"/>
  <c r="G89" i="1"/>
  <c r="H89" i="1"/>
  <c r="J90" i="1"/>
  <c r="K92" i="1" s="1"/>
  <c r="M90" i="1"/>
  <c r="N92" i="1" s="1"/>
  <c r="T89" i="1"/>
  <c r="F90" i="1"/>
  <c r="G92" i="1" s="1"/>
  <c r="I90" i="1"/>
  <c r="I92" i="1" s="1"/>
  <c r="O282" i="1"/>
  <c r="Q89" i="1"/>
  <c r="P282" i="1"/>
  <c r="P97" i="1"/>
  <c r="K282" i="1"/>
  <c r="K97" i="1"/>
  <c r="H282" i="1"/>
  <c r="H97" i="1"/>
  <c r="R97" i="1"/>
  <c r="N97" i="1"/>
  <c r="G97" i="1"/>
  <c r="G282" i="1"/>
  <c r="R282" i="1"/>
  <c r="N282" i="1"/>
  <c r="Q282" i="1"/>
  <c r="U282" i="1"/>
  <c r="T282" i="1"/>
  <c r="V101" i="1"/>
  <c r="V241" i="1"/>
  <c r="V243" i="1" s="1"/>
  <c r="CA103" i="1" l="1"/>
  <c r="BX101" i="1"/>
  <c r="BX241" i="1"/>
  <c r="BX243" i="1" s="1"/>
  <c r="BX115" i="1"/>
  <c r="CA118" i="1" s="1"/>
  <c r="AK178" i="1"/>
  <c r="AK255" i="1"/>
  <c r="AK253" i="1" s="1"/>
  <c r="AL255" i="1"/>
  <c r="AL253" i="1" s="1"/>
  <c r="E282" i="1"/>
  <c r="AB242" i="1"/>
  <c r="E91" i="1"/>
  <c r="E293" i="1" s="1"/>
  <c r="E92" i="1"/>
  <c r="D92" i="1"/>
  <c r="C91" i="1"/>
  <c r="B91" i="1"/>
  <c r="C92" i="1"/>
  <c r="F92" i="1"/>
  <c r="M92" i="1"/>
  <c r="S91" i="1"/>
  <c r="S293" i="1" s="1"/>
  <c r="T92" i="1"/>
  <c r="L92" i="1"/>
  <c r="J92" i="1"/>
  <c r="S92" i="1"/>
  <c r="AB181" i="1"/>
  <c r="AB183" i="1" s="1"/>
  <c r="AB82" i="1" s="1"/>
  <c r="CP183" i="1"/>
  <c r="AD126" i="1"/>
  <c r="CY126" i="1"/>
  <c r="CV114" i="1"/>
  <c r="CW112" i="1"/>
  <c r="CC1" i="1"/>
  <c r="K101" i="1"/>
  <c r="G101" i="1"/>
  <c r="E101" i="1"/>
  <c r="S97" i="1"/>
  <c r="S282" i="1"/>
  <c r="L282" i="1"/>
  <c r="L97" i="1"/>
  <c r="O241" i="1"/>
  <c r="O243" i="1" s="1"/>
  <c r="O101" i="1"/>
  <c r="B282" i="1"/>
  <c r="B97" i="1"/>
  <c r="M97" i="1"/>
  <c r="M91" i="1"/>
  <c r="M293" i="1" s="1"/>
  <c r="C282" i="1"/>
  <c r="I97" i="1"/>
  <c r="I91" i="1"/>
  <c r="I293" i="1" s="1"/>
  <c r="J97" i="1"/>
  <c r="J91" i="1"/>
  <c r="J293" i="1" s="1"/>
  <c r="F97" i="1"/>
  <c r="F91" i="1"/>
  <c r="F293" i="1" s="1"/>
  <c r="L91" i="1"/>
  <c r="L293" i="1" s="1"/>
  <c r="J282" i="1"/>
  <c r="E241" i="1"/>
  <c r="E243" i="1" s="1"/>
  <c r="R241" i="1"/>
  <c r="R243" i="1" s="1"/>
  <c r="M282" i="1"/>
  <c r="R101" i="1"/>
  <c r="I282" i="1"/>
  <c r="H101" i="1"/>
  <c r="H241" i="1"/>
  <c r="H243" i="1" s="1"/>
  <c r="F282" i="1"/>
  <c r="C97" i="1"/>
  <c r="N241" i="1"/>
  <c r="N243" i="1" s="1"/>
  <c r="N101" i="1"/>
  <c r="G241" i="1"/>
  <c r="G243" i="1" s="1"/>
  <c r="P101" i="1"/>
  <c r="K241" i="1"/>
  <c r="K243" i="1" s="1"/>
  <c r="P241" i="1"/>
  <c r="P243" i="1" s="1"/>
  <c r="U101" i="1"/>
  <c r="U241" i="1"/>
  <c r="U243" i="1" s="1"/>
  <c r="Q101" i="1"/>
  <c r="Q241" i="1"/>
  <c r="Q243" i="1" s="1"/>
  <c r="T101" i="1"/>
  <c r="T241" i="1"/>
  <c r="T243" i="1" s="1"/>
  <c r="CE119" i="1" l="1"/>
  <c r="CA136" i="1"/>
  <c r="CA135" i="1"/>
  <c r="CD139" i="1" s="1"/>
  <c r="CA134" i="1"/>
  <c r="BW138" i="1"/>
  <c r="CP187" i="1"/>
  <c r="CP251" i="1" s="1"/>
  <c r="CP249" i="1" s="1"/>
  <c r="CQ81" i="1"/>
  <c r="CZ126" i="1"/>
  <c r="AC190" i="1"/>
  <c r="CX112" i="1"/>
  <c r="CW114" i="1"/>
  <c r="CD1" i="1"/>
  <c r="CE1" i="1" s="1"/>
  <c r="CF1" i="1" s="1"/>
  <c r="CG1" i="1" s="1"/>
  <c r="CH1" i="1" s="1"/>
  <c r="CI1" i="1" s="1"/>
  <c r="CJ1" i="1" s="1"/>
  <c r="CK1" i="1" s="1"/>
  <c r="L241" i="1"/>
  <c r="L243" i="1" s="1"/>
  <c r="J241" i="1"/>
  <c r="J243" i="1" s="1"/>
  <c r="M241" i="1"/>
  <c r="M243" i="1" s="1"/>
  <c r="B101" i="1"/>
  <c r="F101" i="1"/>
  <c r="I101" i="1"/>
  <c r="C101" i="1"/>
  <c r="L101" i="1"/>
  <c r="S101" i="1"/>
  <c r="J101" i="1"/>
  <c r="S241" i="1"/>
  <c r="S243" i="1" s="1"/>
  <c r="M101" i="1"/>
  <c r="I241" i="1"/>
  <c r="I243" i="1" s="1"/>
  <c r="F241" i="1"/>
  <c r="F243" i="1" s="1"/>
  <c r="C241" i="1"/>
  <c r="C243" i="1" s="1"/>
  <c r="CQ242" i="1" l="1"/>
  <c r="CQ181" i="1"/>
  <c r="DA126" i="1"/>
  <c r="CX114" i="1"/>
  <c r="CY112" i="1"/>
  <c r="AB17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83" i="1" l="1"/>
  <c r="DB126" i="1"/>
  <c r="CY114" i="1"/>
  <c r="CZ112" i="1"/>
  <c r="I89" i="2"/>
  <c r="U79" i="2"/>
  <c r="D111" i="2"/>
  <c r="X49" i="2"/>
  <c r="P67" i="2"/>
  <c r="K80" i="2"/>
  <c r="X46" i="2"/>
  <c r="N76" i="2"/>
  <c r="K109" i="2"/>
  <c r="V76" i="2"/>
  <c r="C82" i="2"/>
  <c r="M83" i="2"/>
  <c r="D59" i="2"/>
  <c r="T112" i="2"/>
  <c r="U70" i="2"/>
  <c r="D107" i="2"/>
  <c r="AP65" i="3"/>
  <c r="AK5" i="3"/>
  <c r="AH13" i="3"/>
  <c r="AI30" i="3"/>
  <c r="AP40" i="3"/>
  <c r="Y38" i="3"/>
  <c r="L86" i="2"/>
  <c r="I78" i="2"/>
  <c r="I106" i="2"/>
  <c r="G99" i="2"/>
  <c r="P107" i="2"/>
  <c r="L50" i="2"/>
  <c r="K88" i="2"/>
  <c r="R51" i="2"/>
  <c r="U87" i="2"/>
  <c r="W106" i="2"/>
  <c r="E107" i="2"/>
  <c r="K89" i="2"/>
  <c r="T96" i="2"/>
  <c r="J90" i="2"/>
  <c r="S54" i="2"/>
  <c r="AP75" i="3"/>
  <c r="K13" i="3"/>
  <c r="Q62" i="2"/>
  <c r="O95" i="2"/>
  <c r="L81" i="2"/>
  <c r="D85" i="2"/>
  <c r="M82" i="2"/>
  <c r="W60" i="2"/>
  <c r="D72" i="2"/>
  <c r="S92" i="2"/>
  <c r="T48" i="2"/>
  <c r="R89" i="2"/>
  <c r="L56" i="2"/>
  <c r="V47" i="2"/>
  <c r="M109" i="2"/>
  <c r="T86" i="2"/>
  <c r="T62" i="2"/>
  <c r="O61" i="2"/>
  <c r="AP78" i="3"/>
  <c r="C23" i="3"/>
  <c r="G41" i="3"/>
  <c r="AJ24" i="3"/>
  <c r="V42" i="2"/>
  <c r="T92" i="2"/>
  <c r="S57" i="2"/>
  <c r="L88" i="2"/>
  <c r="S60" i="2"/>
  <c r="I92" i="2"/>
  <c r="P72" i="2"/>
  <c r="M44" i="2"/>
  <c r="C43" i="2"/>
  <c r="S48" i="2"/>
  <c r="T47" i="2"/>
  <c r="K68" i="2"/>
  <c r="D58" i="2"/>
  <c r="W86" i="2"/>
  <c r="R59" i="2"/>
  <c r="F82" i="2"/>
  <c r="AP92" i="3"/>
  <c r="AL20" i="3"/>
  <c r="X7" i="3"/>
  <c r="W29" i="3"/>
  <c r="O56" i="2"/>
  <c r="G40" i="2"/>
  <c r="S40" i="2"/>
  <c r="G58" i="2"/>
  <c r="E61" i="2"/>
  <c r="E70" i="2"/>
  <c r="G61" i="2"/>
  <c r="D52" i="2"/>
  <c r="V111" i="2"/>
  <c r="D74" i="2"/>
  <c r="N53" i="2"/>
  <c r="M58" i="2"/>
  <c r="P86" i="2"/>
  <c r="J96" i="2"/>
  <c r="Q44" i="2"/>
  <c r="L105" i="2"/>
  <c r="AP81" i="3"/>
  <c r="AM32" i="3"/>
  <c r="C38" i="3"/>
  <c r="AQ8" i="3"/>
  <c r="AK27" i="3"/>
  <c r="G111" i="2"/>
  <c r="R41" i="2"/>
  <c r="V64" i="2"/>
  <c r="O94" i="2"/>
  <c r="R92" i="2"/>
  <c r="M61" i="2"/>
  <c r="P75" i="2"/>
  <c r="N89" i="2"/>
  <c r="I50" i="2"/>
  <c r="S50" i="2"/>
  <c r="X58" i="2"/>
  <c r="E44" i="2"/>
  <c r="O97" i="2"/>
  <c r="D106" i="2"/>
  <c r="C79" i="2"/>
  <c r="E42" i="2"/>
  <c r="AB76" i="3"/>
  <c r="AG42" i="3"/>
  <c r="AA12" i="3"/>
  <c r="Y39" i="3"/>
  <c r="AN27" i="3"/>
  <c r="H43" i="2"/>
  <c r="T73" i="2"/>
  <c r="I68" i="2"/>
  <c r="U97" i="2"/>
  <c r="C73" i="2"/>
  <c r="E47" i="2"/>
  <c r="V58" i="2"/>
  <c r="D49" i="2"/>
  <c r="M49" i="2"/>
  <c r="E57" i="2"/>
  <c r="Q112" i="2"/>
  <c r="D64" i="2"/>
  <c r="K55" i="2"/>
  <c r="V91" i="2"/>
  <c r="N44" i="2"/>
  <c r="L109" i="2"/>
  <c r="AP74" i="3"/>
  <c r="W26" i="3"/>
  <c r="E47" i="3"/>
  <c r="G41" i="2"/>
  <c r="T98" i="2"/>
  <c r="N96" i="2"/>
  <c r="C48" i="2"/>
  <c r="X64" i="2"/>
  <c r="H105" i="2"/>
  <c r="O42" i="2"/>
  <c r="V86" i="2"/>
  <c r="N80" i="2"/>
  <c r="K66" i="2"/>
  <c r="C86" i="2"/>
  <c r="E72" i="2"/>
  <c r="U93" i="2"/>
  <c r="F85" i="2"/>
  <c r="H45" i="2"/>
  <c r="O62" i="2"/>
  <c r="AB75" i="3"/>
  <c r="O23" i="3"/>
  <c r="AA34" i="3"/>
  <c r="AP37" i="3"/>
  <c r="C12" i="3"/>
  <c r="I15" i="3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AP86" i="3"/>
  <c r="AL33" i="3"/>
  <c r="E109" i="2"/>
  <c r="L85" i="2"/>
  <c r="H64" i="2"/>
  <c r="S77" i="2"/>
  <c r="V40" i="2"/>
  <c r="R110" i="2"/>
  <c r="G84" i="2"/>
  <c r="W95" i="2"/>
  <c r="V105" i="2"/>
  <c r="O96" i="2"/>
  <c r="C106" i="2"/>
  <c r="J44" i="2"/>
  <c r="R71" i="2"/>
  <c r="V77" i="2"/>
  <c r="T105" i="2"/>
  <c r="I73" i="2"/>
  <c r="AP79" i="3"/>
  <c r="AM16" i="3"/>
  <c r="AE9" i="3"/>
  <c r="AH42" i="3"/>
  <c r="T45" i="2"/>
  <c r="R109" i="2"/>
  <c r="V107" i="2"/>
  <c r="R95" i="2"/>
  <c r="W73" i="2"/>
  <c r="K82" i="2"/>
  <c r="M99" i="2"/>
  <c r="U78" i="2"/>
  <c r="E89" i="2"/>
  <c r="Q94" i="2"/>
  <c r="T41" i="2"/>
  <c r="X56" i="2"/>
  <c r="N79" i="2"/>
  <c r="R107" i="2"/>
  <c r="G70" i="2"/>
  <c r="U40" i="2"/>
  <c r="AB54" i="3"/>
  <c r="M10" i="3"/>
  <c r="AA9" i="3"/>
  <c r="AI15" i="3"/>
  <c r="J62" i="2"/>
  <c r="L63" i="2"/>
  <c r="L87" i="2"/>
  <c r="N93" i="2"/>
  <c r="I52" i="2"/>
  <c r="O71" i="2"/>
  <c r="C76" i="2"/>
  <c r="I84" i="2"/>
  <c r="O72" i="2"/>
  <c r="E111" i="2"/>
  <c r="U95" i="2"/>
  <c r="O93" i="2"/>
  <c r="E40" i="2"/>
  <c r="U86" i="2"/>
  <c r="G79" i="2"/>
  <c r="F67" i="2"/>
  <c r="AB82" i="3"/>
  <c r="W28" i="3"/>
  <c r="J12" i="3"/>
  <c r="W34" i="3"/>
  <c r="P22" i="3"/>
  <c r="U104" i="2"/>
  <c r="N64" i="2"/>
  <c r="P68" i="2"/>
  <c r="N58" i="2"/>
  <c r="K74" i="2"/>
  <c r="X62" i="2"/>
  <c r="C42" i="2"/>
  <c r="W92" i="2"/>
  <c r="V62" i="2"/>
  <c r="H89" i="2"/>
  <c r="O44" i="2"/>
  <c r="Q107" i="2"/>
  <c r="S59" i="2"/>
  <c r="V97" i="2"/>
  <c r="V45" i="2"/>
  <c r="AB61" i="3"/>
  <c r="H20" i="3"/>
  <c r="P34" i="3"/>
  <c r="AM22" i="3"/>
  <c r="W12" i="3"/>
  <c r="AP16" i="3"/>
  <c r="E106" i="2"/>
  <c r="O84" i="2"/>
  <c r="E52" i="2"/>
  <c r="F99" i="2"/>
  <c r="F41" i="2"/>
  <c r="C49" i="2"/>
  <c r="W83" i="2"/>
  <c r="L69" i="2"/>
  <c r="M89" i="2"/>
  <c r="N52" i="2"/>
  <c r="D71" i="2"/>
  <c r="L80" i="2"/>
  <c r="O79" i="2"/>
  <c r="O91" i="2"/>
  <c r="U85" i="2"/>
  <c r="M47" i="2"/>
  <c r="C49" i="3"/>
  <c r="AD50" i="3"/>
  <c r="R35" i="3"/>
  <c r="AC22" i="3"/>
  <c r="AH37" i="3"/>
  <c r="T76" i="2"/>
  <c r="N97" i="2"/>
  <c r="J71" i="2"/>
  <c r="G92" i="2"/>
  <c r="Q91" i="2"/>
  <c r="F42" i="2"/>
  <c r="P41" i="2"/>
  <c r="L94" i="2"/>
  <c r="W111" i="2"/>
  <c r="J68" i="2"/>
  <c r="V56" i="2"/>
  <c r="I87" i="2"/>
  <c r="V46" i="2"/>
  <c r="G94" i="2"/>
  <c r="L67" i="2"/>
  <c r="AB73" i="3"/>
  <c r="P32" i="3"/>
  <c r="I28" i="3"/>
  <c r="AL30" i="3"/>
  <c r="AC29" i="3"/>
  <c r="H21" i="3"/>
  <c r="AE11" i="3"/>
  <c r="AQ9" i="3"/>
  <c r="AB6" i="3"/>
  <c r="AC14" i="3"/>
  <c r="Q28" i="3"/>
  <c r="U35" i="3"/>
  <c r="U29" i="3"/>
  <c r="T39" i="3"/>
  <c r="U42" i="3"/>
  <c r="AM42" i="3"/>
  <c r="L31" i="3"/>
  <c r="AE18" i="3"/>
  <c r="AG6" i="3"/>
  <c r="S41" i="3"/>
  <c r="AN5" i="3"/>
  <c r="Z13" i="3"/>
  <c r="AD27" i="3"/>
  <c r="M71" i="2"/>
  <c r="K54" i="2"/>
  <c r="E62" i="2"/>
  <c r="W98" i="2"/>
  <c r="N112" i="2"/>
  <c r="C53" i="2"/>
  <c r="W87" i="2"/>
  <c r="U62" i="2"/>
  <c r="J63" i="2"/>
  <c r="O86" i="2"/>
  <c r="J40" i="2"/>
  <c r="H69" i="2"/>
  <c r="J48" i="2"/>
  <c r="H63" i="2"/>
  <c r="N67" i="2"/>
  <c r="O47" i="2"/>
  <c r="AP87" i="3"/>
  <c r="Q34" i="3"/>
  <c r="U15" i="3"/>
  <c r="AE34" i="3"/>
  <c r="AN37" i="3"/>
  <c r="V57" i="2"/>
  <c r="S87" i="2"/>
  <c r="R52" i="2"/>
  <c r="Q84" i="2"/>
  <c r="Q104" i="2"/>
  <c r="Q71" i="2"/>
  <c r="F74" i="2"/>
  <c r="I90" i="2"/>
  <c r="V48" i="2"/>
  <c r="K110" i="2"/>
  <c r="V84" i="2"/>
  <c r="J64" i="2"/>
  <c r="J86" i="2"/>
  <c r="T61" i="2"/>
  <c r="S42" i="2"/>
  <c r="C95" i="2"/>
  <c r="AP88" i="3"/>
  <c r="Z19" i="3"/>
  <c r="Q113" i="2"/>
  <c r="I64" i="2"/>
  <c r="H75" i="2"/>
  <c r="V88" i="2"/>
  <c r="I60" i="2"/>
  <c r="T72" i="2"/>
  <c r="V51" i="2"/>
  <c r="E94" i="2"/>
  <c r="W85" i="2"/>
  <c r="O45" i="2"/>
  <c r="L73" i="2"/>
  <c r="C68" i="2"/>
  <c r="K65" i="2"/>
  <c r="W64" i="2"/>
  <c r="N46" i="2"/>
  <c r="V83" i="2"/>
  <c r="AP47" i="3"/>
  <c r="AP25" i="3"/>
  <c r="Q27" i="3"/>
  <c r="AH15" i="3"/>
  <c r="V55" i="2"/>
  <c r="G71" i="2"/>
  <c r="F108" i="2"/>
  <c r="J93" i="2"/>
  <c r="O82" i="2"/>
  <c r="I77" i="2"/>
  <c r="F106" i="2"/>
  <c r="R63" i="2"/>
  <c r="Q82" i="2"/>
  <c r="S88" i="2"/>
  <c r="E83" i="2"/>
  <c r="M95" i="2"/>
  <c r="G87" i="2"/>
  <c r="O67" i="2"/>
  <c r="E48" i="2"/>
  <c r="M59" i="2"/>
  <c r="AP76" i="3"/>
  <c r="AL41" i="3"/>
  <c r="I36" i="3"/>
  <c r="AO21" i="3"/>
  <c r="T108" i="2"/>
  <c r="J43" i="2"/>
  <c r="S94" i="2"/>
  <c r="D62" i="2"/>
  <c r="D63" i="2"/>
  <c r="N81" i="2"/>
  <c r="I66" i="2"/>
  <c r="L77" i="2"/>
  <c r="U111" i="2"/>
  <c r="C60" i="2"/>
  <c r="H71" i="2"/>
  <c r="O55" i="2"/>
  <c r="P93" i="2"/>
  <c r="U43" i="2"/>
  <c r="G55" i="2"/>
  <c r="G83" i="2"/>
  <c r="AB49" i="3"/>
  <c r="R25" i="3"/>
  <c r="N19" i="3"/>
  <c r="V41" i="3"/>
  <c r="AD32" i="3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Z30" i="3"/>
  <c r="AO15" i="3"/>
  <c r="W18" i="3"/>
  <c r="AM14" i="3"/>
  <c r="AC13" i="3"/>
  <c r="R67" i="2"/>
  <c r="S44" i="2"/>
  <c r="G107" i="2"/>
  <c r="U82" i="2"/>
  <c r="O81" i="2"/>
  <c r="X90" i="2"/>
  <c r="K75" i="2"/>
  <c r="U42" i="2"/>
  <c r="J112" i="2"/>
  <c r="O49" i="2"/>
  <c r="P71" i="2"/>
  <c r="L72" i="2"/>
  <c r="R58" i="2"/>
  <c r="X82" i="2"/>
  <c r="K70" i="2"/>
  <c r="I99" i="2"/>
  <c r="E68" i="2"/>
  <c r="G63" i="2"/>
  <c r="N49" i="2"/>
  <c r="I105" i="2"/>
  <c r="T70" i="2"/>
  <c r="E96" i="2"/>
  <c r="AP85" i="3"/>
  <c r="J41" i="3"/>
  <c r="AO7" i="3"/>
  <c r="H11" i="3"/>
  <c r="O35" i="3"/>
  <c r="M40" i="2"/>
  <c r="D80" i="2"/>
  <c r="M104" i="2"/>
  <c r="N50" i="2"/>
  <c r="E64" i="2"/>
  <c r="X93" i="2"/>
  <c r="V73" i="2"/>
  <c r="M78" i="2"/>
  <c r="H85" i="2"/>
  <c r="D54" i="2"/>
  <c r="C62" i="2"/>
  <c r="J58" i="2"/>
  <c r="N91" i="2"/>
  <c r="Q60" i="2"/>
  <c r="K83" i="2"/>
  <c r="C56" i="2"/>
  <c r="AP71" i="3"/>
  <c r="Y22" i="3"/>
  <c r="E90" i="2"/>
  <c r="M85" i="2"/>
  <c r="P64" i="2"/>
  <c r="K52" i="2"/>
  <c r="D45" i="2"/>
  <c r="R62" i="2"/>
  <c r="M86" i="2"/>
  <c r="O87" i="2"/>
  <c r="G53" i="2"/>
  <c r="W89" i="2"/>
  <c r="N43" i="2"/>
  <c r="I42" i="2"/>
  <c r="H42" i="2"/>
  <c r="V68" i="2"/>
  <c r="K77" i="2"/>
  <c r="F97" i="2"/>
  <c r="AB87" i="3"/>
  <c r="X30" i="3"/>
  <c r="G42" i="3"/>
  <c r="AG37" i="3"/>
  <c r="L54" i="2"/>
  <c r="V85" i="2"/>
  <c r="R53" i="2"/>
  <c r="N65" i="2"/>
  <c r="G44" i="2"/>
  <c r="E43" i="2"/>
  <c r="S46" i="2"/>
  <c r="U45" i="2"/>
  <c r="T79" i="2"/>
  <c r="L53" i="2"/>
  <c r="C105" i="2"/>
  <c r="P53" i="2"/>
  <c r="G54" i="2"/>
  <c r="D56" i="2"/>
  <c r="Q73" i="2"/>
  <c r="S98" i="2"/>
  <c r="AB70" i="3"/>
  <c r="AE10" i="3"/>
  <c r="AN9" i="3"/>
  <c r="AB38" i="3"/>
  <c r="Q83" i="2"/>
  <c r="J107" i="2"/>
  <c r="P113" i="2"/>
  <c r="C70" i="2"/>
  <c r="E76" i="2"/>
  <c r="M50" i="2"/>
  <c r="S70" i="2"/>
  <c r="E65" i="2"/>
  <c r="R88" i="2"/>
  <c r="C64" i="2"/>
  <c r="J99" i="2"/>
  <c r="I97" i="2"/>
  <c r="P44" i="2"/>
  <c r="O112" i="2"/>
  <c r="S52" i="2"/>
  <c r="L106" i="2"/>
  <c r="U107" i="2"/>
  <c r="H55" i="2"/>
  <c r="AP50" i="3"/>
  <c r="O29" i="3"/>
  <c r="AP19" i="3"/>
  <c r="S42" i="3"/>
  <c r="O42" i="3"/>
  <c r="Q43" i="2"/>
  <c r="N60" i="2"/>
  <c r="X94" i="2"/>
  <c r="F80" i="2"/>
  <c r="L52" i="2"/>
  <c r="Q49" i="2"/>
  <c r="R61" i="2"/>
  <c r="R85" i="2"/>
  <c r="L74" i="2"/>
  <c r="X95" i="2"/>
  <c r="O59" i="2"/>
  <c r="K96" i="2"/>
  <c r="K69" i="2"/>
  <c r="V108" i="2"/>
  <c r="D94" i="2"/>
  <c r="M108" i="2"/>
  <c r="AP57" i="3"/>
  <c r="N26" i="3"/>
  <c r="V106" i="2"/>
  <c r="P91" i="2"/>
  <c r="U105" i="2"/>
  <c r="J78" i="2"/>
  <c r="R106" i="2"/>
  <c r="J55" i="2"/>
  <c r="P111" i="2"/>
  <c r="H46" i="2"/>
  <c r="V89" i="2"/>
  <c r="J76" i="2"/>
  <c r="T82" i="2"/>
  <c r="N106" i="2"/>
  <c r="H67" i="2"/>
  <c r="J51" i="2"/>
  <c r="G76" i="2"/>
  <c r="L40" i="2"/>
  <c r="AB56" i="3"/>
  <c r="AO39" i="3"/>
  <c r="AD28" i="3"/>
  <c r="U24" i="3"/>
  <c r="P88" i="2"/>
  <c r="U74" i="2"/>
  <c r="M110" i="2"/>
  <c r="O54" i="2"/>
  <c r="Q66" i="2"/>
  <c r="J47" i="2"/>
  <c r="I107" i="2"/>
  <c r="D76" i="2"/>
  <c r="W66" i="2"/>
  <c r="J89" i="2"/>
  <c r="J70" i="2"/>
  <c r="J69" i="2"/>
  <c r="X87" i="2"/>
  <c r="X97" i="2"/>
  <c r="N70" i="2"/>
  <c r="N47" i="2"/>
  <c r="AP49" i="3"/>
  <c r="AH21" i="3"/>
  <c r="Y6" i="3"/>
  <c r="W15" i="3"/>
  <c r="P95" i="2"/>
  <c r="I74" i="2"/>
  <c r="Q65" i="2"/>
  <c r="F65" i="2"/>
  <c r="V61" i="2"/>
  <c r="L91" i="2"/>
  <c r="F92" i="2"/>
  <c r="I72" i="2"/>
  <c r="G95" i="2"/>
  <c r="V69" i="2"/>
  <c r="X55" i="2"/>
  <c r="N42" i="2"/>
  <c r="T91" i="2"/>
  <c r="N71" i="2"/>
  <c r="I44" i="2"/>
  <c r="L83" i="2"/>
  <c r="AP64" i="3"/>
  <c r="AL27" i="3"/>
  <c r="Z25" i="3"/>
  <c r="R15" i="3"/>
  <c r="AQ36" i="3"/>
  <c r="Q53" i="2"/>
  <c r="K50" i="2"/>
  <c r="T69" i="2"/>
  <c r="Q89" i="2"/>
  <c r="U68" i="2"/>
  <c r="D110" i="2"/>
  <c r="W44" i="2"/>
  <c r="R105" i="2"/>
  <c r="D91" i="2"/>
  <c r="P82" i="2"/>
  <c r="O53" i="2"/>
  <c r="K71" i="2"/>
  <c r="H106" i="2"/>
  <c r="S111" i="2"/>
  <c r="G60" i="2"/>
  <c r="AP97" i="3"/>
  <c r="N24" i="3"/>
  <c r="AK12" i="3"/>
  <c r="L33" i="3"/>
  <c r="T35" i="3"/>
  <c r="AK30" i="3"/>
  <c r="D109" i="2"/>
  <c r="F70" i="2"/>
  <c r="F113" i="2"/>
  <c r="D108" i="2"/>
  <c r="F95" i="2"/>
  <c r="Q74" i="2"/>
  <c r="W59" i="2"/>
  <c r="D79" i="2"/>
  <c r="X69" i="2"/>
  <c r="U109" i="2"/>
  <c r="F61" i="2"/>
  <c r="W53" i="2"/>
  <c r="G49" i="2"/>
  <c r="D75" i="2"/>
  <c r="W52" i="2"/>
  <c r="AB81" i="3"/>
  <c r="T23" i="3"/>
  <c r="W22" i="3"/>
  <c r="V31" i="3"/>
  <c r="M23" i="3"/>
  <c r="E82" i="2"/>
  <c r="P76" i="2"/>
  <c r="N45" i="2"/>
  <c r="T97" i="2"/>
  <c r="M92" i="2"/>
  <c r="S43" i="2"/>
  <c r="G98" i="2"/>
  <c r="X83" i="2"/>
  <c r="K94" i="2"/>
  <c r="M57" i="2"/>
  <c r="T50" i="2"/>
  <c r="L51" i="2"/>
  <c r="S63" i="2"/>
  <c r="H44" i="2"/>
  <c r="Q88" i="2"/>
  <c r="R111" i="2"/>
  <c r="L98" i="2"/>
  <c r="M72" i="2"/>
  <c r="C104" i="2"/>
  <c r="F77" i="2"/>
  <c r="I40" i="2"/>
  <c r="V79" i="2"/>
  <c r="AP67" i="3"/>
  <c r="Z6" i="3"/>
  <c r="U19" i="3"/>
  <c r="AM21" i="3"/>
  <c r="M13" i="3"/>
  <c r="Q45" i="2"/>
  <c r="I94" i="2"/>
  <c r="N56" i="2"/>
  <c r="I71" i="2"/>
  <c r="W97" i="2"/>
  <c r="U48" i="2"/>
  <c r="P54" i="2"/>
  <c r="L47" i="2"/>
  <c r="J106" i="2"/>
  <c r="I59" i="2"/>
  <c r="M73" i="2"/>
  <c r="M107" i="2"/>
  <c r="Q80" i="2"/>
  <c r="C80" i="2"/>
  <c r="L61" i="2"/>
  <c r="X68" i="2"/>
  <c r="AB63" i="3"/>
  <c r="AO33" i="3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U51" i="2"/>
  <c r="AP72" i="3"/>
  <c r="AQ29" i="3"/>
  <c r="N40" i="3"/>
  <c r="Y34" i="3"/>
  <c r="P83" i="2"/>
  <c r="G109" i="2"/>
  <c r="H110" i="2"/>
  <c r="C67" i="2"/>
  <c r="P42" i="2"/>
  <c r="W88" i="2"/>
  <c r="J94" i="2"/>
  <c r="P62" i="2"/>
  <c r="D86" i="2"/>
  <c r="X42" i="2"/>
  <c r="W41" i="2"/>
  <c r="F79" i="2"/>
  <c r="J77" i="2"/>
  <c r="X104" i="2"/>
  <c r="X112" i="2"/>
  <c r="AB83" i="3"/>
  <c r="AB95" i="3"/>
  <c r="R36" i="3"/>
  <c r="J37" i="3"/>
  <c r="AH24" i="3"/>
  <c r="P55" i="2"/>
  <c r="U91" i="2"/>
  <c r="T78" i="2"/>
  <c r="D53" i="2"/>
  <c r="F46" i="2"/>
  <c r="U96" i="2"/>
  <c r="W68" i="2"/>
  <c r="W105" i="2"/>
  <c r="J79" i="2"/>
  <c r="W80" i="2"/>
  <c r="G88" i="2"/>
  <c r="C52" i="2"/>
  <c r="K112" i="2"/>
  <c r="G67" i="2"/>
  <c r="H97" i="2"/>
  <c r="AP68" i="3"/>
  <c r="AB74" i="3"/>
  <c r="AJ22" i="3"/>
  <c r="AA8" i="3"/>
  <c r="Y11" i="3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AB90" i="3"/>
  <c r="O39" i="3"/>
  <c r="O28" i="3"/>
  <c r="AE14" i="3"/>
  <c r="AC42" i="3"/>
  <c r="N20" i="3"/>
  <c r="O48" i="2"/>
  <c r="P104" i="2"/>
  <c r="L75" i="2"/>
  <c r="I67" i="2"/>
  <c r="G45" i="2"/>
  <c r="W113" i="2"/>
  <c r="L113" i="2"/>
  <c r="N104" i="2"/>
  <c r="Q106" i="2"/>
  <c r="E69" i="2"/>
  <c r="G68" i="2"/>
  <c r="Q75" i="2"/>
  <c r="X52" i="2"/>
  <c r="X91" i="2"/>
  <c r="P52" i="2"/>
  <c r="F62" i="2"/>
  <c r="F88" i="2"/>
  <c r="AP73" i="3"/>
  <c r="AC20" i="3"/>
  <c r="O17" i="3"/>
  <c r="X10" i="3"/>
  <c r="AA40" i="3"/>
  <c r="P90" i="2"/>
  <c r="D78" i="2"/>
  <c r="S74" i="2"/>
  <c r="V75" i="2"/>
  <c r="L112" i="2"/>
  <c r="X98" i="2"/>
  <c r="M45" i="2"/>
  <c r="C74" i="2"/>
  <c r="V71" i="2"/>
  <c r="L108" i="2"/>
  <c r="P43" i="2"/>
  <c r="K40" i="2"/>
  <c r="S113" i="2"/>
  <c r="R45" i="2"/>
  <c r="C51" i="2"/>
  <c r="O108" i="2"/>
  <c r="AP94" i="3"/>
  <c r="AH31" i="3"/>
  <c r="D99" i="2"/>
  <c r="M62" i="2"/>
  <c r="O68" i="2"/>
  <c r="G47" i="2"/>
  <c r="O98" i="2"/>
  <c r="R81" i="2"/>
  <c r="W40" i="2"/>
  <c r="T75" i="2"/>
  <c r="N66" i="2"/>
  <c r="R84" i="2"/>
  <c r="F112" i="2"/>
  <c r="E88" i="2"/>
  <c r="R73" i="2"/>
  <c r="M56" i="2"/>
  <c r="R40" i="2"/>
  <c r="U113" i="2"/>
  <c r="AB66" i="3"/>
  <c r="X31" i="3"/>
  <c r="AH17" i="3"/>
  <c r="AP23" i="3"/>
  <c r="C92" i="2"/>
  <c r="O73" i="2"/>
  <c r="O107" i="2"/>
  <c r="M97" i="2"/>
  <c r="G97" i="2"/>
  <c r="U71" i="2"/>
  <c r="V92" i="2"/>
  <c r="S105" i="2"/>
  <c r="F86" i="2"/>
  <c r="J84" i="2"/>
  <c r="D55" i="2"/>
  <c r="F64" i="2"/>
  <c r="W110" i="2"/>
  <c r="G42" i="2"/>
  <c r="H109" i="2"/>
  <c r="AP70" i="3"/>
  <c r="R29" i="3"/>
  <c r="AH33" i="3"/>
  <c r="AG17" i="3"/>
  <c r="AJ16" i="3"/>
  <c r="P85" i="2"/>
  <c r="D61" i="2"/>
  <c r="P65" i="2"/>
  <c r="L82" i="2"/>
  <c r="S99" i="2"/>
  <c r="S78" i="2"/>
  <c r="O58" i="2"/>
  <c r="L111" i="2"/>
  <c r="F48" i="2"/>
  <c r="N62" i="2"/>
  <c r="O99" i="2"/>
  <c r="U69" i="2"/>
  <c r="P58" i="2"/>
  <c r="N54" i="2"/>
  <c r="H93" i="2"/>
  <c r="AB88" i="3"/>
  <c r="S7" i="3"/>
  <c r="AK37" i="3"/>
  <c r="W21" i="3"/>
  <c r="P13" i="3"/>
  <c r="N87" i="2"/>
  <c r="H66" i="2"/>
  <c r="Q110" i="2"/>
  <c r="U76" i="2"/>
  <c r="J83" i="2"/>
  <c r="R42" i="2"/>
  <c r="S81" i="2"/>
  <c r="F76" i="2"/>
  <c r="Q92" i="2"/>
  <c r="N94" i="2"/>
  <c r="I112" i="2"/>
  <c r="H52" i="2"/>
  <c r="C75" i="2"/>
  <c r="K85" i="2"/>
  <c r="X74" i="2"/>
  <c r="C108" i="2"/>
  <c r="AP61" i="3"/>
  <c r="P39" i="3"/>
  <c r="K38" i="3"/>
  <c r="X28" i="3"/>
  <c r="V9" i="3"/>
  <c r="AO24" i="3"/>
  <c r="O69" i="2"/>
  <c r="N68" i="2"/>
  <c r="W65" i="2"/>
  <c r="G113" i="2"/>
  <c r="F83" i="2"/>
  <c r="L59" i="2"/>
  <c r="R108" i="2"/>
  <c r="L89" i="2"/>
  <c r="U50" i="2"/>
  <c r="R47" i="2"/>
  <c r="O80" i="2"/>
  <c r="V82" i="2"/>
  <c r="D43" i="2"/>
  <c r="I93" i="2"/>
  <c r="I79" i="2"/>
  <c r="AP66" i="3"/>
  <c r="AP12" i="3"/>
  <c r="H5" i="3"/>
  <c r="AE25" i="3"/>
  <c r="AA17" i="3"/>
  <c r="U57" i="2"/>
  <c r="M93" i="2"/>
  <c r="T84" i="2"/>
  <c r="V74" i="2"/>
  <c r="I83" i="2"/>
  <c r="C71" i="2"/>
  <c r="H95" i="2"/>
  <c r="F109" i="2"/>
  <c r="F68" i="2"/>
  <c r="H79" i="2"/>
  <c r="U90" i="2"/>
  <c r="O65" i="2"/>
  <c r="C90" i="2"/>
  <c r="S56" i="2"/>
  <c r="E87" i="2"/>
  <c r="U64" i="2"/>
  <c r="AP58" i="3"/>
  <c r="T17" i="3"/>
  <c r="I37" i="3"/>
  <c r="M15" i="3"/>
  <c r="AN35" i="3"/>
  <c r="S17" i="3"/>
  <c r="AP26" i="3"/>
  <c r="AQ19" i="3"/>
  <c r="AN24" i="3"/>
  <c r="Y36" i="3"/>
  <c r="J20" i="3"/>
  <c r="C20" i="3"/>
  <c r="AQ5" i="3"/>
  <c r="U38" i="3"/>
  <c r="Z17" i="3"/>
  <c r="AE15" i="3"/>
  <c r="AQ32" i="3"/>
  <c r="AP15" i="3"/>
  <c r="AA5" i="3"/>
  <c r="AO38" i="3"/>
  <c r="AM23" i="3"/>
  <c r="J6" i="3"/>
  <c r="AA29" i="3"/>
  <c r="T38" i="3"/>
  <c r="AB16" i="3"/>
  <c r="AB15" i="3"/>
  <c r="AK25" i="3"/>
  <c r="V18" i="3"/>
  <c r="V25" i="3"/>
  <c r="AC9" i="3"/>
  <c r="H7" i="3"/>
  <c r="AA33" i="3"/>
  <c r="AI22" i="3"/>
  <c r="AA20" i="3"/>
  <c r="AN39" i="3"/>
  <c r="X11" i="3"/>
  <c r="AG29" i="3"/>
  <c r="Z33" i="3"/>
  <c r="S32" i="3"/>
  <c r="AG10" i="3"/>
  <c r="O11" i="3"/>
  <c r="AQ41" i="3"/>
  <c r="H10" i="3"/>
  <c r="AH25" i="3"/>
  <c r="Q12" i="3"/>
  <c r="K12" i="3"/>
  <c r="O40" i="3"/>
  <c r="N39" i="3"/>
  <c r="J7" i="3"/>
  <c r="L26" i="3"/>
  <c r="J21" i="3"/>
  <c r="J29" i="3"/>
  <c r="G38" i="3"/>
  <c r="X33" i="3"/>
  <c r="J33" i="3"/>
  <c r="M24" i="3"/>
  <c r="AB31" i="3"/>
  <c r="AK15" i="3"/>
  <c r="T36" i="3"/>
  <c r="AP8" i="3"/>
  <c r="AI34" i="3"/>
  <c r="AC17" i="3"/>
  <c r="I18" i="3"/>
  <c r="AD40" i="3"/>
  <c r="AO12" i="3"/>
  <c r="Z18" i="3"/>
  <c r="Y42" i="3"/>
  <c r="P12" i="3"/>
  <c r="C22" i="3"/>
  <c r="AK9" i="3"/>
  <c r="AK34" i="3"/>
  <c r="Y37" i="3"/>
  <c r="AC31" i="3"/>
  <c r="X40" i="3"/>
  <c r="S29" i="3"/>
  <c r="T29" i="3"/>
  <c r="Q8" i="3"/>
  <c r="X19" i="3"/>
  <c r="S13" i="3"/>
  <c r="AO5" i="3"/>
  <c r="H36" i="3"/>
  <c r="O24" i="3"/>
  <c r="G48" i="3"/>
  <c r="AC5" i="3"/>
  <c r="Z7" i="3"/>
  <c r="L15" i="3"/>
  <c r="AN11" i="3"/>
  <c r="AI40" i="3"/>
  <c r="AJ27" i="3"/>
  <c r="AQ7" i="3"/>
  <c r="AA26" i="3"/>
  <c r="X77" i="2"/>
  <c r="F47" i="2"/>
  <c r="F78" i="2"/>
  <c r="D69" i="2"/>
  <c r="U41" i="2"/>
  <c r="Q52" i="2"/>
  <c r="P78" i="2"/>
  <c r="J108" i="2"/>
  <c r="R82" i="2"/>
  <c r="C107" i="2"/>
  <c r="O92" i="2"/>
  <c r="U46" i="2"/>
  <c r="H108" i="2"/>
  <c r="P110" i="2"/>
  <c r="R97" i="2"/>
  <c r="AB60" i="3"/>
  <c r="H34" i="3"/>
  <c r="AB19" i="3"/>
  <c r="G37" i="3"/>
  <c r="H27" i="3"/>
  <c r="S11" i="3"/>
  <c r="H40" i="2"/>
  <c r="P73" i="2"/>
  <c r="D66" i="2"/>
  <c r="K79" i="2"/>
  <c r="W90" i="2"/>
  <c r="S89" i="2"/>
  <c r="U56" i="2"/>
  <c r="V110" i="2"/>
  <c r="J91" i="2"/>
  <c r="T81" i="2"/>
  <c r="T87" i="2"/>
  <c r="S41" i="2"/>
  <c r="H61" i="2"/>
  <c r="G74" i="2"/>
  <c r="W79" i="2"/>
  <c r="X84" i="2"/>
  <c r="AP80" i="3"/>
  <c r="T25" i="3"/>
  <c r="H104" i="2"/>
  <c r="E110" i="2"/>
  <c r="J56" i="2"/>
  <c r="W57" i="2"/>
  <c r="Q87" i="2"/>
  <c r="J75" i="2"/>
  <c r="X79" i="2"/>
  <c r="X72" i="2"/>
  <c r="C55" i="2"/>
  <c r="P108" i="2"/>
  <c r="J105" i="2"/>
  <c r="M79" i="2"/>
  <c r="H68" i="2"/>
  <c r="S90" i="2"/>
  <c r="G62" i="2"/>
  <c r="AB65" i="3"/>
  <c r="AB84" i="3"/>
  <c r="V8" i="3"/>
  <c r="K29" i="3"/>
  <c r="AL31" i="3"/>
  <c r="I108" i="2"/>
  <c r="T88" i="2"/>
  <c r="O41" i="2"/>
  <c r="H112" i="2"/>
  <c r="J80" i="2"/>
  <c r="P87" i="2"/>
  <c r="H41" i="2"/>
  <c r="E99" i="2"/>
  <c r="M94" i="2"/>
  <c r="Q79" i="2"/>
  <c r="I43" i="2"/>
  <c r="Q61" i="2"/>
  <c r="X53" i="2"/>
  <c r="I75" i="2"/>
  <c r="P92" i="2"/>
  <c r="AB59" i="3"/>
  <c r="AG39" i="3"/>
  <c r="AE31" i="3"/>
  <c r="X34" i="3"/>
  <c r="Z35" i="3"/>
  <c r="D51" i="2"/>
  <c r="F53" i="2"/>
  <c r="J72" i="2"/>
  <c r="H78" i="2"/>
  <c r="J104" i="2"/>
  <c r="V52" i="2"/>
  <c r="H81" i="2"/>
  <c r="U88" i="2"/>
  <c r="R49" i="2"/>
  <c r="X67" i="2"/>
  <c r="V41" i="2"/>
  <c r="M70" i="2"/>
  <c r="F98" i="2"/>
  <c r="O70" i="2"/>
  <c r="H76" i="2"/>
  <c r="AP93" i="3"/>
  <c r="AN8" i="3"/>
  <c r="AC39" i="3"/>
  <c r="T33" i="3"/>
  <c r="Y25" i="3"/>
  <c r="G65" i="2"/>
  <c r="X59" i="2"/>
  <c r="R86" i="2"/>
  <c r="L65" i="2"/>
  <c r="K90" i="2"/>
  <c r="R56" i="2"/>
  <c r="V80" i="2"/>
  <c r="I61" i="2"/>
  <c r="L45" i="2"/>
  <c r="E51" i="2"/>
  <c r="E54" i="2"/>
  <c r="H62" i="2"/>
  <c r="I55" i="2"/>
  <c r="D40" i="2"/>
  <c r="C66" i="2"/>
  <c r="N92" i="2"/>
  <c r="AB71" i="3"/>
  <c r="AK31" i="3"/>
  <c r="Z15" i="3"/>
  <c r="V12" i="3"/>
  <c r="AH14" i="3"/>
  <c r="W24" i="3"/>
  <c r="G66" i="2"/>
  <c r="F40" i="2"/>
  <c r="K49" i="2"/>
  <c r="V65" i="2"/>
  <c r="H84" i="2"/>
  <c r="E104" i="2"/>
  <c r="K95" i="2"/>
  <c r="I56" i="2"/>
  <c r="G110" i="2"/>
  <c r="R80" i="2"/>
  <c r="M81" i="2"/>
  <c r="V81" i="2"/>
  <c r="Q72" i="2"/>
  <c r="I88" i="2"/>
  <c r="Q47" i="2"/>
  <c r="AB72" i="3"/>
  <c r="M35" i="3"/>
  <c r="AI24" i="3"/>
  <c r="Y13" i="3"/>
  <c r="AJ30" i="3"/>
  <c r="U66" i="2"/>
  <c r="U80" i="2"/>
  <c r="D90" i="2"/>
  <c r="Q63" i="2"/>
  <c r="M46" i="2"/>
  <c r="U92" i="2"/>
  <c r="O106" i="2"/>
  <c r="C47" i="2"/>
  <c r="R98" i="2"/>
  <c r="D96" i="2"/>
  <c r="K48" i="2"/>
  <c r="X105" i="2"/>
  <c r="O104" i="2"/>
  <c r="I110" i="2"/>
  <c r="G64" i="2"/>
  <c r="K111" i="2"/>
  <c r="AP82" i="3"/>
  <c r="AP10" i="3"/>
  <c r="K40" i="3"/>
  <c r="I26" i="3"/>
  <c r="AM26" i="3"/>
  <c r="P10" i="3"/>
  <c r="AB21" i="3"/>
  <c r="AJ5" i="3"/>
  <c r="AQ33" i="3"/>
  <c r="M5" i="3"/>
  <c r="AN40" i="3"/>
  <c r="U27" i="3"/>
  <c r="AK32" i="3"/>
  <c r="AE16" i="3"/>
  <c r="X18" i="3"/>
  <c r="AD37" i="3"/>
  <c r="AG26" i="3"/>
  <c r="T16" i="3"/>
  <c r="AH29" i="3"/>
  <c r="M38" i="3"/>
  <c r="AP39" i="3"/>
  <c r="T7" i="3"/>
  <c r="O14" i="3"/>
  <c r="M19" i="3"/>
  <c r="U8" i="3"/>
  <c r="U16" i="3"/>
  <c r="K22" i="3"/>
  <c r="AI10" i="3"/>
  <c r="C15" i="3"/>
  <c r="C40" i="3"/>
  <c r="AK20" i="3"/>
  <c r="AA11" i="3"/>
  <c r="AL25" i="3"/>
  <c r="Z42" i="3"/>
  <c r="Q20" i="3"/>
  <c r="C18" i="3"/>
  <c r="U17" i="3"/>
  <c r="AO27" i="3"/>
  <c r="H6" i="3"/>
  <c r="P6" i="3"/>
  <c r="T26" i="3"/>
  <c r="AA41" i="3"/>
  <c r="U36" i="3"/>
  <c r="H16" i="3"/>
  <c r="S6" i="3"/>
  <c r="K39" i="3"/>
  <c r="AJ37" i="3"/>
  <c r="AM8" i="3"/>
  <c r="T22" i="3"/>
  <c r="V38" i="3"/>
  <c r="Q9" i="3"/>
  <c r="V13" i="3"/>
  <c r="V30" i="3"/>
  <c r="N13" i="3"/>
  <c r="H30" i="3"/>
  <c r="AP35" i="3"/>
  <c r="K9" i="3"/>
  <c r="Q10" i="3"/>
  <c r="R12" i="3"/>
  <c r="AB18" i="3"/>
  <c r="L16" i="3"/>
  <c r="R42" i="3"/>
  <c r="N29" i="3"/>
  <c r="C6" i="3"/>
  <c r="W42" i="3"/>
  <c r="R34" i="3"/>
  <c r="Y15" i="3"/>
  <c r="AN13" i="3"/>
  <c r="AA31" i="3"/>
  <c r="AC7" i="3"/>
  <c r="AB42" i="3"/>
  <c r="S24" i="3"/>
  <c r="AQ30" i="3"/>
  <c r="AP20" i="3"/>
  <c r="O36" i="3"/>
  <c r="C10" i="3"/>
  <c r="V10" i="3"/>
  <c r="AK16" i="3"/>
  <c r="H22" i="3"/>
  <c r="AG35" i="3"/>
  <c r="S9" i="3"/>
  <c r="N36" i="3"/>
  <c r="L18" i="3"/>
  <c r="I98" i="2"/>
  <c r="U72" i="2"/>
  <c r="E86" i="2"/>
  <c r="I104" i="2"/>
  <c r="O78" i="2"/>
  <c r="J82" i="2"/>
  <c r="N72" i="2"/>
  <c r="N90" i="2"/>
  <c r="U63" i="2"/>
  <c r="R113" i="2"/>
  <c r="O60" i="2"/>
  <c r="D60" i="2"/>
  <c r="I81" i="2"/>
  <c r="H88" i="2"/>
  <c r="S66" i="2"/>
  <c r="AP96" i="3"/>
  <c r="I22" i="3"/>
  <c r="P5" i="3"/>
  <c r="X24" i="3"/>
  <c r="U31" i="3"/>
  <c r="O16" i="3"/>
  <c r="T59" i="2"/>
  <c r="J66" i="2"/>
  <c r="F110" i="2"/>
  <c r="F63" i="2"/>
  <c r="L70" i="2"/>
  <c r="O43" i="2"/>
  <c r="T54" i="2"/>
  <c r="P80" i="2"/>
  <c r="P40" i="2"/>
  <c r="M98" i="2"/>
  <c r="K107" i="2"/>
  <c r="T55" i="2"/>
  <c r="V96" i="2"/>
  <c r="D83" i="2"/>
  <c r="W71" i="2"/>
  <c r="W47" i="2"/>
  <c r="K60" i="2"/>
  <c r="T107" i="2"/>
  <c r="W55" i="2"/>
  <c r="D46" i="2"/>
  <c r="K81" i="2"/>
  <c r="C77" i="2"/>
  <c r="G80" i="2"/>
  <c r="F66" i="2"/>
  <c r="K64" i="2"/>
  <c r="AB80" i="3"/>
  <c r="O22" i="3"/>
  <c r="M34" i="3"/>
  <c r="AO20" i="3"/>
  <c r="AI9" i="3"/>
  <c r="O18" i="3"/>
  <c r="P84" i="2"/>
  <c r="C81" i="2"/>
  <c r="P46" i="2"/>
  <c r="I80" i="2"/>
  <c r="F57" i="2"/>
  <c r="G89" i="2"/>
  <c r="E79" i="2"/>
  <c r="N40" i="2"/>
  <c r="Q93" i="2"/>
  <c r="G52" i="2"/>
  <c r="G50" i="2"/>
  <c r="V93" i="2"/>
  <c r="R43" i="2"/>
  <c r="N110" i="2"/>
  <c r="H77" i="2"/>
  <c r="N77" i="2"/>
  <c r="AB91" i="3"/>
  <c r="N15" i="3"/>
  <c r="I95" i="2"/>
  <c r="X65" i="2"/>
  <c r="L93" i="2"/>
  <c r="U75" i="2"/>
  <c r="X108" i="2"/>
  <c r="W75" i="2"/>
  <c r="C89" i="2"/>
  <c r="P99" i="2"/>
  <c r="K72" i="2"/>
  <c r="O63" i="2"/>
  <c r="J87" i="2"/>
  <c r="C93" i="2"/>
  <c r="J49" i="2"/>
  <c r="H90" i="2"/>
  <c r="X109" i="2"/>
  <c r="AB57" i="3"/>
  <c r="AI6" i="3"/>
  <c r="AD24" i="3"/>
  <c r="P30" i="3"/>
  <c r="T111" i="2"/>
  <c r="U54" i="2"/>
  <c r="D89" i="2"/>
  <c r="L90" i="2"/>
  <c r="I91" i="2"/>
  <c r="T53" i="2"/>
  <c r="H86" i="2"/>
  <c r="P81" i="2"/>
  <c r="W49" i="2"/>
  <c r="C57" i="2"/>
  <c r="N74" i="2"/>
  <c r="G59" i="2"/>
  <c r="W82" i="2"/>
  <c r="O52" i="2"/>
  <c r="J60" i="2"/>
  <c r="W96" i="2"/>
  <c r="AP83" i="3"/>
  <c r="L32" i="3"/>
  <c r="AE32" i="3"/>
  <c r="AD20" i="3"/>
  <c r="M106" i="2"/>
  <c r="H91" i="2"/>
  <c r="C94" i="2"/>
  <c r="O76" i="2"/>
  <c r="D98" i="2"/>
  <c r="M54" i="2"/>
  <c r="C98" i="2"/>
  <c r="V113" i="2"/>
  <c r="W109" i="2"/>
  <c r="H72" i="2"/>
  <c r="M112" i="2"/>
  <c r="F107" i="2"/>
  <c r="M75" i="2"/>
  <c r="M63" i="2"/>
  <c r="P74" i="2"/>
  <c r="H59" i="2"/>
  <c r="AB93" i="3"/>
  <c r="AC18" i="3"/>
  <c r="C7" i="3"/>
  <c r="Q35" i="3"/>
  <c r="X15" i="3"/>
  <c r="W50" i="2"/>
  <c r="F73" i="2"/>
  <c r="M96" i="2"/>
  <c r="O89" i="2"/>
  <c r="D92" i="2"/>
  <c r="W84" i="2"/>
  <c r="P106" i="2"/>
  <c r="L71" i="2"/>
  <c r="E66" i="2"/>
  <c r="N73" i="2"/>
  <c r="H96" i="2"/>
  <c r="P89" i="2"/>
  <c r="M74" i="2"/>
  <c r="G85" i="2"/>
  <c r="R99" i="2"/>
  <c r="D42" i="2"/>
  <c r="AP95" i="3"/>
  <c r="I38" i="3"/>
  <c r="H14" i="3"/>
  <c r="N5" i="3"/>
  <c r="C32" i="3"/>
  <c r="U52" i="2"/>
  <c r="G108" i="2"/>
  <c r="L107" i="2"/>
  <c r="V87" i="2"/>
  <c r="X57" i="2"/>
  <c r="X40" i="2"/>
  <c r="N59" i="2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AP48" i="3"/>
  <c r="AI12" i="3"/>
  <c r="S12" i="3"/>
  <c r="AP36" i="3"/>
  <c r="AN20" i="3"/>
  <c r="AJ23" i="3"/>
  <c r="P51" i="2"/>
  <c r="C88" i="2"/>
  <c r="G77" i="2"/>
  <c r="J53" i="2"/>
  <c r="P50" i="2"/>
  <c r="J61" i="2"/>
  <c r="W93" i="2"/>
  <c r="P63" i="2"/>
  <c r="C58" i="2"/>
  <c r="I113" i="2"/>
  <c r="U81" i="2"/>
  <c r="T80" i="2"/>
  <c r="R74" i="2"/>
  <c r="F51" i="2"/>
  <c r="J73" i="2"/>
  <c r="U89" i="2"/>
  <c r="U106" i="2"/>
  <c r="D67" i="2"/>
  <c r="X78" i="2"/>
  <c r="E77" i="2"/>
  <c r="AP59" i="3"/>
  <c r="H41" i="3"/>
  <c r="W33" i="3"/>
  <c r="AJ41" i="3"/>
  <c r="AC36" i="3"/>
  <c r="Y19" i="3"/>
  <c r="G75" i="2"/>
  <c r="N85" i="2"/>
  <c r="K97" i="2"/>
  <c r="I65" i="2"/>
  <c r="S61" i="2"/>
  <c r="X60" i="2"/>
  <c r="N41" i="2"/>
  <c r="M77" i="2"/>
  <c r="M52" i="2"/>
  <c r="H98" i="2"/>
  <c r="H92" i="2"/>
  <c r="T60" i="2"/>
  <c r="Q111" i="2"/>
  <c r="J88" i="2"/>
  <c r="K106" i="2"/>
  <c r="AB89" i="3"/>
  <c r="AM33" i="3"/>
  <c r="H83" i="2"/>
  <c r="P96" i="2"/>
  <c r="M55" i="2"/>
  <c r="M80" i="2"/>
  <c r="F96" i="2"/>
  <c r="I109" i="2"/>
  <c r="N48" i="2"/>
  <c r="W81" i="2"/>
  <c r="R75" i="2"/>
  <c r="F90" i="2"/>
  <c r="Q64" i="2"/>
  <c r="V104" i="2"/>
  <c r="M90" i="2"/>
  <c r="P49" i="2"/>
  <c r="R65" i="2"/>
  <c r="S95" i="2"/>
  <c r="AP90" i="3"/>
  <c r="V16" i="3"/>
  <c r="AJ25" i="3"/>
  <c r="Q33" i="3"/>
  <c r="O113" i="2"/>
  <c r="U99" i="2"/>
  <c r="C41" i="2"/>
  <c r="I85" i="2"/>
  <c r="K108" i="2"/>
  <c r="U53" i="2"/>
  <c r="S79" i="2"/>
  <c r="F49" i="2"/>
  <c r="X96" i="2"/>
  <c r="S97" i="2"/>
  <c r="O110" i="2"/>
  <c r="M43" i="2"/>
  <c r="T71" i="2"/>
  <c r="K46" i="2"/>
  <c r="T58" i="2"/>
  <c r="S64" i="2"/>
  <c r="AP63" i="3"/>
  <c r="G36" i="3"/>
  <c r="I19" i="3"/>
  <c r="Z11" i="3"/>
  <c r="V67" i="2"/>
  <c r="S106" i="2"/>
  <c r="S109" i="2"/>
  <c r="X70" i="2"/>
  <c r="T95" i="2"/>
  <c r="T65" i="2"/>
  <c r="F111" i="2"/>
  <c r="X99" i="2"/>
  <c r="W107" i="2"/>
  <c r="W61" i="2"/>
  <c r="S72" i="2"/>
  <c r="R72" i="2"/>
  <c r="Q42" i="2"/>
  <c r="C78" i="2"/>
  <c r="D41" i="2"/>
  <c r="O109" i="2"/>
  <c r="AB96" i="3"/>
  <c r="AJ31" i="3"/>
  <c r="AA25" i="3"/>
  <c r="X35" i="3"/>
  <c r="J42" i="3"/>
  <c r="H51" i="2"/>
  <c r="S67" i="2"/>
  <c r="K86" i="2"/>
  <c r="S85" i="2"/>
  <c r="H65" i="2"/>
  <c r="K44" i="2"/>
  <c r="M113" i="2"/>
  <c r="L110" i="2"/>
  <c r="I53" i="2"/>
  <c r="L57" i="2"/>
  <c r="U60" i="2"/>
  <c r="T89" i="2"/>
  <c r="K57" i="2"/>
  <c r="O88" i="2"/>
  <c r="I58" i="2"/>
  <c r="L78" i="2"/>
  <c r="AP89" i="3"/>
  <c r="R24" i="3"/>
  <c r="L11" i="3"/>
  <c r="AE39" i="3"/>
  <c r="AA42" i="3"/>
  <c r="J92" i="2"/>
  <c r="R90" i="2"/>
  <c r="X75" i="2"/>
  <c r="G73" i="2"/>
  <c r="M76" i="2"/>
  <c r="K45" i="2"/>
  <c r="W62" i="2"/>
  <c r="P98" i="2"/>
  <c r="X110" i="2"/>
  <c r="Q96" i="2"/>
  <c r="E73" i="2"/>
  <c r="S82" i="2"/>
  <c r="S55" i="2"/>
  <c r="M64" i="2"/>
  <c r="M36" i="3"/>
  <c r="T66" i="2"/>
  <c r="L99" i="2"/>
  <c r="AD35" i="3"/>
  <c r="H48" i="2"/>
  <c r="I96" i="2"/>
  <c r="C54" i="2"/>
  <c r="M111" i="2"/>
  <c r="X14" i="3"/>
  <c r="M91" i="2"/>
  <c r="N105" i="2"/>
  <c r="U61" i="2"/>
  <c r="J95" i="2"/>
  <c r="AQ38" i="3"/>
  <c r="I49" i="2"/>
  <c r="T42" i="2"/>
  <c r="E41" i="2"/>
  <c r="U94" i="2"/>
  <c r="G104" i="2"/>
  <c r="F56" i="2"/>
  <c r="S58" i="2"/>
  <c r="AB58" i="3"/>
  <c r="Z10" i="3"/>
  <c r="AA30" i="3"/>
  <c r="O8" i="3"/>
  <c r="Q85" i="2"/>
  <c r="K76" i="2"/>
  <c r="R48" i="2"/>
  <c r="H70" i="2"/>
  <c r="X47" i="2"/>
  <c r="C99" i="2"/>
  <c r="W67" i="2"/>
  <c r="N86" i="2"/>
  <c r="X43" i="2"/>
  <c r="K73" i="2"/>
  <c r="M42" i="2"/>
  <c r="AP69" i="3"/>
  <c r="S36" i="3"/>
  <c r="AN12" i="3"/>
  <c r="I13" i="3"/>
  <c r="P27" i="3"/>
  <c r="P21" i="3"/>
  <c r="I34" i="3"/>
  <c r="Y33" i="3"/>
  <c r="T20" i="3"/>
  <c r="I11" i="3"/>
  <c r="T27" i="3"/>
  <c r="AI11" i="3"/>
  <c r="AL16" i="3"/>
  <c r="Z31" i="3"/>
  <c r="AL7" i="3"/>
  <c r="P15" i="3"/>
  <c r="Q24" i="3"/>
  <c r="D48" i="3"/>
  <c r="Q32" i="3"/>
  <c r="AH6" i="3"/>
  <c r="Q16" i="3"/>
  <c r="M26" i="3"/>
  <c r="AG30" i="3"/>
  <c r="AE20" i="3"/>
  <c r="J23" i="3"/>
  <c r="AB14" i="3"/>
  <c r="W20" i="3"/>
  <c r="AM6" i="3"/>
  <c r="AO37" i="3"/>
  <c r="G47" i="3"/>
  <c r="V29" i="3"/>
  <c r="U37" i="3"/>
  <c r="AQ14" i="3"/>
  <c r="I6" i="3"/>
  <c r="AC28" i="3"/>
  <c r="K30" i="3"/>
  <c r="AC11" i="3"/>
  <c r="H38" i="3"/>
  <c r="I41" i="3"/>
  <c r="T10" i="3"/>
  <c r="O27" i="3"/>
  <c r="O10" i="3"/>
  <c r="O32" i="3"/>
  <c r="AK38" i="3"/>
  <c r="AM15" i="3"/>
  <c r="AQ28" i="3"/>
  <c r="AA15" i="3"/>
  <c r="AK29" i="3"/>
  <c r="C33" i="3"/>
  <c r="W11" i="3"/>
  <c r="N28" i="3"/>
  <c r="U14" i="3"/>
  <c r="U18" i="3"/>
  <c r="AJ42" i="3"/>
  <c r="I5" i="3"/>
  <c r="AK22" i="3"/>
  <c r="R14" i="3"/>
  <c r="AO23" i="3"/>
  <c r="AI20" i="3"/>
  <c r="AM34" i="3"/>
  <c r="C4" i="3"/>
  <c r="R11" i="3"/>
  <c r="AE22" i="3"/>
  <c r="C11" i="3"/>
  <c r="K36" i="3"/>
  <c r="L14" i="3"/>
  <c r="I7" i="3"/>
  <c r="N8" i="3"/>
  <c r="AM37" i="3"/>
  <c r="U34" i="3"/>
  <c r="AH38" i="3"/>
  <c r="V42" i="3"/>
  <c r="P14" i="3"/>
  <c r="J19" i="3"/>
  <c r="AO91" i="3"/>
  <c r="H81" i="3"/>
  <c r="AO96" i="3"/>
  <c r="AQ97" i="3"/>
  <c r="AN95" i="3"/>
  <c r="AQ69" i="3"/>
  <c r="I65" i="3"/>
  <c r="AC84" i="3"/>
  <c r="AQ80" i="3"/>
  <c r="AO72" i="3"/>
  <c r="AN73" i="3"/>
  <c r="I89" i="3"/>
  <c r="AJ85" i="3"/>
  <c r="H78" i="3"/>
  <c r="AA91" i="3"/>
  <c r="AJ73" i="3"/>
  <c r="AC64" i="3"/>
  <c r="I72" i="3"/>
  <c r="AJ94" i="3"/>
  <c r="AN85" i="3"/>
  <c r="M58" i="3"/>
  <c r="M56" i="3"/>
  <c r="N96" i="3"/>
  <c r="AJ75" i="3"/>
  <c r="AK54" i="3"/>
  <c r="N74" i="3"/>
  <c r="H88" i="3"/>
  <c r="AC86" i="3"/>
  <c r="M60" i="3"/>
  <c r="M63" i="3"/>
  <c r="N75" i="3"/>
  <c r="AQ49" i="3"/>
  <c r="AA93" i="3"/>
  <c r="AJ63" i="3"/>
  <c r="AN47" i="3"/>
  <c r="AA92" i="3"/>
  <c r="AN63" i="3"/>
  <c r="AQ85" i="3"/>
  <c r="H89" i="3"/>
  <c r="AN90" i="3"/>
  <c r="AC65" i="3"/>
  <c r="E60" i="2"/>
  <c r="X86" i="2"/>
  <c r="T64" i="2"/>
  <c r="E92" i="2"/>
  <c r="R104" i="2"/>
  <c r="W48" i="2"/>
  <c r="Q68" i="2"/>
  <c r="D104" i="2"/>
  <c r="W37" i="3"/>
  <c r="K61" i="2"/>
  <c r="R77" i="2"/>
  <c r="K92" i="2"/>
  <c r="R60" i="2"/>
  <c r="X36" i="3"/>
  <c r="O75" i="2"/>
  <c r="O85" i="2"/>
  <c r="N83" i="2"/>
  <c r="X54" i="2"/>
  <c r="S35" i="3"/>
  <c r="M65" i="2"/>
  <c r="Q97" i="2"/>
  <c r="D44" i="2"/>
  <c r="L76" i="2"/>
  <c r="T83" i="2"/>
  <c r="F58" i="2"/>
  <c r="T57" i="2"/>
  <c r="AB92" i="3"/>
  <c r="U30" i="3"/>
  <c r="AP30" i="3"/>
  <c r="J54" i="2"/>
  <c r="X106" i="2"/>
  <c r="I41" i="2"/>
  <c r="D88" i="2"/>
  <c r="P70" i="2"/>
  <c r="X113" i="2"/>
  <c r="K67" i="2"/>
  <c r="L79" i="2"/>
  <c r="X107" i="2"/>
  <c r="X111" i="2"/>
  <c r="G86" i="2"/>
  <c r="L97" i="2"/>
  <c r="C28" i="3"/>
  <c r="AH16" i="3"/>
  <c r="I39" i="3"/>
  <c r="R30" i="3"/>
  <c r="J18" i="3"/>
  <c r="AG23" i="3"/>
  <c r="M30" i="3"/>
  <c r="AA14" i="3"/>
  <c r="T37" i="3"/>
  <c r="N16" i="3"/>
  <c r="H29" i="3"/>
  <c r="I8" i="3"/>
  <c r="Z24" i="3"/>
  <c r="M6" i="3"/>
  <c r="C39" i="3"/>
  <c r="AK35" i="3"/>
  <c r="AQ25" i="3"/>
  <c r="U32" i="3"/>
  <c r="M21" i="3"/>
  <c r="X42" i="3"/>
  <c r="W19" i="3"/>
  <c r="W6" i="3"/>
  <c r="AK36" i="3"/>
  <c r="AL21" i="3"/>
  <c r="S39" i="3"/>
  <c r="Y14" i="3"/>
  <c r="AP29" i="3"/>
  <c r="W30" i="3"/>
  <c r="AI26" i="3"/>
  <c r="AA28" i="3"/>
  <c r="C17" i="3"/>
  <c r="P35" i="3"/>
  <c r="AB33" i="3"/>
  <c r="Y23" i="3"/>
  <c r="Q15" i="3"/>
  <c r="AI8" i="3"/>
  <c r="AG24" i="3"/>
  <c r="M39" i="3"/>
  <c r="I25" i="3"/>
  <c r="W36" i="3"/>
  <c r="AJ32" i="3"/>
  <c r="AL13" i="3"/>
  <c r="AN21" i="3"/>
  <c r="J24" i="3"/>
  <c r="AB17" i="3"/>
  <c r="Q25" i="3"/>
  <c r="AM38" i="3"/>
  <c r="C19" i="3"/>
  <c r="AC33" i="3"/>
  <c r="AN19" i="3"/>
  <c r="AI36" i="3"/>
  <c r="AJ18" i="3"/>
  <c r="C29" i="3"/>
  <c r="AC38" i="3"/>
  <c r="U20" i="3"/>
  <c r="L30" i="3"/>
  <c r="AP11" i="3"/>
  <c r="X29" i="3"/>
  <c r="I10" i="3"/>
  <c r="AA7" i="3"/>
  <c r="P28" i="3"/>
  <c r="AH9" i="3"/>
  <c r="Q17" i="3"/>
  <c r="Q7" i="3"/>
  <c r="R32" i="3"/>
  <c r="J17" i="3"/>
  <c r="AL42" i="3"/>
  <c r="AD19" i="3"/>
  <c r="AI18" i="3"/>
  <c r="I12" i="3"/>
  <c r="Q42" i="3"/>
  <c r="D47" i="3"/>
  <c r="L21" i="3"/>
  <c r="U40" i="3"/>
  <c r="AQ74" i="3"/>
  <c r="M68" i="3"/>
  <c r="H50" i="3"/>
  <c r="AA75" i="3"/>
  <c r="AO63" i="3"/>
  <c r="N58" i="3"/>
  <c r="AA82" i="3"/>
  <c r="I77" i="3"/>
  <c r="AQ82" i="3"/>
  <c r="AQ54" i="3"/>
  <c r="AQ63" i="3"/>
  <c r="AJ71" i="3"/>
  <c r="AO97" i="3"/>
  <c r="Q70" i="2"/>
  <c r="L46" i="2"/>
  <c r="I48" i="2"/>
  <c r="H73" i="2"/>
  <c r="G69" i="2"/>
  <c r="U44" i="2"/>
  <c r="R87" i="2"/>
  <c r="P60" i="2"/>
  <c r="L29" i="3"/>
  <c r="T43" i="2"/>
  <c r="E85" i="2"/>
  <c r="L64" i="2"/>
  <c r="AB77" i="3"/>
  <c r="AC27" i="3"/>
  <c r="S96" i="2"/>
  <c r="W56" i="2"/>
  <c r="U112" i="2"/>
  <c r="X85" i="2"/>
  <c r="AL37" i="3"/>
  <c r="R44" i="2"/>
  <c r="R79" i="2"/>
  <c r="L44" i="2"/>
  <c r="S93" i="2"/>
  <c r="R76" i="2"/>
  <c r="C97" i="2"/>
  <c r="M67" i="2"/>
  <c r="AB94" i="3"/>
  <c r="L25" i="3"/>
  <c r="T34" i="3"/>
  <c r="F55" i="2"/>
  <c r="L95" i="2"/>
  <c r="P109" i="2"/>
  <c r="I76" i="2"/>
  <c r="R57" i="2"/>
  <c r="K105" i="2"/>
  <c r="F60" i="2"/>
  <c r="N111" i="2"/>
  <c r="M84" i="2"/>
  <c r="C40" i="2"/>
  <c r="C61" i="2"/>
  <c r="F93" i="2"/>
  <c r="T8" i="3"/>
  <c r="AI16" i="3"/>
  <c r="AM41" i="3"/>
  <c r="AM5" i="3"/>
  <c r="AN23" i="3"/>
  <c r="H35" i="3"/>
  <c r="K18" i="3"/>
  <c r="Z40" i="3"/>
  <c r="AL18" i="3"/>
  <c r="Z39" i="3"/>
  <c r="S20" i="3"/>
  <c r="Y18" i="3"/>
  <c r="H42" i="3"/>
  <c r="I40" i="3"/>
  <c r="AK39" i="3"/>
  <c r="Q30" i="3"/>
  <c r="M42" i="3"/>
  <c r="Z16" i="3"/>
  <c r="H39" i="3"/>
  <c r="AA27" i="3"/>
  <c r="AH22" i="3"/>
  <c r="X38" i="3"/>
  <c r="AB26" i="3"/>
  <c r="AQ42" i="3"/>
  <c r="R23" i="3"/>
  <c r="C31" i="3"/>
  <c r="AQ35" i="3"/>
  <c r="C16" i="3"/>
  <c r="AO22" i="3"/>
  <c r="AN26" i="3"/>
  <c r="AI38" i="3"/>
  <c r="K19" i="3"/>
  <c r="W35" i="3"/>
  <c r="U26" i="3"/>
  <c r="AK14" i="3"/>
  <c r="AA22" i="3"/>
  <c r="K7" i="3"/>
  <c r="S34" i="3"/>
  <c r="AO34" i="3"/>
  <c r="AO10" i="3"/>
  <c r="P19" i="3"/>
  <c r="H23" i="3"/>
  <c r="N38" i="3"/>
  <c r="AM19" i="3"/>
  <c r="AM27" i="3"/>
  <c r="AL11" i="3"/>
  <c r="G34" i="3"/>
  <c r="AH11" i="3"/>
  <c r="AJ8" i="3"/>
  <c r="O30" i="3"/>
  <c r="AG34" i="3"/>
  <c r="AB36" i="3"/>
  <c r="AK40" i="3"/>
  <c r="AQ10" i="3"/>
  <c r="Y21" i="3"/>
  <c r="AM13" i="3"/>
  <c r="V27" i="3"/>
  <c r="AI42" i="3"/>
  <c r="AQ24" i="3"/>
  <c r="X9" i="3"/>
  <c r="Z5" i="3"/>
  <c r="H8" i="3"/>
  <c r="AA39" i="3"/>
  <c r="AD49" i="3"/>
  <c r="AB37" i="3"/>
  <c r="J38" i="3"/>
  <c r="AJ34" i="3"/>
  <c r="S21" i="3"/>
  <c r="AH28" i="3"/>
  <c r="W38" i="3"/>
  <c r="L7" i="3"/>
  <c r="S15" i="3"/>
  <c r="AL19" i="3"/>
  <c r="AD39" i="3"/>
  <c r="N94" i="3"/>
  <c r="AO48" i="3"/>
  <c r="AQ96" i="3"/>
  <c r="N97" i="3"/>
  <c r="Z68" i="3"/>
  <c r="AN75" i="3"/>
  <c r="M65" i="3"/>
  <c r="AA56" i="3"/>
  <c r="N66" i="3"/>
  <c r="AA89" i="3"/>
  <c r="M59" i="3"/>
  <c r="AJ60" i="3"/>
  <c r="AO84" i="3"/>
  <c r="I94" i="3"/>
  <c r="Z62" i="3"/>
  <c r="I61" i="3"/>
  <c r="H68" i="3"/>
  <c r="AJ84" i="3"/>
  <c r="AQ92" i="3"/>
  <c r="AJ81" i="3"/>
  <c r="H87" i="2"/>
  <c r="U108" i="2"/>
  <c r="D70" i="2"/>
  <c r="H111" i="2"/>
  <c r="J67" i="2"/>
  <c r="E46" i="2"/>
  <c r="E67" i="2"/>
  <c r="E113" i="2"/>
  <c r="O5" i="3"/>
  <c r="L92" i="2"/>
  <c r="H50" i="2"/>
  <c r="E74" i="2"/>
  <c r="AB79" i="3"/>
  <c r="M32" i="3"/>
  <c r="K62" i="2"/>
  <c r="P47" i="2"/>
  <c r="N99" i="2"/>
  <c r="F69" i="2"/>
  <c r="L8" i="3"/>
  <c r="T77" i="2"/>
  <c r="G81" i="2"/>
  <c r="E81" i="2"/>
  <c r="S107" i="2"/>
  <c r="W58" i="2"/>
  <c r="M51" i="2"/>
  <c r="O66" i="2"/>
  <c r="AP91" i="3"/>
  <c r="AB20" i="3"/>
  <c r="H24" i="3"/>
  <c r="S69" i="2"/>
  <c r="G90" i="2"/>
  <c r="X50" i="2"/>
  <c r="C84" i="2"/>
  <c r="D81" i="2"/>
  <c r="G57" i="2"/>
  <c r="U83" i="2"/>
  <c r="O51" i="2"/>
  <c r="D95" i="2"/>
  <c r="M68" i="2"/>
  <c r="P56" i="2"/>
  <c r="C87" i="2"/>
  <c r="AJ38" i="3"/>
  <c r="I9" i="3"/>
  <c r="AG28" i="3"/>
  <c r="V34" i="3"/>
  <c r="AN34" i="3"/>
  <c r="I29" i="3"/>
  <c r="Z36" i="3"/>
  <c r="S26" i="3"/>
  <c r="AC21" i="3"/>
  <c r="AJ19" i="3"/>
  <c r="H12" i="3"/>
  <c r="AE7" i="3"/>
  <c r="AJ20" i="3"/>
  <c r="AQ22" i="3"/>
  <c r="AD21" i="3"/>
  <c r="AM7" i="3"/>
  <c r="N31" i="3"/>
  <c r="AD22" i="3"/>
  <c r="AG25" i="3"/>
  <c r="X6" i="3"/>
  <c r="AG27" i="3"/>
  <c r="AC25" i="3"/>
  <c r="X25" i="3"/>
  <c r="N42" i="3"/>
  <c r="AD25" i="3"/>
  <c r="AM10" i="3"/>
  <c r="V35" i="3"/>
  <c r="W39" i="3"/>
  <c r="AQ20" i="3"/>
  <c r="N27" i="3"/>
  <c r="AJ15" i="3"/>
  <c r="L22" i="3"/>
  <c r="AH41" i="3"/>
  <c r="M12" i="3"/>
  <c r="AI25" i="3"/>
  <c r="K14" i="3"/>
  <c r="AC34" i="3"/>
  <c r="N10" i="3"/>
  <c r="S30" i="3"/>
  <c r="AB29" i="3"/>
  <c r="AK10" i="3"/>
  <c r="AL29" i="3"/>
  <c r="AN16" i="3"/>
  <c r="AJ10" i="3"/>
  <c r="O34" i="3"/>
  <c r="AQ11" i="3"/>
  <c r="AA38" i="3"/>
  <c r="AA6" i="3"/>
  <c r="N32" i="3"/>
  <c r="I14" i="3"/>
  <c r="AE28" i="3"/>
  <c r="V6" i="3"/>
  <c r="V26" i="3"/>
  <c r="N17" i="3"/>
  <c r="AB41" i="3"/>
  <c r="AE42" i="3"/>
  <c r="AP31" i="3"/>
  <c r="Q40" i="3"/>
  <c r="M27" i="3"/>
  <c r="J40" i="3"/>
  <c r="AP24" i="3"/>
  <c r="T15" i="3"/>
  <c r="X23" i="3"/>
  <c r="L41" i="3"/>
  <c r="AC37" i="3"/>
  <c r="AO11" i="3"/>
  <c r="H37" i="3"/>
  <c r="Z29" i="3"/>
  <c r="AE23" i="3"/>
  <c r="AG19" i="3"/>
  <c r="V21" i="3"/>
  <c r="C36" i="3"/>
  <c r="P9" i="3"/>
  <c r="T31" i="3"/>
  <c r="AJ61" i="3"/>
  <c r="AA80" i="3"/>
  <c r="M62" i="3"/>
  <c r="AA73" i="3"/>
  <c r="O92" i="3"/>
  <c r="M96" i="3"/>
  <c r="H77" i="3"/>
  <c r="H80" i="3"/>
  <c r="N84" i="3"/>
  <c r="AJ79" i="3"/>
  <c r="H54" i="3"/>
  <c r="O66" i="3"/>
  <c r="AC68" i="3"/>
  <c r="AC95" i="3"/>
  <c r="AO82" i="3"/>
  <c r="AJ59" i="3"/>
  <c r="AJ89" i="3"/>
  <c r="AQ91" i="3"/>
  <c r="N83" i="3"/>
  <c r="H86" i="3"/>
  <c r="H71" i="3"/>
  <c r="N82" i="3"/>
  <c r="AA64" i="3"/>
  <c r="N57" i="3"/>
  <c r="O89" i="3"/>
  <c r="H93" i="3"/>
  <c r="AM59" i="3"/>
  <c r="AA59" i="3"/>
  <c r="AJ54" i="3"/>
  <c r="AM50" i="3"/>
  <c r="O62" i="3"/>
  <c r="AA78" i="3"/>
  <c r="H75" i="3"/>
  <c r="N77" i="3"/>
  <c r="AN79" i="3"/>
  <c r="AJ90" i="3"/>
  <c r="AJ57" i="3"/>
  <c r="AC73" i="3"/>
  <c r="I68" i="3"/>
  <c r="M92" i="3"/>
  <c r="M86" i="3"/>
  <c r="Z58" i="3"/>
  <c r="AO62" i="3"/>
  <c r="AK70" i="3"/>
  <c r="AO49" i="3"/>
  <c r="O83" i="3"/>
  <c r="O79" i="3"/>
  <c r="N63" i="3"/>
  <c r="AN56" i="3"/>
  <c r="AM73" i="3"/>
  <c r="Q81" i="2"/>
  <c r="C91" i="2"/>
  <c r="D48" i="2"/>
  <c r="S76" i="2"/>
  <c r="AP84" i="3"/>
  <c r="P66" i="2"/>
  <c r="O90" i="2"/>
  <c r="W104" i="2"/>
  <c r="AH36" i="3"/>
  <c r="N107" i="2"/>
  <c r="K98" i="2"/>
  <c r="C83" i="2"/>
  <c r="AP77" i="3"/>
  <c r="L6" i="3"/>
  <c r="W43" i="2"/>
  <c r="H94" i="2"/>
  <c r="S75" i="2"/>
  <c r="C48" i="3"/>
  <c r="Z12" i="3"/>
  <c r="U84" i="2"/>
  <c r="T90" i="2"/>
  <c r="T104" i="2"/>
  <c r="W69" i="2"/>
  <c r="J97" i="2"/>
  <c r="Q98" i="2"/>
  <c r="K58" i="2"/>
  <c r="AB62" i="3"/>
  <c r="AP41" i="3"/>
  <c r="AK17" i="3"/>
  <c r="S80" i="2"/>
  <c r="X73" i="2"/>
  <c r="C46" i="2"/>
  <c r="F71" i="2"/>
  <c r="O105" i="2"/>
  <c r="U55" i="2"/>
  <c r="I86" i="2"/>
  <c r="U77" i="2"/>
  <c r="E56" i="2"/>
  <c r="Q86" i="2"/>
  <c r="N63" i="2"/>
  <c r="AB68" i="3"/>
  <c r="AH23" i="3"/>
  <c r="L37" i="3"/>
  <c r="AB23" i="3"/>
  <c r="Q23" i="3"/>
  <c r="AN6" i="3"/>
  <c r="H25" i="3"/>
  <c r="S23" i="3"/>
  <c r="AN38" i="3"/>
  <c r="V22" i="3"/>
  <c r="H31" i="3"/>
  <c r="AG22" i="3"/>
  <c r="C41" i="3"/>
  <c r="J15" i="3"/>
  <c r="D50" i="3"/>
  <c r="AJ12" i="3"/>
  <c r="Q6" i="3"/>
  <c r="X8" i="3"/>
  <c r="T40" i="3"/>
  <c r="AE12" i="3"/>
  <c r="AN30" i="3"/>
  <c r="X16" i="3"/>
  <c r="AG21" i="3"/>
  <c r="T14" i="3"/>
  <c r="W13" i="3"/>
  <c r="T19" i="3"/>
  <c r="AJ35" i="3"/>
  <c r="AL5" i="3"/>
  <c r="AE27" i="3"/>
  <c r="AJ6" i="3"/>
  <c r="K8" i="3"/>
  <c r="AP14" i="3"/>
  <c r="AI28" i="3"/>
  <c r="AO41" i="3"/>
  <c r="V50" i="2"/>
  <c r="C63" i="2"/>
  <c r="T67" i="2"/>
  <c r="S71" i="2"/>
  <c r="AB55" i="3"/>
  <c r="N88" i="2"/>
  <c r="L62" i="2"/>
  <c r="P48" i="2"/>
  <c r="K56" i="2"/>
  <c r="C96" i="2"/>
  <c r="E71" i="2"/>
  <c r="W45" i="2"/>
  <c r="L19" i="3"/>
  <c r="U49" i="2"/>
  <c r="N78" i="2"/>
  <c r="S68" i="2"/>
  <c r="H47" i="2"/>
  <c r="AP62" i="3"/>
  <c r="Z28" i="3"/>
  <c r="M87" i="2"/>
  <c r="P112" i="2"/>
  <c r="U47" i="2"/>
  <c r="Q105" i="2"/>
  <c r="E91" i="2"/>
  <c r="C110" i="2"/>
  <c r="O50" i="2"/>
  <c r="AB69" i="3"/>
  <c r="X27" i="3"/>
  <c r="AM40" i="3"/>
  <c r="G43" i="2"/>
  <c r="R46" i="2"/>
  <c r="D65" i="2"/>
  <c r="J52" i="2"/>
  <c r="L41" i="2"/>
  <c r="T46" i="2"/>
  <c r="U73" i="2"/>
  <c r="J42" i="2"/>
  <c r="L66" i="2"/>
  <c r="H58" i="2"/>
  <c r="P77" i="2"/>
  <c r="AB78" i="3"/>
  <c r="R18" i="3"/>
  <c r="N14" i="3"/>
  <c r="AG15" i="3"/>
  <c r="AL22" i="3"/>
  <c r="P18" i="3"/>
  <c r="O19" i="3"/>
  <c r="AE38" i="3"/>
  <c r="U39" i="3"/>
  <c r="AM35" i="3"/>
  <c r="N11" i="3"/>
  <c r="S28" i="3"/>
  <c r="AO14" i="3"/>
  <c r="AI31" i="3"/>
  <c r="AL34" i="3"/>
  <c r="K10" i="3"/>
  <c r="Z21" i="3"/>
  <c r="U7" i="3"/>
  <c r="AQ34" i="3"/>
  <c r="J26" i="3"/>
  <c r="V14" i="3"/>
  <c r="T30" i="3"/>
  <c r="Y16" i="3"/>
  <c r="Y24" i="3"/>
  <c r="P40" i="3"/>
  <c r="Q14" i="3"/>
  <c r="L12" i="3"/>
  <c r="AP27" i="3"/>
  <c r="AB9" i="3"/>
  <c r="AI33" i="3"/>
  <c r="W8" i="3"/>
  <c r="Z9" i="3"/>
  <c r="P16" i="3"/>
  <c r="T12" i="3"/>
  <c r="AB25" i="3"/>
  <c r="AH19" i="3"/>
  <c r="AN18" i="3"/>
  <c r="AC41" i="3"/>
  <c r="AI5" i="3"/>
  <c r="R26" i="3"/>
  <c r="Q22" i="3"/>
  <c r="O26" i="3"/>
  <c r="AN28" i="3"/>
  <c r="AK6" i="3"/>
  <c r="AK26" i="3"/>
  <c r="O13" i="3"/>
  <c r="J14" i="3"/>
  <c r="T6" i="3"/>
  <c r="R6" i="3"/>
  <c r="U22" i="3"/>
  <c r="U6" i="3"/>
  <c r="P11" i="3"/>
  <c r="AH26" i="3"/>
  <c r="X37" i="3"/>
  <c r="L34" i="3"/>
  <c r="AB34" i="3"/>
  <c r="C34" i="3"/>
  <c r="I21" i="3"/>
  <c r="AE41" i="3"/>
  <c r="X32" i="3"/>
  <c r="Z41" i="3"/>
  <c r="S22" i="3"/>
  <c r="X41" i="3"/>
  <c r="C35" i="3"/>
  <c r="P33" i="3"/>
  <c r="R40" i="3"/>
  <c r="W16" i="3"/>
  <c r="W9" i="3"/>
  <c r="AH32" i="3"/>
  <c r="AQ15" i="3"/>
  <c r="U10" i="3"/>
  <c r="AG12" i="3"/>
  <c r="AJ40" i="3"/>
  <c r="Q18" i="3"/>
  <c r="K41" i="3"/>
  <c r="O75" i="3"/>
  <c r="M76" i="3"/>
  <c r="Z97" i="3"/>
  <c r="I93" i="3"/>
  <c r="AO85" i="3"/>
  <c r="AN96" i="3"/>
  <c r="AQ87" i="3"/>
  <c r="M80" i="3"/>
  <c r="AI63" i="3"/>
  <c r="M71" i="3"/>
  <c r="AA54" i="3"/>
  <c r="AQ76" i="3"/>
  <c r="AA71" i="3"/>
  <c r="AN77" i="3"/>
  <c r="AM79" i="3"/>
  <c r="M55" i="3"/>
  <c r="H58" i="3"/>
  <c r="I48" i="3"/>
  <c r="I96" i="3"/>
  <c r="AQ78" i="3"/>
  <c r="I85" i="3"/>
  <c r="M57" i="3"/>
  <c r="AA70" i="3"/>
  <c r="H63" i="3"/>
  <c r="AC97" i="3"/>
  <c r="AA87" i="3"/>
  <c r="Z87" i="3"/>
  <c r="O97" i="3"/>
  <c r="AC91" i="3"/>
  <c r="AA77" i="3"/>
  <c r="AA63" i="3"/>
  <c r="AI86" i="3"/>
  <c r="AA65" i="3"/>
  <c r="N87" i="3"/>
  <c r="N73" i="3"/>
  <c r="AL73" i="3"/>
  <c r="N72" i="3"/>
  <c r="O72" i="3"/>
  <c r="AQ95" i="3"/>
  <c r="AO89" i="3"/>
  <c r="N81" i="3"/>
  <c r="AM80" i="3"/>
  <c r="H73" i="3"/>
  <c r="I58" i="3"/>
  <c r="AJ58" i="3"/>
  <c r="AO92" i="3"/>
  <c r="AQ84" i="3"/>
  <c r="O59" i="3"/>
  <c r="I46" i="2"/>
  <c r="AB67" i="3"/>
  <c r="E49" i="2"/>
  <c r="P61" i="2"/>
  <c r="C21" i="3"/>
  <c r="J46" i="2"/>
  <c r="R112" i="2"/>
  <c r="X81" i="2"/>
  <c r="H60" i="2"/>
  <c r="P97" i="2"/>
  <c r="O46" i="2"/>
  <c r="V59" i="2"/>
  <c r="U21" i="3"/>
  <c r="O77" i="2"/>
  <c r="K104" i="2"/>
  <c r="R64" i="2"/>
  <c r="S47" i="2"/>
  <c r="AB97" i="3"/>
  <c r="G40" i="3"/>
  <c r="W63" i="2"/>
  <c r="F87" i="2"/>
  <c r="K42" i="2"/>
  <c r="D87" i="2"/>
  <c r="N69" i="2"/>
  <c r="I51" i="2"/>
  <c r="U65" i="2"/>
  <c r="AP60" i="3"/>
  <c r="M29" i="3"/>
  <c r="AD38" i="3"/>
  <c r="M48" i="2"/>
  <c r="Q108" i="2"/>
  <c r="D50" i="2"/>
  <c r="O57" i="2"/>
  <c r="R66" i="2"/>
  <c r="S84" i="2"/>
  <c r="G93" i="2"/>
  <c r="R70" i="2"/>
  <c r="U59" i="2"/>
  <c r="Q50" i="2"/>
  <c r="Q51" i="2"/>
  <c r="AB47" i="3"/>
  <c r="T24" i="3"/>
  <c r="AE21" i="3"/>
  <c r="AG7" i="3"/>
  <c r="P41" i="3"/>
  <c r="U12" i="3"/>
  <c r="K15" i="3"/>
  <c r="AE29" i="3"/>
  <c r="AL40" i="3"/>
  <c r="Y35" i="3"/>
  <c r="AB40" i="3"/>
  <c r="Z27" i="3"/>
  <c r="K23" i="3"/>
  <c r="AJ36" i="3"/>
  <c r="AP17" i="3"/>
  <c r="H15" i="3"/>
  <c r="P37" i="3"/>
  <c r="H26" i="3"/>
  <c r="AE13" i="3"/>
  <c r="AA24" i="3"/>
  <c r="I17" i="3"/>
  <c r="N35" i="3"/>
  <c r="R28" i="3"/>
  <c r="L38" i="3"/>
  <c r="P23" i="3"/>
  <c r="AE36" i="3"/>
  <c r="U5" i="3"/>
  <c r="O31" i="3"/>
  <c r="J22" i="3"/>
  <c r="AG11" i="3"/>
  <c r="AE24" i="3"/>
  <c r="AA21" i="3"/>
  <c r="C9" i="3"/>
  <c r="AK13" i="3"/>
  <c r="N9" i="3"/>
  <c r="AB28" i="3"/>
  <c r="K27" i="3"/>
  <c r="AO36" i="3"/>
  <c r="G32" i="3"/>
  <c r="AQ23" i="3"/>
  <c r="AB13" i="3"/>
  <c r="N95" i="2"/>
  <c r="AB85" i="3"/>
  <c r="T99" i="2"/>
  <c r="E50" i="2"/>
  <c r="J36" i="3"/>
  <c r="J50" i="2"/>
  <c r="V94" i="2"/>
  <c r="J81" i="2"/>
  <c r="S91" i="2"/>
  <c r="H53" i="2"/>
  <c r="M41" i="2"/>
  <c r="U110" i="2"/>
  <c r="Y40" i="3"/>
  <c r="K91" i="2"/>
  <c r="F94" i="2"/>
  <c r="C109" i="2"/>
  <c r="W76" i="2"/>
  <c r="H17" i="3"/>
  <c r="Q29" i="3"/>
  <c r="R78" i="2"/>
  <c r="O83" i="2"/>
  <c r="Q48" i="2"/>
  <c r="V99" i="2"/>
  <c r="R96" i="2"/>
  <c r="T109" i="2"/>
  <c r="N57" i="2"/>
  <c r="W5" i="3"/>
  <c r="S33" i="3"/>
  <c r="J25" i="3"/>
  <c r="M88" i="2"/>
  <c r="F105" i="2"/>
  <c r="H74" i="2"/>
  <c r="R55" i="2"/>
  <c r="S108" i="2"/>
  <c r="W42" i="2"/>
  <c r="X51" i="2"/>
  <c r="F43" i="2"/>
  <c r="T56" i="2"/>
  <c r="E97" i="2"/>
  <c r="N55" i="2"/>
  <c r="AP55" i="3"/>
  <c r="AN22" i="3"/>
  <c r="M11" i="3"/>
  <c r="AP34" i="3"/>
  <c r="AJ33" i="3"/>
  <c r="AO32" i="3"/>
  <c r="AM20" i="3"/>
  <c r="L27" i="3"/>
  <c r="L42" i="3"/>
  <c r="M28" i="3"/>
  <c r="R5" i="3"/>
  <c r="K25" i="3"/>
  <c r="V33" i="3"/>
  <c r="AI23" i="3"/>
  <c r="W27" i="3"/>
  <c r="R39" i="3"/>
  <c r="W23" i="3"/>
  <c r="V5" i="3"/>
  <c r="AI17" i="3"/>
  <c r="AI14" i="3"/>
  <c r="P38" i="3"/>
  <c r="N21" i="3"/>
  <c r="AE8" i="3"/>
  <c r="X13" i="3"/>
  <c r="AE30" i="3"/>
  <c r="AG31" i="3"/>
  <c r="Q37" i="3"/>
  <c r="AG14" i="3"/>
  <c r="O33" i="3"/>
  <c r="AO40" i="3"/>
  <c r="K35" i="3"/>
  <c r="O9" i="3"/>
  <c r="H32" i="3"/>
  <c r="Z26" i="3"/>
  <c r="J13" i="3"/>
  <c r="AJ39" i="3"/>
  <c r="R22" i="3"/>
  <c r="J10" i="3"/>
  <c r="AH7" i="3"/>
  <c r="AN17" i="3"/>
  <c r="AP22" i="3"/>
  <c r="AO30" i="3"/>
  <c r="AB7" i="3"/>
  <c r="AE35" i="3"/>
  <c r="AC10" i="3"/>
  <c r="S14" i="3"/>
  <c r="AJ29" i="3"/>
  <c r="AA35" i="3"/>
  <c r="AB10" i="3"/>
  <c r="K21" i="3"/>
  <c r="AP18" i="3"/>
  <c r="G49" i="3"/>
  <c r="AQ26" i="3"/>
  <c r="K31" i="3"/>
  <c r="AQ16" i="3"/>
  <c r="M9" i="3"/>
  <c r="S27" i="3"/>
  <c r="H18" i="3"/>
  <c r="AL38" i="3"/>
  <c r="R21" i="3"/>
  <c r="AO35" i="3"/>
  <c r="AL14" i="3"/>
  <c r="R16" i="3"/>
  <c r="AP32" i="3"/>
  <c r="AO13" i="3"/>
  <c r="T41" i="3"/>
  <c r="AQ12" i="3"/>
  <c r="AE5" i="3"/>
  <c r="R9" i="3"/>
  <c r="P42" i="3"/>
  <c r="Y29" i="3"/>
  <c r="X39" i="3"/>
  <c r="I32" i="3"/>
  <c r="N18" i="3"/>
  <c r="AO26" i="3"/>
  <c r="AE67" i="3"/>
  <c r="AM78" i="3"/>
  <c r="I64" i="3"/>
  <c r="W65" i="3"/>
  <c r="AM66" i="3"/>
  <c r="R76" i="3"/>
  <c r="N64" i="3"/>
  <c r="AO57" i="3"/>
  <c r="Z66" i="3"/>
  <c r="AI64" i="3"/>
  <c r="H48" i="3"/>
  <c r="AL68" i="3"/>
  <c r="AL95" i="3"/>
  <c r="AA69" i="3"/>
  <c r="AI59" i="3"/>
  <c r="AM55" i="3"/>
  <c r="Z73" i="3"/>
  <c r="AM71" i="3"/>
  <c r="V85" i="3"/>
  <c r="H69" i="3"/>
  <c r="AA96" i="3"/>
  <c r="W60" i="3"/>
  <c r="N48" i="3"/>
  <c r="AI50" i="3"/>
  <c r="W84" i="3"/>
  <c r="H60" i="3"/>
  <c r="AQ75" i="3"/>
  <c r="R66" i="3"/>
  <c r="M97" i="3"/>
  <c r="V57" i="3"/>
  <c r="AI69" i="3"/>
  <c r="AI88" i="3"/>
  <c r="AE56" i="3"/>
  <c r="N54" i="3"/>
  <c r="W58" i="3"/>
  <c r="O78" i="3"/>
  <c r="AM60" i="3"/>
  <c r="I97" i="3"/>
  <c r="U54" i="3"/>
  <c r="H91" i="3"/>
  <c r="W83" i="3"/>
  <c r="AQ83" i="3"/>
  <c r="W88" i="3"/>
  <c r="AE82" i="3"/>
  <c r="AJ96" i="3"/>
  <c r="AM93" i="3"/>
  <c r="U85" i="3"/>
  <c r="AE57" i="3"/>
  <c r="O65" i="3"/>
  <c r="U83" i="3"/>
  <c r="AL97" i="3"/>
  <c r="N71" i="3"/>
  <c r="V81" i="3"/>
  <c r="AE74" i="3"/>
  <c r="Z90" i="3"/>
  <c r="AK82" i="3"/>
  <c r="AE62" i="3"/>
  <c r="V82" i="3"/>
  <c r="M78" i="3"/>
  <c r="D77" i="2"/>
  <c r="S16" i="3"/>
  <c r="V78" i="2"/>
  <c r="N75" i="2"/>
  <c r="AN31" i="3"/>
  <c r="V72" i="2"/>
  <c r="N108" i="2"/>
  <c r="AB48" i="3"/>
  <c r="W108" i="2"/>
  <c r="Q76" i="2"/>
  <c r="R83" i="2"/>
  <c r="T74" i="2"/>
  <c r="V24" i="3"/>
  <c r="M66" i="2"/>
  <c r="L55" i="2"/>
  <c r="K53" i="2"/>
  <c r="R94" i="2"/>
  <c r="J16" i="3"/>
  <c r="H107" i="2"/>
  <c r="M53" i="2"/>
  <c r="T40" i="2"/>
  <c r="T68" i="2"/>
  <c r="L49" i="2"/>
  <c r="N113" i="2"/>
  <c r="S65" i="2"/>
  <c r="T110" i="2"/>
  <c r="AN33" i="3"/>
  <c r="AM25" i="3"/>
  <c r="G35" i="3"/>
  <c r="L84" i="2"/>
  <c r="V49" i="2"/>
  <c r="G96" i="2"/>
  <c r="S53" i="2"/>
  <c r="N82" i="2"/>
  <c r="D84" i="2"/>
  <c r="H56" i="2"/>
  <c r="J113" i="2"/>
  <c r="I111" i="2"/>
  <c r="I69" i="2"/>
  <c r="F81" i="2"/>
  <c r="AB50" i="3"/>
  <c r="E49" i="3"/>
  <c r="H13" i="3"/>
  <c r="P8" i="3"/>
  <c r="AB22" i="3"/>
  <c r="M31" i="3"/>
  <c r="E48" i="3"/>
  <c r="AH34" i="3"/>
  <c r="AO18" i="3"/>
  <c r="AG33" i="3"/>
  <c r="N33" i="3"/>
  <c r="AA37" i="3"/>
  <c r="Y28" i="3"/>
  <c r="AN14" i="3"/>
  <c r="N30" i="3"/>
  <c r="M8" i="3"/>
  <c r="N6" i="3"/>
  <c r="AC35" i="3"/>
  <c r="AL35" i="3"/>
  <c r="Q39" i="3"/>
  <c r="AH12" i="3"/>
  <c r="W7" i="3"/>
  <c r="AG8" i="3"/>
  <c r="AM30" i="3"/>
  <c r="T21" i="3"/>
  <c r="C14" i="3"/>
  <c r="R31" i="3"/>
  <c r="V17" i="3"/>
  <c r="J35" i="3"/>
  <c r="V15" i="3"/>
  <c r="AM39" i="3"/>
  <c r="AC6" i="3"/>
  <c r="AJ11" i="3"/>
  <c r="AJ13" i="3"/>
  <c r="I24" i="3"/>
  <c r="AL28" i="3"/>
  <c r="AL24" i="3"/>
  <c r="Q11" i="3"/>
  <c r="AE19" i="3"/>
  <c r="G50" i="3"/>
  <c r="AO29" i="3"/>
  <c r="AB27" i="3"/>
  <c r="AI35" i="3"/>
  <c r="AM28" i="3"/>
  <c r="AI13" i="3"/>
  <c r="X20" i="3"/>
  <c r="AC15" i="3"/>
  <c r="AI41" i="3"/>
  <c r="Q38" i="3"/>
  <c r="AO25" i="3"/>
  <c r="AN29" i="3"/>
  <c r="AC26" i="3"/>
  <c r="R27" i="3"/>
  <c r="AL32" i="3"/>
  <c r="M16" i="3"/>
  <c r="AK24" i="3"/>
  <c r="O6" i="3"/>
  <c r="E50" i="3"/>
  <c r="R10" i="3"/>
  <c r="Z20" i="3"/>
  <c r="W17" i="3"/>
  <c r="V28" i="3"/>
  <c r="M14" i="3"/>
  <c r="AQ17" i="3"/>
  <c r="AD31" i="3"/>
  <c r="H9" i="3"/>
  <c r="AG38" i="3"/>
  <c r="W10" i="3"/>
  <c r="AA13" i="3"/>
  <c r="P31" i="3"/>
  <c r="AG5" i="3"/>
  <c r="D49" i="3"/>
  <c r="S10" i="3"/>
  <c r="S18" i="3"/>
  <c r="AA19" i="3"/>
  <c r="O87" i="3"/>
  <c r="AN70" i="3"/>
  <c r="M69" i="3"/>
  <c r="AM68" i="3"/>
  <c r="H61" i="3"/>
  <c r="AE69" i="3"/>
  <c r="R78" i="3"/>
  <c r="AN48" i="3"/>
  <c r="V68" i="3"/>
  <c r="AN89" i="3"/>
  <c r="AG77" i="3"/>
  <c r="AA49" i="3"/>
  <c r="AE76" i="3"/>
  <c r="AQ71" i="3"/>
  <c r="N69" i="3"/>
  <c r="AG61" i="3"/>
  <c r="R93" i="3"/>
  <c r="AG92" i="3"/>
  <c r="AM87" i="3"/>
  <c r="AO65" i="3"/>
  <c r="W78" i="2"/>
  <c r="O21" i="3"/>
  <c r="G48" i="2"/>
  <c r="I45" i="2"/>
  <c r="AK21" i="3"/>
  <c r="J65" i="2"/>
  <c r="K84" i="2"/>
  <c r="C47" i="3"/>
  <c r="T113" i="2"/>
  <c r="L43" i="2"/>
  <c r="F44" i="2"/>
  <c r="J45" i="2"/>
  <c r="H28" i="3"/>
  <c r="F50" i="2"/>
  <c r="I82" i="2"/>
  <c r="K51" i="2"/>
  <c r="T52" i="2"/>
  <c r="S31" i="3"/>
  <c r="E95" i="2"/>
  <c r="T51" i="2"/>
  <c r="G82" i="2"/>
  <c r="U67" i="2"/>
  <c r="L60" i="2"/>
  <c r="X48" i="2"/>
  <c r="V44" i="2"/>
  <c r="T63" i="2"/>
  <c r="AJ17" i="3"/>
  <c r="N34" i="3"/>
  <c r="M20" i="3"/>
  <c r="X71" i="2"/>
  <c r="H113" i="2"/>
  <c r="P79" i="2"/>
  <c r="S73" i="2"/>
  <c r="F72" i="2"/>
  <c r="M60" i="2"/>
  <c r="Q90" i="2"/>
  <c r="L96" i="2"/>
  <c r="V70" i="2"/>
  <c r="P57" i="2"/>
  <c r="E78" i="2"/>
  <c r="AP54" i="3"/>
  <c r="Y17" i="3"/>
  <c r="P25" i="3"/>
  <c r="O41" i="3"/>
  <c r="AN32" i="3"/>
  <c r="M7" i="3"/>
  <c r="AG18" i="3"/>
  <c r="Q41" i="3"/>
  <c r="J5" i="3"/>
  <c r="J39" i="3"/>
  <c r="AM18" i="3"/>
  <c r="J11" i="3"/>
  <c r="AM9" i="3"/>
  <c r="C24" i="3"/>
  <c r="Y7" i="3"/>
  <c r="U9" i="3"/>
  <c r="AG20" i="3"/>
  <c r="W25" i="3"/>
  <c r="K33" i="3"/>
  <c r="N22" i="3"/>
  <c r="V20" i="3"/>
  <c r="J27" i="3"/>
  <c r="AG32" i="3"/>
  <c r="X26" i="3"/>
  <c r="J32" i="3"/>
  <c r="AQ27" i="3"/>
  <c r="K17" i="3"/>
  <c r="AE26" i="3"/>
  <c r="V37" i="3"/>
  <c r="AO42" i="3"/>
  <c r="H19" i="3"/>
  <c r="M33" i="3"/>
  <c r="AI32" i="3"/>
  <c r="AA10" i="3"/>
  <c r="O25" i="3"/>
  <c r="G33" i="3"/>
  <c r="T18" i="3"/>
  <c r="V39" i="3"/>
  <c r="AJ14" i="3"/>
  <c r="AB24" i="3"/>
  <c r="G39" i="3"/>
  <c r="V32" i="3"/>
  <c r="AL26" i="3"/>
  <c r="P7" i="3"/>
  <c r="Z14" i="3"/>
  <c r="AP38" i="3"/>
  <c r="V23" i="3"/>
  <c r="T32" i="3"/>
  <c r="AC19" i="3"/>
  <c r="O7" i="3"/>
  <c r="W41" i="3"/>
  <c r="U25" i="3"/>
  <c r="AK42" i="3"/>
  <c r="AC30" i="3"/>
  <c r="AG13" i="3"/>
  <c r="L20" i="3"/>
  <c r="U28" i="3"/>
  <c r="V7" i="3"/>
  <c r="Y32" i="3"/>
  <c r="Y8" i="3"/>
  <c r="Y12" i="3"/>
  <c r="K34" i="3"/>
  <c r="AD23" i="3"/>
  <c r="N41" i="3"/>
  <c r="N25" i="3"/>
  <c r="T28" i="3"/>
  <c r="Y30" i="3"/>
  <c r="AE6" i="3"/>
  <c r="O111" i="2"/>
  <c r="I57" i="2"/>
  <c r="W72" i="2"/>
  <c r="D73" i="2"/>
  <c r="I16" i="3"/>
  <c r="L48" i="2"/>
  <c r="J111" i="2"/>
  <c r="S110" i="2"/>
  <c r="N51" i="2"/>
  <c r="R91" i="2"/>
  <c r="K78" i="2"/>
  <c r="AQ18" i="3"/>
  <c r="C72" i="2"/>
  <c r="G105" i="2"/>
  <c r="AQ13" i="3"/>
  <c r="O74" i="2"/>
  <c r="C69" i="2"/>
  <c r="X76" i="2"/>
  <c r="K63" i="2"/>
  <c r="W40" i="3"/>
  <c r="E63" i="2"/>
  <c r="S112" i="2"/>
  <c r="T106" i="2"/>
  <c r="G78" i="2"/>
  <c r="O37" i="3"/>
  <c r="J109" i="2"/>
  <c r="M105" i="2"/>
  <c r="E58" i="2"/>
  <c r="S49" i="2"/>
  <c r="D112" i="2"/>
  <c r="G56" i="2"/>
  <c r="E112" i="2"/>
  <c r="V95" i="2"/>
  <c r="AQ39" i="3"/>
  <c r="AM11" i="3"/>
  <c r="C25" i="3"/>
  <c r="E84" i="2"/>
  <c r="J41" i="2"/>
  <c r="S86" i="2"/>
  <c r="Q99" i="2"/>
  <c r="D97" i="2"/>
  <c r="W54" i="2"/>
  <c r="R93" i="2"/>
  <c r="V66" i="2"/>
  <c r="E80" i="2"/>
  <c r="F59" i="2"/>
  <c r="W112" i="2"/>
  <c r="AB64" i="3"/>
  <c r="X12" i="3"/>
  <c r="AI21" i="3"/>
  <c r="O15" i="3"/>
  <c r="AN25" i="3"/>
  <c r="Y31" i="3"/>
  <c r="W31" i="3"/>
  <c r="P24" i="3"/>
  <c r="AA16" i="3"/>
  <c r="AI7" i="3"/>
  <c r="K28" i="3"/>
  <c r="L35" i="3"/>
  <c r="AP9" i="3"/>
  <c r="AM24" i="3"/>
  <c r="K6" i="3"/>
  <c r="J9" i="3"/>
  <c r="AN42" i="3"/>
  <c r="N12" i="3"/>
  <c r="R7" i="3"/>
  <c r="C26" i="3"/>
  <c r="Z8" i="3"/>
  <c r="R17" i="3"/>
  <c r="S38" i="3"/>
  <c r="R38" i="3"/>
  <c r="Y20" i="3"/>
  <c r="AJ26" i="3"/>
  <c r="C13" i="3"/>
  <c r="AM36" i="3"/>
  <c r="AH20" i="3"/>
  <c r="AN36" i="3"/>
  <c r="P20" i="3"/>
  <c r="Q5" i="3"/>
  <c r="AP33" i="3"/>
  <c r="AM29" i="3"/>
  <c r="AD26" i="3"/>
  <c r="AM31" i="3"/>
  <c r="AL23" i="3"/>
  <c r="U13" i="3"/>
  <c r="O20" i="3"/>
  <c r="AH10" i="3"/>
  <c r="AG36" i="3"/>
  <c r="AD30" i="3"/>
  <c r="AE37" i="3"/>
  <c r="J28" i="3"/>
  <c r="AK23" i="3"/>
  <c r="AO8" i="3"/>
  <c r="I31" i="3"/>
  <c r="AA36" i="3"/>
  <c r="AB12" i="3"/>
  <c r="U33" i="3"/>
  <c r="X22" i="3"/>
  <c r="AB35" i="3"/>
  <c r="N7" i="3"/>
  <c r="P26" i="3"/>
  <c r="AD29" i="3"/>
  <c r="AN7" i="3"/>
  <c r="AH40" i="3"/>
  <c r="L36" i="3"/>
  <c r="M37" i="3"/>
  <c r="R41" i="3"/>
  <c r="Y5" i="3"/>
  <c r="O12" i="3"/>
  <c r="AJ9" i="3"/>
  <c r="K20" i="3"/>
  <c r="O38" i="3"/>
  <c r="R20" i="3"/>
  <c r="AE33" i="3"/>
  <c r="AL8" i="3"/>
  <c r="AJ28" i="3"/>
  <c r="AK33" i="3"/>
  <c r="K11" i="3"/>
  <c r="N23" i="3"/>
  <c r="K37" i="3"/>
  <c r="M41" i="3"/>
  <c r="AD41" i="3"/>
  <c r="H82" i="3"/>
  <c r="U47" i="3"/>
  <c r="AC71" i="3"/>
  <c r="V66" i="3"/>
  <c r="Z72" i="3"/>
  <c r="I87" i="3"/>
  <c r="H67" i="3"/>
  <c r="AL66" i="3"/>
  <c r="R50" i="3"/>
  <c r="AC49" i="3"/>
  <c r="C37" i="3"/>
  <c r="S104" i="2"/>
  <c r="O40" i="2"/>
  <c r="H40" i="3"/>
  <c r="AO28" i="3"/>
  <c r="AC40" i="3"/>
  <c r="AK8" i="3"/>
  <c r="I33" i="3"/>
  <c r="W32" i="3"/>
  <c r="T11" i="3"/>
  <c r="Y27" i="3"/>
  <c r="V11" i="3"/>
  <c r="K32" i="3"/>
  <c r="C30" i="3"/>
  <c r="AL6" i="3"/>
  <c r="V36" i="3"/>
  <c r="AO66" i="3"/>
  <c r="AG75" i="3"/>
  <c r="Q79" i="3"/>
  <c r="AA66" i="3"/>
  <c r="Z96" i="3"/>
  <c r="I50" i="3"/>
  <c r="Q76" i="3"/>
  <c r="AA57" i="3"/>
  <c r="R55" i="3"/>
  <c r="Z86" i="3"/>
  <c r="Y55" i="3"/>
  <c r="AE61" i="3"/>
  <c r="AC55" i="3"/>
  <c r="J54" i="3"/>
  <c r="Y87" i="3"/>
  <c r="AI94" i="3"/>
  <c r="V84" i="3"/>
  <c r="AQ50" i="3"/>
  <c r="J87" i="3"/>
  <c r="AO79" i="3"/>
  <c r="AC50" i="3"/>
  <c r="V48" i="3"/>
  <c r="M67" i="3"/>
  <c r="O71" i="3"/>
  <c r="AJ87" i="3"/>
  <c r="R64" i="3"/>
  <c r="W48" i="3"/>
  <c r="AJ91" i="3"/>
  <c r="AC59" i="3"/>
  <c r="M89" i="3"/>
  <c r="W79" i="3"/>
  <c r="AO50" i="3"/>
  <c r="W75" i="3"/>
  <c r="AC93" i="3"/>
  <c r="AK50" i="3"/>
  <c r="M82" i="3"/>
  <c r="J67" i="3"/>
  <c r="J84" i="3"/>
  <c r="AJ67" i="3"/>
  <c r="AO83" i="3"/>
  <c r="Y86" i="3"/>
  <c r="AK67" i="3"/>
  <c r="J60" i="3"/>
  <c r="AO68" i="3"/>
  <c r="R71" i="3"/>
  <c r="AN80" i="3"/>
  <c r="M88" i="3"/>
  <c r="Q90" i="3"/>
  <c r="G106" i="2"/>
  <c r="T85" i="2"/>
  <c r="J57" i="2"/>
  <c r="AM12" i="3"/>
  <c r="AC12" i="3"/>
  <c r="W14" i="3"/>
  <c r="AN15" i="3"/>
  <c r="K16" i="3"/>
  <c r="AK7" i="3"/>
  <c r="AQ40" i="3"/>
  <c r="C27" i="3"/>
  <c r="AG40" i="3"/>
  <c r="AJ72" i="3"/>
  <c r="AJ74" i="3"/>
  <c r="AE63" i="3"/>
  <c r="AI58" i="3"/>
  <c r="AI82" i="3"/>
  <c r="J57" i="3"/>
  <c r="AA90" i="3"/>
  <c r="O94" i="3"/>
  <c r="AM58" i="3"/>
  <c r="AC56" i="3"/>
  <c r="AI80" i="3"/>
  <c r="AJ66" i="3"/>
  <c r="U94" i="3"/>
  <c r="O90" i="3"/>
  <c r="V95" i="3"/>
  <c r="O48" i="3"/>
  <c r="W70" i="3"/>
  <c r="W49" i="3"/>
  <c r="M81" i="3"/>
  <c r="AJ49" i="3"/>
  <c r="AM61" i="3"/>
  <c r="AL50" i="3"/>
  <c r="AC87" i="3"/>
  <c r="W82" i="3"/>
  <c r="Y78" i="3"/>
  <c r="AK93" i="3"/>
  <c r="M93" i="3"/>
  <c r="AL57" i="3"/>
  <c r="O64" i="3"/>
  <c r="M25" i="3"/>
  <c r="I47" i="3"/>
  <c r="U70" i="3"/>
  <c r="J73" i="3"/>
  <c r="V62" i="3"/>
  <c r="AE93" i="3"/>
  <c r="Y67" i="3"/>
  <c r="N89" i="3"/>
  <c r="AD36" i="3"/>
  <c r="AH30" i="3"/>
  <c r="AH18" i="3"/>
  <c r="Z22" i="3"/>
  <c r="AM84" i="3"/>
  <c r="W85" i="3"/>
  <c r="R75" i="3"/>
  <c r="Z85" i="3"/>
  <c r="W99" i="2"/>
  <c r="V54" i="2"/>
  <c r="T94" i="2"/>
  <c r="L28" i="3"/>
  <c r="AG16" i="3"/>
  <c r="AO19" i="3"/>
  <c r="AJ7" i="3"/>
  <c r="AN10" i="3"/>
  <c r="N37" i="3"/>
  <c r="AA23" i="3"/>
  <c r="AK18" i="3"/>
  <c r="P17" i="3"/>
  <c r="L24" i="3"/>
  <c r="AK41" i="3"/>
  <c r="X17" i="3"/>
  <c r="Y41" i="3"/>
  <c r="AA60" i="3"/>
  <c r="AQ79" i="3"/>
  <c r="AC60" i="3"/>
  <c r="AG83" i="3"/>
  <c r="J91" i="3"/>
  <c r="Y80" i="3"/>
  <c r="M50" i="3"/>
  <c r="Z78" i="3"/>
  <c r="R92" i="3"/>
  <c r="AL55" i="3"/>
  <c r="AI90" i="3"/>
  <c r="AA88" i="3"/>
  <c r="J94" i="3"/>
  <c r="I62" i="3"/>
  <c r="Q73" i="3"/>
  <c r="U72" i="3"/>
  <c r="J74" i="3"/>
  <c r="AA95" i="3"/>
  <c r="AC47" i="3"/>
  <c r="I63" i="3"/>
  <c r="AQ89" i="3"/>
  <c r="Q82" i="3"/>
  <c r="AO64" i="3"/>
  <c r="AJ82" i="3"/>
  <c r="W94" i="3"/>
  <c r="AQ93" i="3"/>
  <c r="U60" i="3"/>
  <c r="Q67" i="3"/>
  <c r="AQ81" i="3"/>
  <c r="I70" i="3"/>
  <c r="N86" i="3"/>
  <c r="AM92" i="3"/>
  <c r="Z64" i="3"/>
  <c r="R74" i="3"/>
  <c r="Z77" i="3"/>
  <c r="AQ73" i="3"/>
  <c r="AJ69" i="3"/>
  <c r="AE97" i="3"/>
  <c r="AI76" i="3"/>
  <c r="Y84" i="3"/>
  <c r="AQ58" i="3"/>
  <c r="AI92" i="3"/>
  <c r="Z48" i="3"/>
  <c r="AN61" i="3"/>
  <c r="AI62" i="3"/>
  <c r="AL84" i="3"/>
  <c r="AG79" i="3"/>
  <c r="AM63" i="3"/>
  <c r="V63" i="2"/>
  <c r="E98" i="2"/>
  <c r="J98" i="2"/>
  <c r="N109" i="2"/>
  <c r="X89" i="2"/>
  <c r="Z23" i="3"/>
  <c r="H33" i="3"/>
  <c r="L23" i="3"/>
  <c r="AK11" i="3"/>
  <c r="AH27" i="3"/>
  <c r="K26" i="3"/>
  <c r="AO9" i="3"/>
  <c r="L5" i="3"/>
  <c r="AL36" i="3"/>
  <c r="V19" i="3"/>
  <c r="I42" i="3"/>
  <c r="S5" i="3"/>
  <c r="M40" i="3"/>
  <c r="AL96" i="3"/>
  <c r="AA83" i="3"/>
  <c r="S50" i="3"/>
  <c r="M79" i="3"/>
  <c r="H62" i="3"/>
  <c r="AN74" i="3"/>
  <c r="AE59" i="3"/>
  <c r="I66" i="3"/>
  <c r="AM62" i="3"/>
  <c r="AC67" i="3"/>
  <c r="O69" i="3"/>
  <c r="U96" i="3"/>
  <c r="N93" i="3"/>
  <c r="AQ94" i="3"/>
  <c r="I71" i="3"/>
  <c r="AQ90" i="3"/>
  <c r="AN87" i="3"/>
  <c r="H49" i="3"/>
  <c r="W64" i="3"/>
  <c r="AE95" i="3"/>
  <c r="I69" i="3"/>
  <c r="L49" i="3"/>
  <c r="O70" i="3"/>
  <c r="N59" i="3"/>
  <c r="AN62" i="3"/>
  <c r="S95" i="3"/>
  <c r="Y69" i="3"/>
  <c r="V69" i="3"/>
  <c r="V73" i="3"/>
  <c r="Y75" i="3"/>
  <c r="V71" i="3"/>
  <c r="M70" i="3"/>
  <c r="V79" i="3"/>
  <c r="AO71" i="3"/>
  <c r="AK49" i="3"/>
  <c r="H95" i="3"/>
  <c r="AO75" i="3"/>
  <c r="AE54" i="3"/>
  <c r="V50" i="3"/>
  <c r="S64" i="3"/>
  <c r="H92" i="3"/>
  <c r="W87" i="3"/>
  <c r="R70" i="3"/>
  <c r="Q54" i="3"/>
  <c r="W69" i="3"/>
  <c r="Y65" i="3"/>
  <c r="AG95" i="3"/>
  <c r="H59" i="3"/>
  <c r="Y97" i="3"/>
  <c r="M73" i="3"/>
  <c r="Z71" i="3"/>
  <c r="AG78" i="3"/>
  <c r="Z34" i="3"/>
  <c r="D68" i="2"/>
  <c r="I20" i="3"/>
  <c r="AK28" i="3"/>
  <c r="Z37" i="3"/>
  <c r="C42" i="3"/>
  <c r="L40" i="3"/>
  <c r="U41" i="3"/>
  <c r="L9" i="3"/>
  <c r="J34" i="3"/>
  <c r="AM17" i="3"/>
  <c r="AH8" i="3"/>
  <c r="L39" i="3"/>
  <c r="J31" i="3"/>
  <c r="AG76" i="3"/>
  <c r="Y90" i="3"/>
  <c r="AE72" i="3"/>
  <c r="I88" i="3"/>
  <c r="L89" i="3"/>
  <c r="AN71" i="3"/>
  <c r="AL62" i="3"/>
  <c r="J61" i="3"/>
  <c r="M72" i="3"/>
  <c r="AM47" i="3"/>
  <c r="N76" i="3"/>
  <c r="AM56" i="3"/>
  <c r="AA76" i="3"/>
  <c r="Z83" i="3"/>
  <c r="Q93" i="3"/>
  <c r="AI65" i="3"/>
  <c r="W78" i="3"/>
  <c r="M75" i="3"/>
  <c r="AI84" i="3"/>
  <c r="Q86" i="3"/>
  <c r="N56" i="3"/>
  <c r="AI71" i="3"/>
  <c r="V72" i="3"/>
  <c r="AK89" i="3"/>
  <c r="H47" i="3"/>
  <c r="AL71" i="3"/>
  <c r="N91" i="3"/>
  <c r="AQ61" i="3"/>
  <c r="AG54" i="3"/>
  <c r="L79" i="3"/>
  <c r="N70" i="3"/>
  <c r="AL79" i="3"/>
  <c r="H94" i="3"/>
  <c r="N80" i="3"/>
  <c r="AL63" i="3"/>
  <c r="J62" i="3"/>
  <c r="AQ62" i="3"/>
  <c r="E93" i="2"/>
  <c r="Q21" i="3"/>
  <c r="J89" i="3"/>
  <c r="Y57" i="3"/>
  <c r="AE89" i="3"/>
  <c r="AO95" i="3"/>
  <c r="AQ72" i="3"/>
  <c r="N92" i="3"/>
  <c r="U88" i="3"/>
  <c r="O82" i="3"/>
  <c r="AQ66" i="3"/>
  <c r="AC94" i="3"/>
  <c r="AO74" i="3"/>
  <c r="I73" i="3"/>
  <c r="W74" i="3"/>
  <c r="AJ77" i="3"/>
  <c r="AG68" i="3"/>
  <c r="AM81" i="3"/>
  <c r="AQ70" i="3"/>
  <c r="AO78" i="3"/>
  <c r="L92" i="3"/>
  <c r="H96" i="3"/>
  <c r="R49" i="3"/>
  <c r="AK74" i="3"/>
  <c r="Y82" i="3"/>
  <c r="AM97" i="3"/>
  <c r="AC70" i="3"/>
  <c r="W91" i="2"/>
  <c r="X45" i="2"/>
  <c r="S83" i="2"/>
  <c r="AA18" i="3"/>
  <c r="AB30" i="3"/>
  <c r="X21" i="3"/>
  <c r="AI19" i="3"/>
  <c r="T42" i="3"/>
  <c r="S40" i="3"/>
  <c r="L17" i="3"/>
  <c r="AP28" i="3"/>
  <c r="Y26" i="3"/>
  <c r="AC24" i="3"/>
  <c r="P29" i="3"/>
  <c r="Y9" i="3"/>
  <c r="AH39" i="3"/>
  <c r="O91" i="3"/>
  <c r="AO47" i="3"/>
  <c r="H55" i="3"/>
  <c r="AN50" i="3"/>
  <c r="O50" i="3"/>
  <c r="Q60" i="3"/>
  <c r="AN72" i="3"/>
  <c r="H65" i="3"/>
  <c r="Y68" i="3"/>
  <c r="O88" i="3"/>
  <c r="I56" i="3"/>
  <c r="AM74" i="3"/>
  <c r="AM88" i="3"/>
  <c r="W97" i="3"/>
  <c r="AG72" i="3"/>
  <c r="H76" i="3"/>
  <c r="R88" i="3"/>
  <c r="Z81" i="3"/>
  <c r="AN54" i="3"/>
  <c r="H83" i="3"/>
  <c r="AO80" i="3"/>
  <c r="AO86" i="3"/>
  <c r="W81" i="3"/>
  <c r="AC89" i="3"/>
  <c r="W91" i="3"/>
  <c r="Q58" i="3"/>
  <c r="W92" i="3"/>
  <c r="AI55" i="3"/>
  <c r="W90" i="3"/>
  <c r="J85" i="3"/>
  <c r="AG73" i="3"/>
  <c r="Z55" i="3"/>
  <c r="J83" i="3"/>
  <c r="AG84" i="3"/>
  <c r="AC96" i="3"/>
  <c r="AJ64" i="3"/>
  <c r="V88" i="3"/>
  <c r="I75" i="3"/>
  <c r="AA68" i="3"/>
  <c r="L82" i="3"/>
  <c r="AM86" i="3"/>
  <c r="AQ59" i="3"/>
  <c r="Y58" i="3"/>
  <c r="AI66" i="3"/>
  <c r="AK87" i="3"/>
  <c r="I54" i="3"/>
  <c r="AJ48" i="3"/>
  <c r="L87" i="3"/>
  <c r="R85" i="3"/>
  <c r="AA67" i="3"/>
  <c r="AG50" i="3"/>
  <c r="S37" i="3"/>
  <c r="AC8" i="3"/>
  <c r="AQ31" i="3"/>
  <c r="AO16" i="3"/>
  <c r="R8" i="3"/>
  <c r="AC72" i="3"/>
  <c r="Z49" i="3"/>
  <c r="W50" i="3"/>
  <c r="H74" i="3"/>
  <c r="I80" i="3"/>
  <c r="AJ88" i="3"/>
  <c r="J86" i="3"/>
  <c r="R56" i="3"/>
  <c r="AC77" i="3"/>
  <c r="AI87" i="3"/>
  <c r="AM64" i="3"/>
  <c r="AG94" i="3"/>
  <c r="R97" i="3"/>
  <c r="L47" i="3"/>
  <c r="U69" i="3"/>
  <c r="Y48" i="3"/>
  <c r="N85" i="3"/>
  <c r="N67" i="3"/>
  <c r="Y88" i="3"/>
  <c r="O68" i="3"/>
  <c r="I74" i="3"/>
  <c r="AO59" i="3"/>
  <c r="AO61" i="3"/>
  <c r="O93" i="3"/>
  <c r="O76" i="3"/>
  <c r="AO67" i="3"/>
  <c r="Z60" i="3"/>
  <c r="AE90" i="3"/>
  <c r="R81" i="3"/>
  <c r="AE40" i="3"/>
  <c r="P36" i="3"/>
  <c r="AE17" i="3"/>
  <c r="AI39" i="3"/>
  <c r="N78" i="3"/>
  <c r="AM54" i="3"/>
  <c r="H64" i="3"/>
  <c r="Y76" i="3"/>
  <c r="Z93" i="3"/>
  <c r="S69" i="3"/>
  <c r="AC75" i="3"/>
  <c r="Y64" i="3"/>
  <c r="AA72" i="3"/>
  <c r="N49" i="3"/>
  <c r="L65" i="3"/>
  <c r="AQ60" i="3"/>
  <c r="I62" i="2"/>
  <c r="M17" i="3"/>
  <c r="F45" i="2"/>
  <c r="AG9" i="3"/>
  <c r="X5" i="3"/>
  <c r="AO17" i="3"/>
  <c r="I35" i="3"/>
  <c r="AI29" i="3"/>
  <c r="J8" i="3"/>
  <c r="L13" i="3"/>
  <c r="K42" i="3"/>
  <c r="AP42" i="3"/>
  <c r="K5" i="3"/>
  <c r="R33" i="3"/>
  <c r="AC32" i="3"/>
  <c r="T13" i="3"/>
  <c r="AQ56" i="3"/>
  <c r="V70" i="3"/>
  <c r="AM49" i="3"/>
  <c r="AI91" i="3"/>
  <c r="AQ48" i="3"/>
  <c r="Q96" i="3"/>
  <c r="Q72" i="3"/>
  <c r="AE49" i="3"/>
  <c r="AO60" i="3"/>
  <c r="M77" i="3"/>
  <c r="Z56" i="3"/>
  <c r="AO73" i="3"/>
  <c r="AL85" i="3"/>
  <c r="AI97" i="3"/>
  <c r="AA61" i="3"/>
  <c r="AA85" i="3"/>
  <c r="AC81" i="3"/>
  <c r="M54" i="3"/>
  <c r="O60" i="3"/>
  <c r="AE70" i="3"/>
  <c r="S71" i="3"/>
  <c r="AO58" i="3"/>
  <c r="V61" i="3"/>
  <c r="AA94" i="3"/>
  <c r="V93" i="3"/>
  <c r="I76" i="3"/>
  <c r="W71" i="3"/>
  <c r="AM65" i="3"/>
  <c r="S77" i="3"/>
  <c r="U49" i="3"/>
  <c r="M61" i="3"/>
  <c r="AN49" i="3"/>
  <c r="AE91" i="3"/>
  <c r="AA74" i="3"/>
  <c r="X50" i="3"/>
  <c r="X91" i="3"/>
  <c r="AN57" i="3"/>
  <c r="K62" i="3"/>
  <c r="H85" i="3"/>
  <c r="AJ47" i="3"/>
  <c r="AL86" i="3"/>
  <c r="Q94" i="3"/>
  <c r="V47" i="3"/>
  <c r="N68" i="3"/>
  <c r="Q85" i="3"/>
  <c r="AJ97" i="3"/>
  <c r="AE92" i="3"/>
  <c r="J47" i="3"/>
  <c r="U77" i="3"/>
  <c r="AQ64" i="3"/>
  <c r="AQ77" i="3"/>
  <c r="J97" i="3"/>
  <c r="S86" i="3"/>
  <c r="M84" i="3"/>
  <c r="AG91" i="3"/>
  <c r="Y92" i="3"/>
  <c r="P45" i="2"/>
  <c r="AP21" i="3"/>
  <c r="AQ88" i="3"/>
  <c r="AC79" i="3"/>
  <c r="K50" i="3"/>
  <c r="AN84" i="3"/>
  <c r="M95" i="3"/>
  <c r="H72" i="3"/>
  <c r="J71" i="3"/>
  <c r="AE83" i="3"/>
  <c r="AJ92" i="3"/>
  <c r="AN69" i="3"/>
  <c r="M85" i="3"/>
  <c r="M91" i="3"/>
  <c r="AL65" i="3"/>
  <c r="AM85" i="3"/>
  <c r="R87" i="3"/>
  <c r="AA55" i="3"/>
  <c r="AM94" i="3"/>
  <c r="N61" i="3"/>
  <c r="AL58" i="3"/>
  <c r="AN94" i="3"/>
  <c r="AC62" i="3"/>
  <c r="U65" i="3"/>
  <c r="R95" i="3"/>
  <c r="AQ68" i="3"/>
  <c r="R86" i="3"/>
  <c r="U79" i="3"/>
  <c r="H84" i="3"/>
  <c r="AN91" i="3"/>
  <c r="K91" i="3"/>
  <c r="L62" i="3"/>
  <c r="S63" i="3"/>
  <c r="H56" i="3"/>
  <c r="AC78" i="3"/>
  <c r="AN86" i="3"/>
  <c r="H70" i="3"/>
  <c r="S58" i="3"/>
  <c r="AA79" i="3"/>
  <c r="AO55" i="3"/>
  <c r="AI49" i="3"/>
  <c r="AM77" i="3"/>
  <c r="AJ86" i="3"/>
  <c r="AM67" i="3"/>
  <c r="M47" i="3"/>
  <c r="AK81" i="3"/>
  <c r="K87" i="3"/>
  <c r="Z65" i="3"/>
  <c r="AK47" i="3"/>
  <c r="N55" i="3"/>
  <c r="I47" i="2"/>
  <c r="T9" i="3"/>
  <c r="AP13" i="3"/>
  <c r="N79" i="3"/>
  <c r="AL76" i="3"/>
  <c r="Y71" i="3"/>
  <c r="V90" i="3"/>
  <c r="AC63" i="3"/>
  <c r="Q74" i="3"/>
  <c r="AN88" i="3"/>
  <c r="AA47" i="3"/>
  <c r="S84" i="3"/>
  <c r="O84" i="3"/>
  <c r="AN81" i="3"/>
  <c r="AO88" i="3"/>
  <c r="Q41" i="2"/>
  <c r="Q31" i="3"/>
  <c r="K24" i="3"/>
  <c r="Z38" i="3"/>
  <c r="AD48" i="3"/>
  <c r="S25" i="3"/>
  <c r="AI37" i="3"/>
  <c r="AL39" i="3"/>
  <c r="L10" i="3"/>
  <c r="Z76" i="3"/>
  <c r="N88" i="3"/>
  <c r="R79" i="3"/>
  <c r="X61" i="3"/>
  <c r="AL93" i="3"/>
  <c r="AK58" i="3"/>
  <c r="AL92" i="3"/>
  <c r="AO70" i="3"/>
  <c r="U80" i="3"/>
  <c r="I91" i="3"/>
  <c r="Q57" i="3"/>
  <c r="AL89" i="3"/>
  <c r="J90" i="3"/>
  <c r="AJ50" i="3"/>
  <c r="Y91" i="3"/>
  <c r="AN93" i="3"/>
  <c r="O86" i="3"/>
  <c r="AM95" i="3"/>
  <c r="S97" i="3"/>
  <c r="AL49" i="3"/>
  <c r="AC16" i="3"/>
  <c r="Q26" i="3"/>
  <c r="U23" i="3"/>
  <c r="T5" i="3"/>
  <c r="AC23" i="3"/>
  <c r="AK19" i="3"/>
  <c r="AJ70" i="3"/>
  <c r="Q91" i="3"/>
  <c r="K75" i="3"/>
  <c r="J50" i="3"/>
  <c r="AJ78" i="3"/>
  <c r="AM76" i="3"/>
  <c r="AN55" i="3"/>
  <c r="AA81" i="3"/>
  <c r="U86" i="3"/>
  <c r="I95" i="3"/>
  <c r="I49" i="3"/>
  <c r="X47" i="3"/>
  <c r="X80" i="2"/>
  <c r="AL9" i="3"/>
  <c r="AB86" i="3"/>
  <c r="AL10" i="3"/>
  <c r="AD33" i="3"/>
  <c r="R13" i="3"/>
  <c r="R37" i="3"/>
  <c r="AN41" i="3"/>
  <c r="AH35" i="3"/>
  <c r="Q13" i="3"/>
  <c r="AQ21" i="3"/>
  <c r="AG41" i="3"/>
  <c r="M22" i="3"/>
  <c r="I30" i="3"/>
  <c r="AH5" i="3"/>
  <c r="M18" i="3"/>
  <c r="AJ83" i="3"/>
  <c r="M83" i="3"/>
  <c r="AQ65" i="3"/>
  <c r="U89" i="3"/>
  <c r="U92" i="3"/>
  <c r="N47" i="3"/>
  <c r="AN76" i="3"/>
  <c r="AA50" i="3"/>
  <c r="O61" i="3"/>
  <c r="W62" i="3"/>
  <c r="AN66" i="3"/>
  <c r="AG86" i="3"/>
  <c r="AQ57" i="3"/>
  <c r="O67" i="3"/>
  <c r="Z79" i="3"/>
  <c r="AH55" i="3"/>
  <c r="AM89" i="3"/>
  <c r="J76" i="3"/>
  <c r="J72" i="3"/>
  <c r="Y70" i="3"/>
  <c r="O63" i="3"/>
  <c r="AM91" i="3"/>
  <c r="Q97" i="3"/>
  <c r="AJ56" i="3"/>
  <c r="M94" i="3"/>
  <c r="AH71" i="3"/>
  <c r="AI57" i="3"/>
  <c r="AJ76" i="3"/>
  <c r="AJ80" i="3"/>
  <c r="W73" i="3"/>
  <c r="AE87" i="3"/>
  <c r="J95" i="3"/>
  <c r="AM48" i="3"/>
  <c r="S59" i="3"/>
  <c r="AI83" i="3"/>
  <c r="M90" i="3"/>
  <c r="AE79" i="3"/>
  <c r="AH74" i="3"/>
  <c r="AL77" i="3"/>
  <c r="J81" i="3"/>
  <c r="AG59" i="3"/>
  <c r="AC57" i="3"/>
  <c r="AI61" i="3"/>
  <c r="Z59" i="3"/>
  <c r="AN59" i="3"/>
  <c r="AL90" i="3"/>
  <c r="AE85" i="3"/>
  <c r="AG88" i="3"/>
  <c r="X70" i="3"/>
  <c r="O77" i="3"/>
  <c r="AC90" i="3"/>
  <c r="AG60" i="3"/>
  <c r="K82" i="3"/>
  <c r="V89" i="3"/>
  <c r="O56" i="3"/>
  <c r="H57" i="3"/>
  <c r="AH88" i="3"/>
  <c r="AH58" i="3"/>
  <c r="AJ62" i="3"/>
  <c r="AM69" i="3"/>
  <c r="AE80" i="3"/>
  <c r="H66" i="3"/>
  <c r="Q49" i="3"/>
  <c r="AI47" i="3"/>
  <c r="O49" i="3"/>
  <c r="Y72" i="3"/>
  <c r="Y73" i="3"/>
  <c r="AN82" i="3"/>
  <c r="S61" i="3"/>
  <c r="H90" i="3"/>
  <c r="O58" i="3"/>
  <c r="AJ68" i="3"/>
  <c r="AC82" i="3"/>
  <c r="X65" i="3"/>
  <c r="AQ55" i="3"/>
  <c r="J75" i="3"/>
  <c r="I23" i="3"/>
  <c r="D93" i="2"/>
  <c r="Q36" i="3"/>
  <c r="AO31" i="3"/>
  <c r="Z32" i="3"/>
  <c r="I27" i="3"/>
  <c r="S19" i="3"/>
  <c r="AJ21" i="3"/>
  <c r="C8" i="3"/>
  <c r="J30" i="3"/>
  <c r="AL15" i="3"/>
  <c r="AB8" i="3"/>
  <c r="AB11" i="3"/>
  <c r="AD47" i="3"/>
  <c r="AB32" i="3"/>
  <c r="O96" i="3"/>
  <c r="AJ65" i="3"/>
  <c r="M49" i="3"/>
  <c r="L81" i="3"/>
  <c r="W95" i="3"/>
  <c r="Y66" i="3"/>
  <c r="X92" i="3"/>
  <c r="S80" i="3"/>
  <c r="AM72" i="3"/>
  <c r="W80" i="3"/>
  <c r="AG48" i="3"/>
  <c r="K69" i="3"/>
  <c r="N62" i="3"/>
  <c r="J82" i="3"/>
  <c r="L63" i="3"/>
  <c r="K55" i="3"/>
  <c r="L93" i="3"/>
  <c r="AE73" i="3"/>
  <c r="AM70" i="3"/>
  <c r="M87" i="3"/>
  <c r="I59" i="3"/>
  <c r="AO93" i="3"/>
  <c r="N90" i="3"/>
  <c r="AA62" i="3"/>
  <c r="R47" i="3"/>
  <c r="S75" i="3"/>
  <c r="J65" i="3"/>
  <c r="AH90" i="3"/>
  <c r="U56" i="3"/>
  <c r="Y49" i="3"/>
  <c r="AN60" i="3"/>
  <c r="V63" i="3"/>
  <c r="X60" i="3"/>
  <c r="Z95" i="3"/>
  <c r="V67" i="3"/>
  <c r="P105" i="2"/>
  <c r="N84" i="2"/>
  <c r="U11" i="3"/>
  <c r="AI27" i="3"/>
  <c r="Y10" i="3"/>
  <c r="S8" i="3"/>
  <c r="AL12" i="3"/>
  <c r="V40" i="3"/>
  <c r="AA32" i="3"/>
  <c r="AD42" i="3"/>
  <c r="AQ37" i="3"/>
  <c r="AD34" i="3"/>
  <c r="Q19" i="3"/>
  <c r="AL17" i="3"/>
  <c r="R19" i="3"/>
  <c r="J68" i="3"/>
  <c r="U61" i="3"/>
  <c r="K84" i="3"/>
  <c r="AI48" i="3"/>
  <c r="U95" i="3"/>
  <c r="Y60" i="3"/>
  <c r="U63" i="3"/>
  <c r="AQ67" i="3"/>
  <c r="AC58" i="3"/>
  <c r="AG63" i="3"/>
  <c r="S92" i="3"/>
  <c r="S60" i="3"/>
  <c r="M48" i="3"/>
  <c r="N50" i="3"/>
  <c r="AE96" i="3"/>
  <c r="U91" i="3"/>
  <c r="M74" i="3"/>
  <c r="N60" i="3"/>
  <c r="K58" i="3"/>
  <c r="Q75" i="3"/>
  <c r="X57" i="3"/>
  <c r="L97" i="3"/>
  <c r="AH85" i="3"/>
  <c r="U75" i="3"/>
  <c r="Q89" i="3"/>
  <c r="L70" i="3"/>
  <c r="S81" i="3"/>
  <c r="J88" i="3"/>
  <c r="Y61" i="3"/>
  <c r="AO76" i="3"/>
  <c r="AH97" i="3"/>
  <c r="W63" i="3"/>
  <c r="P67" i="3"/>
  <c r="P48" i="3"/>
  <c r="P66" i="3"/>
  <c r="P58" i="3"/>
  <c r="O74" i="3"/>
  <c r="M66" i="3"/>
  <c r="AA48" i="3"/>
  <c r="V83" i="3"/>
  <c r="U73" i="3"/>
  <c r="Q83" i="3"/>
  <c r="L86" i="3"/>
  <c r="Z57" i="3"/>
  <c r="T71" i="3"/>
  <c r="AE84" i="3"/>
  <c r="AC69" i="3"/>
  <c r="AH93" i="3"/>
  <c r="AK97" i="3"/>
  <c r="AK56" i="3"/>
  <c r="AK80" i="3"/>
  <c r="L95" i="3"/>
  <c r="P84" i="3"/>
  <c r="P61" i="3"/>
  <c r="P97" i="3"/>
  <c r="P64" i="3"/>
  <c r="O85" i="3"/>
  <c r="M64" i="3"/>
  <c r="AN78" i="3"/>
  <c r="V92" i="3"/>
  <c r="U59" i="3"/>
  <c r="I86" i="3"/>
  <c r="L75" i="3"/>
  <c r="Z63" i="3"/>
  <c r="K93" i="3"/>
  <c r="AE64" i="3"/>
  <c r="AC88" i="3"/>
  <c r="AH76" i="3"/>
  <c r="AK75" i="3"/>
  <c r="AK88" i="3"/>
  <c r="AA58" i="3"/>
  <c r="T73" i="3"/>
  <c r="P56" i="3"/>
  <c r="P73" i="3"/>
  <c r="P70" i="3"/>
  <c r="P90" i="3"/>
  <c r="O95" i="3"/>
  <c r="J66" i="3"/>
  <c r="AN64" i="3"/>
  <c r="V65" i="3"/>
  <c r="AL81" i="3"/>
  <c r="I67" i="3"/>
  <c r="L90" i="3"/>
  <c r="Z54" i="3"/>
  <c r="K67" i="3"/>
  <c r="AE78" i="3"/>
  <c r="AC76" i="3"/>
  <c r="AK57" i="3"/>
  <c r="AK86" i="3"/>
  <c r="AK71" i="3"/>
  <c r="AA97" i="3"/>
  <c r="T87" i="3"/>
  <c r="P89" i="3"/>
  <c r="P60" i="3"/>
  <c r="P47" i="3"/>
  <c r="P57" i="3"/>
  <c r="O55" i="3"/>
  <c r="J48" i="3"/>
  <c r="AN58" i="3"/>
  <c r="V76" i="3"/>
  <c r="AL59" i="3"/>
  <c r="I57" i="3"/>
  <c r="L60" i="3"/>
  <c r="Z75" i="3"/>
  <c r="K66" i="3"/>
  <c r="AE75" i="3"/>
  <c r="AG57" i="3"/>
  <c r="AK59" i="3"/>
  <c r="AK65" i="3"/>
  <c r="AK90" i="3"/>
  <c r="U82" i="3"/>
  <c r="K78" i="3"/>
  <c r="P88" i="3"/>
  <c r="P83" i="3"/>
  <c r="P96" i="3"/>
  <c r="P62" i="3"/>
  <c r="P81" i="3"/>
  <c r="P59" i="3"/>
  <c r="N65" i="3"/>
  <c r="AQ47" i="3"/>
  <c r="AN67" i="3"/>
  <c r="X79" i="3"/>
  <c r="AL80" i="3"/>
  <c r="I92" i="3"/>
  <c r="L69" i="3"/>
  <c r="T83" i="3"/>
  <c r="AO94" i="3"/>
  <c r="AC66" i="3"/>
  <c r="AG47" i="3"/>
  <c r="AK64" i="3"/>
  <c r="AK62" i="3"/>
  <c r="AK61" i="3"/>
  <c r="AL75" i="3"/>
  <c r="K70" i="3"/>
  <c r="P55" i="3"/>
  <c r="P71" i="3"/>
  <c r="P63" i="3"/>
  <c r="P78" i="3"/>
  <c r="H79" i="3"/>
  <c r="AQ86" i="3"/>
  <c r="AN83" i="3"/>
  <c r="X58" i="3"/>
  <c r="AL88" i="3"/>
  <c r="I81" i="3"/>
  <c r="Y62" i="3"/>
  <c r="T55" i="3"/>
  <c r="AO69" i="3"/>
  <c r="AC61" i="3"/>
  <c r="AG93" i="3"/>
  <c r="AK60" i="3"/>
  <c r="AK84" i="3"/>
  <c r="AK72" i="3"/>
  <c r="AL48" i="3"/>
  <c r="AC80" i="3"/>
  <c r="P79" i="3"/>
  <c r="P92" i="3"/>
  <c r="P95" i="3"/>
  <c r="P65" i="3"/>
  <c r="H97" i="3"/>
  <c r="R94" i="3"/>
  <c r="AN97" i="3"/>
  <c r="X81" i="3"/>
  <c r="AL56" i="3"/>
  <c r="I84" i="3"/>
  <c r="Y54" i="3"/>
  <c r="T72" i="3"/>
  <c r="AO87" i="3"/>
  <c r="AC48" i="3"/>
  <c r="AG87" i="3"/>
  <c r="AK69" i="3"/>
  <c r="AK68" i="3"/>
  <c r="AK73" i="3"/>
  <c r="AL74" i="3"/>
  <c r="AC83" i="3"/>
  <c r="P50" i="3"/>
  <c r="P86" i="3"/>
  <c r="P54" i="3"/>
  <c r="P87" i="3"/>
  <c r="H87" i="3"/>
  <c r="R68" i="3"/>
  <c r="AN92" i="3"/>
  <c r="U50" i="3"/>
  <c r="AL83" i="3"/>
  <c r="I79" i="3"/>
  <c r="Y79" i="3"/>
  <c r="T70" i="3"/>
  <c r="AO77" i="3"/>
  <c r="AC92" i="3"/>
  <c r="AG55" i="3"/>
  <c r="AK91" i="3"/>
  <c r="AK95" i="3"/>
  <c r="AK79" i="3"/>
  <c r="AI85" i="3"/>
  <c r="P76" i="3"/>
  <c r="P93" i="3"/>
  <c r="P77" i="3"/>
  <c r="P74" i="3"/>
  <c r="AJ93" i="3"/>
  <c r="R84" i="3"/>
  <c r="AN65" i="3"/>
  <c r="U87" i="3"/>
  <c r="AL69" i="3"/>
  <c r="L83" i="3"/>
  <c r="Y89" i="3"/>
  <c r="T97" i="3"/>
  <c r="AO54" i="3"/>
  <c r="AC74" i="3"/>
  <c r="S91" i="3"/>
  <c r="AK78" i="3"/>
  <c r="AK66" i="3"/>
  <c r="AK76" i="3"/>
  <c r="AI74" i="3"/>
  <c r="P49" i="3"/>
  <c r="P72" i="3"/>
  <c r="P80" i="3"/>
  <c r="P75" i="3"/>
  <c r="AJ95" i="3"/>
  <c r="AA84" i="3"/>
  <c r="V56" i="3"/>
  <c r="U66" i="3"/>
  <c r="Q87" i="3"/>
  <c r="L84" i="3"/>
  <c r="Z94" i="3"/>
  <c r="T91" i="3"/>
  <c r="AO90" i="3"/>
  <c r="AC54" i="3"/>
  <c r="S90" i="3"/>
  <c r="AK83" i="3"/>
  <c r="AK92" i="3"/>
  <c r="AK77" i="3"/>
  <c r="L66" i="3"/>
  <c r="P85" i="3"/>
  <c r="P94" i="3"/>
  <c r="P91" i="3"/>
  <c r="P82" i="3"/>
  <c r="AJ55" i="3"/>
  <c r="AA86" i="3"/>
  <c r="V54" i="3"/>
  <c r="U81" i="3"/>
  <c r="Q80" i="3"/>
  <c r="L67" i="3"/>
  <c r="Z82" i="3"/>
  <c r="T74" i="3"/>
  <c r="AO56" i="3"/>
  <c r="AC85" i="3"/>
  <c r="S54" i="3"/>
  <c r="AK94" i="3"/>
  <c r="AK63" i="3"/>
  <c r="AK48" i="3"/>
  <c r="L72" i="3"/>
  <c r="P69" i="3"/>
  <c r="AG90" i="3"/>
  <c r="P68" i="3"/>
  <c r="AK55" i="3"/>
  <c r="N95" i="3"/>
  <c r="AK96" i="3"/>
  <c r="J55" i="3"/>
  <c r="AK85" i="3"/>
  <c r="L54" i="3"/>
  <c r="AN68" i="3"/>
  <c r="U78" i="3"/>
  <c r="X93" i="3"/>
  <c r="K85" i="3"/>
  <c r="AL94" i="3"/>
  <c r="I60" i="3"/>
  <c r="Z50" i="3"/>
  <c r="AO81" i="3"/>
  <c r="AE58" i="3"/>
  <c r="AM83" i="3"/>
  <c r="AM82" i="3"/>
  <c r="AM57" i="3"/>
  <c r="AM96" i="3"/>
  <c r="Z47" i="3"/>
  <c r="Z74" i="3"/>
  <c r="Z88" i="3"/>
  <c r="Z69" i="3"/>
  <c r="Z61" i="3"/>
  <c r="Z89" i="3"/>
  <c r="Z84" i="3"/>
  <c r="Z80" i="3"/>
  <c r="Z92" i="3"/>
  <c r="O80" i="3"/>
  <c r="O54" i="3"/>
  <c r="O47" i="3"/>
  <c r="O73" i="3"/>
  <c r="O81" i="3"/>
  <c r="O57" i="3"/>
  <c r="AL61" i="3"/>
  <c r="AL82" i="3"/>
  <c r="AL60" i="3"/>
  <c r="AL67" i="3"/>
  <c r="AL54" i="3"/>
  <c r="AL47" i="3"/>
  <c r="AL91" i="3"/>
  <c r="AL70" i="3"/>
  <c r="AL78" i="3"/>
  <c r="AL64" i="3"/>
  <c r="AL72" i="3"/>
  <c r="AL87" i="3"/>
  <c r="AI56" i="3"/>
  <c r="AI96" i="3"/>
  <c r="AI70" i="3"/>
  <c r="AI77" i="3"/>
  <c r="AI67" i="3"/>
  <c r="AI68" i="3"/>
  <c r="AI54" i="3"/>
  <c r="AI72" i="3"/>
  <c r="AI95" i="3"/>
  <c r="AI89" i="3"/>
  <c r="AI60" i="3"/>
  <c r="AI79" i="3"/>
  <c r="AI73" i="3"/>
  <c r="AI78" i="3"/>
  <c r="AI81" i="3"/>
  <c r="AI75" i="3"/>
  <c r="U64" i="3"/>
  <c r="U48" i="3"/>
  <c r="U90" i="3"/>
  <c r="U76" i="3"/>
  <c r="U62" i="3"/>
  <c r="U67" i="3"/>
  <c r="U97" i="3"/>
  <c r="U68" i="3"/>
  <c r="U55" i="3"/>
  <c r="U84" i="3"/>
  <c r="U71" i="3"/>
  <c r="U93" i="3"/>
  <c r="U57" i="3"/>
  <c r="U58" i="3"/>
  <c r="U74" i="3"/>
  <c r="W57" i="3"/>
  <c r="W72" i="3"/>
  <c r="W67" i="3"/>
  <c r="W77" i="3"/>
  <c r="W96" i="3"/>
  <c r="W59" i="3"/>
  <c r="W76" i="3"/>
  <c r="W55" i="3"/>
  <c r="W54" i="3"/>
  <c r="W47" i="3"/>
  <c r="W86" i="3"/>
  <c r="W93" i="3"/>
  <c r="W56" i="3"/>
  <c r="W66" i="3"/>
  <c r="W89" i="3"/>
  <c r="W68" i="3"/>
  <c r="W61" i="3"/>
  <c r="R82" i="3"/>
  <c r="R63" i="3"/>
  <c r="R59" i="3"/>
  <c r="R69" i="3"/>
  <c r="R54" i="3"/>
  <c r="R57" i="3"/>
  <c r="R67" i="3"/>
  <c r="R62" i="3"/>
  <c r="R91" i="3"/>
  <c r="R77" i="3"/>
  <c r="R90" i="3"/>
  <c r="R73" i="3"/>
  <c r="R58" i="3"/>
  <c r="R89" i="3"/>
  <c r="R80" i="3"/>
  <c r="R61" i="3"/>
  <c r="R83" i="3"/>
  <c r="R65" i="3"/>
  <c r="R96" i="3"/>
  <c r="R72" i="3"/>
  <c r="R48" i="3"/>
  <c r="R60" i="3"/>
  <c r="V77" i="3"/>
  <c r="V49" i="3"/>
  <c r="V86" i="3"/>
  <c r="V87" i="3"/>
  <c r="V75" i="3"/>
  <c r="V80" i="3"/>
  <c r="V91" i="3"/>
  <c r="V60" i="3"/>
  <c r="V96" i="3"/>
  <c r="V78" i="3"/>
  <c r="V55" i="3"/>
  <c r="V59" i="3"/>
  <c r="V64" i="3"/>
  <c r="V94" i="3"/>
  <c r="V58" i="3"/>
  <c r="V74" i="3"/>
  <c r="V97" i="3"/>
  <c r="AE60" i="3"/>
  <c r="AE48" i="3"/>
  <c r="AE66" i="3"/>
  <c r="AE77" i="3"/>
  <c r="AE68" i="3"/>
  <c r="AE86" i="3"/>
  <c r="AE55" i="3"/>
  <c r="AE81" i="3"/>
  <c r="AE47" i="3"/>
  <c r="AE88" i="3"/>
  <c r="AE71" i="3"/>
  <c r="AE65" i="3"/>
  <c r="AE50" i="3"/>
  <c r="AE94" i="3"/>
  <c r="AG71" i="3"/>
  <c r="AG70" i="3"/>
  <c r="AG67" i="3"/>
  <c r="AG96" i="3"/>
  <c r="AG74" i="3"/>
  <c r="AG58" i="3"/>
  <c r="AG69" i="3"/>
  <c r="AG97" i="3"/>
  <c r="AG64" i="3"/>
  <c r="AG81" i="3"/>
  <c r="AG82" i="3"/>
  <c r="AG89" i="3"/>
  <c r="AG66" i="3"/>
  <c r="AG49" i="3"/>
  <c r="AG80" i="3"/>
  <c r="AG56" i="3"/>
  <c r="AG62" i="3"/>
  <c r="AG85" i="3"/>
  <c r="AG65" i="3"/>
  <c r="J92" i="3"/>
  <c r="J80" i="3"/>
  <c r="J96" i="3"/>
  <c r="J79" i="3"/>
  <c r="J70" i="3"/>
  <c r="J59" i="3"/>
  <c r="J56" i="3"/>
  <c r="J63" i="3"/>
  <c r="J77" i="3"/>
  <c r="J58" i="3"/>
  <c r="J49" i="3"/>
  <c r="J93" i="3"/>
  <c r="J64" i="3"/>
  <c r="J78" i="3"/>
  <c r="J69" i="3"/>
  <c r="Q64" i="3"/>
  <c r="Q63" i="3"/>
  <c r="Q88" i="3"/>
  <c r="Q47" i="3"/>
  <c r="Q95" i="3"/>
  <c r="Q50" i="3"/>
  <c r="Q65" i="3"/>
  <c r="Q84" i="3"/>
  <c r="Q78" i="3"/>
  <c r="Q92" i="3"/>
  <c r="Q48" i="3"/>
  <c r="Q59" i="3"/>
  <c r="Q62" i="3"/>
  <c r="Q66" i="3"/>
  <c r="Q56" i="3"/>
  <c r="Q77" i="3"/>
  <c r="Q81" i="3"/>
  <c r="Q71" i="3"/>
  <c r="Q68" i="3"/>
  <c r="Q69" i="3"/>
  <c r="Q70" i="3"/>
  <c r="Q61" i="3"/>
  <c r="Q55" i="3"/>
  <c r="Y95" i="3"/>
  <c r="Y56" i="3"/>
  <c r="Y93" i="3"/>
  <c r="Y74" i="3"/>
  <c r="Y50" i="3"/>
  <c r="Y77" i="3"/>
  <c r="Y59" i="3"/>
  <c r="Y83" i="3"/>
  <c r="Y47" i="3"/>
  <c r="Y85" i="3"/>
  <c r="Y63" i="3"/>
  <c r="L56" i="3"/>
  <c r="L73" i="3"/>
  <c r="L88" i="3"/>
  <c r="L76" i="3"/>
  <c r="L64" i="3"/>
  <c r="L68" i="3"/>
  <c r="L96" i="3"/>
  <c r="L55" i="3"/>
  <c r="L58" i="3"/>
  <c r="L74" i="3"/>
  <c r="L78" i="3"/>
  <c r="L71" i="3"/>
  <c r="L94" i="3"/>
  <c r="L59" i="3"/>
  <c r="L50" i="3"/>
  <c r="S49" i="3"/>
  <c r="S87" i="3"/>
  <c r="S85" i="3"/>
  <c r="S68" i="3"/>
  <c r="S78" i="3"/>
  <c r="S93" i="3"/>
  <c r="S82" i="3"/>
  <c r="S73" i="3"/>
  <c r="S74" i="3"/>
  <c r="S55" i="3"/>
  <c r="S89" i="3"/>
  <c r="S70" i="3"/>
  <c r="S47" i="3"/>
  <c r="S96" i="3"/>
  <c r="S65" i="3"/>
  <c r="S67" i="3"/>
  <c r="S76" i="3"/>
  <c r="S88" i="3"/>
  <c r="S79" i="3"/>
  <c r="X84" i="3"/>
  <c r="X87" i="3"/>
  <c r="X83" i="3"/>
  <c r="X85" i="3"/>
  <c r="X73" i="3"/>
  <c r="X64" i="3"/>
  <c r="X49" i="3"/>
  <c r="X59" i="3"/>
  <c r="X71" i="3"/>
  <c r="X66" i="3"/>
  <c r="X86" i="3"/>
  <c r="X77" i="3"/>
  <c r="X68" i="3"/>
  <c r="X88" i="3"/>
  <c r="X78" i="3"/>
  <c r="X94" i="3"/>
  <c r="X90" i="3"/>
  <c r="X63" i="3"/>
  <c r="X62" i="3"/>
  <c r="X67" i="3"/>
  <c r="X54" i="3"/>
  <c r="X48" i="3"/>
  <c r="X75" i="3"/>
  <c r="X72" i="3"/>
  <c r="K47" i="3"/>
  <c r="K90" i="3"/>
  <c r="K56" i="3"/>
  <c r="K59" i="3"/>
  <c r="K81" i="3"/>
  <c r="K80" i="3"/>
  <c r="K74" i="3"/>
  <c r="K97" i="3"/>
  <c r="K65" i="3"/>
  <c r="K95" i="3"/>
  <c r="K92" i="3"/>
  <c r="K54" i="3"/>
  <c r="K88" i="3"/>
  <c r="K89" i="3"/>
  <c r="K79" i="3"/>
  <c r="K96" i="3"/>
  <c r="K83" i="3"/>
  <c r="K57" i="3"/>
  <c r="K49" i="3"/>
  <c r="K76" i="3"/>
  <c r="K64" i="3"/>
  <c r="K72" i="3"/>
  <c r="T86" i="3"/>
  <c r="T68" i="3"/>
  <c r="T62" i="3"/>
  <c r="T69" i="3"/>
  <c r="T82" i="3"/>
  <c r="T47" i="3"/>
  <c r="T54" i="3"/>
  <c r="T80" i="3"/>
  <c r="T61" i="3"/>
  <c r="T63" i="3"/>
  <c r="T64" i="3"/>
  <c r="T56" i="3"/>
  <c r="T58" i="3"/>
  <c r="T93" i="3"/>
  <c r="T96" i="3"/>
  <c r="T78" i="3"/>
  <c r="T85" i="3"/>
  <c r="T90" i="3"/>
  <c r="T76" i="3"/>
  <c r="T67" i="3"/>
  <c r="T60" i="3"/>
  <c r="T66" i="3"/>
  <c r="T65" i="3"/>
  <c r="T77" i="3"/>
  <c r="AH49" i="3"/>
  <c r="AH83" i="3"/>
  <c r="AH77" i="3"/>
  <c r="AH80" i="3"/>
  <c r="AH75" i="3"/>
  <c r="AH82" i="3"/>
  <c r="AH86" i="3"/>
  <c r="AH62" i="3"/>
  <c r="AH78" i="3"/>
  <c r="AH91" i="3"/>
  <c r="AH72" i="3"/>
  <c r="AH69" i="3" l="1"/>
  <c r="AH92" i="3"/>
  <c r="AH50" i="3"/>
  <c r="AH95" i="3"/>
  <c r="AH61" i="3"/>
  <c r="AH67" i="3"/>
  <c r="AH84" i="3"/>
  <c r="Z70" i="3"/>
  <c r="I55" i="3"/>
  <c r="I90" i="3"/>
  <c r="AM90" i="3"/>
  <c r="Z91" i="3"/>
  <c r="I82" i="3"/>
  <c r="I83" i="3"/>
  <c r="I78" i="3"/>
  <c r="Z67" i="3"/>
  <c r="AH81" i="3"/>
  <c r="AH73" i="3"/>
  <c r="AH60" i="3"/>
  <c r="AH94" i="3"/>
  <c r="AH57" i="3"/>
  <c r="AH87" i="3"/>
  <c r="AH48" i="3"/>
  <c r="AH70" i="3"/>
  <c r="AH96" i="3"/>
  <c r="AH63" i="3"/>
  <c r="AH89" i="3"/>
  <c r="AH59" i="3"/>
  <c r="Y96" i="3"/>
  <c r="Y94" i="3"/>
  <c r="Y81" i="3"/>
  <c r="L91" i="3"/>
  <c r="L85" i="3"/>
  <c r="L57" i="3"/>
  <c r="L77" i="3"/>
  <c r="L80" i="3"/>
  <c r="L48" i="3"/>
  <c r="L61" i="3"/>
  <c r="S72" i="3"/>
  <c r="S83" i="3"/>
  <c r="S62" i="3"/>
  <c r="S94" i="3"/>
  <c r="S48" i="3"/>
  <c r="S66" i="3"/>
  <c r="S57" i="3"/>
  <c r="S56" i="3"/>
  <c r="X82" i="3"/>
  <c r="X76" i="3"/>
  <c r="X55" i="3"/>
  <c r="X89" i="3"/>
  <c r="X69" i="3"/>
  <c r="X97" i="3"/>
  <c r="X96" i="3"/>
  <c r="X95" i="3"/>
  <c r="X56" i="3"/>
  <c r="X80" i="3"/>
  <c r="X74" i="3"/>
  <c r="K71" i="3"/>
  <c r="K48" i="3"/>
  <c r="K73" i="3"/>
  <c r="K86" i="3"/>
  <c r="K61" i="3"/>
  <c r="K77" i="3"/>
  <c r="K60" i="3"/>
  <c r="K63" i="3"/>
  <c r="K94" i="3"/>
  <c r="K68" i="3"/>
  <c r="T81" i="3"/>
  <c r="T79" i="3"/>
  <c r="T95" i="3"/>
  <c r="T89" i="3"/>
  <c r="T59" i="3"/>
  <c r="T57" i="3"/>
  <c r="T49" i="3"/>
  <c r="T84" i="3"/>
  <c r="T88" i="3"/>
  <c r="T48" i="3"/>
  <c r="T75" i="3"/>
  <c r="T50" i="3"/>
  <c r="T92" i="3"/>
  <c r="T94" i="3"/>
  <c r="AH47" i="3"/>
  <c r="AH54" i="3"/>
  <c r="AH66" i="3"/>
  <c r="AH65" i="3"/>
  <c r="AH68" i="3"/>
  <c r="AH56" i="3"/>
  <c r="AH64" i="3"/>
  <c r="AH79" i="3"/>
  <c r="BN184" i="1"/>
  <c r="BO184" i="1" s="1"/>
  <c r="BN202" i="1"/>
  <c r="BO202" i="1" s="1"/>
  <c r="BN190" i="1"/>
  <c r="BO190" i="1" s="1"/>
  <c r="BN173" i="1"/>
  <c r="BO173" i="1" s="1"/>
  <c r="BN193" i="1"/>
  <c r="BN207" i="1"/>
  <c r="BN189" i="1"/>
  <c r="BN208" i="1"/>
  <c r="BN122" i="1"/>
  <c r="AZ189" i="1"/>
  <c r="AZ198" i="1"/>
  <c r="BA198" i="1" s="1"/>
  <c r="AZ199" i="1"/>
  <c r="BA199" i="1" s="1"/>
  <c r="AZ171" i="1"/>
  <c r="BA171" i="1" s="1"/>
  <c r="AZ175" i="1"/>
  <c r="BA175" i="1" s="1"/>
  <c r="AZ195" i="1"/>
  <c r="BA195" i="1" s="1"/>
  <c r="AZ190" i="1"/>
  <c r="BA190" i="1" s="1"/>
  <c r="AZ211" i="1"/>
  <c r="BA211" i="1" s="1"/>
  <c r="AZ168" i="1"/>
  <c r="AZ166" i="1"/>
  <c r="AZ197" i="1"/>
  <c r="BA197" i="1" s="1"/>
  <c r="AZ174" i="1"/>
  <c r="BA174" i="1" s="1"/>
  <c r="AZ207" i="1"/>
  <c r="AZ193" i="1"/>
  <c r="AZ181" i="1"/>
  <c r="AZ173" i="1"/>
  <c r="AZ180" i="1"/>
  <c r="AQ122" i="1"/>
  <c r="BD184" i="1"/>
  <c r="BE184" i="1" s="1"/>
  <c r="BD173" i="1"/>
  <c r="BD174" i="1"/>
  <c r="BE174" i="1" s="1"/>
  <c r="BD175" i="1"/>
  <c r="BE175" i="1" s="1"/>
  <c r="BD190" i="1"/>
  <c r="BE190" i="1" s="1"/>
  <c r="BD176" i="1"/>
  <c r="BE176" i="1" s="1"/>
  <c r="BD180" i="1"/>
  <c r="BD189" i="1"/>
  <c r="BD199" i="1"/>
  <c r="BE199" i="1" s="1"/>
  <c r="BD122" i="1"/>
  <c r="BD197" i="1"/>
  <c r="BE197" i="1" s="1"/>
  <c r="BD195" i="1"/>
  <c r="BE195" i="1" s="1"/>
  <c r="BD208" i="1"/>
  <c r="BD200" i="1"/>
  <c r="BE200" i="1" s="1"/>
  <c r="BD194" i="1"/>
  <c r="BE194" i="1" s="1"/>
  <c r="AY122" i="1"/>
  <c r="AR123" i="1"/>
  <c r="AR190" i="1"/>
  <c r="AS190" i="1" s="1"/>
  <c r="AR168" i="1"/>
  <c r="AR211" i="1"/>
  <c r="AS211" i="1" s="1"/>
  <c r="AR180" i="1"/>
  <c r="AR197" i="1"/>
  <c r="AS197" i="1" s="1"/>
  <c r="AR176" i="1"/>
  <c r="AS176" i="1" s="1"/>
  <c r="AR166" i="1"/>
  <c r="BE123" i="1"/>
  <c r="AW123" i="1"/>
  <c r="AP181" i="1"/>
  <c r="AP190" i="1"/>
  <c r="AQ190" i="1" s="1"/>
  <c r="AP197" i="1"/>
  <c r="AQ197" i="1" s="1"/>
  <c r="AP122" i="1"/>
  <c r="AP168" i="1"/>
  <c r="AP189" i="1"/>
  <c r="AQ189" i="1" s="1"/>
  <c r="AP174" i="1"/>
  <c r="AQ174" i="1" s="1"/>
  <c r="AP166" i="1"/>
  <c r="AP182" i="1"/>
  <c r="AP191" i="1"/>
  <c r="AQ191" i="1" s="1"/>
  <c r="AP211" i="1"/>
  <c r="AQ211" i="1" s="1"/>
  <c r="AP207" i="1"/>
  <c r="AP203" i="1"/>
  <c r="AQ203" i="1" s="1"/>
  <c r="BM122" i="1"/>
  <c r="BK123" i="1"/>
  <c r="BB186" i="1"/>
  <c r="BC186" i="1" s="1"/>
  <c r="BB168" i="1"/>
  <c r="BB197" i="1"/>
  <c r="BC197" i="1" s="1"/>
  <c r="BB190" i="1"/>
  <c r="BC190" i="1" s="1"/>
  <c r="BB211" i="1"/>
  <c r="BC211" i="1" s="1"/>
  <c r="BB171" i="1"/>
  <c r="BC171" i="1" s="1"/>
  <c r="BB202" i="1"/>
  <c r="BC202" i="1" s="1"/>
  <c r="BB207" i="1"/>
  <c r="BB200" i="1"/>
  <c r="BC200" i="1" s="1"/>
  <c r="BB122" i="1"/>
  <c r="BB189" i="1"/>
  <c r="BC189" i="1" s="1"/>
  <c r="AX171" i="1"/>
  <c r="AY171" i="1" s="1"/>
  <c r="AX184" i="1"/>
  <c r="AY184" i="1" s="1"/>
  <c r="AX211" i="1"/>
  <c r="AY211" i="1" s="1"/>
  <c r="AX198" i="1"/>
  <c r="AY198" i="1" s="1"/>
  <c r="AX208" i="1"/>
  <c r="AX207" i="1"/>
  <c r="AX201" i="1"/>
  <c r="AX168" i="1"/>
  <c r="AX175" i="1"/>
  <c r="AY175" i="1" s="1"/>
  <c r="AX189" i="1"/>
  <c r="AX202" i="1"/>
  <c r="AY202" i="1" s="1"/>
  <c r="AX173" i="1"/>
  <c r="AX167" i="1"/>
  <c r="AY167" i="1" s="1"/>
  <c r="AX181" i="1"/>
  <c r="AX174" i="1"/>
  <c r="AY174" i="1" s="1"/>
  <c r="AX193" i="1"/>
  <c r="BR200" i="1"/>
  <c r="BS200" i="1" s="1"/>
  <c r="BR184" i="1"/>
  <c r="BS184" i="1" s="1"/>
  <c r="BR197" i="1"/>
  <c r="BS197" i="1" s="1"/>
  <c r="BR190" i="1"/>
  <c r="BS190" i="1" s="1"/>
  <c r="BR182" i="1"/>
  <c r="BR202" i="1"/>
  <c r="BS202" i="1" s="1"/>
  <c r="BR171" i="1"/>
  <c r="BS171" i="1" s="1"/>
  <c r="BR193" i="1"/>
  <c r="BF203" i="1"/>
  <c r="BG203" i="1" s="1"/>
  <c r="BF207" i="1"/>
  <c r="BF194" i="1"/>
  <c r="BG194" i="1" s="1"/>
  <c r="BF201" i="1"/>
  <c r="BF181" i="1"/>
  <c r="BF176" i="1"/>
  <c r="BG176" i="1" s="1"/>
  <c r="BF123" i="1"/>
  <c r="BT180" i="1"/>
  <c r="AT212" i="1"/>
  <c r="AU212" i="1" s="1"/>
  <c r="AV180" i="1"/>
  <c r="AV181" i="1"/>
  <c r="AR184" i="1"/>
  <c r="AS184" i="1" s="1"/>
  <c r="BF193" i="1"/>
  <c r="AV193" i="1"/>
  <c r="AV202" i="1"/>
  <c r="AW202" i="1" s="1"/>
  <c r="AV195" i="1"/>
  <c r="AW195" i="1" s="1"/>
  <c r="AR199" i="1"/>
  <c r="AS199" i="1" s="1"/>
  <c r="AZ202" i="1"/>
  <c r="BA202" i="1" s="1"/>
  <c r="AR194" i="1"/>
  <c r="AS194" i="1" s="1"/>
  <c r="BB166" i="1"/>
  <c r="BC166" i="1" s="1"/>
  <c r="BP212" i="1"/>
  <c r="BQ212" i="1" s="1"/>
  <c r="AV207" i="1"/>
  <c r="AV184" i="1"/>
  <c r="AW184" i="1" s="1"/>
  <c r="AV122" i="1"/>
  <c r="AR208" i="1"/>
  <c r="BR181" i="1"/>
  <c r="BT198" i="1"/>
  <c r="BU198" i="1" s="1"/>
  <c r="AX194" i="1"/>
  <c r="AY194" i="1" s="1"/>
  <c r="AV186" i="1"/>
  <c r="AW186" i="1" s="1"/>
  <c r="AV189" i="1"/>
  <c r="AW189" i="1" s="1"/>
  <c r="AZ182" i="1"/>
  <c r="BR208" i="1"/>
  <c r="BA123" i="1"/>
  <c r="BT203" i="1"/>
  <c r="BU203" i="1" s="1"/>
  <c r="AX180" i="1"/>
  <c r="AN200" i="1"/>
  <c r="AO200" i="1" s="1"/>
  <c r="AV200" i="1"/>
  <c r="AW200" i="1" s="1"/>
  <c r="AV123" i="1"/>
  <c r="BR186" i="1"/>
  <c r="BS186" i="1" s="1"/>
  <c r="AZ184" i="1"/>
  <c r="BA184" i="1" s="1"/>
  <c r="BR166" i="1"/>
  <c r="BS166" i="1" s="1"/>
  <c r="BD192" i="1"/>
  <c r="AV198" i="1"/>
  <c r="AW198" i="1" s="1"/>
  <c r="AV212" i="1"/>
  <c r="AW212" i="1" s="1"/>
  <c r="AV203" i="1"/>
  <c r="AW203" i="1" s="1"/>
  <c r="AV191" i="1"/>
  <c r="AW191" i="1" s="1"/>
  <c r="BR176" i="1"/>
  <c r="BS176" i="1" s="1"/>
  <c r="BD168" i="1"/>
  <c r="BT208" i="1"/>
  <c r="AN191" i="1"/>
  <c r="AO191" i="1" s="1"/>
  <c r="AV190" i="1"/>
  <c r="AW190" i="1" s="1"/>
  <c r="AV174" i="1"/>
  <c r="AW174" i="1" s="1"/>
  <c r="AZ208" i="1"/>
  <c r="AR181" i="1"/>
  <c r="BR207" i="1"/>
  <c r="AT198" i="1"/>
  <c r="AU198" i="1" s="1"/>
  <c r="AV192" i="1"/>
  <c r="AV173" i="1"/>
  <c r="AW173" i="1" s="1"/>
  <c r="AV211" i="1"/>
  <c r="AW211" i="1" s="1"/>
  <c r="AV208" i="1"/>
  <c r="AV176" i="1"/>
  <c r="AW176" i="1" s="1"/>
  <c r="BF186" i="1"/>
  <c r="BG186" i="1" s="1"/>
  <c r="AR171" i="1"/>
  <c r="AS171" i="1" s="1"/>
  <c r="BB191" i="1"/>
  <c r="BC191" i="1" s="1"/>
  <c r="BT168" i="1"/>
  <c r="AV167" i="1"/>
  <c r="AW167" i="1" s="1"/>
  <c r="AV171" i="1"/>
  <c r="AW171" i="1" s="1"/>
  <c r="AV201" i="1"/>
  <c r="AZ200" i="1"/>
  <c r="BA200" i="1" s="1"/>
  <c r="AR175" i="1"/>
  <c r="AS175" i="1" s="1"/>
  <c r="BR192" i="1"/>
  <c r="BB198" i="1"/>
  <c r="BC198" i="1" s="1"/>
  <c r="BT197" i="1"/>
  <c r="BU197" i="1" s="1"/>
  <c r="AP199" i="1"/>
  <c r="AQ199" i="1" s="1"/>
  <c r="AV175" i="1"/>
  <c r="AW175" i="1" s="1"/>
  <c r="AV182" i="1"/>
  <c r="AV166" i="1"/>
  <c r="BF174" i="1"/>
  <c r="BG174" i="1" s="1"/>
  <c r="AR186" i="1"/>
  <c r="AS186" i="1" s="1"/>
  <c r="BB203" i="1"/>
  <c r="BC203" i="1" s="1"/>
  <c r="BT190" i="1"/>
  <c r="BU190" i="1" s="1"/>
  <c r="AV197" i="1"/>
  <c r="AV194" i="1"/>
  <c r="AW194" i="1" s="1"/>
  <c r="AR212" i="1"/>
  <c r="AS212" i="1" s="1"/>
  <c r="BF167" i="1"/>
  <c r="BG167" i="1" s="1"/>
  <c r="BB208" i="1"/>
  <c r="AV168" i="1"/>
  <c r="AV199" i="1"/>
  <c r="AW199" i="1" s="1"/>
  <c r="AP176" i="1"/>
  <c r="AQ176" i="1" s="1"/>
  <c r="AR182" i="1"/>
  <c r="BN195" i="1"/>
  <c r="BO195" i="1" s="1"/>
  <c r="BD167" i="1"/>
  <c r="BE167" i="1" s="1"/>
  <c r="AT171" i="1"/>
  <c r="AU171" i="1" s="1"/>
  <c r="AT123" i="1"/>
  <c r="AP180" i="1"/>
  <c r="BR70" i="1"/>
  <c r="BJ94" i="1"/>
  <c r="BJ100" i="1"/>
  <c r="BR63" i="1"/>
  <c r="BE62" i="1"/>
  <c r="BA64" i="1"/>
  <c r="BF212" i="1"/>
  <c r="BG212" i="1" s="1"/>
  <c r="BD171" i="1"/>
  <c r="BE171" i="1" s="1"/>
  <c r="BB174" i="1"/>
  <c r="BC174" i="1" s="1"/>
  <c r="BT171" i="1"/>
  <c r="BU171" i="1" s="1"/>
  <c r="BE122" i="1"/>
  <c r="BN175" i="1"/>
  <c r="BO175" i="1" s="1"/>
  <c r="AP198" i="1"/>
  <c r="AQ198" i="1" s="1"/>
  <c r="AT175" i="1"/>
  <c r="AU175" i="1" s="1"/>
  <c r="AR174" i="1"/>
  <c r="AS174" i="1" s="1"/>
  <c r="AP193" i="1"/>
  <c r="AT173" i="1"/>
  <c r="AU173" i="1" s="1"/>
  <c r="BD203" i="1"/>
  <c r="BE203" i="1" s="1"/>
  <c r="AR192" i="1"/>
  <c r="AS122" i="1"/>
  <c r="BP198" i="1"/>
  <c r="BQ198" i="1" s="1"/>
  <c r="BH64" i="1"/>
  <c r="BR73" i="1"/>
  <c r="BP71" i="1"/>
  <c r="C220" i="1"/>
  <c r="AO84" i="1"/>
  <c r="BD198" i="1"/>
  <c r="BE198" i="1" s="1"/>
  <c r="BP180" i="1"/>
  <c r="AN175" i="1"/>
  <c r="AO175" i="1" s="1"/>
  <c r="BT193" i="1"/>
  <c r="AU122" i="1"/>
  <c r="AW122" i="1"/>
  <c r="AN199" i="1"/>
  <c r="AO199" i="1" s="1"/>
  <c r="BP173" i="1"/>
  <c r="BQ173" i="1" s="1"/>
  <c r="BN168" i="1"/>
  <c r="BN176" i="1"/>
  <c r="AN167" i="1"/>
  <c r="AO167" i="1" s="1"/>
  <c r="BB201" i="1"/>
  <c r="BD182" i="1"/>
  <c r="BR175" i="1"/>
  <c r="BS175" i="1" s="1"/>
  <c r="AP192" i="1"/>
  <c r="BR189" i="1"/>
  <c r="BN186" i="1"/>
  <c r="BO186" i="1" s="1"/>
  <c r="AP212" i="1"/>
  <c r="AQ212" i="1" s="1"/>
  <c r="BP207" i="1"/>
  <c r="BP166" i="1"/>
  <c r="BQ166" i="1" s="1"/>
  <c r="AP184" i="1"/>
  <c r="AQ184" i="1" s="1"/>
  <c r="BF191" i="1"/>
  <c r="BG191" i="1" s="1"/>
  <c r="BT199" i="1"/>
  <c r="BU199" i="1" s="1"/>
  <c r="BG123" i="1"/>
  <c r="BP208" i="1"/>
  <c r="AS74" i="1"/>
  <c r="BW71" i="1"/>
  <c r="BN95" i="1"/>
  <c r="BR62" i="1"/>
  <c r="W195" i="1"/>
  <c r="AO122" i="1"/>
  <c r="BP190" i="1"/>
  <c r="BQ190" i="1" s="1"/>
  <c r="AP123" i="1"/>
  <c r="BP182" i="1"/>
  <c r="BI84" i="1"/>
  <c r="BA84" i="1"/>
  <c r="AW96" i="1"/>
  <c r="BI69" i="1"/>
  <c r="BR122" i="1"/>
  <c r="BP123" i="1"/>
  <c r="AP175" i="1"/>
  <c r="BR201" i="1"/>
  <c r="BR203" i="1"/>
  <c r="BS203" i="1" s="1"/>
  <c r="AX191" i="1"/>
  <c r="AY191" i="1" s="1"/>
  <c r="AT176" i="1"/>
  <c r="AU176" i="1" s="1"/>
  <c r="AR62" i="1"/>
  <c r="AY85" i="1"/>
  <c r="P166" i="1"/>
  <c r="BT192" i="1"/>
  <c r="BT176" i="1"/>
  <c r="BU176" i="1" s="1"/>
  <c r="BB175" i="1"/>
  <c r="BC175" i="1" s="1"/>
  <c r="AT191" i="1"/>
  <c r="H173" i="1"/>
  <c r="BF198" i="1"/>
  <c r="BO122" i="1"/>
  <c r="AN182" i="1"/>
  <c r="AN166" i="1"/>
  <c r="AR173" i="1"/>
  <c r="AS173" i="1" s="1"/>
  <c r="BT202" i="1"/>
  <c r="BU202" i="1" s="1"/>
  <c r="AN194" i="1"/>
  <c r="AO194" i="1" s="1"/>
  <c r="AX212" i="1"/>
  <c r="AY212" i="1" s="1"/>
  <c r="BR168" i="1"/>
  <c r="AX200" i="1"/>
  <c r="AY200" i="1" s="1"/>
  <c r="BR198" i="1"/>
  <c r="BS198" i="1" s="1"/>
  <c r="BT181" i="1"/>
  <c r="BP203" i="1"/>
  <c r="BQ203" i="1" s="1"/>
  <c r="AN184" i="1"/>
  <c r="AO184" i="1" s="1"/>
  <c r="BT194" i="1"/>
  <c r="BU194" i="1" s="1"/>
  <c r="AQ123" i="1"/>
  <c r="BV71" i="1"/>
  <c r="O171" i="1"/>
  <c r="AT180" i="1"/>
  <c r="AN195" i="1"/>
  <c r="AO195" i="1" s="1"/>
  <c r="BT167" i="1"/>
  <c r="BU167" i="1" s="1"/>
  <c r="BD202" i="1"/>
  <c r="BE202" i="1" s="1"/>
  <c r="BD123" i="1"/>
  <c r="BT122" i="1"/>
  <c r="BA122" i="1"/>
  <c r="BR195" i="1"/>
  <c r="BS195" i="1" s="1"/>
  <c r="BF166" i="1"/>
  <c r="BG166" i="1" s="1"/>
  <c r="BK122" i="1"/>
  <c r="BS122" i="1"/>
  <c r="BB182" i="1"/>
  <c r="BV100" i="1"/>
  <c r="AQ100" i="1"/>
  <c r="BO88" i="1"/>
  <c r="AO95" i="1"/>
  <c r="BU70" i="1"/>
  <c r="E171" i="1"/>
  <c r="AS70" i="1"/>
  <c r="AR198" i="1"/>
  <c r="AS198" i="1" s="1"/>
  <c r="AT122" i="1"/>
  <c r="AN197" i="1"/>
  <c r="AO197" i="1" s="1"/>
  <c r="AT190" i="1"/>
  <c r="AU190" i="1" s="1"/>
  <c r="BK70" i="1"/>
  <c r="AX192" i="1"/>
  <c r="BF171" i="1"/>
  <c r="BG171" i="1" s="1"/>
  <c r="AT195" i="1"/>
  <c r="AU195" i="1" s="1"/>
  <c r="AX166" i="1"/>
  <c r="BP176" i="1"/>
  <c r="BQ176" i="1" s="1"/>
  <c r="AN186" i="1"/>
  <c r="AO186" i="1" s="1"/>
  <c r="BC123" i="1"/>
  <c r="BF122" i="1"/>
  <c r="BU69" i="1"/>
  <c r="BM123" i="1"/>
  <c r="AX195" i="1"/>
  <c r="AY195" i="1" s="1"/>
  <c r="AR200" i="1"/>
  <c r="AS200" i="1" s="1"/>
  <c r="AR193" i="1"/>
  <c r="BB176" i="1"/>
  <c r="BC176" i="1" s="1"/>
  <c r="BP197" i="1"/>
  <c r="BQ197" i="1" s="1"/>
  <c r="AP208" i="1"/>
  <c r="AP195" i="1"/>
  <c r="AQ195" i="1" s="1"/>
  <c r="AN208" i="1"/>
  <c r="BF192" i="1"/>
  <c r="AX176" i="1"/>
  <c r="AY176" i="1" s="1"/>
  <c r="AN198" i="1"/>
  <c r="AO198" i="1" s="1"/>
  <c r="BT184" i="1"/>
  <c r="BU184" i="1" s="1"/>
  <c r="AU123" i="1"/>
  <c r="BT123" i="1"/>
  <c r="AV88" i="1"/>
  <c r="BE96" i="1"/>
  <c r="BV81" i="1"/>
  <c r="AR70" i="1"/>
  <c r="AZ100" i="1"/>
  <c r="BD71" i="1"/>
  <c r="BG74" i="1"/>
  <c r="R212" i="1"/>
  <c r="W171" i="1"/>
  <c r="AX122" i="1"/>
  <c r="AN211" i="1"/>
  <c r="AO211" i="1" s="1"/>
  <c r="AR203" i="1"/>
  <c r="AS203" i="1" s="1"/>
  <c r="BP189" i="1"/>
  <c r="AT203" i="1"/>
  <c r="AU203" i="1" s="1"/>
  <c r="AP201" i="1"/>
  <c r="AW71" i="1"/>
  <c r="D220" i="1"/>
  <c r="AP173" i="1"/>
  <c r="AQ173" i="1" s="1"/>
  <c r="BR174" i="1"/>
  <c r="BS174" i="1" s="1"/>
  <c r="AT207" i="1"/>
  <c r="BR191" i="1"/>
  <c r="BS191" i="1" s="1"/>
  <c r="AT182" i="1"/>
  <c r="AR191" i="1"/>
  <c r="AS191" i="1" s="1"/>
  <c r="AT202" i="1"/>
  <c r="AU202" i="1" s="1"/>
  <c r="BB184" i="1"/>
  <c r="BC184" i="1" s="1"/>
  <c r="AT166" i="1"/>
  <c r="AU166" i="1" s="1"/>
  <c r="BF208" i="1"/>
  <c r="BR173" i="1"/>
  <c r="BS173" i="1" s="1"/>
  <c r="AR201" i="1"/>
  <c r="BS70" i="1"/>
  <c r="AP94" i="1"/>
  <c r="AI100" i="1"/>
  <c r="BQ81" i="1"/>
  <c r="AO58" i="1"/>
  <c r="C185" i="1"/>
  <c r="BF94" i="1"/>
  <c r="AX182" i="1"/>
  <c r="AN203" i="1"/>
  <c r="AO203" i="1" s="1"/>
  <c r="BB123" i="1"/>
  <c r="AN212" i="1"/>
  <c r="AO212" i="1" s="1"/>
  <c r="BQ122" i="1"/>
  <c r="BB181" i="1"/>
  <c r="BT173" i="1"/>
  <c r="BU173" i="1" s="1"/>
  <c r="AR122" i="1"/>
  <c r="AN122" i="1"/>
  <c r="BT200" i="1"/>
  <c r="BU200" i="1" s="1"/>
  <c r="BT186" i="1"/>
  <c r="BU186" i="1" s="1"/>
  <c r="AN173" i="1"/>
  <c r="AO173" i="1" s="1"/>
  <c r="AY123" i="1"/>
  <c r="BR211" i="1"/>
  <c r="BS211" i="1" s="1"/>
  <c r="AO100" i="1"/>
  <c r="AQ96" i="1"/>
  <c r="BQ64" i="1"/>
  <c r="AR84" i="1"/>
  <c r="BF84" i="1"/>
  <c r="U181" i="1"/>
  <c r="BR194" i="1"/>
  <c r="BS194" i="1" s="1"/>
  <c r="BP181" i="1"/>
  <c r="BF189" i="1"/>
  <c r="AX186" i="1"/>
  <c r="AY186" i="1" s="1"/>
  <c r="BF197" i="1"/>
  <c r="BG197" i="1" s="1"/>
  <c r="BP193" i="1"/>
  <c r="AP186" i="1"/>
  <c r="AQ186" i="1" s="1"/>
  <c r="AX203" i="1"/>
  <c r="AY203" i="1" s="1"/>
  <c r="BF190" i="1"/>
  <c r="AS123" i="1"/>
  <c r="AP202" i="1"/>
  <c r="AQ202" i="1" s="1"/>
  <c r="BD70" i="1"/>
  <c r="AV70" i="1"/>
  <c r="BQ74" i="1"/>
  <c r="BG84" i="1"/>
  <c r="BT62" i="1"/>
  <c r="BM69" i="1"/>
  <c r="AR81" i="1"/>
  <c r="U201" i="1"/>
  <c r="U231" i="1" s="1"/>
  <c r="BF195" i="1"/>
  <c r="BG195" i="1" s="1"/>
  <c r="BN74" i="1"/>
  <c r="AT201" i="1"/>
  <c r="BB173" i="1"/>
  <c r="BC173" i="1" s="1"/>
  <c r="AS85" i="1"/>
  <c r="BR167" i="1"/>
  <c r="BS167" i="1" s="1"/>
  <c r="BR123" i="1"/>
  <c r="BP122" i="1"/>
  <c r="BC122" i="1"/>
  <c r="BB212" i="1"/>
  <c r="BC212" i="1" s="1"/>
  <c r="BP199" i="1"/>
  <c r="BQ199" i="1" s="1"/>
  <c r="AP167" i="1"/>
  <c r="AQ167" i="1" s="1"/>
  <c r="BP186" i="1"/>
  <c r="BQ186" i="1" s="1"/>
  <c r="BP184" i="1"/>
  <c r="BQ184" i="1" s="1"/>
  <c r="AQ69" i="1"/>
  <c r="BT73" i="1"/>
  <c r="BC72" i="1"/>
  <c r="BI63" i="1"/>
  <c r="BS63" i="1"/>
  <c r="I203" i="1"/>
  <c r="S218" i="1"/>
  <c r="F126" i="1"/>
  <c r="BT207" i="1"/>
  <c r="AP171" i="1"/>
  <c r="AQ171" i="1" s="1"/>
  <c r="AP194" i="1"/>
  <c r="AQ194" i="1" s="1"/>
  <c r="BQ123" i="1"/>
  <c r="BU123" i="1"/>
  <c r="BP202" i="1"/>
  <c r="BQ202" i="1" s="1"/>
  <c r="AX197" i="1"/>
  <c r="AY197" i="1" s="1"/>
  <c r="BP200" i="1"/>
  <c r="BQ200" i="1" s="1"/>
  <c r="BI123" i="1"/>
  <c r="AP200" i="1"/>
  <c r="AQ200" i="1" s="1"/>
  <c r="BW123" i="1"/>
  <c r="BB194" i="1"/>
  <c r="BC194" i="1" s="1"/>
  <c r="AO123" i="1"/>
  <c r="BF211" i="1"/>
  <c r="BG211" i="1" s="1"/>
  <c r="BR57" i="1"/>
  <c r="BB64" i="1"/>
  <c r="AZ64" i="1"/>
  <c r="BU81" i="1"/>
  <c r="BI122" i="1"/>
  <c r="AX123" i="1"/>
  <c r="BR199" i="1"/>
  <c r="BS199" i="1" s="1"/>
  <c r="BF184" i="1"/>
  <c r="BG184" i="1" s="1"/>
  <c r="BB199" i="1"/>
  <c r="BC199" i="1" s="1"/>
  <c r="AN193" i="1"/>
  <c r="AT84" i="1"/>
  <c r="AQ64" i="1"/>
  <c r="BP81" i="1"/>
  <c r="AX58" i="1"/>
  <c r="AQ58" i="1"/>
  <c r="AU63" i="1"/>
  <c r="BJ88" i="1"/>
  <c r="AV96" i="1"/>
  <c r="BH95" i="1"/>
  <c r="BH63" i="1"/>
  <c r="BU57" i="1"/>
  <c r="BU279" i="1" s="1"/>
  <c r="BQ84" i="1"/>
  <c r="AP81" i="1"/>
  <c r="BN62" i="1"/>
  <c r="AU58" i="1"/>
  <c r="BR84" i="1"/>
  <c r="BJ96" i="1"/>
  <c r="BS88" i="1"/>
  <c r="AV58" i="1"/>
  <c r="BN58" i="1"/>
  <c r="BP96" i="1"/>
  <c r="BE58" i="1"/>
  <c r="AX70" i="1"/>
  <c r="AI96" i="1"/>
  <c r="AT63" i="1"/>
  <c r="BT100" i="1"/>
  <c r="AQ57" i="1"/>
  <c r="AR95" i="1"/>
  <c r="AQ81" i="1"/>
  <c r="BG69" i="1"/>
  <c r="BT85" i="1"/>
  <c r="AU73" i="1"/>
  <c r="BO71" i="1"/>
  <c r="BD63" i="1"/>
  <c r="BH197" i="1"/>
  <c r="BI197" i="1" s="1"/>
  <c r="V122" i="1"/>
  <c r="D195" i="1"/>
  <c r="Q220" i="1"/>
  <c r="V201" i="1"/>
  <c r="V231" i="1" s="1"/>
  <c r="R184" i="1"/>
  <c r="R180" i="1" s="1"/>
  <c r="I166" i="1"/>
  <c r="AI85" i="1"/>
  <c r="BS64" i="1"/>
  <c r="U219" i="1"/>
  <c r="D122" i="1"/>
  <c r="F176" i="1"/>
  <c r="C122" i="1"/>
  <c r="R211" i="1"/>
  <c r="F208" i="1"/>
  <c r="S126" i="1"/>
  <c r="R122" i="1"/>
  <c r="D181" i="1"/>
  <c r="J181" i="1"/>
  <c r="W192" i="1"/>
  <c r="B190" i="1"/>
  <c r="BW74" i="1"/>
  <c r="J208" i="1"/>
  <c r="M198" i="1"/>
  <c r="R116" i="1"/>
  <c r="K174" i="1"/>
  <c r="AO69" i="1"/>
  <c r="C191" i="1"/>
  <c r="V190" i="1"/>
  <c r="H203" i="1"/>
  <c r="BK57" i="1"/>
  <c r="AZ81" i="1"/>
  <c r="AZ242" i="1" s="1"/>
  <c r="AT85" i="1"/>
  <c r="BJ84" i="1"/>
  <c r="AQ94" i="1"/>
  <c r="BE63" i="1"/>
  <c r="BA81" i="1"/>
  <c r="AR58" i="1"/>
  <c r="BQ100" i="1"/>
  <c r="BA85" i="1"/>
  <c r="BB84" i="1"/>
  <c r="BF72" i="1"/>
  <c r="BR96" i="1"/>
  <c r="BP72" i="1"/>
  <c r="AZ74" i="1"/>
  <c r="AU85" i="1"/>
  <c r="BG62" i="1"/>
  <c r="BU100" i="1"/>
  <c r="BK96" i="1"/>
  <c r="AQ70" i="1"/>
  <c r="BD96" i="1"/>
  <c r="BB58" i="1"/>
  <c r="BC85" i="1"/>
  <c r="BM58" i="1"/>
  <c r="AP64" i="1"/>
  <c r="BS74" i="1"/>
  <c r="BM74" i="1"/>
  <c r="AV85" i="1"/>
  <c r="BE70" i="1"/>
  <c r="D208" i="1"/>
  <c r="O203" i="1"/>
  <c r="E190" i="1"/>
  <c r="R191" i="1"/>
  <c r="O194" i="1"/>
  <c r="G123" i="1"/>
  <c r="W189" i="1"/>
  <c r="X250" i="1" s="1"/>
  <c r="AS58" i="1"/>
  <c r="AT94" i="1"/>
  <c r="BP70" i="1"/>
  <c r="S181" i="1"/>
  <c r="W174" i="1"/>
  <c r="T186" i="1"/>
  <c r="S198" i="1"/>
  <c r="D219" i="1"/>
  <c r="S199" i="1"/>
  <c r="J198" i="1"/>
  <c r="E197" i="1"/>
  <c r="AN81" i="1"/>
  <c r="AN242" i="1" s="1"/>
  <c r="I171" i="1"/>
  <c r="K168" i="1"/>
  <c r="S123" i="1"/>
  <c r="BQ71" i="1"/>
  <c r="H171" i="1"/>
  <c r="F174" i="1"/>
  <c r="AU71" i="1"/>
  <c r="V208" i="1"/>
  <c r="AT181" i="1"/>
  <c r="BG122" i="1"/>
  <c r="BT201" i="1"/>
  <c r="BB180" i="1"/>
  <c r="AX190" i="1"/>
  <c r="AY190" i="1" s="1"/>
  <c r="BT182" i="1"/>
  <c r="AY74" i="1"/>
  <c r="AY62" i="1"/>
  <c r="AJ122" i="1"/>
  <c r="BC62" i="1"/>
  <c r="BW70" i="1"/>
  <c r="AS72" i="1"/>
  <c r="BB81" i="1"/>
  <c r="BC70" i="1"/>
  <c r="BF58" i="1"/>
  <c r="AX62" i="1"/>
  <c r="AK123" i="1"/>
  <c r="AU57" i="1"/>
  <c r="AS69" i="1"/>
  <c r="BI96" i="1"/>
  <c r="BT88" i="1"/>
  <c r="BU85" i="1"/>
  <c r="BI73" i="1"/>
  <c r="BD58" i="1"/>
  <c r="BS81" i="1"/>
  <c r="BS242" i="1" s="1"/>
  <c r="BO95" i="1"/>
  <c r="BU88" i="1"/>
  <c r="AM123" i="1"/>
  <c r="AW64" i="1"/>
  <c r="BR81" i="1"/>
  <c r="BP64" i="1"/>
  <c r="BI57" i="1"/>
  <c r="BI279" i="1" s="1"/>
  <c r="BB73" i="1"/>
  <c r="AP95" i="1"/>
  <c r="BB70" i="1"/>
  <c r="AI72" i="1"/>
  <c r="AZ71" i="1"/>
  <c r="BN63" i="1"/>
  <c r="BR95" i="1"/>
  <c r="BI95" i="1"/>
  <c r="AT57" i="1"/>
  <c r="AT279" i="1" s="1"/>
  <c r="BT72" i="1"/>
  <c r="BE81" i="1"/>
  <c r="BU74" i="1"/>
  <c r="BN94" i="1"/>
  <c r="AK122" i="1"/>
  <c r="BH123" i="1"/>
  <c r="I123" i="1"/>
  <c r="G176" i="1"/>
  <c r="U211" i="1"/>
  <c r="AM95" i="1"/>
  <c r="BS85" i="1"/>
  <c r="S116" i="1"/>
  <c r="M123" i="1"/>
  <c r="K211" i="1"/>
  <c r="S185" i="1"/>
  <c r="G127" i="1"/>
  <c r="AP69" i="1"/>
  <c r="Q212" i="1"/>
  <c r="P192" i="1"/>
  <c r="P227" i="1" s="1"/>
  <c r="V128" i="1"/>
  <c r="M128" i="1"/>
  <c r="U190" i="1"/>
  <c r="M207" i="1"/>
  <c r="U208" i="1"/>
  <c r="AY69" i="1"/>
  <c r="C193" i="1"/>
  <c r="C228" i="1" s="1"/>
  <c r="BB193" i="1"/>
  <c r="BF175" i="1"/>
  <c r="BG175" i="1" s="1"/>
  <c r="BB192" i="1"/>
  <c r="BP211" i="1"/>
  <c r="BQ211" i="1" s="1"/>
  <c r="AN202" i="1"/>
  <c r="AO202" i="1" s="1"/>
  <c r="BB167" i="1"/>
  <c r="AX199" i="1"/>
  <c r="AY199" i="1" s="1"/>
  <c r="AN171" i="1"/>
  <c r="AO171" i="1" s="1"/>
  <c r="BO123" i="1"/>
  <c r="AN181" i="1"/>
  <c r="BB195" i="1"/>
  <c r="BC195" i="1" s="1"/>
  <c r="BR212" i="1"/>
  <c r="BS212" i="1" s="1"/>
  <c r="BR180" i="1"/>
  <c r="BF199" i="1"/>
  <c r="BG199" i="1" s="1"/>
  <c r="AT197" i="1"/>
  <c r="BU96" i="1"/>
  <c r="AT74" i="1"/>
  <c r="BE88" i="1"/>
  <c r="AV100" i="1"/>
  <c r="BW63" i="1"/>
  <c r="AX69" i="1"/>
  <c r="BR72" i="1"/>
  <c r="BU95" i="1"/>
  <c r="AX71" i="1"/>
  <c r="AN74" i="1"/>
  <c r="BW69" i="1"/>
  <c r="BW96" i="1"/>
  <c r="AM122" i="1"/>
  <c r="BV74" i="1"/>
  <c r="AQ71" i="1"/>
  <c r="BH62" i="1"/>
  <c r="BG95" i="1"/>
  <c r="BP88" i="1"/>
  <c r="AY72" i="1"/>
  <c r="BI62" i="1"/>
  <c r="BK95" i="1"/>
  <c r="BT70" i="1"/>
  <c r="AP62" i="1"/>
  <c r="BF96" i="1"/>
  <c r="AQ95" i="1"/>
  <c r="BM72" i="1"/>
  <c r="AT71" i="1"/>
  <c r="BO72" i="1"/>
  <c r="BO70" i="1"/>
  <c r="BC84" i="1"/>
  <c r="BO84" i="1"/>
  <c r="AQ85" i="1"/>
  <c r="AS81" i="1"/>
  <c r="AR100" i="1"/>
  <c r="BS58" i="1"/>
  <c r="BV94" i="1"/>
  <c r="AS64" i="1"/>
  <c r="S176" i="1"/>
  <c r="E168" i="1"/>
  <c r="W198" i="1"/>
  <c r="V167" i="1"/>
  <c r="R128" i="1"/>
  <c r="AP85" i="1"/>
  <c r="M203" i="1"/>
  <c r="P174" i="1"/>
  <c r="N212" i="1"/>
  <c r="Q208" i="1"/>
  <c r="AW88" i="1"/>
  <c r="AN70" i="1"/>
  <c r="V192" i="1"/>
  <c r="V227" i="1" s="1"/>
  <c r="T116" i="1"/>
  <c r="L166" i="1"/>
  <c r="I197" i="1"/>
  <c r="D197" i="1"/>
  <c r="BH195" i="1"/>
  <c r="BI195" i="1" s="1"/>
  <c r="M219" i="1"/>
  <c r="BW84" i="1"/>
  <c r="AM96" i="1"/>
  <c r="BH81" i="1"/>
  <c r="BG71" i="1"/>
  <c r="BM64" i="1"/>
  <c r="AV84" i="1"/>
  <c r="AX81" i="1"/>
  <c r="AX242" i="1" s="1"/>
  <c r="AT95" i="1"/>
  <c r="AO70" i="1"/>
  <c r="AN96" i="1"/>
  <c r="AN73" i="1"/>
  <c r="BV70" i="1"/>
  <c r="AQ84" i="1"/>
  <c r="BE95" i="1"/>
  <c r="BK88" i="1"/>
  <c r="AQ73" i="1"/>
  <c r="BA63" i="1"/>
  <c r="BK71" i="1"/>
  <c r="P198" i="1"/>
  <c r="P197" i="1"/>
  <c r="F220" i="1"/>
  <c r="N203" i="1"/>
  <c r="C197" i="1"/>
  <c r="P128" i="1"/>
  <c r="L174" i="1"/>
  <c r="AS88" i="1"/>
  <c r="BV171" i="1"/>
  <c r="BW171" i="1" s="1"/>
  <c r="H198" i="1"/>
  <c r="C175" i="1"/>
  <c r="C202" i="1" s="1"/>
  <c r="J167" i="1"/>
  <c r="E175" i="1"/>
  <c r="E202" i="1" s="1"/>
  <c r="V181" i="1"/>
  <c r="R173" i="1"/>
  <c r="Q182" i="1"/>
  <c r="N193" i="1"/>
  <c r="N228" i="1" s="1"/>
  <c r="BA71" i="1"/>
  <c r="Q122" i="1"/>
  <c r="AI71" i="1"/>
  <c r="D211" i="1"/>
  <c r="BP168" i="1"/>
  <c r="AT192" i="1"/>
  <c r="AT184" i="1"/>
  <c r="AU184" i="1" s="1"/>
  <c r="AT200" i="1"/>
  <c r="AU200" i="1" s="1"/>
  <c r="BF200" i="1"/>
  <c r="BG200" i="1" s="1"/>
  <c r="AN174" i="1"/>
  <c r="AO174" i="1" s="1"/>
  <c r="AN168" i="1"/>
  <c r="BT189" i="1"/>
  <c r="BU189" i="1" s="1"/>
  <c r="BT211" i="1"/>
  <c r="BU211" i="1" s="1"/>
  <c r="AW74" i="1"/>
  <c r="BM63" i="1"/>
  <c r="BA62" i="1"/>
  <c r="BW73" i="1"/>
  <c r="BC69" i="1"/>
  <c r="AI95" i="1"/>
  <c r="AO71" i="1"/>
  <c r="AI94" i="1"/>
  <c r="BH94" i="1"/>
  <c r="AR94" i="1"/>
  <c r="BN96" i="1"/>
  <c r="AV64" i="1"/>
  <c r="BA57" i="1"/>
  <c r="AX57" i="1"/>
  <c r="AX279" i="1" s="1"/>
  <c r="AZ57" i="1"/>
  <c r="AZ279" i="1" s="1"/>
  <c r="AP72" i="1"/>
  <c r="BQ96" i="1"/>
  <c r="BQ57" i="1"/>
  <c r="BQ279" i="1" s="1"/>
  <c r="BT81" i="1"/>
  <c r="BT242" i="1" s="1"/>
  <c r="AU96" i="1"/>
  <c r="AX96" i="1"/>
  <c r="BT74" i="1"/>
  <c r="BH85" i="1"/>
  <c r="AZ63" i="1"/>
  <c r="AV69" i="1"/>
  <c r="AR63" i="1"/>
  <c r="AW72" i="1"/>
  <c r="BE69" i="1"/>
  <c r="BB72" i="1"/>
  <c r="AP96" i="1"/>
  <c r="BW94" i="1"/>
  <c r="BF71" i="1"/>
  <c r="AQ62" i="1"/>
  <c r="BR94" i="1"/>
  <c r="BU72" i="1"/>
  <c r="AY81" i="1"/>
  <c r="AY242" i="1" s="1"/>
  <c r="AT64" i="1"/>
  <c r="BS95" i="1"/>
  <c r="AV74" i="1"/>
  <c r="BM73" i="1"/>
  <c r="AT72" i="1"/>
  <c r="AX74" i="1"/>
  <c r="BH190" i="1"/>
  <c r="O193" i="1"/>
  <c r="O228" i="1" s="1"/>
  <c r="I167" i="1"/>
  <c r="T191" i="1"/>
  <c r="K166" i="1"/>
  <c r="I199" i="1"/>
  <c r="F168" i="1"/>
  <c r="BH181" i="1"/>
  <c r="N197" i="1"/>
  <c r="B116" i="1"/>
  <c r="T173" i="1"/>
  <c r="O122" i="1"/>
  <c r="L175" i="1"/>
  <c r="L202" i="1" s="1"/>
  <c r="BF81" i="1"/>
  <c r="BV173" i="1"/>
  <c r="BW173" i="1" s="1"/>
  <c r="G173" i="1"/>
  <c r="R185" i="1"/>
  <c r="M208" i="1"/>
  <c r="T211" i="1"/>
  <c r="V171" i="1"/>
  <c r="D189" i="1"/>
  <c r="J176" i="1"/>
  <c r="O174" i="1"/>
  <c r="R189" i="1"/>
  <c r="S186" i="1"/>
  <c r="B181" i="1"/>
  <c r="U197" i="1"/>
  <c r="BO81" i="1"/>
  <c r="BV72" i="1"/>
  <c r="BP57" i="1"/>
  <c r="BP95" i="1"/>
  <c r="AZ72" i="1"/>
  <c r="BM71" i="1"/>
  <c r="BD69" i="1"/>
  <c r="BK63" i="1"/>
  <c r="AW57" i="1"/>
  <c r="BP63" i="1"/>
  <c r="AJ123" i="1"/>
  <c r="AP73" i="1"/>
  <c r="AY84" i="1"/>
  <c r="AN85" i="1"/>
  <c r="BT57" i="1"/>
  <c r="BT279" i="1" s="1"/>
  <c r="AW84" i="1"/>
  <c r="BH84" i="1"/>
  <c r="BN84" i="1"/>
  <c r="BH180" i="1"/>
  <c r="M181" i="1"/>
  <c r="P184" i="1"/>
  <c r="P180" i="1" s="1"/>
  <c r="D176" i="1"/>
  <c r="T193" i="1"/>
  <c r="T228" i="1" s="1"/>
  <c r="H184" i="1"/>
  <c r="H180" i="1" s="1"/>
  <c r="E189" i="1"/>
  <c r="W191" i="1"/>
  <c r="R195" i="1"/>
  <c r="BQ70" i="1"/>
  <c r="BH173" i="1"/>
  <c r="BI173" i="1" s="1"/>
  <c r="BF63" i="1"/>
  <c r="R207" i="1"/>
  <c r="V168" i="1"/>
  <c r="AR57" i="1"/>
  <c r="AR279" i="1" s="1"/>
  <c r="BV189" i="1"/>
  <c r="B212" i="1"/>
  <c r="M127" i="1"/>
  <c r="BV194" i="1"/>
  <c r="BW194" i="1" s="1"/>
  <c r="R192" i="1"/>
  <c r="R227" i="1" s="1"/>
  <c r="C174" i="1"/>
  <c r="BT166" i="1"/>
  <c r="BU166" i="1" s="1"/>
  <c r="AT174" i="1"/>
  <c r="AU174" i="1" s="1"/>
  <c r="BU122" i="1"/>
  <c r="BF168" i="1"/>
  <c r="BP167" i="1"/>
  <c r="BQ167" i="1" s="1"/>
  <c r="BP175" i="1"/>
  <c r="BQ175" i="1" s="1"/>
  <c r="BT191" i="1"/>
  <c r="BU191" i="1" s="1"/>
  <c r="AT189" i="1"/>
  <c r="BS123" i="1"/>
  <c r="AT167" i="1"/>
  <c r="AU167" i="1" s="1"/>
  <c r="AT193" i="1"/>
  <c r="AT208" i="1"/>
  <c r="BP201" i="1"/>
  <c r="BP191" i="1"/>
  <c r="BQ191" i="1" s="1"/>
  <c r="AT194" i="1"/>
  <c r="AU194" i="1" s="1"/>
  <c r="AN207" i="1"/>
  <c r="AN189" i="1"/>
  <c r="BB71" i="1"/>
  <c r="BK84" i="1"/>
  <c r="BF88" i="1"/>
  <c r="BU64" i="1"/>
  <c r="BD84" i="1"/>
  <c r="AZ73" i="1"/>
  <c r="BK100" i="1"/>
  <c r="AT70" i="1"/>
  <c r="BB96" i="1"/>
  <c r="BB57" i="1"/>
  <c r="BK81" i="1"/>
  <c r="AO72" i="1"/>
  <c r="BG57" i="1"/>
  <c r="BW64" i="1"/>
  <c r="AU94" i="1"/>
  <c r="BP62" i="1"/>
  <c r="BT69" i="1"/>
  <c r="BR88" i="1"/>
  <c r="BQ62" i="1"/>
  <c r="BH88" i="1"/>
  <c r="AT62" i="1"/>
  <c r="BI94" i="1"/>
  <c r="AQ72" i="1"/>
  <c r="BO85" i="1"/>
  <c r="AS63" i="1"/>
  <c r="BP73" i="1"/>
  <c r="BW58" i="1"/>
  <c r="BB95" i="1"/>
  <c r="BS62" i="1"/>
  <c r="BJ85" i="1"/>
  <c r="BJ300" i="1" s="1"/>
  <c r="AT100" i="1"/>
  <c r="BD85" i="1"/>
  <c r="BI85" i="1"/>
  <c r="BD57" i="1"/>
  <c r="BM85" i="1"/>
  <c r="BJ71" i="1"/>
  <c r="BJ75" i="1" s="1"/>
  <c r="BP58" i="1"/>
  <c r="AN63" i="1"/>
  <c r="BI71" i="1"/>
  <c r="AY96" i="1"/>
  <c r="AO88" i="1"/>
  <c r="BT94" i="1"/>
  <c r="BB94" i="1"/>
  <c r="BM81" i="1"/>
  <c r="BM242" i="1" s="1"/>
  <c r="B175" i="1"/>
  <c r="B202" i="1" s="1"/>
  <c r="O176" i="1"/>
  <c r="L185" i="1"/>
  <c r="C219" i="1"/>
  <c r="N198" i="1"/>
  <c r="T212" i="1"/>
  <c r="F203" i="1"/>
  <c r="W197" i="1"/>
  <c r="BH58" i="1"/>
  <c r="BV202" i="1"/>
  <c r="BW202" i="1" s="1"/>
  <c r="L198" i="1"/>
  <c r="R127" i="1"/>
  <c r="S193" i="1"/>
  <c r="S228" i="1" s="1"/>
  <c r="O173" i="1"/>
  <c r="BH191" i="1"/>
  <c r="BI191" i="1" s="1"/>
  <c r="G197" i="1"/>
  <c r="D123" i="1"/>
  <c r="D186" i="1"/>
  <c r="I186" i="1"/>
  <c r="T128" i="1"/>
  <c r="G175" i="1"/>
  <c r="BP192" i="1"/>
  <c r="BP194" i="1"/>
  <c r="BQ194" i="1" s="1"/>
  <c r="AN180" i="1"/>
  <c r="BF173" i="1"/>
  <c r="BP171" i="1"/>
  <c r="BQ171" i="1" s="1"/>
  <c r="AT199" i="1"/>
  <c r="AU199" i="1" s="1"/>
  <c r="BF180" i="1"/>
  <c r="AY73" i="1"/>
  <c r="BN81" i="1"/>
  <c r="AY71" i="1"/>
  <c r="BP94" i="1"/>
  <c r="BJ122" i="1"/>
  <c r="BO100" i="1"/>
  <c r="BE71" i="1"/>
  <c r="BW62" i="1"/>
  <c r="BM94" i="1"/>
  <c r="BN64" i="1"/>
  <c r="AM94" i="1"/>
  <c r="BR64" i="1"/>
  <c r="AN84" i="1"/>
  <c r="BU62" i="1"/>
  <c r="BU94" i="1"/>
  <c r="AY94" i="1"/>
  <c r="BQ72" i="1"/>
  <c r="BA96" i="1"/>
  <c r="BC95" i="1"/>
  <c r="BT96" i="1"/>
  <c r="AI69" i="1"/>
  <c r="BW95" i="1"/>
  <c r="AX84" i="1"/>
  <c r="BW100" i="1"/>
  <c r="BH96" i="1"/>
  <c r="BF69" i="1"/>
  <c r="AS100" i="1"/>
  <c r="AN100" i="1"/>
  <c r="BE74" i="1"/>
  <c r="AY58" i="1"/>
  <c r="BR74" i="1"/>
  <c r="AQ74" i="1"/>
  <c r="AN95" i="1"/>
  <c r="BT84" i="1"/>
  <c r="BO69" i="1"/>
  <c r="E220" i="1"/>
  <c r="Q203" i="1"/>
  <c r="H192" i="1"/>
  <c r="H227" i="1" s="1"/>
  <c r="K219" i="1"/>
  <c r="AZ94" i="1"/>
  <c r="AR85" i="1"/>
  <c r="L186" i="1"/>
  <c r="Q192" i="1"/>
  <c r="Q227" i="1" s="1"/>
  <c r="R220" i="1"/>
  <c r="Q194" i="1"/>
  <c r="W218" i="1"/>
  <c r="T122" i="1"/>
  <c r="V176" i="1"/>
  <c r="BH189" i="1"/>
  <c r="BI189" i="1" s="1"/>
  <c r="BJ250" i="1" s="1"/>
  <c r="K182" i="1"/>
  <c r="D218" i="1"/>
  <c r="S168" i="1"/>
  <c r="AR88" i="1"/>
  <c r="Q175" i="1"/>
  <c r="Q202" i="1" s="1"/>
  <c r="G191" i="1"/>
  <c r="H174" i="1"/>
  <c r="AT168" i="1"/>
  <c r="AN123" i="1"/>
  <c r="AR71" i="1"/>
  <c r="AW100" i="1"/>
  <c r="AO63" i="1"/>
  <c r="BO74" i="1"/>
  <c r="BR100" i="1"/>
  <c r="AP70" i="1"/>
  <c r="AW70" i="1"/>
  <c r="AV81" i="1"/>
  <c r="AV242" i="1" s="1"/>
  <c r="AO62" i="1"/>
  <c r="BD88" i="1"/>
  <c r="BV64" i="1"/>
  <c r="BA58" i="1"/>
  <c r="AI88" i="1"/>
  <c r="BP74" i="1"/>
  <c r="AW85" i="1"/>
  <c r="BH70" i="1"/>
  <c r="BT71" i="1"/>
  <c r="AO85" i="1"/>
  <c r="AW73" i="1"/>
  <c r="BE84" i="1"/>
  <c r="AV95" i="1"/>
  <c r="AI70" i="1"/>
  <c r="BG81" i="1"/>
  <c r="BO96" i="1"/>
  <c r="BV88" i="1"/>
  <c r="BE72" i="1"/>
  <c r="BR71" i="1"/>
  <c r="BC57" i="1"/>
  <c r="BD100" i="1"/>
  <c r="AS71" i="1"/>
  <c r="BW85" i="1"/>
  <c r="BQ95" i="1"/>
  <c r="AS57" i="1"/>
  <c r="AN88" i="1"/>
  <c r="AT69" i="1"/>
  <c r="BG72" i="1"/>
  <c r="BM84" i="1"/>
  <c r="AP74" i="1"/>
  <c r="BN69" i="1"/>
  <c r="AI81" i="1"/>
  <c r="F184" i="1"/>
  <c r="F180" i="1" s="1"/>
  <c r="W127" i="1"/>
  <c r="K194" i="1"/>
  <c r="J186" i="1"/>
  <c r="W123" i="1"/>
  <c r="H166" i="1"/>
  <c r="W126" i="1"/>
  <c r="I201" i="1"/>
  <c r="I231" i="1" s="1"/>
  <c r="BH203" i="1"/>
  <c r="BI203" i="1" s="1"/>
  <c r="S203" i="1"/>
  <c r="S212" i="1"/>
  <c r="K192" i="1"/>
  <c r="K227" i="1" s="1"/>
  <c r="AY95" i="1"/>
  <c r="W201" i="1"/>
  <c r="M212" i="1"/>
  <c r="N218" i="1"/>
  <c r="N207" i="1"/>
  <c r="Q193" i="1"/>
  <c r="Q228" i="1" s="1"/>
  <c r="C112" i="1"/>
  <c r="P185" i="1"/>
  <c r="V174" i="1"/>
  <c r="S182" i="1"/>
  <c r="W184" i="1"/>
  <c r="W180" i="1" s="1"/>
  <c r="BT175" i="1"/>
  <c r="BU175" i="1" s="1"/>
  <c r="AN201" i="1"/>
  <c r="BT174" i="1"/>
  <c r="BP174" i="1"/>
  <c r="BW122" i="1"/>
  <c r="AN176" i="1"/>
  <c r="AO176" i="1" s="1"/>
  <c r="AT186" i="1"/>
  <c r="AU186" i="1" s="1"/>
  <c r="AT211" i="1"/>
  <c r="AU211" i="1" s="1"/>
  <c r="BT195" i="1"/>
  <c r="BU195" i="1" s="1"/>
  <c r="AN190" i="1"/>
  <c r="BP195" i="1"/>
  <c r="BQ195" i="1" s="1"/>
  <c r="BT212" i="1"/>
  <c r="BU212" i="1" s="1"/>
  <c r="AN192" i="1"/>
  <c r="AV72" i="1"/>
  <c r="BB100" i="1"/>
  <c r="BA94" i="1"/>
  <c r="AR72" i="1"/>
  <c r="AI64" i="1"/>
  <c r="AX64" i="1"/>
  <c r="BS94" i="1"/>
  <c r="BO58" i="1"/>
  <c r="BU84" i="1"/>
  <c r="AX72" i="1"/>
  <c r="BP100" i="1"/>
  <c r="BA74" i="1"/>
  <c r="BA72" i="1"/>
  <c r="AT81" i="1"/>
  <c r="BC64" i="1"/>
  <c r="BQ88" i="1"/>
  <c r="BG73" i="1"/>
  <c r="BW81" i="1"/>
  <c r="BS73" i="1"/>
  <c r="AU62" i="1"/>
  <c r="AZ62" i="1"/>
  <c r="BI64" i="1"/>
  <c r="BI81" i="1"/>
  <c r="AO57" i="1"/>
  <c r="BW72" i="1"/>
  <c r="BB88" i="1"/>
  <c r="BS57" i="1"/>
  <c r="BS279" i="1" s="1"/>
  <c r="BC58" i="1"/>
  <c r="BH72" i="1"/>
  <c r="AP84" i="1"/>
  <c r="BK58" i="1"/>
  <c r="AS96" i="1"/>
  <c r="AW69" i="1"/>
  <c r="BN57" i="1"/>
  <c r="AV73" i="1"/>
  <c r="BR69" i="1"/>
  <c r="BO64" i="1"/>
  <c r="AO64" i="1"/>
  <c r="AZ58" i="1"/>
  <c r="AO94" i="1"/>
  <c r="AV71" i="1"/>
  <c r="BT63" i="1"/>
  <c r="BV181" i="1"/>
  <c r="L167" i="1"/>
  <c r="J191" i="1"/>
  <c r="W168" i="1"/>
  <c r="M184" i="1"/>
  <c r="M180" i="1" s="1"/>
  <c r="V186" i="1"/>
  <c r="W173" i="1"/>
  <c r="Q174" i="1"/>
  <c r="J192" i="1"/>
  <c r="J227" i="1" s="1"/>
  <c r="P218" i="1"/>
  <c r="BF62" i="1"/>
  <c r="BH168" i="1"/>
  <c r="E176" i="1"/>
  <c r="D166" i="1"/>
  <c r="S167" i="1"/>
  <c r="H211" i="1"/>
  <c r="I219" i="1"/>
  <c r="BD72" i="1"/>
  <c r="B201" i="1"/>
  <c r="B231" i="1" s="1"/>
  <c r="G174" i="1"/>
  <c r="BJ95" i="1"/>
  <c r="L182" i="1"/>
  <c r="D191" i="1"/>
  <c r="W116" i="1"/>
  <c r="J171" i="1"/>
  <c r="L192" i="1"/>
  <c r="L227" i="1" s="1"/>
  <c r="F191" i="1"/>
  <c r="W207" i="1"/>
  <c r="BG100" i="1"/>
  <c r="AR64" i="1"/>
  <c r="BV201" i="1"/>
  <c r="K208" i="1"/>
  <c r="J203" i="1"/>
  <c r="K203" i="1"/>
  <c r="K116" i="1"/>
  <c r="L123" i="1"/>
  <c r="R218" i="1"/>
  <c r="J184" i="1"/>
  <c r="J180" i="1" s="1"/>
  <c r="R186" i="1"/>
  <c r="G198" i="1"/>
  <c r="AP100" i="1"/>
  <c r="BD95" i="1"/>
  <c r="BG85" i="1"/>
  <c r="BH211" i="1"/>
  <c r="BI211" i="1" s="1"/>
  <c r="C166" i="1"/>
  <c r="B208" i="1"/>
  <c r="P167" i="1"/>
  <c r="Q190" i="1"/>
  <c r="R190" i="1"/>
  <c r="V127" i="1"/>
  <c r="S219" i="1"/>
  <c r="R126" i="1"/>
  <c r="U186" i="1"/>
  <c r="BF64" i="1"/>
  <c r="BV174" i="1"/>
  <c r="BW174" i="1" s="1"/>
  <c r="R182" i="1"/>
  <c r="S189" i="1"/>
  <c r="L168" i="1"/>
  <c r="N116" i="1"/>
  <c r="E211" i="1"/>
  <c r="R194" i="1"/>
  <c r="J128" i="1"/>
  <c r="H218" i="1"/>
  <c r="B166" i="1"/>
  <c r="N123" i="1"/>
  <c r="BP85" i="1"/>
  <c r="BB69" i="1"/>
  <c r="BV175" i="1"/>
  <c r="BW175" i="1" s="1"/>
  <c r="R219" i="1"/>
  <c r="O211" i="1"/>
  <c r="P182" i="1"/>
  <c r="Q207" i="1"/>
  <c r="M174" i="1"/>
  <c r="L195" i="1"/>
  <c r="G212" i="1"/>
  <c r="BH201" i="1"/>
  <c r="J126" i="1"/>
  <c r="L199" i="1"/>
  <c r="L193" i="1"/>
  <c r="L228" i="1" s="1"/>
  <c r="M166" i="1"/>
  <c r="M218" i="1"/>
  <c r="F207" i="1"/>
  <c r="D193" i="1"/>
  <c r="D228" i="1" s="1"/>
  <c r="W208" i="1"/>
  <c r="C186" i="1"/>
  <c r="T126" i="1"/>
  <c r="I191" i="1"/>
  <c r="E198" i="1"/>
  <c r="S195" i="1"/>
  <c r="H123" i="1"/>
  <c r="O181" i="1"/>
  <c r="V220" i="1"/>
  <c r="O197" i="1"/>
  <c r="F193" i="1"/>
  <c r="F228" i="1" s="1"/>
  <c r="O198" i="1"/>
  <c r="BP84" i="1"/>
  <c r="BT58" i="1"/>
  <c r="AY63" i="1"/>
  <c r="BO63" i="1"/>
  <c r="Q197" i="1"/>
  <c r="K167" i="1"/>
  <c r="U122" i="1"/>
  <c r="V198" i="1"/>
  <c r="W203" i="1"/>
  <c r="U175" i="1"/>
  <c r="U202" i="1" s="1"/>
  <c r="K127" i="1"/>
  <c r="F128" i="1"/>
  <c r="T199" i="1"/>
  <c r="AN72" i="1"/>
  <c r="BV212" i="1"/>
  <c r="BW212" i="1" s="1"/>
  <c r="C167" i="1"/>
  <c r="F218" i="1"/>
  <c r="M191" i="1"/>
  <c r="K189" i="1"/>
  <c r="O126" i="1"/>
  <c r="E191" i="1"/>
  <c r="V197" i="1"/>
  <c r="BD73" i="1"/>
  <c r="AW95" i="1"/>
  <c r="BI74" i="1"/>
  <c r="L181" i="1"/>
  <c r="L207" i="1"/>
  <c r="E127" i="1"/>
  <c r="L122" i="1"/>
  <c r="G190" i="1"/>
  <c r="U123" i="1"/>
  <c r="L201" i="1"/>
  <c r="L231" i="1" s="1"/>
  <c r="N192" i="1"/>
  <c r="N227" i="1" s="1"/>
  <c r="L126" i="1"/>
  <c r="BJ58" i="1"/>
  <c r="BJ59" i="1" s="1"/>
  <c r="BV208" i="1"/>
  <c r="N199" i="1"/>
  <c r="B203" i="1"/>
  <c r="V211" i="1"/>
  <c r="G184" i="1"/>
  <c r="G180" i="1" s="1"/>
  <c r="T201" i="1"/>
  <c r="T231" i="1" s="1"/>
  <c r="BO57" i="1"/>
  <c r="BO279" i="1" s="1"/>
  <c r="BH167" i="1"/>
  <c r="I211" i="1"/>
  <c r="B220" i="1"/>
  <c r="I175" i="1"/>
  <c r="I202" i="1" s="1"/>
  <c r="N181" i="1"/>
  <c r="J190" i="1"/>
  <c r="V207" i="1"/>
  <c r="W128" i="1"/>
  <c r="T207" i="1"/>
  <c r="K220" i="1"/>
  <c r="H219" i="1"/>
  <c r="AT73" i="1"/>
  <c r="BH202" i="1"/>
  <c r="BI202" i="1" s="1"/>
  <c r="M193" i="1"/>
  <c r="M228" i="1" s="1"/>
  <c r="G193" i="1"/>
  <c r="G228" i="1" s="1"/>
  <c r="M116" i="1"/>
  <c r="Q168" i="1"/>
  <c r="U220" i="1"/>
  <c r="F197" i="1"/>
  <c r="F199" i="1"/>
  <c r="P220" i="1"/>
  <c r="D194" i="1"/>
  <c r="E203" i="1"/>
  <c r="H195" i="1"/>
  <c r="AU74" i="1"/>
  <c r="BU58" i="1"/>
  <c r="AS94" i="1"/>
  <c r="BH207" i="1"/>
  <c r="J182" i="1"/>
  <c r="F195" i="1"/>
  <c r="B193" i="1"/>
  <c r="B228" i="1" s="1"/>
  <c r="S127" i="1"/>
  <c r="V173" i="1"/>
  <c r="V189" i="1"/>
  <c r="C212" i="1"/>
  <c r="J127" i="1"/>
  <c r="O195" i="1"/>
  <c r="S201" i="1"/>
  <c r="S231" i="1" s="1"/>
  <c r="N168" i="1"/>
  <c r="E181" i="1"/>
  <c r="E116" i="1"/>
  <c r="AU69" i="1"/>
  <c r="BV211" i="1"/>
  <c r="BW211" i="1" s="1"/>
  <c r="Q123" i="1"/>
  <c r="T181" i="1"/>
  <c r="M190" i="1"/>
  <c r="N208" i="1"/>
  <c r="D184" i="1"/>
  <c r="T190" i="1"/>
  <c r="AR74" i="1"/>
  <c r="BM95" i="1"/>
  <c r="BQ69" i="1"/>
  <c r="BB62" i="1"/>
  <c r="AI62" i="1"/>
  <c r="BV58" i="1"/>
  <c r="BH100" i="1"/>
  <c r="BE73" i="1"/>
  <c r="AX94" i="1"/>
  <c r="BC100" i="1"/>
  <c r="AI57" i="1"/>
  <c r="AT88" i="1"/>
  <c r="AX100" i="1"/>
  <c r="AR69" i="1"/>
  <c r="BH74" i="1"/>
  <c r="AX63" i="1"/>
  <c r="AW62" i="1"/>
  <c r="BV95" i="1"/>
  <c r="AY57" i="1"/>
  <c r="AN69" i="1"/>
  <c r="AZ96" i="1"/>
  <c r="AV57" i="1"/>
  <c r="AV279" i="1" s="1"/>
  <c r="AN57" i="1"/>
  <c r="BA70" i="1"/>
  <c r="AI74" i="1"/>
  <c r="AW58" i="1"/>
  <c r="BF100" i="1"/>
  <c r="BR85" i="1"/>
  <c r="BG64" i="1"/>
  <c r="BQ58" i="1"/>
  <c r="AI73" i="1"/>
  <c r="BO62" i="1"/>
  <c r="BA69" i="1"/>
  <c r="AU72" i="1"/>
  <c r="BN88" i="1"/>
  <c r="AZ69" i="1"/>
  <c r="BM96" i="1"/>
  <c r="BD74" i="1"/>
  <c r="BK69" i="1"/>
  <c r="BH71" i="1"/>
  <c r="AV62" i="1"/>
  <c r="BS96" i="1"/>
  <c r="AO96" i="1"/>
  <c r="BV62" i="1"/>
  <c r="BV193" i="1"/>
  <c r="F182" i="1"/>
  <c r="H116" i="1"/>
  <c r="J174" i="1"/>
  <c r="B173" i="1"/>
  <c r="N126" i="1"/>
  <c r="P181" i="1"/>
  <c r="T195" i="1"/>
  <c r="AS95" i="1"/>
  <c r="BH184" i="1"/>
  <c r="BI184" i="1" s="1"/>
  <c r="P173" i="1"/>
  <c r="P190" i="1"/>
  <c r="Q195" i="1"/>
  <c r="F116" i="1"/>
  <c r="H176" i="1"/>
  <c r="J219" i="1"/>
  <c r="D112" i="1"/>
  <c r="J211" i="1"/>
  <c r="BN72" i="1"/>
  <c r="BB63" i="1"/>
  <c r="BF73" i="1"/>
  <c r="D201" i="1"/>
  <c r="D231" i="1" s="1"/>
  <c r="D198" i="1"/>
  <c r="K171" i="1"/>
  <c r="U195" i="1"/>
  <c r="Q176" i="1"/>
  <c r="Q184" i="1"/>
  <c r="Q180" i="1" s="1"/>
  <c r="BE85" i="1"/>
  <c r="G192" i="1"/>
  <c r="G227" i="1" s="1"/>
  <c r="U166" i="1"/>
  <c r="W186" i="1"/>
  <c r="Q211" i="1"/>
  <c r="U199" i="1"/>
  <c r="G208" i="1"/>
  <c r="I190" i="1"/>
  <c r="C198" i="1"/>
  <c r="BF95" i="1"/>
  <c r="BD94" i="1"/>
  <c r="H207" i="1"/>
  <c r="H168" i="1"/>
  <c r="P194" i="1"/>
  <c r="G166" i="1"/>
  <c r="O175" i="1"/>
  <c r="O202" i="1" s="1"/>
  <c r="I195" i="1"/>
  <c r="G122" i="1"/>
  <c r="N166" i="1"/>
  <c r="H128" i="1"/>
  <c r="AQ88" i="1"/>
  <c r="BH194" i="1"/>
  <c r="BI194" i="1" s="1"/>
  <c r="BH198" i="1"/>
  <c r="BI198" i="1" s="1"/>
  <c r="G185" i="1"/>
  <c r="L194" i="1"/>
  <c r="O128" i="1"/>
  <c r="W190" i="1"/>
  <c r="W194" i="1"/>
  <c r="I207" i="1"/>
  <c r="P175" i="1"/>
  <c r="P202" i="1" s="1"/>
  <c r="V203" i="1"/>
  <c r="I176" i="1"/>
  <c r="D116" i="1"/>
  <c r="AZ85" i="1"/>
  <c r="BV207" i="1"/>
  <c r="V194" i="1"/>
  <c r="R166" i="1"/>
  <c r="S175" i="1"/>
  <c r="S202" i="1" s="1"/>
  <c r="U116" i="1"/>
  <c r="T176" i="1"/>
  <c r="J194" i="1"/>
  <c r="O191" i="1"/>
  <c r="AY64" i="1"/>
  <c r="AN94" i="1"/>
  <c r="BH171" i="1"/>
  <c r="BI171" i="1" s="1"/>
  <c r="O116" i="1"/>
  <c r="G128" i="1"/>
  <c r="B127" i="1"/>
  <c r="I128" i="1"/>
  <c r="O208" i="1"/>
  <c r="P199" i="1"/>
  <c r="T166" i="1"/>
  <c r="E208" i="1"/>
  <c r="E209" i="1" s="1"/>
  <c r="F257" i="1" s="1"/>
  <c r="E173" i="1"/>
  <c r="W193" i="1"/>
  <c r="BG96" i="1"/>
  <c r="BT64" i="1"/>
  <c r="AR73" i="1"/>
  <c r="AZ88" i="1"/>
  <c r="AY88" i="1"/>
  <c r="BQ94" i="1"/>
  <c r="AV63" i="1"/>
  <c r="BE100" i="1"/>
  <c r="BF74" i="1"/>
  <c r="BU63" i="1"/>
  <c r="AO74" i="1"/>
  <c r="BI70" i="1"/>
  <c r="BO94" i="1"/>
  <c r="BV57" i="1"/>
  <c r="BQ73" i="1"/>
  <c r="AP88" i="1"/>
  <c r="AP71" i="1"/>
  <c r="AR96" i="1"/>
  <c r="AQ63" i="1"/>
  <c r="AW63" i="1"/>
  <c r="BN85" i="1"/>
  <c r="AN62" i="1"/>
  <c r="AU64" i="1"/>
  <c r="BM62" i="1"/>
  <c r="BM88" i="1"/>
  <c r="BD64" i="1"/>
  <c r="BG58" i="1"/>
  <c r="BB85" i="1"/>
  <c r="BB74" i="1"/>
  <c r="BQ85" i="1"/>
  <c r="BH73" i="1"/>
  <c r="BH69" i="1"/>
  <c r="BG88" i="1"/>
  <c r="AP57" i="1"/>
  <c r="BS84" i="1"/>
  <c r="BV73" i="1"/>
  <c r="BK73" i="1"/>
  <c r="BF70" i="1"/>
  <c r="AI58" i="1"/>
  <c r="AP58" i="1"/>
  <c r="BV96" i="1"/>
  <c r="AY70" i="1"/>
  <c r="BT95" i="1"/>
  <c r="AS73" i="1"/>
  <c r="AZ70" i="1"/>
  <c r="BV168" i="1"/>
  <c r="T182" i="1"/>
  <c r="D175" i="1"/>
  <c r="D202" i="1" s="1"/>
  <c r="R176" i="1"/>
  <c r="G194" i="1"/>
  <c r="E185" i="1"/>
  <c r="G219" i="1"/>
  <c r="B189" i="1"/>
  <c r="H212" i="1"/>
  <c r="L220" i="1"/>
  <c r="T203" i="1"/>
  <c r="BG70" i="1"/>
  <c r="BK85" i="1"/>
  <c r="BV63" i="1"/>
  <c r="BV199" i="1"/>
  <c r="BW199" i="1" s="1"/>
  <c r="H194" i="1"/>
  <c r="H220" i="1"/>
  <c r="C168" i="1"/>
  <c r="N195" i="1"/>
  <c r="Q173" i="1"/>
  <c r="T197" i="1"/>
  <c r="Q128" i="1"/>
  <c r="E212" i="1"/>
  <c r="F123" i="1"/>
  <c r="M185" i="1"/>
  <c r="BD81" i="1"/>
  <c r="BD242" i="1" s="1"/>
  <c r="B128" i="1"/>
  <c r="J218" i="1"/>
  <c r="B207" i="1"/>
  <c r="G199" i="1"/>
  <c r="H122" i="1"/>
  <c r="E192" i="1"/>
  <c r="E227" i="1" s="1"/>
  <c r="Q167" i="1"/>
  <c r="I212" i="1"/>
  <c r="T192" i="1"/>
  <c r="T227" i="1" s="1"/>
  <c r="P116" i="1"/>
  <c r="M175" i="1"/>
  <c r="M202" i="1" s="1"/>
  <c r="BC71" i="1"/>
  <c r="BH176" i="1"/>
  <c r="BI176" i="1" s="1"/>
  <c r="G220" i="1"/>
  <c r="M201" i="1"/>
  <c r="M231" i="1" s="1"/>
  <c r="E174" i="1"/>
  <c r="R208" i="1"/>
  <c r="O218" i="1"/>
  <c r="BP69" i="1"/>
  <c r="BM70" i="1"/>
  <c r="AX88" i="1"/>
  <c r="BV182" i="1"/>
  <c r="F167" i="1"/>
  <c r="V116" i="1"/>
  <c r="E182" i="1"/>
  <c r="E184" i="1"/>
  <c r="E180" i="1" s="1"/>
  <c r="T189" i="1"/>
  <c r="N127" i="1"/>
  <c r="N191" i="1"/>
  <c r="BV84" i="1"/>
  <c r="BN70" i="1"/>
  <c r="BH199" i="1"/>
  <c r="BI199" i="1" s="1"/>
  <c r="T123" i="1"/>
  <c r="L176" i="1"/>
  <c r="Q191" i="1"/>
  <c r="E122" i="1"/>
  <c r="S207" i="1"/>
  <c r="F173" i="1"/>
  <c r="N185" i="1"/>
  <c r="N128" i="1"/>
  <c r="B198" i="1"/>
  <c r="Q171" i="1"/>
  <c r="R123" i="1"/>
  <c r="O168" i="1"/>
  <c r="K128" i="1"/>
  <c r="U189" i="1"/>
  <c r="L171" i="1"/>
  <c r="K122" i="1"/>
  <c r="U207" i="1"/>
  <c r="C208" i="1"/>
  <c r="BD62" i="1"/>
  <c r="AU70" i="1"/>
  <c r="BI58" i="1"/>
  <c r="O199" i="1"/>
  <c r="W199" i="1"/>
  <c r="P207" i="1"/>
  <c r="P209" i="1" s="1"/>
  <c r="Q257" i="1" s="1"/>
  <c r="F185" i="1"/>
  <c r="P126" i="1"/>
  <c r="K123" i="1"/>
  <c r="V123" i="1"/>
  <c r="F171" i="1"/>
  <c r="H186" i="1"/>
  <c r="K207" i="1"/>
  <c r="N174" i="1"/>
  <c r="AT58" i="1"/>
  <c r="BI100" i="1"/>
  <c r="BK72" i="1"/>
  <c r="AU81" i="1"/>
  <c r="BH175" i="1"/>
  <c r="BI175" i="1" s="1"/>
  <c r="S211" i="1"/>
  <c r="S220" i="1"/>
  <c r="P193" i="1"/>
  <c r="P228" i="1" s="1"/>
  <c r="C203" i="1"/>
  <c r="F190" i="1"/>
  <c r="J123" i="1"/>
  <c r="BE64" i="1"/>
  <c r="BH186" i="1"/>
  <c r="BI186" i="1" s="1"/>
  <c r="BV180" i="1"/>
  <c r="F186" i="1"/>
  <c r="J122" i="1"/>
  <c r="B199" i="1"/>
  <c r="V195" i="1"/>
  <c r="I194" i="1"/>
  <c r="V185" i="1"/>
  <c r="S208" i="1"/>
  <c r="BH212" i="1"/>
  <c r="BI212" i="1" s="1"/>
  <c r="BH208" i="1"/>
  <c r="W122" i="1"/>
  <c r="I193" i="1"/>
  <c r="I228" i="1" s="1"/>
  <c r="E194" i="1"/>
  <c r="V166" i="1"/>
  <c r="W167" i="1"/>
  <c r="C184" i="1"/>
  <c r="O167" i="1"/>
  <c r="B186" i="1"/>
  <c r="G116" i="1"/>
  <c r="O212" i="1"/>
  <c r="BE94" i="1"/>
  <c r="BW88" i="1"/>
  <c r="BV184" i="1"/>
  <c r="BW184" i="1" s="1"/>
  <c r="T198" i="1"/>
  <c r="C123" i="1"/>
  <c r="G203" i="1"/>
  <c r="I218" i="1"/>
  <c r="H181" i="1"/>
  <c r="I116" i="1"/>
  <c r="J173" i="1"/>
  <c r="K185" i="1"/>
  <c r="H201" i="1"/>
  <c r="H231" i="1" s="1"/>
  <c r="B197" i="1"/>
  <c r="BH174" i="1"/>
  <c r="BI174" i="1" s="1"/>
  <c r="W185" i="1"/>
  <c r="B195" i="1"/>
  <c r="P195" i="1"/>
  <c r="L127" i="1"/>
  <c r="L191" i="1"/>
  <c r="I126" i="1"/>
  <c r="K173" i="1"/>
  <c r="O201" i="1"/>
  <c r="O231" i="1" s="1"/>
  <c r="T174" i="1"/>
  <c r="H189" i="1"/>
  <c r="M176" i="1"/>
  <c r="P171" i="1"/>
  <c r="BS71" i="1"/>
  <c r="BF57" i="1"/>
  <c r="U194" i="1"/>
  <c r="E193" i="1"/>
  <c r="E228" i="1" s="1"/>
  <c r="B112" i="1"/>
  <c r="L190" i="1"/>
  <c r="R181" i="1"/>
  <c r="K198" i="1"/>
  <c r="S197" i="1"/>
  <c r="L203" i="1"/>
  <c r="W212" i="1"/>
  <c r="R168" i="1"/>
  <c r="M171" i="1"/>
  <c r="O192" i="1"/>
  <c r="O227" i="1" s="1"/>
  <c r="AS84" i="1"/>
  <c r="AZ84" i="1"/>
  <c r="BH192" i="1"/>
  <c r="V199" i="1"/>
  <c r="C207" i="1"/>
  <c r="F211" i="1"/>
  <c r="C194" i="1"/>
  <c r="E219" i="1"/>
  <c r="C128" i="1"/>
  <c r="E123" i="1"/>
  <c r="AZ95" i="1"/>
  <c r="BQ63" i="1"/>
  <c r="G126" i="1"/>
  <c r="J189" i="1"/>
  <c r="C116" i="1"/>
  <c r="T185" i="1"/>
  <c r="J197" i="1"/>
  <c r="AX73" i="1"/>
  <c r="BF85" i="1"/>
  <c r="BV197" i="1"/>
  <c r="BW197" i="1" s="1"/>
  <c r="K212" i="1"/>
  <c r="M189" i="1"/>
  <c r="M167" i="1"/>
  <c r="F219" i="1"/>
  <c r="H190" i="1"/>
  <c r="O219" i="1"/>
  <c r="BC73" i="1"/>
  <c r="BE57" i="1"/>
  <c r="BE279" i="1" s="1"/>
  <c r="BN71" i="1"/>
  <c r="BV122" i="1"/>
  <c r="M173" i="1"/>
  <c r="W175" i="1"/>
  <c r="W202" i="1" s="1"/>
  <c r="C192" i="1"/>
  <c r="C227" i="1" s="1"/>
  <c r="H127" i="1"/>
  <c r="I173" i="1"/>
  <c r="N201" i="1"/>
  <c r="N231" i="1" s="1"/>
  <c r="L116" i="1"/>
  <c r="BJ81" i="1"/>
  <c r="BH166" i="1"/>
  <c r="BI166" i="1" s="1"/>
  <c r="F192" i="1"/>
  <c r="F227" i="1" s="1"/>
  <c r="I198" i="1"/>
  <c r="G186" i="1"/>
  <c r="M126" i="1"/>
  <c r="I192" i="1"/>
  <c r="I227" i="1" s="1"/>
  <c r="Q126" i="1"/>
  <c r="I208" i="1"/>
  <c r="U126" i="1"/>
  <c r="AT96" i="1"/>
  <c r="BV167" i="1"/>
  <c r="BW167" i="1" s="1"/>
  <c r="L128" i="1"/>
  <c r="U128" i="1"/>
  <c r="W219" i="1"/>
  <c r="Q218" i="1"/>
  <c r="P211" i="1"/>
  <c r="K199" i="1"/>
  <c r="E195" i="1"/>
  <c r="P168" i="1"/>
  <c r="AU100" i="1"/>
  <c r="AY100" i="1"/>
  <c r="AU88" i="1"/>
  <c r="BV123" i="1"/>
  <c r="T127" i="1"/>
  <c r="K126" i="1"/>
  <c r="R199" i="1"/>
  <c r="N122" i="1"/>
  <c r="B182" i="1"/>
  <c r="L197" i="1"/>
  <c r="D192" i="1"/>
  <c r="D227" i="1" s="1"/>
  <c r="O123" i="1"/>
  <c r="I127" i="1"/>
  <c r="P212" i="1"/>
  <c r="BK62" i="1"/>
  <c r="BH182" i="1"/>
  <c r="P191" i="1"/>
  <c r="C176" i="1"/>
  <c r="F201" i="1"/>
  <c r="F231" i="1" s="1"/>
  <c r="B113" i="1"/>
  <c r="S194" i="1"/>
  <c r="T171" i="1"/>
  <c r="D168" i="1"/>
  <c r="U218" i="1"/>
  <c r="K201" i="1"/>
  <c r="K231" i="1" s="1"/>
  <c r="AM100" i="1"/>
  <c r="BH200" i="1"/>
  <c r="BI200" i="1" s="1"/>
  <c r="J193" i="1"/>
  <c r="J228" i="1" s="1"/>
  <c r="U185" i="1"/>
  <c r="G167" i="1"/>
  <c r="H167" i="1"/>
  <c r="M168" i="1"/>
  <c r="N175" i="1"/>
  <c r="N202" i="1" s="1"/>
  <c r="L184" i="1"/>
  <c r="L180" i="1" s="1"/>
  <c r="C171" i="1"/>
  <c r="J199" i="1"/>
  <c r="O182" i="1"/>
  <c r="L218" i="1"/>
  <c r="B176" i="1"/>
  <c r="J212" i="1"/>
  <c r="B180" i="1"/>
  <c r="C201" i="1"/>
  <c r="C231" i="1" s="1"/>
  <c r="G218" i="1"/>
  <c r="L208" i="1"/>
  <c r="U191" i="1"/>
  <c r="W220" i="1"/>
  <c r="D182" i="1"/>
  <c r="M197" i="1"/>
  <c r="C195" i="1"/>
  <c r="AU95" i="1"/>
  <c r="AN64" i="1"/>
  <c r="BV195" i="1"/>
  <c r="BW195" i="1" s="1"/>
  <c r="M211" i="1"/>
  <c r="F181" i="1"/>
  <c r="D185" i="1"/>
  <c r="K190" i="1"/>
  <c r="O189" i="1"/>
  <c r="N211" i="1"/>
  <c r="I122" i="1"/>
  <c r="T167" i="1"/>
  <c r="J207" i="1"/>
  <c r="F127" i="1"/>
  <c r="Q186" i="1"/>
  <c r="BS72" i="1"/>
  <c r="BC74" i="1"/>
  <c r="BU73" i="1"/>
  <c r="BV166" i="1"/>
  <c r="BW166" i="1" s="1"/>
  <c r="J166" i="1"/>
  <c r="E201" i="1"/>
  <c r="E231" i="1" s="1"/>
  <c r="D128" i="1"/>
  <c r="B171" i="1"/>
  <c r="P219" i="1"/>
  <c r="V193" i="1"/>
  <c r="V228" i="1" s="1"/>
  <c r="U168" i="1"/>
  <c r="B218" i="1"/>
  <c r="J220" i="1"/>
  <c r="AX85" i="1"/>
  <c r="BH122" i="1"/>
  <c r="F212" i="1"/>
  <c r="T168" i="1"/>
  <c r="O220" i="1"/>
  <c r="G189" i="1"/>
  <c r="K193" i="1"/>
  <c r="K228" i="1" s="1"/>
  <c r="C181" i="1"/>
  <c r="C180" i="1"/>
  <c r="I168" i="1"/>
  <c r="S128" i="1"/>
  <c r="BU71" i="1"/>
  <c r="D174" i="1"/>
  <c r="N186" i="1"/>
  <c r="F175" i="1"/>
  <c r="F202" i="1" s="1"/>
  <c r="L219" i="1"/>
  <c r="D212" i="1"/>
  <c r="Q181" i="1"/>
  <c r="E126" i="1"/>
  <c r="H193" i="1"/>
  <c r="H228" i="1" s="1"/>
  <c r="I220" i="1"/>
  <c r="E128" i="1"/>
  <c r="F189" i="1"/>
  <c r="BN73" i="1"/>
  <c r="BV85" i="1"/>
  <c r="U212" i="1"/>
  <c r="V182" i="1"/>
  <c r="B185" i="1"/>
  <c r="K191" i="1"/>
  <c r="N171" i="1"/>
  <c r="V218" i="1"/>
  <c r="U198" i="1"/>
  <c r="S190" i="1"/>
  <c r="G207" i="1"/>
  <c r="H182" i="1"/>
  <c r="P123" i="1"/>
  <c r="BV176" i="1"/>
  <c r="B219" i="1"/>
  <c r="R167" i="1"/>
  <c r="I184" i="1"/>
  <c r="I180" i="1" s="1"/>
  <c r="I182" i="1"/>
  <c r="J116" i="1"/>
  <c r="U174" i="1"/>
  <c r="P189" i="1"/>
  <c r="Q199" i="1"/>
  <c r="R175" i="1"/>
  <c r="R202" i="1" s="1"/>
  <c r="U203" i="1"/>
  <c r="BK94" i="1"/>
  <c r="BA73" i="1"/>
  <c r="AW94" i="1"/>
  <c r="BV200" i="1"/>
  <c r="BW200" i="1" s="1"/>
  <c r="N173" i="1"/>
  <c r="M186" i="1"/>
  <c r="G181" i="1"/>
  <c r="I174" i="1"/>
  <c r="N184" i="1"/>
  <c r="N180" i="1" s="1"/>
  <c r="I181" i="1"/>
  <c r="V175" i="1"/>
  <c r="V202" i="1" s="1"/>
  <c r="M122" i="1"/>
  <c r="D180" i="1"/>
  <c r="J201" i="1"/>
  <c r="J231" i="1" s="1"/>
  <c r="L189" i="1"/>
  <c r="BM57" i="1"/>
  <c r="BK74" i="1"/>
  <c r="BS100" i="1"/>
  <c r="BA100" i="1"/>
  <c r="BA88" i="1"/>
  <c r="BA95" i="1"/>
  <c r="AW81" i="1"/>
  <c r="AW242" i="1" s="1"/>
  <c r="BI72" i="1"/>
  <c r="BH57" i="1"/>
  <c r="BH279" i="1" s="1"/>
  <c r="BK64" i="1"/>
  <c r="AN71" i="1"/>
  <c r="BI88" i="1"/>
  <c r="AO81" i="1"/>
  <c r="K186" i="1"/>
  <c r="H175" i="1"/>
  <c r="H202" i="1" s="1"/>
  <c r="U176" i="1"/>
  <c r="I185" i="1"/>
  <c r="O166" i="1"/>
  <c r="E167" i="1"/>
  <c r="I189" i="1"/>
  <c r="S192" i="1"/>
  <c r="S227" i="1" s="1"/>
  <c r="AX95" i="1"/>
  <c r="BJ123" i="1"/>
  <c r="AI122" i="1"/>
  <c r="L173" i="1"/>
  <c r="T218" i="1"/>
  <c r="N194" i="1"/>
  <c r="K195" i="1"/>
  <c r="C189" i="1"/>
  <c r="M199" i="1"/>
  <c r="V212" i="1"/>
  <c r="B211" i="1"/>
  <c r="E166" i="1"/>
  <c r="D199" i="1"/>
  <c r="D126" i="1"/>
  <c r="BV69" i="1"/>
  <c r="BC63" i="1"/>
  <c r="AV94" i="1"/>
  <c r="AN58" i="1"/>
  <c r="U171" i="1"/>
  <c r="P127" i="1"/>
  <c r="B167" i="1"/>
  <c r="O185" i="1"/>
  <c r="M182" i="1"/>
  <c r="BC94" i="1"/>
  <c r="AP63" i="1"/>
  <c r="BC81" i="1"/>
  <c r="BH193" i="1"/>
  <c r="E186" i="1"/>
  <c r="F194" i="1"/>
  <c r="T184" i="1"/>
  <c r="T180" i="1" s="1"/>
  <c r="N220" i="1"/>
  <c r="T219" i="1"/>
  <c r="N190" i="1"/>
  <c r="B192" i="1"/>
  <c r="B227" i="1" s="1"/>
  <c r="N189" i="1"/>
  <c r="H199" i="1"/>
  <c r="M220" i="1"/>
  <c r="K175" i="1"/>
  <c r="K202" i="1" s="1"/>
  <c r="K181" i="1"/>
  <c r="BO73" i="1"/>
  <c r="AS62" i="1"/>
  <c r="Q127" i="1"/>
  <c r="M194" i="1"/>
  <c r="W176" i="1"/>
  <c r="S166" i="1"/>
  <c r="T208" i="1"/>
  <c r="V191" i="1"/>
  <c r="Q219" i="1"/>
  <c r="U127" i="1"/>
  <c r="S171" i="1"/>
  <c r="BN100" i="1"/>
  <c r="BS69" i="1"/>
  <c r="BV191" i="1"/>
  <c r="BW191" i="1" s="1"/>
  <c r="H191" i="1"/>
  <c r="U193" i="1"/>
  <c r="U228" i="1" s="1"/>
  <c r="Q189" i="1"/>
  <c r="B126" i="1"/>
  <c r="V219" i="1"/>
  <c r="Q116" i="1"/>
  <c r="R193" i="1"/>
  <c r="R228" i="1" s="1"/>
  <c r="G182" i="1"/>
  <c r="K218" i="1"/>
  <c r="F198" i="1"/>
  <c r="Q185" i="1"/>
  <c r="G195" i="1"/>
  <c r="N182" i="1"/>
  <c r="D113" i="1"/>
  <c r="R171" i="1"/>
  <c r="F122" i="1"/>
  <c r="C113" i="1"/>
  <c r="E199" i="1"/>
  <c r="P186" i="1"/>
  <c r="R198" i="1"/>
  <c r="D207" i="1"/>
  <c r="AO73" i="1"/>
  <c r="AI63" i="1"/>
  <c r="BG94" i="1"/>
  <c r="AU84" i="1"/>
  <c r="G171" i="1"/>
  <c r="E218" i="1"/>
  <c r="T220" i="1"/>
  <c r="D190" i="1"/>
  <c r="B184" i="1"/>
  <c r="M195" i="1"/>
  <c r="U184" i="1"/>
  <c r="U180" i="1" s="1"/>
  <c r="N167" i="1"/>
  <c r="W182" i="1"/>
  <c r="B174" i="1"/>
  <c r="F166" i="1"/>
  <c r="BC96" i="1"/>
  <c r="BV186" i="1"/>
  <c r="BW186" i="1" s="1"/>
  <c r="C182" i="1"/>
  <c r="P122" i="1"/>
  <c r="D203" i="1"/>
  <c r="L211" i="1"/>
  <c r="C211" i="1"/>
  <c r="D173" i="1"/>
  <c r="B191" i="1"/>
  <c r="H185" i="1"/>
  <c r="S191" i="1"/>
  <c r="G168" i="1"/>
  <c r="BG63" i="1"/>
  <c r="BM100" i="1"/>
  <c r="D167" i="1"/>
  <c r="B194" i="1"/>
  <c r="C126" i="1"/>
  <c r="R197" i="1"/>
  <c r="H197" i="1"/>
  <c r="O207" i="1"/>
  <c r="U182" i="1"/>
  <c r="Q166" i="1"/>
  <c r="BW57" i="1"/>
  <c r="BV192" i="1"/>
  <c r="O184" i="1"/>
  <c r="O180" i="1" s="1"/>
  <c r="C199" i="1"/>
  <c r="N176" i="1"/>
  <c r="BC88" i="1"/>
  <c r="BR58" i="1"/>
  <c r="BV203" i="1"/>
  <c r="BW203" i="1" s="1"/>
  <c r="V184" i="1"/>
  <c r="V180" i="1" s="1"/>
  <c r="J185" i="1"/>
  <c r="S173" i="1"/>
  <c r="R174" i="1"/>
  <c r="B168" i="1"/>
  <c r="O190" i="1"/>
  <c r="R203" i="1"/>
  <c r="U167" i="1"/>
  <c r="AI84" i="1"/>
  <c r="BV190" i="1"/>
  <c r="S184" i="1"/>
  <c r="S180" i="1" s="1"/>
  <c r="U173" i="1"/>
  <c r="K176" i="1"/>
  <c r="S174" i="1"/>
  <c r="C190" i="1"/>
  <c r="C218" i="1"/>
  <c r="N219" i="1"/>
  <c r="R201" i="1"/>
  <c r="R231" i="1" s="1"/>
  <c r="D127" i="1"/>
  <c r="V126" i="1"/>
  <c r="T175" i="1"/>
  <c r="T202" i="1" s="1"/>
  <c r="Q198" i="1"/>
  <c r="J175" i="1"/>
  <c r="J202" i="1" s="1"/>
  <c r="K197" i="1"/>
  <c r="O127" i="1"/>
  <c r="H126" i="1"/>
  <c r="H208" i="1"/>
  <c r="K184" i="1"/>
  <c r="K180" i="1" s="1"/>
  <c r="BV198" i="1"/>
  <c r="BW198" i="1" s="1"/>
  <c r="C127" i="1"/>
  <c r="S122" i="1"/>
  <c r="L212" i="1"/>
  <c r="U192" i="1"/>
  <c r="U227" i="1" s="1"/>
  <c r="M192" i="1"/>
  <c r="M227" i="1" s="1"/>
  <c r="J195" i="1"/>
  <c r="O186" i="1"/>
  <c r="W211" i="1"/>
  <c r="T194" i="1"/>
  <c r="CQ187" i="1"/>
  <c r="CR81" i="1"/>
  <c r="AE126" i="1"/>
  <c r="AB174" i="1"/>
  <c r="AB177" i="1" s="1"/>
  <c r="AB297" i="1" s="1"/>
  <c r="AD190" i="1"/>
  <c r="CZ114" i="1"/>
  <c r="DA112" i="1"/>
  <c r="AM75" i="3"/>
  <c r="AI93" i="3"/>
  <c r="BN194" i="1" l="1"/>
  <c r="BO194" i="1" s="1"/>
  <c r="BN197" i="1"/>
  <c r="BO197" i="1" s="1"/>
  <c r="BN167" i="1"/>
  <c r="BO167" i="1" s="1"/>
  <c r="BN201" i="1"/>
  <c r="BN174" i="1"/>
  <c r="BO174" i="1" s="1"/>
  <c r="BN212" i="1"/>
  <c r="BO212" i="1" s="1"/>
  <c r="BN211" i="1"/>
  <c r="BO211" i="1" s="1"/>
  <c r="BN123" i="1"/>
  <c r="BN171" i="1"/>
  <c r="BO171" i="1" s="1"/>
  <c r="BN166" i="1"/>
  <c r="BO166" i="1" s="1"/>
  <c r="BN203" i="1"/>
  <c r="BO203" i="1" s="1"/>
  <c r="BN180" i="1"/>
  <c r="BN192" i="1"/>
  <c r="BN198" i="1"/>
  <c r="BO198" i="1" s="1"/>
  <c r="BN182" i="1"/>
  <c r="BN199" i="1"/>
  <c r="BO199" i="1" s="1"/>
  <c r="BN181" i="1"/>
  <c r="BN200" i="1"/>
  <c r="BO200" i="1" s="1"/>
  <c r="AZ203" i="1"/>
  <c r="BA203" i="1" s="1"/>
  <c r="AZ123" i="1"/>
  <c r="AZ176" i="1"/>
  <c r="BA176" i="1" s="1"/>
  <c r="AZ194" i="1"/>
  <c r="BA194" i="1" s="1"/>
  <c r="AZ122" i="1"/>
  <c r="AZ167" i="1"/>
  <c r="BA167" i="1" s="1"/>
  <c r="AZ201" i="1"/>
  <c r="AZ212" i="1"/>
  <c r="BA212" i="1" s="1"/>
  <c r="AZ191" i="1"/>
  <c r="BA191" i="1" s="1"/>
  <c r="AZ192" i="1"/>
  <c r="BD186" i="1"/>
  <c r="BE186" i="1" s="1"/>
  <c r="BD207" i="1"/>
  <c r="BD166" i="1"/>
  <c r="BE166" i="1" s="1"/>
  <c r="BD212" i="1"/>
  <c r="BE212" i="1" s="1"/>
  <c r="BD211" i="1"/>
  <c r="BE211" i="1" s="1"/>
  <c r="BD181" i="1"/>
  <c r="BD201" i="1"/>
  <c r="BD193" i="1"/>
  <c r="AR207" i="1"/>
  <c r="AR189" i="1"/>
  <c r="AR167" i="1"/>
  <c r="AS167" i="1" s="1"/>
  <c r="AR195" i="1"/>
  <c r="AS195" i="1" s="1"/>
  <c r="AR202" i="1"/>
  <c r="AS202" i="1" s="1"/>
  <c r="AZ186" i="1"/>
  <c r="BA186" i="1" s="1"/>
  <c r="BD191" i="1"/>
  <c r="BN191" i="1"/>
  <c r="BF202" i="1"/>
  <c r="BG202" i="1" s="1"/>
  <c r="BF182" i="1"/>
  <c r="W250" i="1"/>
  <c r="F209" i="1"/>
  <c r="G257" i="1" s="1"/>
  <c r="BK301" i="1"/>
  <c r="BR209" i="1"/>
  <c r="AZ209" i="1"/>
  <c r="BA257" i="1" s="1"/>
  <c r="BD250" i="1"/>
  <c r="BT209" i="1"/>
  <c r="BU257" i="1" s="1"/>
  <c r="AX250" i="1"/>
  <c r="W183" i="1"/>
  <c r="W187" i="1" s="1"/>
  <c r="AX209" i="1"/>
  <c r="AY257" i="1" s="1"/>
  <c r="BN169" i="1"/>
  <c r="BN209" i="1"/>
  <c r="BO257" i="1" s="1"/>
  <c r="O250" i="1"/>
  <c r="AN231" i="1"/>
  <c r="AO231" i="1" s="1"/>
  <c r="BJ76" i="1"/>
  <c r="AT227" i="1"/>
  <c r="AU227" i="1" s="1"/>
  <c r="AR183" i="1"/>
  <c r="AS183" i="1" s="1"/>
  <c r="AS187" i="1" s="1"/>
  <c r="G169" i="1"/>
  <c r="G223" i="1" s="1"/>
  <c r="F183" i="1"/>
  <c r="F187" i="1" s="1"/>
  <c r="AN227" i="1"/>
  <c r="AO227" i="1" s="1"/>
  <c r="M183" i="1"/>
  <c r="M82" i="1" s="1"/>
  <c r="AT300" i="1"/>
  <c r="H196" i="1"/>
  <c r="H230" i="1" s="1"/>
  <c r="L177" i="1"/>
  <c r="L86" i="1" s="1"/>
  <c r="AI86" i="1"/>
  <c r="AP59" i="1"/>
  <c r="H169" i="1"/>
  <c r="BT75" i="1"/>
  <c r="AN228" i="1"/>
  <c r="AO228" i="1" s="1"/>
  <c r="BN183" i="1"/>
  <c r="BN187" i="1" s="1"/>
  <c r="BC300" i="1"/>
  <c r="F177" i="1"/>
  <c r="F216" i="1" s="1"/>
  <c r="F158" i="1" s="1"/>
  <c r="C250" i="1"/>
  <c r="AP228" i="1"/>
  <c r="AQ228" i="1" s="1"/>
  <c r="F204" i="1"/>
  <c r="F233" i="1" s="1"/>
  <c r="F232" i="1" s="1"/>
  <c r="AN300" i="1"/>
  <c r="AT231" i="1"/>
  <c r="AU231" i="1" s="1"/>
  <c r="BP228" i="1"/>
  <c r="BQ228" i="1" s="1"/>
  <c r="AN209" i="1"/>
  <c r="AO257" i="1" s="1"/>
  <c r="BP183" i="1"/>
  <c r="BO189" i="1"/>
  <c r="BN250" i="1"/>
  <c r="BA189" i="1"/>
  <c r="BA250" i="1" s="1"/>
  <c r="BA166" i="1"/>
  <c r="AZ169" i="1"/>
  <c r="BA173" i="1"/>
  <c r="BA177" i="1" s="1"/>
  <c r="AZ177" i="1"/>
  <c r="BE173" i="1"/>
  <c r="BE177" i="1" s="1"/>
  <c r="BD177" i="1"/>
  <c r="BE189" i="1"/>
  <c r="BE250" i="1" s="1"/>
  <c r="BQ189" i="1"/>
  <c r="BQ250" i="1" s="1"/>
  <c r="AZ183" i="1"/>
  <c r="AZ227" i="1"/>
  <c r="BA227" i="1" s="1"/>
  <c r="BD209" i="1"/>
  <c r="BE257" i="1" s="1"/>
  <c r="AP209" i="1"/>
  <c r="AQ257" i="1" s="1"/>
  <c r="BB209" i="1"/>
  <c r="BC257" i="1" s="1"/>
  <c r="BF209" i="1"/>
  <c r="BG257" i="1" s="1"/>
  <c r="BD227" i="1"/>
  <c r="BE227" i="1" s="1"/>
  <c r="BE59" i="1"/>
  <c r="BE65" i="1" s="1"/>
  <c r="BE66" i="1" s="1"/>
  <c r="BD183" i="1"/>
  <c r="BI75" i="1"/>
  <c r="BR231" i="1"/>
  <c r="BS231" i="1" s="1"/>
  <c r="BT227" i="1"/>
  <c r="BU227" i="1" s="1"/>
  <c r="H177" i="1"/>
  <c r="AR228" i="1"/>
  <c r="AS228" i="1" s="1"/>
  <c r="BM75" i="1"/>
  <c r="AQ75" i="1"/>
  <c r="BT147" i="1"/>
  <c r="BT148" i="1" s="1"/>
  <c r="BT152" i="1" s="1"/>
  <c r="U221" i="1"/>
  <c r="E196" i="1"/>
  <c r="W177" i="1"/>
  <c r="W86" i="1" s="1"/>
  <c r="BO300" i="1"/>
  <c r="AT183" i="1"/>
  <c r="BT231" i="1"/>
  <c r="BU231" i="1" s="1"/>
  <c r="BB183" i="1"/>
  <c r="BU300" i="1"/>
  <c r="BR301" i="1"/>
  <c r="U196" i="1"/>
  <c r="AY75" i="1"/>
  <c r="BB227" i="1"/>
  <c r="BC227" i="1" s="1"/>
  <c r="AQ300" i="1"/>
  <c r="AP300" i="1"/>
  <c r="BV250" i="1"/>
  <c r="K169" i="1"/>
  <c r="E250" i="1"/>
  <c r="BD75" i="1"/>
  <c r="BP227" i="1"/>
  <c r="BQ227" i="1" s="1"/>
  <c r="BF183" i="1"/>
  <c r="BO75" i="1"/>
  <c r="R221" i="1"/>
  <c r="D221" i="1"/>
  <c r="AW300" i="1"/>
  <c r="AO300" i="1"/>
  <c r="BW300" i="1"/>
  <c r="AS300" i="1"/>
  <c r="AZ59" i="1"/>
  <c r="AZ65" i="1" s="1"/>
  <c r="BB75" i="1"/>
  <c r="M169" i="1"/>
  <c r="M103" i="1" s="1"/>
  <c r="T196" i="1"/>
  <c r="AR75" i="1"/>
  <c r="BR300" i="1"/>
  <c r="BQ59" i="1"/>
  <c r="BQ21" i="1" s="1"/>
  <c r="BQ25" i="1" s="1"/>
  <c r="BE300" i="1"/>
  <c r="N169" i="1"/>
  <c r="L196" i="1"/>
  <c r="AZ300" i="1"/>
  <c r="O209" i="1"/>
  <c r="E177" i="1"/>
  <c r="E216" i="1" s="1"/>
  <c r="E158" i="1" s="1"/>
  <c r="BB300" i="1"/>
  <c r="BQ300" i="1"/>
  <c r="B209" i="1"/>
  <c r="C257" i="1" s="1"/>
  <c r="Q169" i="1"/>
  <c r="Q223" i="1" s="1"/>
  <c r="BC75" i="1"/>
  <c r="R209" i="1"/>
  <c r="S257" i="1" s="1"/>
  <c r="S209" i="1"/>
  <c r="T257" i="1" s="1"/>
  <c r="B204" i="1"/>
  <c r="B233" i="1" s="1"/>
  <c r="B232" i="1" s="1"/>
  <c r="L183" i="1"/>
  <c r="L82" i="1" s="1"/>
  <c r="P250" i="1"/>
  <c r="J169" i="1"/>
  <c r="J103" i="1" s="1"/>
  <c r="P221" i="1"/>
  <c r="I221" i="1"/>
  <c r="G209" i="1"/>
  <c r="H183" i="1"/>
  <c r="Q250" i="1"/>
  <c r="N177" i="1"/>
  <c r="N183" i="1"/>
  <c r="D183" i="1"/>
  <c r="I250" i="1"/>
  <c r="D250" i="1"/>
  <c r="F196" i="1"/>
  <c r="H204" i="1"/>
  <c r="M221" i="1"/>
  <c r="K183" i="1"/>
  <c r="K82" i="1" s="1"/>
  <c r="S169" i="1"/>
  <c r="S223" i="1" s="1"/>
  <c r="R250" i="1"/>
  <c r="K221" i="1"/>
  <c r="D209" i="1"/>
  <c r="E257" i="1" s="1"/>
  <c r="U183" i="1"/>
  <c r="D177" i="1"/>
  <c r="BJ65" i="1"/>
  <c r="BJ27" i="1" s="1"/>
  <c r="BJ21" i="1"/>
  <c r="BJ25" i="1" s="1"/>
  <c r="BT183" i="1"/>
  <c r="BR183" i="1"/>
  <c r="AT169" i="1"/>
  <c r="AT141" i="1" s="1"/>
  <c r="BV169" i="1"/>
  <c r="BV141" i="1" s="1"/>
  <c r="BV143" i="1" s="1"/>
  <c r="AS189" i="1"/>
  <c r="AT250" i="1" s="1"/>
  <c r="AS166" i="1"/>
  <c r="AR169" i="1"/>
  <c r="AR141" i="1" s="1"/>
  <c r="AQ166" i="1"/>
  <c r="AP169" i="1"/>
  <c r="AY189" i="1"/>
  <c r="BE191" i="1"/>
  <c r="BD196" i="1"/>
  <c r="BD230" i="1" s="1"/>
  <c r="AW166" i="1"/>
  <c r="AV169" i="1"/>
  <c r="AV141" i="1" s="1"/>
  <c r="BO191" i="1"/>
  <c r="BN196" i="1"/>
  <c r="BN230" i="1" s="1"/>
  <c r="AW197" i="1"/>
  <c r="AV204" i="1"/>
  <c r="AV233" i="1" s="1"/>
  <c r="AX169" i="1"/>
  <c r="AY166" i="1"/>
  <c r="BG189" i="1"/>
  <c r="BH250" i="1" s="1"/>
  <c r="BG190" i="1"/>
  <c r="BF196" i="1"/>
  <c r="BF230" i="1" s="1"/>
  <c r="AU189" i="1"/>
  <c r="AV250" i="1" s="1"/>
  <c r="AN250" i="1"/>
  <c r="AO189" i="1"/>
  <c r="BI167" i="1"/>
  <c r="BH169" i="1"/>
  <c r="BH141" i="1" s="1"/>
  <c r="AZ231" i="1"/>
  <c r="BA231" i="1" s="1"/>
  <c r="AZ228" i="1"/>
  <c r="BA228" i="1" s="1"/>
  <c r="AP183" i="1"/>
  <c r="AV183" i="1"/>
  <c r="AV209" i="1"/>
  <c r="AW177" i="1"/>
  <c r="BP209" i="1"/>
  <c r="AS75" i="1"/>
  <c r="AT209" i="1"/>
  <c r="BW75" i="1"/>
  <c r="AI75" i="1"/>
  <c r="BT228" i="1"/>
  <c r="BU228" i="1" s="1"/>
  <c r="AU177" i="1"/>
  <c r="AT228" i="1"/>
  <c r="AU228" i="1" s="1"/>
  <c r="AT75" i="1"/>
  <c r="BD300" i="1"/>
  <c r="AN183" i="1"/>
  <c r="BR75" i="1"/>
  <c r="AW75" i="1"/>
  <c r="C169" i="1"/>
  <c r="T250" i="1"/>
  <c r="Q209" i="1"/>
  <c r="R257" i="1" s="1"/>
  <c r="O204" i="1"/>
  <c r="V204" i="1"/>
  <c r="V233" i="1" s="1"/>
  <c r="V232" i="1" s="1"/>
  <c r="BU59" i="1"/>
  <c r="E183" i="1"/>
  <c r="E82" i="1" s="1"/>
  <c r="BK75" i="1"/>
  <c r="BF75" i="1"/>
  <c r="P204" i="1"/>
  <c r="P233" i="1" s="1"/>
  <c r="P232" i="1" s="1"/>
  <c r="V250" i="1"/>
  <c r="U209" i="1"/>
  <c r="K209" i="1"/>
  <c r="AT59" i="1"/>
  <c r="AT65" i="1" s="1"/>
  <c r="O169" i="1"/>
  <c r="O223" i="1" s="1"/>
  <c r="T177" i="1"/>
  <c r="BF228" i="1"/>
  <c r="BG228" i="1" s="1"/>
  <c r="R183" i="1"/>
  <c r="K250" i="1"/>
  <c r="BN75" i="1"/>
  <c r="M177" i="1"/>
  <c r="I204" i="1"/>
  <c r="I233" i="1" s="1"/>
  <c r="I232" i="1" s="1"/>
  <c r="I209" i="1"/>
  <c r="K204" i="1"/>
  <c r="L204" i="1"/>
  <c r="L233" i="1" s="1"/>
  <c r="L232" i="1" s="1"/>
  <c r="B177" i="1"/>
  <c r="J209" i="1"/>
  <c r="K257" i="1" s="1"/>
  <c r="L221" i="1"/>
  <c r="Q183" i="1"/>
  <c r="Q187" i="1" s="1"/>
  <c r="T221" i="1"/>
  <c r="E169" i="1"/>
  <c r="N221" i="1"/>
  <c r="F169" i="1"/>
  <c r="V183" i="1"/>
  <c r="V187" i="1" s="1"/>
  <c r="U169" i="1"/>
  <c r="U103" i="1" s="1"/>
  <c r="C221" i="1"/>
  <c r="H209" i="1"/>
  <c r="BB196" i="1"/>
  <c r="AR227" i="1"/>
  <c r="AS227" i="1" s="1"/>
  <c r="AR196" i="1"/>
  <c r="AR230" i="1" s="1"/>
  <c r="BO176" i="1"/>
  <c r="BO177" i="1" s="1"/>
  <c r="BN177" i="1"/>
  <c r="AP196" i="1"/>
  <c r="AP227" i="1"/>
  <c r="AQ227" i="1" s="1"/>
  <c r="BS189" i="1"/>
  <c r="AQ175" i="1"/>
  <c r="AQ177" i="1" s="1"/>
  <c r="AP177" i="1"/>
  <c r="AU191" i="1"/>
  <c r="AT196" i="1"/>
  <c r="BG198" i="1"/>
  <c r="BF204" i="1"/>
  <c r="AN169" i="1"/>
  <c r="AO166" i="1"/>
  <c r="AR242" i="1"/>
  <c r="AR301" i="1"/>
  <c r="AP242" i="1"/>
  <c r="AP301" i="1"/>
  <c r="AQ279" i="1"/>
  <c r="AQ59" i="1"/>
  <c r="AQ242" i="1"/>
  <c r="AQ301" i="1"/>
  <c r="BK279" i="1"/>
  <c r="BK59" i="1"/>
  <c r="BM147" i="1"/>
  <c r="BM148" i="1" s="1"/>
  <c r="BE242" i="1"/>
  <c r="BE301" i="1"/>
  <c r="BC167" i="1"/>
  <c r="BB169" i="1"/>
  <c r="AU197" i="1"/>
  <c r="AT204" i="1"/>
  <c r="AT233" i="1" s="1"/>
  <c r="BI190" i="1"/>
  <c r="BH196" i="1"/>
  <c r="BH230" i="1" s="1"/>
  <c r="BF242" i="1"/>
  <c r="BF301" i="1"/>
  <c r="BO242" i="1"/>
  <c r="BO301" i="1"/>
  <c r="AW279" i="1"/>
  <c r="AW59" i="1"/>
  <c r="BW189" i="1"/>
  <c r="BX250" i="1" s="1"/>
  <c r="BE147" i="1"/>
  <c r="BE148" i="1" s="1"/>
  <c r="BC147" i="1"/>
  <c r="BC148" i="1" s="1"/>
  <c r="BD147" i="1"/>
  <c r="BD148" i="1" s="1"/>
  <c r="BG300" i="1"/>
  <c r="BG279" i="1"/>
  <c r="BG59" i="1"/>
  <c r="BH147" i="1"/>
  <c r="BH148" i="1" s="1"/>
  <c r="BD59" i="1"/>
  <c r="BD231" i="1"/>
  <c r="BE231" i="1" s="1"/>
  <c r="BD279" i="1"/>
  <c r="BD228" i="1"/>
  <c r="BE228" i="1" s="1"/>
  <c r="BM300" i="1"/>
  <c r="BM86" i="1"/>
  <c r="G202" i="1"/>
  <c r="G204" i="1" s="1"/>
  <c r="G177" i="1"/>
  <c r="BG173" i="1"/>
  <c r="BG177" i="1" s="1"/>
  <c r="BF177" i="1"/>
  <c r="BG242" i="1"/>
  <c r="BG301" i="1"/>
  <c r="BC279" i="1"/>
  <c r="BC59" i="1"/>
  <c r="AI242" i="1"/>
  <c r="AI82" i="1"/>
  <c r="AI251" i="1"/>
  <c r="AI249" i="1" s="1"/>
  <c r="BU174" i="1"/>
  <c r="BU177" i="1" s="1"/>
  <c r="BT177" i="1"/>
  <c r="BQ174" i="1"/>
  <c r="BQ177" i="1" s="1"/>
  <c r="BP177" i="1"/>
  <c r="AN196" i="1"/>
  <c r="AN230" i="1" s="1"/>
  <c r="AO190" i="1"/>
  <c r="BW242" i="1"/>
  <c r="BW301" i="1"/>
  <c r="AO279" i="1"/>
  <c r="AO59" i="1"/>
  <c r="AR147" i="1"/>
  <c r="AR148" i="1" s="1"/>
  <c r="AL147" i="1"/>
  <c r="AL148" i="1" s="1"/>
  <c r="AL152" i="1" s="1"/>
  <c r="AI233" i="1"/>
  <c r="AI279" i="1"/>
  <c r="AI230" i="1"/>
  <c r="AI59" i="1"/>
  <c r="AI228" i="1"/>
  <c r="AI231" i="1"/>
  <c r="AI227" i="1"/>
  <c r="AY59" i="1"/>
  <c r="BB147" i="1"/>
  <c r="BB148" i="1" s="1"/>
  <c r="AY279" i="1"/>
  <c r="AO147" i="1"/>
  <c r="AO148" i="1" s="1"/>
  <c r="AQ147" i="1"/>
  <c r="AQ148" i="1" s="1"/>
  <c r="AP231" i="1"/>
  <c r="AQ231" i="1" s="1"/>
  <c r="AP279" i="1"/>
  <c r="BK300" i="1"/>
  <c r="BK86" i="1"/>
  <c r="BJ242" i="1"/>
  <c r="BJ301" i="1"/>
  <c r="BW176" i="1"/>
  <c r="BW177" i="1" s="1"/>
  <c r="BV177" i="1"/>
  <c r="M250" i="1"/>
  <c r="L250" i="1"/>
  <c r="BO147" i="1"/>
  <c r="BO148" i="1" s="1"/>
  <c r="BM59" i="1"/>
  <c r="BM21" i="1" s="1"/>
  <c r="BM25" i="1" s="1"/>
  <c r="BM279" i="1"/>
  <c r="AO242" i="1"/>
  <c r="AO301" i="1"/>
  <c r="BC242" i="1"/>
  <c r="BC301" i="1"/>
  <c r="AZ204" i="1"/>
  <c r="AZ233" i="1" s="1"/>
  <c r="BC177" i="1"/>
  <c r="BH183" i="1"/>
  <c r="BS177" i="1"/>
  <c r="AX183" i="1"/>
  <c r="AX177" i="1"/>
  <c r="AR209" i="1"/>
  <c r="BR204" i="1"/>
  <c r="BR233" i="1" s="1"/>
  <c r="BT204" i="1"/>
  <c r="BT233" i="1" s="1"/>
  <c r="BH209" i="1"/>
  <c r="BI257" i="1" s="1"/>
  <c r="AP204" i="1"/>
  <c r="AP233" i="1" s="1"/>
  <c r="BT169" i="1"/>
  <c r="AX204" i="1"/>
  <c r="AX233" i="1" s="1"/>
  <c r="BD204" i="1"/>
  <c r="AR204" i="1"/>
  <c r="AV196" i="1"/>
  <c r="BB204" i="1"/>
  <c r="BB233" i="1" s="1"/>
  <c r="BB177" i="1"/>
  <c r="AN204" i="1"/>
  <c r="BD169" i="1"/>
  <c r="AS147" i="1"/>
  <c r="AS148" i="1" s="1"/>
  <c r="AS152" i="1" s="1"/>
  <c r="AY301" i="1"/>
  <c r="BI250" i="1"/>
  <c r="AS59" i="1"/>
  <c r="BR177" i="1"/>
  <c r="BP169" i="1"/>
  <c r="BP204" i="1"/>
  <c r="BP233" i="1" s="1"/>
  <c r="AY173" i="1"/>
  <c r="AY177" i="1" s="1"/>
  <c r="R204" i="1"/>
  <c r="R233" i="1" s="1"/>
  <c r="R232" i="1" s="1"/>
  <c r="AX300" i="1"/>
  <c r="AX59" i="1"/>
  <c r="AS279" i="1"/>
  <c r="AZ196" i="1"/>
  <c r="BT300" i="1"/>
  <c r="BV75" i="1"/>
  <c r="C177" i="1"/>
  <c r="B114" i="1"/>
  <c r="B157" i="1" s="1"/>
  <c r="M209" i="1"/>
  <c r="BS300" i="1"/>
  <c r="BF169" i="1"/>
  <c r="AV177" i="1"/>
  <c r="BA147" i="1"/>
  <c r="BA148" i="1" s="1"/>
  <c r="BR242" i="1"/>
  <c r="S177" i="1"/>
  <c r="AZ75" i="1"/>
  <c r="BP300" i="1"/>
  <c r="R177" i="1"/>
  <c r="AO75" i="1"/>
  <c r="V169" i="1"/>
  <c r="BR196" i="1"/>
  <c r="BR230" i="1" s="1"/>
  <c r="AX227" i="1"/>
  <c r="AY227" i="1" s="1"/>
  <c r="BT59" i="1"/>
  <c r="BS301" i="1"/>
  <c r="AX231" i="1"/>
  <c r="AY231" i="1" s="1"/>
  <c r="BU147" i="1"/>
  <c r="BU148" i="1" s="1"/>
  <c r="BM251" i="1"/>
  <c r="BM249" i="1" s="1"/>
  <c r="G183" i="1"/>
  <c r="D204" i="1"/>
  <c r="BU75" i="1"/>
  <c r="BS75" i="1"/>
  <c r="BV183" i="1"/>
  <c r="BP75" i="1"/>
  <c r="BA300" i="1"/>
  <c r="BR169" i="1"/>
  <c r="AU147" i="1"/>
  <c r="AU148" i="1" s="1"/>
  <c r="AU153" i="1" s="1"/>
  <c r="BM301" i="1"/>
  <c r="K177" i="1"/>
  <c r="M196" i="1"/>
  <c r="Q221" i="1"/>
  <c r="U204" i="1"/>
  <c r="G250" i="1"/>
  <c r="T204" i="1"/>
  <c r="T233" i="1" s="1"/>
  <c r="T232" i="1" s="1"/>
  <c r="BI59" i="1"/>
  <c r="N196" i="1"/>
  <c r="N230" i="1" s="1"/>
  <c r="BV209" i="1"/>
  <c r="Q177" i="1"/>
  <c r="AU75" i="1"/>
  <c r="N209" i="1"/>
  <c r="H221" i="1"/>
  <c r="F221" i="1"/>
  <c r="Q204" i="1"/>
  <c r="E204" i="1"/>
  <c r="B169" i="1"/>
  <c r="B103" i="1" s="1"/>
  <c r="BN59" i="1"/>
  <c r="AP75" i="1"/>
  <c r="BC250" i="1"/>
  <c r="AX196" i="1"/>
  <c r="Q196" i="1"/>
  <c r="BR147" i="1"/>
  <c r="BR148" i="1" s="1"/>
  <c r="BM82" i="1"/>
  <c r="BP231" i="1"/>
  <c r="BQ231" i="1" s="1"/>
  <c r="U177" i="1"/>
  <c r="P183" i="1"/>
  <c r="S250" i="1"/>
  <c r="AT177" i="1"/>
  <c r="BL147" i="1"/>
  <c r="BL148" i="1" s="1"/>
  <c r="P177" i="1"/>
  <c r="AT147" i="1"/>
  <c r="AT148" i="1" s="1"/>
  <c r="J196" i="1"/>
  <c r="J204" i="1"/>
  <c r="S183" i="1"/>
  <c r="S187" i="1" s="1"/>
  <c r="D196" i="1"/>
  <c r="D230" i="1" s="1"/>
  <c r="I183" i="1"/>
  <c r="I82" i="1" s="1"/>
  <c r="S196" i="1"/>
  <c r="C196" i="1"/>
  <c r="N250" i="1"/>
  <c r="BI177" i="1"/>
  <c r="BJ297" i="1" s="1"/>
  <c r="G196" i="1"/>
  <c r="C204" i="1"/>
  <c r="P196" i="1"/>
  <c r="T183" i="1"/>
  <c r="T82" i="1" s="1"/>
  <c r="V177" i="1"/>
  <c r="T209" i="1"/>
  <c r="L209" i="1"/>
  <c r="J183" i="1"/>
  <c r="D169" i="1"/>
  <c r="L169" i="1"/>
  <c r="BO59" i="1"/>
  <c r="BO21" i="1" s="1"/>
  <c r="BO25" i="1" s="1"/>
  <c r="W221" i="1"/>
  <c r="BD301" i="1"/>
  <c r="BT196" i="1"/>
  <c r="BP196" i="1"/>
  <c r="AN177" i="1"/>
  <c r="AR177" i="1"/>
  <c r="BP147" i="1"/>
  <c r="BP148" i="1" s="1"/>
  <c r="AX228" i="1"/>
  <c r="AY228" i="1" s="1"/>
  <c r="O177" i="1"/>
  <c r="BQ147" i="1"/>
  <c r="BQ148" i="1" s="1"/>
  <c r="BV196" i="1"/>
  <c r="BV230" i="1" s="1"/>
  <c r="T169" i="1"/>
  <c r="P169" i="1"/>
  <c r="C209" i="1"/>
  <c r="D257" i="1" s="1"/>
  <c r="BN204" i="1"/>
  <c r="BN233" i="1" s="1"/>
  <c r="AO177" i="1"/>
  <c r="AS177" i="1"/>
  <c r="AZ147" i="1"/>
  <c r="AZ148" i="1" s="1"/>
  <c r="BV204" i="1"/>
  <c r="BV233" i="1" s="1"/>
  <c r="BJ147" i="1"/>
  <c r="BJ148" i="1" s="1"/>
  <c r="BJ153" i="1" s="1"/>
  <c r="I177" i="1"/>
  <c r="BI300" i="1"/>
  <c r="BH177" i="1"/>
  <c r="BF231" i="1"/>
  <c r="B221" i="1"/>
  <c r="AW147" i="1"/>
  <c r="AW148" i="1" s="1"/>
  <c r="BW190" i="1"/>
  <c r="BN279" i="1"/>
  <c r="AR231" i="1"/>
  <c r="AS231" i="1" s="1"/>
  <c r="BW59" i="1"/>
  <c r="BW279" i="1"/>
  <c r="BZ147" i="1"/>
  <c r="BZ148" i="1" s="1"/>
  <c r="G221" i="1"/>
  <c r="V221" i="1"/>
  <c r="AT242" i="1"/>
  <c r="AT301" i="1"/>
  <c r="BP279" i="1"/>
  <c r="BS147" i="1"/>
  <c r="BS148" i="1" s="1"/>
  <c r="BP59" i="1"/>
  <c r="BA279" i="1"/>
  <c r="BA59" i="1"/>
  <c r="BB228" i="1"/>
  <c r="BC228" i="1" s="1"/>
  <c r="AV300" i="1"/>
  <c r="AU300" i="1"/>
  <c r="BQ242" i="1"/>
  <c r="BQ301" i="1"/>
  <c r="BR228" i="1"/>
  <c r="BS228" i="1" s="1"/>
  <c r="J177" i="1"/>
  <c r="AV301" i="1"/>
  <c r="BN300" i="1"/>
  <c r="BH227" i="1"/>
  <c r="BI227" i="1" s="1"/>
  <c r="AU242" i="1"/>
  <c r="AU301" i="1"/>
  <c r="O183" i="1"/>
  <c r="BV231" i="1"/>
  <c r="BW231" i="1" s="1"/>
  <c r="BH59" i="1"/>
  <c r="BH300" i="1"/>
  <c r="AS301" i="1"/>
  <c r="AS242" i="1"/>
  <c r="AV59" i="1"/>
  <c r="AV227" i="1"/>
  <c r="AW227" i="1" s="1"/>
  <c r="BF147" i="1"/>
  <c r="BF148" i="1" s="1"/>
  <c r="O196" i="1"/>
  <c r="BN301" i="1"/>
  <c r="AN75" i="1"/>
  <c r="BV300" i="1"/>
  <c r="R169" i="1"/>
  <c r="AU59" i="1"/>
  <c r="AU279" i="1"/>
  <c r="BG75" i="1"/>
  <c r="BU242" i="1"/>
  <c r="BU301" i="1"/>
  <c r="AV231" i="1"/>
  <c r="AW231" i="1" s="1"/>
  <c r="O221" i="1"/>
  <c r="V196" i="1"/>
  <c r="V230" i="1" s="1"/>
  <c r="V229" i="1" s="1"/>
  <c r="AP147" i="1"/>
  <c r="AP148" i="1" s="1"/>
  <c r="AN59" i="1"/>
  <c r="AN147" i="1"/>
  <c r="AN148" i="1" s="1"/>
  <c r="AN279" i="1"/>
  <c r="BI301" i="1"/>
  <c r="BI242" i="1"/>
  <c r="BN242" i="1"/>
  <c r="BN82" i="1"/>
  <c r="I169" i="1"/>
  <c r="BH231" i="1"/>
  <c r="BI231" i="1" s="1"/>
  <c r="AN82" i="1"/>
  <c r="AN301" i="1"/>
  <c r="BG147" i="1"/>
  <c r="BG148" i="1" s="1"/>
  <c r="BF279" i="1"/>
  <c r="J250" i="1"/>
  <c r="BV228" i="1"/>
  <c r="BW228" i="1" s="1"/>
  <c r="BA75" i="1"/>
  <c r="I196" i="1"/>
  <c r="AM97" i="1"/>
  <c r="BP242" i="1"/>
  <c r="BP301" i="1"/>
  <c r="BR279" i="1"/>
  <c r="BR59" i="1"/>
  <c r="BV279" i="1"/>
  <c r="BV59" i="1"/>
  <c r="BV242" i="1"/>
  <c r="BV301" i="1"/>
  <c r="B196" i="1"/>
  <c r="BF59" i="1"/>
  <c r="BH228" i="1"/>
  <c r="BI228" i="1" s="1"/>
  <c r="BN147" i="1"/>
  <c r="BN148" i="1" s="1"/>
  <c r="R196" i="1"/>
  <c r="BF300" i="1"/>
  <c r="BN231" i="1"/>
  <c r="BO231" i="1" s="1"/>
  <c r="J221" i="1"/>
  <c r="C114" i="1"/>
  <c r="BK242" i="1"/>
  <c r="BK82" i="1"/>
  <c r="BK251" i="1"/>
  <c r="BK249" i="1" s="1"/>
  <c r="BB242" i="1"/>
  <c r="BB301" i="1"/>
  <c r="BI147" i="1"/>
  <c r="BI148" i="1" s="1"/>
  <c r="AY147" i="1"/>
  <c r="AY148" i="1" s="1"/>
  <c r="AY153" i="1" s="1"/>
  <c r="F250" i="1"/>
  <c r="AW301" i="1"/>
  <c r="C183" i="1"/>
  <c r="E221" i="1"/>
  <c r="H250" i="1"/>
  <c r="BB59" i="1"/>
  <c r="BB279" i="1"/>
  <c r="V209" i="1"/>
  <c r="BB231" i="1"/>
  <c r="BC231" i="1" s="1"/>
  <c r="AX147" i="1"/>
  <c r="AX148" i="1" s="1"/>
  <c r="BK147" i="1"/>
  <c r="BK148" i="1" s="1"/>
  <c r="AR59" i="1"/>
  <c r="BF227" i="1"/>
  <c r="BG227" i="1" s="1"/>
  <c r="BT301" i="1"/>
  <c r="BX147" i="1"/>
  <c r="BX148" i="1" s="1"/>
  <c r="BN228" i="1"/>
  <c r="BO228" i="1" s="1"/>
  <c r="D114" i="1"/>
  <c r="S204" i="1"/>
  <c r="AV75" i="1"/>
  <c r="AV147" i="1"/>
  <c r="AV148" i="1" s="1"/>
  <c r="N204" i="1"/>
  <c r="N233" i="1" s="1"/>
  <c r="N232" i="1" s="1"/>
  <c r="BA301" i="1"/>
  <c r="BA242" i="1"/>
  <c r="AX75" i="1"/>
  <c r="S221" i="1"/>
  <c r="AY300" i="1"/>
  <c r="BH204" i="1"/>
  <c r="BV147" i="1"/>
  <c r="BV148" i="1" s="1"/>
  <c r="AX301" i="1"/>
  <c r="BY147" i="1"/>
  <c r="BY148" i="1" s="1"/>
  <c r="BN227" i="1"/>
  <c r="BO227" i="1" s="1"/>
  <c r="B183" i="1"/>
  <c r="BH75" i="1"/>
  <c r="AZ301" i="1"/>
  <c r="BH242" i="1"/>
  <c r="BH301" i="1"/>
  <c r="M204" i="1"/>
  <c r="BW147" i="1"/>
  <c r="BW148" i="1" s="1"/>
  <c r="BW152" i="1" s="1"/>
  <c r="AR300" i="1"/>
  <c r="AV228" i="1"/>
  <c r="AW228" i="1" s="1"/>
  <c r="BV227" i="1"/>
  <c r="BW227" i="1" s="1"/>
  <c r="K196" i="1"/>
  <c r="U250" i="1"/>
  <c r="BQ75" i="1"/>
  <c r="BS59" i="1"/>
  <c r="BE75" i="1"/>
  <c r="BR227" i="1"/>
  <c r="BS227" i="1" s="1"/>
  <c r="AW250" i="1"/>
  <c r="BU250" i="1"/>
  <c r="AR250" i="1"/>
  <c r="AQ250" i="1"/>
  <c r="CR242" i="1"/>
  <c r="CR181" i="1"/>
  <c r="CQ251" i="1"/>
  <c r="CQ249" i="1" s="1"/>
  <c r="AB254" i="1"/>
  <c r="DB112" i="1"/>
  <c r="DB114" i="1" s="1"/>
  <c r="DA114" i="1"/>
  <c r="BS257" i="1" l="1"/>
  <c r="BK65" i="1"/>
  <c r="BK27" i="1" s="1"/>
  <c r="BN141" i="1"/>
  <c r="W82" i="1"/>
  <c r="Q82" i="1"/>
  <c r="M187" i="1"/>
  <c r="F82" i="1"/>
  <c r="BT153" i="1"/>
  <c r="AZ76" i="1"/>
  <c r="G103" i="1"/>
  <c r="E178" i="1"/>
  <c r="E104" i="1" s="1"/>
  <c r="AP254" i="1"/>
  <c r="BT151" i="1"/>
  <c r="E86" i="1"/>
  <c r="BD61" i="1"/>
  <c r="L255" i="1"/>
  <c r="G255" i="1"/>
  <c r="F254" i="1"/>
  <c r="F86" i="1"/>
  <c r="BM61" i="1"/>
  <c r="BM273" i="1"/>
  <c r="BM65" i="1"/>
  <c r="BM27" i="1" s="1"/>
  <c r="BM26" i="1" s="1"/>
  <c r="F297" i="1"/>
  <c r="F299" i="1" s="1"/>
  <c r="AS250" i="1"/>
  <c r="BD178" i="1"/>
  <c r="X297" i="1"/>
  <c r="X299" i="1" s="1"/>
  <c r="X254" i="1"/>
  <c r="BN296" i="1"/>
  <c r="W297" i="1"/>
  <c r="W299" i="1" s="1"/>
  <c r="P205" i="1"/>
  <c r="F296" i="1"/>
  <c r="BO60" i="1"/>
  <c r="AT82" i="1"/>
  <c r="BB250" i="1"/>
  <c r="BF61" i="1"/>
  <c r="BU76" i="1"/>
  <c r="AT61" i="1"/>
  <c r="AR254" i="1"/>
  <c r="AR187" i="1"/>
  <c r="AR294" i="1" s="1"/>
  <c r="W254" i="1"/>
  <c r="P255" i="1"/>
  <c r="F103" i="1"/>
  <c r="AS82" i="1"/>
  <c r="M245" i="1"/>
  <c r="F223" i="1"/>
  <c r="BF250" i="1"/>
  <c r="V86" i="1"/>
  <c r="T255" i="1"/>
  <c r="E187" i="1"/>
  <c r="E294" i="1" s="1"/>
  <c r="D255" i="1"/>
  <c r="F255" i="1"/>
  <c r="F178" i="1"/>
  <c r="F104" i="1" s="1"/>
  <c r="BG60" i="1"/>
  <c r="E255" i="1"/>
  <c r="BM76" i="1"/>
  <c r="BJ26" i="1"/>
  <c r="BO82" i="1"/>
  <c r="BK60" i="1"/>
  <c r="BO183" i="1"/>
  <c r="BO187" i="1" s="1"/>
  <c r="U223" i="1"/>
  <c r="H244" i="1"/>
  <c r="M223" i="1"/>
  <c r="AR229" i="1"/>
  <c r="BT232" i="1"/>
  <c r="AT232" i="1"/>
  <c r="AI232" i="1"/>
  <c r="BR250" i="1"/>
  <c r="AI229" i="1"/>
  <c r="BG250" i="1"/>
  <c r="M216" i="1"/>
  <c r="M158" i="1" s="1"/>
  <c r="AT60" i="1"/>
  <c r="AT76" i="1"/>
  <c r="L178" i="1"/>
  <c r="L104" i="1" s="1"/>
  <c r="BG254" i="1"/>
  <c r="S245" i="1"/>
  <c r="AQ236" i="1"/>
  <c r="BQ65" i="1"/>
  <c r="BQ67" i="1" s="1"/>
  <c r="L223" i="1"/>
  <c r="S82" i="1"/>
  <c r="BQ60" i="1"/>
  <c r="S296" i="1"/>
  <c r="E254" i="1"/>
  <c r="L103" i="1"/>
  <c r="J205" i="1"/>
  <c r="L187" i="1"/>
  <c r="M251" i="1" s="1"/>
  <c r="M249" i="1" s="1"/>
  <c r="H223" i="1"/>
  <c r="BD236" i="1"/>
  <c r="K187" i="1"/>
  <c r="K292" i="1" s="1"/>
  <c r="M255" i="1"/>
  <c r="AP60" i="1"/>
  <c r="AO76" i="1"/>
  <c r="AV178" i="1"/>
  <c r="BR232" i="1"/>
  <c r="AI234" i="1"/>
  <c r="H103" i="1"/>
  <c r="AU250" i="1"/>
  <c r="BA273" i="1"/>
  <c r="H255" i="1"/>
  <c r="AX76" i="1"/>
  <c r="BE273" i="1"/>
  <c r="V82" i="1"/>
  <c r="AP65" i="1"/>
  <c r="AP67" i="1" s="1"/>
  <c r="S103" i="1"/>
  <c r="BQ22" i="1"/>
  <c r="AQ61" i="1"/>
  <c r="BO236" i="1"/>
  <c r="AT236" i="1"/>
  <c r="J296" i="1"/>
  <c r="Q296" i="1"/>
  <c r="BO65" i="1"/>
  <c r="BO27" i="1" s="1"/>
  <c r="BW250" i="1"/>
  <c r="V205" i="1"/>
  <c r="V213" i="1" s="1"/>
  <c r="AY76" i="1"/>
  <c r="BD216" i="1"/>
  <c r="BE86" i="1" s="1"/>
  <c r="BQ82" i="1"/>
  <c r="BQ183" i="1"/>
  <c r="BP187" i="1"/>
  <c r="BP292" i="1" s="1"/>
  <c r="BO250" i="1"/>
  <c r="BP250" i="1"/>
  <c r="AZ296" i="1"/>
  <c r="AZ141" i="1"/>
  <c r="AZ144" i="1" s="1"/>
  <c r="BA254" i="1"/>
  <c r="BA297" i="1"/>
  <c r="AZ216" i="1"/>
  <c r="AZ158" i="1" s="1"/>
  <c r="AZ178" i="1"/>
  <c r="AZ187" i="1"/>
  <c r="BA183" i="1"/>
  <c r="BA82" i="1"/>
  <c r="BE183" i="1"/>
  <c r="BE82" i="1"/>
  <c r="BD187" i="1"/>
  <c r="AT187" i="1"/>
  <c r="AT294" i="1" s="1"/>
  <c r="AU183" i="1"/>
  <c r="AU82" i="1"/>
  <c r="BB187" i="1"/>
  <c r="BC183" i="1"/>
  <c r="BC82" i="1"/>
  <c r="BG82" i="1"/>
  <c r="BF187" i="1"/>
  <c r="BG183" i="1"/>
  <c r="AT144" i="1"/>
  <c r="AT143" i="1"/>
  <c r="AT145" i="1"/>
  <c r="AZ250" i="1"/>
  <c r="AY250" i="1"/>
  <c r="J223" i="1"/>
  <c r="AZ232" i="1"/>
  <c r="AX232" i="1"/>
  <c r="J245" i="1"/>
  <c r="T216" i="1"/>
  <c r="T158" i="1" s="1"/>
  <c r="I216" i="1"/>
  <c r="I158" i="1" s="1"/>
  <c r="P244" i="1"/>
  <c r="BG76" i="1"/>
  <c r="AO61" i="1"/>
  <c r="BU273" i="1"/>
  <c r="V292" i="1"/>
  <c r="BQ76" i="1"/>
  <c r="H254" i="1"/>
  <c r="H178" i="1"/>
  <c r="H104" i="1" s="1"/>
  <c r="H216" i="1"/>
  <c r="H158" i="1" s="1"/>
  <c r="H86" i="1"/>
  <c r="F244" i="1"/>
  <c r="E230" i="1"/>
  <c r="E229" i="1" s="1"/>
  <c r="U230" i="1"/>
  <c r="U229" i="1" s="1"/>
  <c r="U205" i="1"/>
  <c r="K103" i="1"/>
  <c r="K223" i="1"/>
  <c r="K255" i="1"/>
  <c r="U244" i="1"/>
  <c r="T230" i="1"/>
  <c r="N223" i="1"/>
  <c r="N255" i="1"/>
  <c r="N103" i="1"/>
  <c r="L230" i="1"/>
  <c r="M244" i="1"/>
  <c r="L205" i="1"/>
  <c r="P257" i="1"/>
  <c r="O296" i="1"/>
  <c r="Q103" i="1"/>
  <c r="Q255" i="1"/>
  <c r="H257" i="1"/>
  <c r="G296" i="1"/>
  <c r="H82" i="1"/>
  <c r="H187" i="1"/>
  <c r="N86" i="1"/>
  <c r="N216" i="1"/>
  <c r="N158" i="1" s="1"/>
  <c r="N254" i="1"/>
  <c r="N297" i="1"/>
  <c r="N299" i="1" s="1"/>
  <c r="N178" i="1"/>
  <c r="N104" i="1" s="1"/>
  <c r="N187" i="1"/>
  <c r="N292" i="1" s="1"/>
  <c r="N82" i="1"/>
  <c r="D187" i="1"/>
  <c r="D82" i="1"/>
  <c r="F205" i="1"/>
  <c r="F213" i="1" s="1"/>
  <c r="F230" i="1"/>
  <c r="H233" i="1"/>
  <c r="H232" i="1" s="1"/>
  <c r="I245" i="1"/>
  <c r="H205" i="1"/>
  <c r="U82" i="1"/>
  <c r="U187" i="1"/>
  <c r="V251" i="1" s="1"/>
  <c r="V249" i="1" s="1"/>
  <c r="D216" i="1"/>
  <c r="D158" i="1" s="1"/>
  <c r="D86" i="1"/>
  <c r="BJ66" i="1"/>
  <c r="BJ77" i="1"/>
  <c r="BJ29" i="1" s="1"/>
  <c r="BJ28" i="1" s="1"/>
  <c r="BV145" i="1"/>
  <c r="BV144" i="1"/>
  <c r="AP141" i="1"/>
  <c r="AP296" i="1"/>
  <c r="C223" i="1"/>
  <c r="C103" i="1"/>
  <c r="O233" i="1"/>
  <c r="O232" i="1" s="1"/>
  <c r="P245" i="1"/>
  <c r="V257" i="1"/>
  <c r="U296" i="1"/>
  <c r="L257" i="1"/>
  <c r="K296" i="1"/>
  <c r="O103" i="1"/>
  <c r="O255" i="1"/>
  <c r="T86" i="1"/>
  <c r="T297" i="1"/>
  <c r="T299" i="1" s="1"/>
  <c r="R187" i="1"/>
  <c r="R82" i="1"/>
  <c r="M254" i="1"/>
  <c r="M86" i="1"/>
  <c r="M297" i="1"/>
  <c r="M299" i="1" s="1"/>
  <c r="M178" i="1"/>
  <c r="M104" i="1" s="1"/>
  <c r="J257" i="1"/>
  <c r="I296" i="1"/>
  <c r="K233" i="1"/>
  <c r="K232" i="1" s="1"/>
  <c r="L245" i="1"/>
  <c r="B216" i="1"/>
  <c r="B158" i="1" s="1"/>
  <c r="B160" i="1" s="1"/>
  <c r="B163" i="1" s="1"/>
  <c r="B86" i="1"/>
  <c r="E103" i="1"/>
  <c r="E223" i="1"/>
  <c r="AQ76" i="1"/>
  <c r="AQ60" i="1"/>
  <c r="AQ65" i="1"/>
  <c r="AW65" i="1"/>
  <c r="AZ273" i="1"/>
  <c r="BG21" i="1"/>
  <c r="BG25" i="1" s="1"/>
  <c r="BG65" i="1"/>
  <c r="BG27" i="1" s="1"/>
  <c r="H245" i="1"/>
  <c r="G245" i="1"/>
  <c r="G205" i="1"/>
  <c r="G233" i="1"/>
  <c r="G232" i="1" s="1"/>
  <c r="G86" i="1"/>
  <c r="G216" i="1"/>
  <c r="G158" i="1" s="1"/>
  <c r="G178" i="1"/>
  <c r="G104" i="1" s="1"/>
  <c r="G254" i="1"/>
  <c r="G297" i="1"/>
  <c r="G299" i="1" s="1"/>
  <c r="H297" i="1"/>
  <c r="H299" i="1" s="1"/>
  <c r="AO65" i="1"/>
  <c r="AO66" i="1" s="1"/>
  <c r="AP236" i="1"/>
  <c r="AS60" i="1"/>
  <c r="AP61" i="1"/>
  <c r="AO60" i="1"/>
  <c r="BC60" i="1"/>
  <c r="AY65" i="1"/>
  <c r="AZ61" i="1"/>
  <c r="AX236" i="1"/>
  <c r="AY61" i="1"/>
  <c r="C178" i="1"/>
  <c r="C104" i="1" s="1"/>
  <c r="C216" i="1"/>
  <c r="C158" i="1" s="1"/>
  <c r="C86" i="1"/>
  <c r="BF296" i="1"/>
  <c r="BF141" i="1"/>
  <c r="S178" i="1"/>
  <c r="S104" i="1" s="1"/>
  <c r="S86" i="1"/>
  <c r="S216" i="1"/>
  <c r="S158" i="1" s="1"/>
  <c r="T254" i="1"/>
  <c r="R86" i="1"/>
  <c r="R254" i="1"/>
  <c r="R297" i="1"/>
  <c r="R299" i="1" s="1"/>
  <c r="U233" i="1"/>
  <c r="U232" i="1" s="1"/>
  <c r="V245" i="1"/>
  <c r="Q216" i="1"/>
  <c r="Q158" i="1" s="1"/>
  <c r="Q86" i="1"/>
  <c r="Q178" i="1"/>
  <c r="Q104" i="1" s="1"/>
  <c r="O257" i="1"/>
  <c r="N296" i="1"/>
  <c r="V297" i="1"/>
  <c r="V299" i="1" s="1"/>
  <c r="U254" i="1"/>
  <c r="V254" i="1"/>
  <c r="P187" i="1"/>
  <c r="Q251" i="1" s="1"/>
  <c r="Q249" i="1" s="1"/>
  <c r="P82" i="1"/>
  <c r="K245" i="1"/>
  <c r="J233" i="1"/>
  <c r="J232" i="1" s="1"/>
  <c r="C230" i="1"/>
  <c r="C205" i="1"/>
  <c r="C233" i="1"/>
  <c r="C232" i="1" s="1"/>
  <c r="D245" i="1"/>
  <c r="O297" i="1"/>
  <c r="O299" i="1" s="1"/>
  <c r="O254" i="1"/>
  <c r="AL153" i="1"/>
  <c r="AL151" i="1"/>
  <c r="AZ205" i="1"/>
  <c r="BF178" i="1"/>
  <c r="BR234" i="1"/>
  <c r="BV216" i="1"/>
  <c r="BN232" i="1"/>
  <c r="BI254" i="1"/>
  <c r="BU82" i="1"/>
  <c r="BT187" i="1"/>
  <c r="BU183" i="1"/>
  <c r="BR187" i="1"/>
  <c r="BS183" i="1"/>
  <c r="BS82" i="1"/>
  <c r="AX296" i="1"/>
  <c r="AX141" i="1"/>
  <c r="AP250" i="1"/>
  <c r="AO250" i="1"/>
  <c r="BH145" i="1"/>
  <c r="BH143" i="1"/>
  <c r="BH144" i="1"/>
  <c r="BF297" i="1"/>
  <c r="BE297" i="1"/>
  <c r="BE254" i="1"/>
  <c r="AQ183" i="1"/>
  <c r="AP187" i="1"/>
  <c r="AQ82" i="1"/>
  <c r="AW82" i="1"/>
  <c r="AW183" i="1"/>
  <c r="AW187" i="1" s="1"/>
  <c r="AV187" i="1"/>
  <c r="AV292" i="1" s="1"/>
  <c r="AW257" i="1"/>
  <c r="AV296" i="1"/>
  <c r="BQ257" i="1"/>
  <c r="BP296" i="1"/>
  <c r="AU257" i="1"/>
  <c r="AT296" i="1"/>
  <c r="AO183" i="1"/>
  <c r="AP82" i="1" s="1"/>
  <c r="AO82" i="1"/>
  <c r="AN187" i="1"/>
  <c r="AN294" i="1" s="1"/>
  <c r="BB230" i="1"/>
  <c r="BB234" i="1" s="1"/>
  <c r="BB205" i="1"/>
  <c r="BO297" i="1"/>
  <c r="BO254" i="1"/>
  <c r="BN297" i="1"/>
  <c r="BN254" i="1"/>
  <c r="BN216" i="1"/>
  <c r="BN178" i="1"/>
  <c r="AP230" i="1"/>
  <c r="AP229" i="1" s="1"/>
  <c r="AP205" i="1"/>
  <c r="BS250" i="1"/>
  <c r="BT250" i="1"/>
  <c r="AQ254" i="1"/>
  <c r="AQ297" i="1"/>
  <c r="AP216" i="1"/>
  <c r="AP158" i="1" s="1"/>
  <c r="AP178" i="1"/>
  <c r="AT230" i="1"/>
  <c r="AT229" i="1" s="1"/>
  <c r="AT205" i="1"/>
  <c r="BF233" i="1"/>
  <c r="BF232" i="1" s="1"/>
  <c r="BF205" i="1"/>
  <c r="AN296" i="1"/>
  <c r="AN141" i="1"/>
  <c r="AN144" i="1" s="1"/>
  <c r="BB141" i="1"/>
  <c r="BB296" i="1"/>
  <c r="BE153" i="1"/>
  <c r="BE152" i="1"/>
  <c r="BE151" i="1"/>
  <c r="BC151" i="1"/>
  <c r="BC152" i="1"/>
  <c r="BC153" i="1"/>
  <c r="BH152" i="1"/>
  <c r="BH153" i="1"/>
  <c r="BH151" i="1"/>
  <c r="BF216" i="1"/>
  <c r="BG86" i="1" s="1"/>
  <c r="BG297" i="1"/>
  <c r="BF254" i="1"/>
  <c r="BU297" i="1"/>
  <c r="BU254" i="1"/>
  <c r="BT216" i="1"/>
  <c r="BT158" i="1" s="1"/>
  <c r="BT297" i="1"/>
  <c r="BT254" i="1"/>
  <c r="BP254" i="1"/>
  <c r="BP297" i="1"/>
  <c r="BP216" i="1"/>
  <c r="BB151" i="1"/>
  <c r="BB152" i="1"/>
  <c r="BB153" i="1"/>
  <c r="BW254" i="1"/>
  <c r="BW297" i="1"/>
  <c r="BX254" i="1"/>
  <c r="BX297" i="1"/>
  <c r="BV178" i="1"/>
  <c r="BV254" i="1"/>
  <c r="BV297" i="1"/>
  <c r="BO151" i="1"/>
  <c r="BO152" i="1"/>
  <c r="BO153" i="1"/>
  <c r="BD254" i="1"/>
  <c r="BD297" i="1"/>
  <c r="BI82" i="1"/>
  <c r="BI183" i="1"/>
  <c r="BH187" i="1"/>
  <c r="BQ254" i="1"/>
  <c r="BQ297" i="1"/>
  <c r="AY82" i="1"/>
  <c r="AX187" i="1"/>
  <c r="AX294" i="1" s="1"/>
  <c r="AY183" i="1"/>
  <c r="AX254" i="1"/>
  <c r="AX297" i="1"/>
  <c r="AX178" i="1"/>
  <c r="AX216" i="1"/>
  <c r="AY86" i="1" s="1"/>
  <c r="BT178" i="1"/>
  <c r="BT296" i="1"/>
  <c r="BT141" i="1"/>
  <c r="BT145" i="1" s="1"/>
  <c r="BD233" i="1"/>
  <c r="BD232" i="1" s="1"/>
  <c r="BD205" i="1"/>
  <c r="AV230" i="1"/>
  <c r="AV234" i="1" s="1"/>
  <c r="AV205" i="1"/>
  <c r="BB254" i="1"/>
  <c r="BB297" i="1"/>
  <c r="BP141" i="1"/>
  <c r="BP178" i="1"/>
  <c r="AY254" i="1"/>
  <c r="AY297" i="1"/>
  <c r="BY60" i="1"/>
  <c r="BU65" i="1"/>
  <c r="BU27" i="1" s="1"/>
  <c r="BU60" i="1"/>
  <c r="BU21" i="1"/>
  <c r="BU25" i="1" s="1"/>
  <c r="H296" i="1"/>
  <c r="I257" i="1"/>
  <c r="BL61" i="1"/>
  <c r="BK61" i="1"/>
  <c r="BK21" i="1"/>
  <c r="BK25" i="1" s="1"/>
  <c r="BK26" i="1" s="1"/>
  <c r="BM152" i="1"/>
  <c r="BM153" i="1"/>
  <c r="BM151" i="1"/>
  <c r="BD153" i="1"/>
  <c r="BD152" i="1"/>
  <c r="BD151" i="1"/>
  <c r="BD60" i="1"/>
  <c r="BD76" i="1"/>
  <c r="BD65" i="1"/>
  <c r="BD67" i="1" s="1"/>
  <c r="BE61" i="1"/>
  <c r="BC76" i="1"/>
  <c r="BC65" i="1"/>
  <c r="AR153" i="1"/>
  <c r="AR152" i="1"/>
  <c r="AR151" i="1"/>
  <c r="AI65" i="1"/>
  <c r="AL273" i="1"/>
  <c r="AM60" i="1"/>
  <c r="AJ61" i="1"/>
  <c r="AL292" i="1"/>
  <c r="N107" i="1"/>
  <c r="AO152" i="1"/>
  <c r="AO153" i="1"/>
  <c r="AO151" i="1"/>
  <c r="AQ151" i="1"/>
  <c r="AQ152" i="1"/>
  <c r="AQ153" i="1"/>
  <c r="AI76" i="1"/>
  <c r="AW76" i="1"/>
  <c r="BK76" i="1"/>
  <c r="BP61" i="1"/>
  <c r="AT297" i="1"/>
  <c r="BS236" i="1"/>
  <c r="BC254" i="1"/>
  <c r="BC297" i="1"/>
  <c r="AS257" i="1"/>
  <c r="AR205" i="1"/>
  <c r="AR233" i="1"/>
  <c r="BB216" i="1"/>
  <c r="BB178" i="1"/>
  <c r="AN233" i="1"/>
  <c r="AN205" i="1"/>
  <c r="BD141" i="1"/>
  <c r="BD296" i="1"/>
  <c r="AZ254" i="1"/>
  <c r="AZ297" i="1"/>
  <c r="AX65" i="1"/>
  <c r="AX61" i="1"/>
  <c r="AX60" i="1"/>
  <c r="D297" i="1"/>
  <c r="D299" i="1" s="1"/>
  <c r="C297" i="1"/>
  <c r="C299" i="1" s="1"/>
  <c r="D254" i="1"/>
  <c r="C254" i="1"/>
  <c r="B115" i="1"/>
  <c r="B156" i="1"/>
  <c r="AW297" i="1"/>
  <c r="AV254" i="1"/>
  <c r="AV216" i="1"/>
  <c r="S297" i="1"/>
  <c r="S299" i="1" s="1"/>
  <c r="R216" i="1"/>
  <c r="R158" i="1" s="1"/>
  <c r="BT76" i="1"/>
  <c r="BT21" i="1"/>
  <c r="G187" i="1"/>
  <c r="G82" i="1"/>
  <c r="D233" i="1"/>
  <c r="E245" i="1"/>
  <c r="BR141" i="1"/>
  <c r="BR296" i="1"/>
  <c r="L254" i="1"/>
  <c r="K86" i="1"/>
  <c r="K216" i="1"/>
  <c r="K158" i="1" s="1"/>
  <c r="K178" i="1"/>
  <c r="K104" i="1" s="1"/>
  <c r="L297" i="1"/>
  <c r="L299" i="1" s="1"/>
  <c r="M230" i="1"/>
  <c r="M229" i="1" s="1"/>
  <c r="N244" i="1"/>
  <c r="BK77" i="1"/>
  <c r="BK29" i="1" s="1"/>
  <c r="BK28" i="1" s="1"/>
  <c r="BK68" i="1"/>
  <c r="BL68" i="1"/>
  <c r="BK66" i="1"/>
  <c r="BM60" i="1"/>
  <c r="BL273" i="1"/>
  <c r="Q233" i="1"/>
  <c r="Q232" i="1" s="1"/>
  <c r="R245" i="1"/>
  <c r="Q245" i="1"/>
  <c r="E205" i="1"/>
  <c r="F245" i="1"/>
  <c r="E233" i="1"/>
  <c r="BN236" i="1"/>
  <c r="BN61" i="1"/>
  <c r="BN273" i="1"/>
  <c r="AX230" i="1"/>
  <c r="AX205" i="1"/>
  <c r="Q294" i="1"/>
  <c r="R244" i="1"/>
  <c r="Q230" i="1"/>
  <c r="Q292" i="1"/>
  <c r="Q205" i="1"/>
  <c r="Q213" i="1" s="1"/>
  <c r="AU254" i="1"/>
  <c r="AU297" i="1"/>
  <c r="J230" i="1"/>
  <c r="K244" i="1"/>
  <c r="T244" i="1"/>
  <c r="S205" i="1"/>
  <c r="S213" i="1" s="1"/>
  <c r="S230" i="1"/>
  <c r="S229" i="1" s="1"/>
  <c r="G230" i="1"/>
  <c r="G244" i="1"/>
  <c r="P230" i="1"/>
  <c r="P234" i="1" s="1"/>
  <c r="Q244" i="1"/>
  <c r="Q246" i="1" s="1"/>
  <c r="Q247" i="1" s="1"/>
  <c r="J82" i="1"/>
  <c r="J187" i="1"/>
  <c r="D103" i="1"/>
  <c r="D178" i="1"/>
  <c r="D104" i="1" s="1"/>
  <c r="D223" i="1"/>
  <c r="D296" i="1"/>
  <c r="BT205" i="1"/>
  <c r="BT230" i="1"/>
  <c r="BP230" i="1"/>
  <c r="BP205" i="1"/>
  <c r="AN216" i="1"/>
  <c r="AN158" i="1" s="1"/>
  <c r="AN178" i="1"/>
  <c r="O86" i="1"/>
  <c r="O216" i="1"/>
  <c r="O158" i="1" s="1"/>
  <c r="O178" i="1"/>
  <c r="O104" i="1" s="1"/>
  <c r="AZ151" i="1"/>
  <c r="AZ153" i="1"/>
  <c r="AZ152" i="1"/>
  <c r="BJ151" i="1"/>
  <c r="BJ152" i="1"/>
  <c r="BG231" i="1"/>
  <c r="J86" i="1"/>
  <c r="J178" i="1"/>
  <c r="J104" i="1" s="1"/>
  <c r="K297" i="1"/>
  <c r="K299" i="1" s="1"/>
  <c r="K254" i="1"/>
  <c r="J216" i="1"/>
  <c r="J158" i="1" s="1"/>
  <c r="J297" i="1"/>
  <c r="J299" i="1" s="1"/>
  <c r="AW236" i="1"/>
  <c r="AY273" i="1"/>
  <c r="R178" i="1"/>
  <c r="R104" i="1" s="1"/>
  <c r="R296" i="1"/>
  <c r="AY60" i="1"/>
  <c r="AU76" i="1"/>
  <c r="B205" i="1"/>
  <c r="C244" i="1"/>
  <c r="BF273" i="1"/>
  <c r="BG273" i="1"/>
  <c r="BI152" i="1"/>
  <c r="BI153" i="1"/>
  <c r="AX152" i="1"/>
  <c r="AX151" i="1"/>
  <c r="AX153" i="1"/>
  <c r="P107" i="1"/>
  <c r="AR236" i="1"/>
  <c r="BH233" i="1"/>
  <c r="BH205" i="1"/>
  <c r="K230" i="1"/>
  <c r="K205" i="1"/>
  <c r="BE76" i="1"/>
  <c r="BE77" i="1"/>
  <c r="BE78" i="1" s="1"/>
  <c r="AT178" i="1"/>
  <c r="AR296" i="1"/>
  <c r="AV297" i="1"/>
  <c r="BR205" i="1"/>
  <c r="AO297" i="1"/>
  <c r="AW254" i="1"/>
  <c r="BH296" i="1"/>
  <c r="B296" i="1"/>
  <c r="AT216" i="1"/>
  <c r="BV232" i="1"/>
  <c r="AP297" i="1"/>
  <c r="AT254" i="1"/>
  <c r="B178" i="1"/>
  <c r="B104" i="1" s="1"/>
  <c r="BR254" i="1"/>
  <c r="AR297" i="1"/>
  <c r="I187" i="1"/>
  <c r="AN254" i="1"/>
  <c r="BR297" i="1"/>
  <c r="BH254" i="1"/>
  <c r="BI297" i="1"/>
  <c r="V216" i="1"/>
  <c r="V158" i="1" s="1"/>
  <c r="P223" i="1"/>
  <c r="P103" i="1"/>
  <c r="P296" i="1"/>
  <c r="C255" i="1"/>
  <c r="BA151" i="1"/>
  <c r="BA152" i="1"/>
  <c r="BA153" i="1"/>
  <c r="AN297" i="1"/>
  <c r="BH216" i="1"/>
  <c r="BI76" i="1"/>
  <c r="S294" i="1"/>
  <c r="L296" i="1"/>
  <c r="I86" i="1"/>
  <c r="I254" i="1"/>
  <c r="I297" i="1"/>
  <c r="I299" i="1" s="1"/>
  <c r="T103" i="1"/>
  <c r="U178" i="1"/>
  <c r="U104" i="1" s="1"/>
  <c r="U86" i="1"/>
  <c r="U216" i="1"/>
  <c r="U158" i="1" s="1"/>
  <c r="B223" i="1"/>
  <c r="BV187" i="1"/>
  <c r="BW82" i="1"/>
  <c r="BW183" i="1"/>
  <c r="BH297" i="1"/>
  <c r="AO254" i="1"/>
  <c r="BL292" i="1"/>
  <c r="V244" i="1"/>
  <c r="BM236" i="1"/>
  <c r="AS65" i="1"/>
  <c r="AW60" i="1"/>
  <c r="AS76" i="1"/>
  <c r="BN21" i="1"/>
  <c r="BN60" i="1"/>
  <c r="BN65" i="1"/>
  <c r="BN27" i="1" s="1"/>
  <c r="BR216" i="1"/>
  <c r="S292" i="1"/>
  <c r="BH178" i="1"/>
  <c r="U245" i="1"/>
  <c r="BI21" i="1"/>
  <c r="BB232" i="1"/>
  <c r="BQ151" i="1"/>
  <c r="BQ153" i="1"/>
  <c r="BQ152" i="1"/>
  <c r="V255" i="1"/>
  <c r="V103" i="1"/>
  <c r="V223" i="1"/>
  <c r="N257" i="1"/>
  <c r="M296" i="1"/>
  <c r="BN76" i="1"/>
  <c r="BS254" i="1"/>
  <c r="D244" i="1"/>
  <c r="BI60" i="1"/>
  <c r="T205" i="1"/>
  <c r="J254" i="1"/>
  <c r="BV205" i="1"/>
  <c r="AT151" i="1"/>
  <c r="AT152" i="1"/>
  <c r="AT153" i="1"/>
  <c r="BR153" i="1"/>
  <c r="BR152" i="1"/>
  <c r="BR151" i="1"/>
  <c r="BS297" i="1"/>
  <c r="AR178" i="1"/>
  <c r="V234" i="1"/>
  <c r="O205" i="1"/>
  <c r="C296" i="1"/>
  <c r="E244" i="1"/>
  <c r="BH229" i="1"/>
  <c r="AV232" i="1"/>
  <c r="P86" i="1"/>
  <c r="P216" i="1"/>
  <c r="P158" i="1" s="1"/>
  <c r="P254" i="1"/>
  <c r="P297" i="1"/>
  <c r="P299" i="1" s="1"/>
  <c r="AS151" i="1"/>
  <c r="AS153" i="1"/>
  <c r="U255" i="1"/>
  <c r="BR178" i="1"/>
  <c r="AR216" i="1"/>
  <c r="AS86" i="1" s="1"/>
  <c r="BI65" i="1"/>
  <c r="BI27" i="1" s="1"/>
  <c r="BJ61" i="1"/>
  <c r="D205" i="1"/>
  <c r="BO273" i="1"/>
  <c r="AP76" i="1"/>
  <c r="T296" i="1"/>
  <c r="BP152" i="1"/>
  <c r="BP153" i="1"/>
  <c r="BP151" i="1"/>
  <c r="P178" i="1"/>
  <c r="P104" i="1" s="1"/>
  <c r="BL153" i="1"/>
  <c r="BL151" i="1"/>
  <c r="BL152" i="1"/>
  <c r="L216" i="1"/>
  <c r="L158" i="1" s="1"/>
  <c r="M257" i="1"/>
  <c r="AZ230" i="1"/>
  <c r="AZ234" i="1" s="1"/>
  <c r="AS297" i="1"/>
  <c r="L244" i="1"/>
  <c r="BP273" i="1"/>
  <c r="C245" i="1"/>
  <c r="BO61" i="1"/>
  <c r="U257" i="1"/>
  <c r="M205" i="1"/>
  <c r="M213" i="1" s="1"/>
  <c r="S254" i="1"/>
  <c r="BN205" i="1"/>
  <c r="BN213" i="1" s="1"/>
  <c r="AS254" i="1"/>
  <c r="O230" i="1"/>
  <c r="U297" i="1"/>
  <c r="U299" i="1" s="1"/>
  <c r="Q254" i="1"/>
  <c r="BO76" i="1"/>
  <c r="V178" i="1"/>
  <c r="V104" i="1" s="1"/>
  <c r="BJ254" i="1"/>
  <c r="BW257" i="1"/>
  <c r="BV296" i="1"/>
  <c r="AU152" i="1"/>
  <c r="AU151" i="1"/>
  <c r="BU153" i="1"/>
  <c r="BU151" i="1"/>
  <c r="BU152" i="1"/>
  <c r="BP232" i="1"/>
  <c r="BX60" i="1"/>
  <c r="BU61" i="1"/>
  <c r="BT65" i="1"/>
  <c r="BT27" i="1" s="1"/>
  <c r="BY236" i="1"/>
  <c r="V294" i="1"/>
  <c r="T178" i="1"/>
  <c r="T104" i="1" s="1"/>
  <c r="BS60" i="1"/>
  <c r="T187" i="1"/>
  <c r="Q297" i="1"/>
  <c r="Q299" i="1" s="1"/>
  <c r="U107" i="1"/>
  <c r="T223" i="1"/>
  <c r="BH273" i="1"/>
  <c r="BJ273" i="1"/>
  <c r="AR76" i="1"/>
  <c r="AS236" i="1"/>
  <c r="AS61" i="1"/>
  <c r="AV60" i="1"/>
  <c r="BG236" i="1"/>
  <c r="BJ60" i="1"/>
  <c r="BG61" i="1"/>
  <c r="BF65" i="1"/>
  <c r="BF76" i="1"/>
  <c r="I230" i="1"/>
  <c r="I205" i="1"/>
  <c r="BG151" i="1"/>
  <c r="BG153" i="1"/>
  <c r="BG152" i="1"/>
  <c r="BB273" i="1"/>
  <c r="BB61" i="1"/>
  <c r="BA65" i="1"/>
  <c r="BA68" i="1" s="1"/>
  <c r="BA60" i="1"/>
  <c r="BA236" i="1"/>
  <c r="BA61" i="1"/>
  <c r="BD273" i="1"/>
  <c r="BH76" i="1"/>
  <c r="BV152" i="1"/>
  <c r="BV151" i="1"/>
  <c r="BK153" i="1"/>
  <c r="BK152" i="1"/>
  <c r="BK151" i="1"/>
  <c r="BB236" i="1"/>
  <c r="BB65" i="1"/>
  <c r="BB76" i="1"/>
  <c r="BF60" i="1"/>
  <c r="C156" i="1"/>
  <c r="C157" i="1"/>
  <c r="C115" i="1"/>
  <c r="BZ152" i="1"/>
  <c r="BZ151" i="1"/>
  <c r="BZ153" i="1"/>
  <c r="B230" i="1"/>
  <c r="B234" i="1" s="1"/>
  <c r="B82" i="1"/>
  <c r="B187" i="1"/>
  <c r="AU65" i="1"/>
  <c r="AU60" i="1"/>
  <c r="AU236" i="1"/>
  <c r="AX273" i="1"/>
  <c r="Q107" i="1"/>
  <c r="AV61" i="1"/>
  <c r="BP21" i="1"/>
  <c r="BU236" i="1"/>
  <c r="BP60" i="1"/>
  <c r="BQ61" i="1"/>
  <c r="BP65" i="1"/>
  <c r="BP27" i="1" s="1"/>
  <c r="BS273" i="1"/>
  <c r="BT60" i="1"/>
  <c r="BQ236" i="1"/>
  <c r="AV273" i="1"/>
  <c r="BQ273" i="1"/>
  <c r="R223" i="1"/>
  <c r="R103" i="1"/>
  <c r="S255" i="1"/>
  <c r="R255" i="1"/>
  <c r="O187" i="1"/>
  <c r="O82" i="1"/>
  <c r="BC61" i="1"/>
  <c r="BS153" i="1"/>
  <c r="BS151" i="1"/>
  <c r="BS152" i="1"/>
  <c r="BW21" i="1"/>
  <c r="BW25" i="1" s="1"/>
  <c r="CA60" i="1"/>
  <c r="BW76" i="1"/>
  <c r="BZ273" i="1"/>
  <c r="BX61" i="1"/>
  <c r="BX236" i="1"/>
  <c r="CA236" i="1"/>
  <c r="CB236" i="1"/>
  <c r="X107" i="1"/>
  <c r="BW236" i="1"/>
  <c r="BW65" i="1"/>
  <c r="BW27" i="1" s="1"/>
  <c r="BZ292" i="1"/>
  <c r="BI236" i="1"/>
  <c r="I244" i="1"/>
  <c r="AV76" i="1"/>
  <c r="AU61" i="1"/>
  <c r="BB60" i="1"/>
  <c r="BC236" i="1"/>
  <c r="T107" i="1"/>
  <c r="BJ292" i="1"/>
  <c r="J244" i="1"/>
  <c r="BS21" i="1"/>
  <c r="BT61" i="1"/>
  <c r="BW60" i="1"/>
  <c r="BS65" i="1"/>
  <c r="BS27" i="1" s="1"/>
  <c r="BT236" i="1"/>
  <c r="W107" i="1"/>
  <c r="BV273" i="1"/>
  <c r="N245" i="1"/>
  <c r="M233" i="1"/>
  <c r="S233" i="1"/>
  <c r="S232" i="1" s="1"/>
  <c r="T245" i="1"/>
  <c r="BA76" i="1"/>
  <c r="AN153" i="1"/>
  <c r="AN152" i="1"/>
  <c r="AN151" i="1"/>
  <c r="AN76" i="1"/>
  <c r="BS76" i="1"/>
  <c r="AU273" i="1"/>
  <c r="D156" i="1"/>
  <c r="D115" i="1"/>
  <c r="D157" i="1"/>
  <c r="BV153" i="1"/>
  <c r="AY152" i="1"/>
  <c r="BP236" i="1"/>
  <c r="AR65" i="1"/>
  <c r="AR77" i="1" s="1"/>
  <c r="BR21" i="1"/>
  <c r="BR25" i="1" s="1"/>
  <c r="BR60" i="1"/>
  <c r="BR236" i="1"/>
  <c r="BR61" i="1"/>
  <c r="BR65" i="1"/>
  <c r="BR27" i="1" s="1"/>
  <c r="BT273" i="1"/>
  <c r="BR76" i="1"/>
  <c r="BV60" i="1"/>
  <c r="BS61" i="1"/>
  <c r="AP151" i="1"/>
  <c r="AP153" i="1"/>
  <c r="AP152" i="1"/>
  <c r="AW151" i="1"/>
  <c r="AW152" i="1"/>
  <c r="AW153" i="1"/>
  <c r="BV229" i="1"/>
  <c r="BV234" i="1"/>
  <c r="BZ237" i="1" s="1"/>
  <c r="AW273" i="1"/>
  <c r="BH21" i="1"/>
  <c r="BH65" i="1"/>
  <c r="BH27" i="1" s="1"/>
  <c r="BH61" i="1"/>
  <c r="BH60" i="1"/>
  <c r="BL236" i="1"/>
  <c r="BH236" i="1"/>
  <c r="BL60" i="1"/>
  <c r="AY236" i="1"/>
  <c r="BI61" i="1"/>
  <c r="BF236" i="1"/>
  <c r="BE236" i="1"/>
  <c r="AO236" i="1"/>
  <c r="AY151" i="1"/>
  <c r="BR273" i="1"/>
  <c r="BX151" i="1"/>
  <c r="BX152" i="1"/>
  <c r="BX153" i="1"/>
  <c r="BK236" i="1"/>
  <c r="I178" i="1"/>
  <c r="I104" i="1" s="1"/>
  <c r="I255" i="1"/>
  <c r="I103" i="1"/>
  <c r="I223" i="1"/>
  <c r="J255" i="1"/>
  <c r="AS273" i="1"/>
  <c r="AT66" i="1"/>
  <c r="AT77" i="1"/>
  <c r="AV65" i="1"/>
  <c r="AZ67" i="1" s="1"/>
  <c r="AW61" i="1"/>
  <c r="AZ60" i="1"/>
  <c r="AV236" i="1"/>
  <c r="O245" i="1"/>
  <c r="O244" i="1"/>
  <c r="BJ236" i="1"/>
  <c r="V107" i="1"/>
  <c r="BY152" i="1"/>
  <c r="BY153" i="1"/>
  <c r="BY151" i="1"/>
  <c r="R230" i="1"/>
  <c r="R205" i="1"/>
  <c r="S244" i="1"/>
  <c r="BF153" i="1"/>
  <c r="BF152" i="1"/>
  <c r="BF151" i="1"/>
  <c r="AV151" i="1"/>
  <c r="AV153" i="1"/>
  <c r="AV152" i="1"/>
  <c r="BI151" i="1"/>
  <c r="AZ236" i="1"/>
  <c r="BE60" i="1"/>
  <c r="BI273" i="1"/>
  <c r="AT273" i="1"/>
  <c r="N205" i="1"/>
  <c r="BW153" i="1"/>
  <c r="C187" i="1"/>
  <c r="C82" i="1"/>
  <c r="BN152" i="1"/>
  <c r="BN151" i="1"/>
  <c r="BN153" i="1"/>
  <c r="BV21" i="1"/>
  <c r="BV25" i="1" s="1"/>
  <c r="BZ236" i="1"/>
  <c r="BW273" i="1"/>
  <c r="BW61" i="1"/>
  <c r="BY273" i="1"/>
  <c r="BX273" i="1"/>
  <c r="BX292" i="1"/>
  <c r="BV61" i="1"/>
  <c r="BV65" i="1"/>
  <c r="BV27" i="1" s="1"/>
  <c r="BV236" i="1"/>
  <c r="BZ60" i="1"/>
  <c r="AQ273" i="1"/>
  <c r="AN65" i="1"/>
  <c r="AN61" i="1"/>
  <c r="AN273" i="1"/>
  <c r="AR60" i="1"/>
  <c r="AN236" i="1"/>
  <c r="O107" i="1"/>
  <c r="AN60" i="1"/>
  <c r="AP273" i="1"/>
  <c r="R107" i="1"/>
  <c r="BK273" i="1"/>
  <c r="S107" i="1"/>
  <c r="AO273" i="1"/>
  <c r="AR61" i="1"/>
  <c r="BC273" i="1"/>
  <c r="BW151" i="1"/>
  <c r="W257" i="1"/>
  <c r="V296" i="1"/>
  <c r="AM101" i="1"/>
  <c r="AM168" i="1"/>
  <c r="AM169" i="1" s="1"/>
  <c r="AM241" i="1"/>
  <c r="AM243" i="1" s="1"/>
  <c r="AM115" i="1"/>
  <c r="AM118" i="1" s="1"/>
  <c r="AR273" i="1"/>
  <c r="BP76" i="1"/>
  <c r="BV76" i="1"/>
  <c r="X251" i="1"/>
  <c r="X249" i="1" s="1"/>
  <c r="W251" i="1"/>
  <c r="W249" i="1" s="1"/>
  <c r="H234" i="1"/>
  <c r="H229" i="1"/>
  <c r="N229" i="1"/>
  <c r="N234" i="1"/>
  <c r="AZ66" i="1"/>
  <c r="AZ77" i="1"/>
  <c r="D229" i="1"/>
  <c r="F294" i="1"/>
  <c r="F292" i="1"/>
  <c r="BN158" i="1"/>
  <c r="BO86" i="1"/>
  <c r="BN251" i="1"/>
  <c r="BN249" i="1" s="1"/>
  <c r="BN294" i="1"/>
  <c r="BN292" i="1"/>
  <c r="BP158" i="1"/>
  <c r="BQ86" i="1"/>
  <c r="AN229" i="1"/>
  <c r="AR143" i="1"/>
  <c r="AR145" i="1"/>
  <c r="AR144" i="1"/>
  <c r="AV145" i="1"/>
  <c r="AV143" i="1"/>
  <c r="AV144" i="1"/>
  <c r="AQ86" i="1"/>
  <c r="AP232" i="1"/>
  <c r="BF229" i="1"/>
  <c r="BR229" i="1"/>
  <c r="BN229" i="1"/>
  <c r="BN234" i="1"/>
  <c r="BD229" i="1"/>
  <c r="CR183" i="1"/>
  <c r="AE190" i="1"/>
  <c r="AC173" i="1"/>
  <c r="BN145" i="1" l="1"/>
  <c r="BN143" i="1"/>
  <c r="BN144" i="1"/>
  <c r="M292" i="1"/>
  <c r="M294" i="1"/>
  <c r="BM77" i="1"/>
  <c r="BM29" i="1" s="1"/>
  <c r="BM28" i="1" s="1"/>
  <c r="BM66" i="1"/>
  <c r="AZ237" i="1"/>
  <c r="L253" i="1"/>
  <c r="AT234" i="1"/>
  <c r="AV213" i="1"/>
  <c r="BM68" i="1"/>
  <c r="AV294" i="1"/>
  <c r="F214" i="1"/>
  <c r="G253" i="1"/>
  <c r="BN214" i="1"/>
  <c r="AN251" i="1"/>
  <c r="AN249" i="1" s="1"/>
  <c r="AV229" i="1"/>
  <c r="AN292" i="1"/>
  <c r="AN213" i="1"/>
  <c r="AN214" i="1" s="1"/>
  <c r="BP294" i="1"/>
  <c r="L292" i="1"/>
  <c r="D253" i="1"/>
  <c r="F251" i="1"/>
  <c r="F249" i="1" s="1"/>
  <c r="L294" i="1"/>
  <c r="D160" i="1"/>
  <c r="D163" i="1" s="1"/>
  <c r="P253" i="1"/>
  <c r="AP77" i="1"/>
  <c r="AT79" i="1" s="1"/>
  <c r="D159" i="1"/>
  <c r="D162" i="1" s="1"/>
  <c r="F253" i="1"/>
  <c r="E292" i="1"/>
  <c r="BO77" i="1"/>
  <c r="BO29" i="1" s="1"/>
  <c r="BO28" i="1" s="1"/>
  <c r="E213" i="1"/>
  <c r="E214" i="1" s="1"/>
  <c r="BB229" i="1"/>
  <c r="AP234" i="1"/>
  <c r="AP237" i="1" s="1"/>
  <c r="BP82" i="1"/>
  <c r="K294" i="1"/>
  <c r="BO66" i="1"/>
  <c r="K213" i="1"/>
  <c r="K214" i="1" s="1"/>
  <c r="AY67" i="1"/>
  <c r="BO67" i="1"/>
  <c r="J246" i="1"/>
  <c r="J247" i="1" s="1"/>
  <c r="AT67" i="1"/>
  <c r="M246" i="1"/>
  <c r="M247" i="1" s="1"/>
  <c r="M261" i="1" s="1"/>
  <c r="AP66" i="1"/>
  <c r="AX158" i="1"/>
  <c r="AX160" i="1" s="1"/>
  <c r="BU86" i="1"/>
  <c r="BG77" i="1"/>
  <c r="BG29" i="1" s="1"/>
  <c r="BG28" i="1" s="1"/>
  <c r="BG67" i="1"/>
  <c r="B159" i="1"/>
  <c r="B162" i="1" s="1"/>
  <c r="BD234" i="1"/>
  <c r="BD237" i="1" s="1"/>
  <c r="AV214" i="1"/>
  <c r="H246" i="1"/>
  <c r="H247" i="1" s="1"/>
  <c r="P213" i="1"/>
  <c r="P214" i="1" s="1"/>
  <c r="Q253" i="1"/>
  <c r="Q258" i="1" s="1"/>
  <c r="Q259" i="1" s="1"/>
  <c r="M253" i="1"/>
  <c r="AX292" i="1"/>
  <c r="E253" i="1"/>
  <c r="BE83" i="1"/>
  <c r="BE87" i="1" s="1"/>
  <c r="BE90" i="1" s="1"/>
  <c r="BE280" i="1"/>
  <c r="BE281" i="1" s="1"/>
  <c r="AR292" i="1"/>
  <c r="AS251" i="1"/>
  <c r="AS249" i="1" s="1"/>
  <c r="H253" i="1"/>
  <c r="AZ229" i="1"/>
  <c r="AR213" i="1"/>
  <c r="AR214" i="1" s="1"/>
  <c r="S246" i="1"/>
  <c r="S247" i="1" s="1"/>
  <c r="BT143" i="1"/>
  <c r="BT144" i="1"/>
  <c r="BR213" i="1"/>
  <c r="BR214" i="1" s="1"/>
  <c r="BF234" i="1"/>
  <c r="BJ237" i="1" s="1"/>
  <c r="T253" i="1"/>
  <c r="BW26" i="1"/>
  <c r="BD158" i="1"/>
  <c r="BD160" i="1" s="1"/>
  <c r="BM22" i="1"/>
  <c r="BI25" i="1"/>
  <c r="BI26" i="1" s="1"/>
  <c r="BP22" i="1"/>
  <c r="BP25" i="1"/>
  <c r="BP26" i="1" s="1"/>
  <c r="BX22" i="1"/>
  <c r="BT25" i="1"/>
  <c r="BT26" i="1" s="1"/>
  <c r="O251" i="1"/>
  <c r="O249" i="1" s="1"/>
  <c r="V253" i="1"/>
  <c r="BQ66" i="1"/>
  <c r="BQ27" i="1"/>
  <c r="BL22" i="1"/>
  <c r="BH25" i="1"/>
  <c r="BH26" i="1" s="1"/>
  <c r="L246" i="1"/>
  <c r="L247" i="1" s="1"/>
  <c r="V246" i="1"/>
  <c r="V247" i="1" s="1"/>
  <c r="V261" i="1" s="1"/>
  <c r="BH213" i="1"/>
  <c r="BH214" i="1" s="1"/>
  <c r="BG26" i="1"/>
  <c r="BN22" i="1"/>
  <c r="BN25" i="1"/>
  <c r="BN26" i="1" s="1"/>
  <c r="BR26" i="1"/>
  <c r="BQ77" i="1"/>
  <c r="BQ29" i="1" s="1"/>
  <c r="BU26" i="1"/>
  <c r="BO26" i="1"/>
  <c r="BV26" i="1"/>
  <c r="BS22" i="1"/>
  <c r="BS25" i="1"/>
  <c r="BS26" i="1" s="1"/>
  <c r="O253" i="1"/>
  <c r="BA86" i="1"/>
  <c r="V214" i="1"/>
  <c r="H213" i="1"/>
  <c r="H214" i="1" s="1"/>
  <c r="AN145" i="1"/>
  <c r="AT213" i="1"/>
  <c r="AT214" i="1" s="1"/>
  <c r="AT292" i="1"/>
  <c r="AN143" i="1"/>
  <c r="N246" i="1"/>
  <c r="N247" i="1" s="1"/>
  <c r="AT251" i="1"/>
  <c r="AT249" i="1" s="1"/>
  <c r="AX82" i="1"/>
  <c r="AO187" i="1"/>
  <c r="AP251" i="1" s="1"/>
  <c r="AP249" i="1" s="1"/>
  <c r="U234" i="1"/>
  <c r="V237" i="1" s="1"/>
  <c r="V238" i="1" s="1"/>
  <c r="P294" i="1"/>
  <c r="P246" i="1"/>
  <c r="P247" i="1" s="1"/>
  <c r="AZ143" i="1"/>
  <c r="AO86" i="1"/>
  <c r="P292" i="1"/>
  <c r="N253" i="1"/>
  <c r="AZ145" i="1"/>
  <c r="I246" i="1"/>
  <c r="I247" i="1" s="1"/>
  <c r="P229" i="1"/>
  <c r="L251" i="1"/>
  <c r="L249" i="1" s="1"/>
  <c r="BF158" i="1"/>
  <c r="BF160" i="1" s="1"/>
  <c r="AR66" i="1"/>
  <c r="AR67" i="1"/>
  <c r="AP68" i="1"/>
  <c r="O246" i="1"/>
  <c r="O247" i="1" s="1"/>
  <c r="AO77" i="1"/>
  <c r="T213" i="1"/>
  <c r="T214" i="1" s="1"/>
  <c r="K253" i="1"/>
  <c r="R246" i="1"/>
  <c r="R247" i="1" s="1"/>
  <c r="L213" i="1"/>
  <c r="L214" i="1" s="1"/>
  <c r="U246" i="1"/>
  <c r="U247" i="1" s="1"/>
  <c r="AO67" i="1"/>
  <c r="AZ213" i="1"/>
  <c r="AZ214" i="1" s="1"/>
  <c r="BP213" i="1"/>
  <c r="BP214" i="1" s="1"/>
  <c r="BQ187" i="1"/>
  <c r="BR82" i="1"/>
  <c r="AZ292" i="1"/>
  <c r="AZ294" i="1"/>
  <c r="BA187" i="1"/>
  <c r="BB82" i="1"/>
  <c r="BF82" i="1"/>
  <c r="BE187" i="1"/>
  <c r="BD294" i="1"/>
  <c r="BD292" i="1"/>
  <c r="BD213" i="1"/>
  <c r="BD214" i="1" s="1"/>
  <c r="AV82" i="1"/>
  <c r="AU187" i="1"/>
  <c r="BB292" i="1"/>
  <c r="BB213" i="1"/>
  <c r="BB214" i="1" s="1"/>
  <c r="BB294" i="1"/>
  <c r="BD82" i="1"/>
  <c r="BC187" i="1"/>
  <c r="BF213" i="1"/>
  <c r="BF214" i="1" s="1"/>
  <c r="BF294" i="1"/>
  <c r="BF292" i="1"/>
  <c r="BG187" i="1"/>
  <c r="BH82" i="1"/>
  <c r="BF144" i="1"/>
  <c r="BF143" i="1"/>
  <c r="BF145" i="1"/>
  <c r="AP144" i="1"/>
  <c r="AP143" i="1"/>
  <c r="AP145" i="1"/>
  <c r="U213" i="1"/>
  <c r="U214" i="1" s="1"/>
  <c r="F246" i="1"/>
  <c r="F247" i="1" s="1"/>
  <c r="Q214" i="1"/>
  <c r="K246" i="1"/>
  <c r="K247" i="1" s="1"/>
  <c r="S214" i="1"/>
  <c r="G246" i="1"/>
  <c r="G247" i="1" s="1"/>
  <c r="D246" i="1"/>
  <c r="D247" i="1" s="1"/>
  <c r="BV213" i="1"/>
  <c r="BV214" i="1" s="1"/>
  <c r="U253" i="1"/>
  <c r="D213" i="1"/>
  <c r="C246" i="1"/>
  <c r="C247" i="1" s="1"/>
  <c r="M214" i="1"/>
  <c r="I213" i="1"/>
  <c r="I214" i="1" s="1"/>
  <c r="C159" i="1"/>
  <c r="C162" i="1" s="1"/>
  <c r="C160" i="1"/>
  <c r="C163" i="1" s="1"/>
  <c r="R253" i="1"/>
  <c r="BR22" i="1"/>
  <c r="I253" i="1"/>
  <c r="J253" i="1"/>
  <c r="N213" i="1"/>
  <c r="N214" i="1" s="1"/>
  <c r="C213" i="1"/>
  <c r="T234" i="1"/>
  <c r="T229" i="1"/>
  <c r="L234" i="1"/>
  <c r="L229" i="1"/>
  <c r="H292" i="1"/>
  <c r="H294" i="1"/>
  <c r="I251" i="1"/>
  <c r="I249" i="1" s="1"/>
  <c r="N294" i="1"/>
  <c r="N251" i="1"/>
  <c r="N249" i="1" s="1"/>
  <c r="E251" i="1"/>
  <c r="E249" i="1" s="1"/>
  <c r="D251" i="1"/>
  <c r="D249" i="1" s="1"/>
  <c r="F229" i="1"/>
  <c r="F234" i="1"/>
  <c r="U294" i="1"/>
  <c r="U292" i="1"/>
  <c r="BJ78" i="1"/>
  <c r="BJ280" i="1"/>
  <c r="BJ281" i="1" s="1"/>
  <c r="BJ83" i="1"/>
  <c r="BJ87" i="1" s="1"/>
  <c r="BJ90" i="1" s="1"/>
  <c r="R251" i="1"/>
  <c r="R249" i="1" s="1"/>
  <c r="R292" i="1"/>
  <c r="R294" i="1"/>
  <c r="R213" i="1"/>
  <c r="R214" i="1" s="1"/>
  <c r="S251" i="1"/>
  <c r="S249" i="1" s="1"/>
  <c r="AQ68" i="1"/>
  <c r="AU67" i="1"/>
  <c r="AQ66" i="1"/>
  <c r="P108" i="1"/>
  <c r="AQ67" i="1"/>
  <c r="AR68" i="1"/>
  <c r="AQ77" i="1"/>
  <c r="AR80" i="1" s="1"/>
  <c r="AW77" i="1"/>
  <c r="AW78" i="1" s="1"/>
  <c r="BA67" i="1"/>
  <c r="AW66" i="1"/>
  <c r="BK67" i="1"/>
  <c r="BG66" i="1"/>
  <c r="AY66" i="1"/>
  <c r="BC67" i="1"/>
  <c r="AY77" i="1"/>
  <c r="AY83" i="1" s="1"/>
  <c r="AZ68" i="1"/>
  <c r="R108" i="1"/>
  <c r="C229" i="1"/>
  <c r="C234" i="1"/>
  <c r="BV158" i="1"/>
  <c r="BW86" i="1"/>
  <c r="BT294" i="1"/>
  <c r="BT292" i="1"/>
  <c r="BU187" i="1"/>
  <c r="BV82" i="1"/>
  <c r="BR294" i="1"/>
  <c r="BR292" i="1"/>
  <c r="BS187" i="1"/>
  <c r="BT82" i="1"/>
  <c r="AX144" i="1"/>
  <c r="AX145" i="1"/>
  <c r="AX143" i="1"/>
  <c r="AR82" i="1"/>
  <c r="AQ187" i="1"/>
  <c r="AP294" i="1"/>
  <c r="AP213" i="1"/>
  <c r="AP214" i="1" s="1"/>
  <c r="AP292" i="1"/>
  <c r="BH294" i="1"/>
  <c r="BH292" i="1"/>
  <c r="AY187" i="1"/>
  <c r="AZ82" i="1"/>
  <c r="BC86" i="1"/>
  <c r="BB158" i="1"/>
  <c r="AN232" i="1"/>
  <c r="AN234" i="1"/>
  <c r="B117" i="1"/>
  <c r="B118" i="1"/>
  <c r="AW86" i="1"/>
  <c r="AV158" i="1"/>
  <c r="BR145" i="1"/>
  <c r="BR143" i="1"/>
  <c r="BR144" i="1"/>
  <c r="J229" i="1"/>
  <c r="J234" i="1"/>
  <c r="G229" i="1"/>
  <c r="G234" i="1"/>
  <c r="H237" i="1" s="1"/>
  <c r="H238" i="1" s="1"/>
  <c r="BH234" i="1"/>
  <c r="BL237" i="1" s="1"/>
  <c r="BH232" i="1"/>
  <c r="AU86" i="1"/>
  <c r="AT158" i="1"/>
  <c r="I292" i="1"/>
  <c r="I294" i="1"/>
  <c r="BV294" i="1"/>
  <c r="BV292" i="1"/>
  <c r="AW67" i="1"/>
  <c r="AS68" i="1"/>
  <c r="BS86" i="1"/>
  <c r="BR158" i="1"/>
  <c r="T292" i="1"/>
  <c r="U251" i="1"/>
  <c r="U249" i="1" s="1"/>
  <c r="C253" i="1"/>
  <c r="O229" i="1"/>
  <c r="O234" i="1"/>
  <c r="BB144" i="1"/>
  <c r="BB143" i="1"/>
  <c r="BB145" i="1"/>
  <c r="BI187" i="1"/>
  <c r="BJ82" i="1"/>
  <c r="BP144" i="1"/>
  <c r="BP145" i="1"/>
  <c r="BP143" i="1"/>
  <c r="AX213" i="1"/>
  <c r="AX214" i="1" s="1"/>
  <c r="BT213" i="1"/>
  <c r="BT214" i="1" s="1"/>
  <c r="BU66" i="1"/>
  <c r="BY67" i="1"/>
  <c r="BU77" i="1"/>
  <c r="BU67" i="1"/>
  <c r="BY22" i="1"/>
  <c r="BU22" i="1"/>
  <c r="BO22" i="1"/>
  <c r="BK22" i="1"/>
  <c r="BD77" i="1"/>
  <c r="BD79" i="1" s="1"/>
  <c r="BD66" i="1"/>
  <c r="BE68" i="1"/>
  <c r="BC66" i="1"/>
  <c r="BC77" i="1"/>
  <c r="BD68" i="1"/>
  <c r="N108" i="1"/>
  <c r="AI77" i="1"/>
  <c r="AM67" i="1"/>
  <c r="AI66" i="1"/>
  <c r="AJ68" i="1"/>
  <c r="G292" i="1"/>
  <c r="G294" i="1"/>
  <c r="BP234" i="1"/>
  <c r="BP237" i="1" s="1"/>
  <c r="BP229" i="1"/>
  <c r="K234" i="1"/>
  <c r="K229" i="1"/>
  <c r="E246" i="1"/>
  <c r="E247" i="1" s="1"/>
  <c r="T246" i="1"/>
  <c r="T247" i="1" s="1"/>
  <c r="AR234" i="1"/>
  <c r="AR232" i="1"/>
  <c r="BD144" i="1"/>
  <c r="BD143" i="1"/>
  <c r="BD145" i="1"/>
  <c r="BB67" i="1"/>
  <c r="AX77" i="1"/>
  <c r="AX83" i="1" s="1"/>
  <c r="AX87" i="1" s="1"/>
  <c r="AX68" i="1"/>
  <c r="AX66" i="1"/>
  <c r="AY68" i="1"/>
  <c r="AX67" i="1"/>
  <c r="G213" i="1"/>
  <c r="G214" i="1" s="1"/>
  <c r="G251" i="1"/>
  <c r="G249" i="1" s="1"/>
  <c r="H251" i="1"/>
  <c r="H249" i="1" s="1"/>
  <c r="D232" i="1"/>
  <c r="D234" i="1"/>
  <c r="BK80" i="1"/>
  <c r="BK78" i="1"/>
  <c r="BL80" i="1"/>
  <c r="BM161" i="1"/>
  <c r="BK280" i="1"/>
  <c r="BK281" i="1" s="1"/>
  <c r="BK298" i="1"/>
  <c r="BK299" i="1" s="1"/>
  <c r="BK83" i="1"/>
  <c r="BK87" i="1" s="1"/>
  <c r="BK89" i="1" s="1"/>
  <c r="BL298" i="1"/>
  <c r="BL299" i="1" s="1"/>
  <c r="BM274" i="1"/>
  <c r="E232" i="1"/>
  <c r="E234" i="1"/>
  <c r="AX234" i="1"/>
  <c r="AX229" i="1"/>
  <c r="Q234" i="1"/>
  <c r="Q237" i="1" s="1"/>
  <c r="Q238" i="1" s="1"/>
  <c r="Q229" i="1"/>
  <c r="Q261" i="1"/>
  <c r="J213" i="1"/>
  <c r="J214" i="1" s="1"/>
  <c r="J292" i="1"/>
  <c r="K251" i="1"/>
  <c r="K249" i="1" s="1"/>
  <c r="J294" i="1"/>
  <c r="J251" i="1"/>
  <c r="J249" i="1" s="1"/>
  <c r="BM83" i="1"/>
  <c r="BM87" i="1" s="1"/>
  <c r="BM89" i="1" s="1"/>
  <c r="BM78" i="1"/>
  <c r="BM80" i="1"/>
  <c r="BM280" i="1"/>
  <c r="BM281" i="1" s="1"/>
  <c r="BM298" i="1"/>
  <c r="BM299" i="1" s="1"/>
  <c r="BT234" i="1"/>
  <c r="BT229" i="1"/>
  <c r="T294" i="1"/>
  <c r="T251" i="1"/>
  <c r="T249" i="1" s="1"/>
  <c r="S253" i="1"/>
  <c r="BI67" i="1"/>
  <c r="BI66" i="1"/>
  <c r="BM67" i="1"/>
  <c r="BI77" i="1"/>
  <c r="BI29" i="1" s="1"/>
  <c r="BI28" i="1" s="1"/>
  <c r="BJ68" i="1"/>
  <c r="O213" i="1"/>
  <c r="O214" i="1" s="1"/>
  <c r="BU68" i="1"/>
  <c r="BX67" i="1"/>
  <c r="BT77" i="1"/>
  <c r="BT29" i="1" s="1"/>
  <c r="BT28" i="1" s="1"/>
  <c r="BT66" i="1"/>
  <c r="U108" i="1"/>
  <c r="BO68" i="1"/>
  <c r="BN66" i="1"/>
  <c r="BN68" i="1"/>
  <c r="BN67" i="1"/>
  <c r="BN77" i="1"/>
  <c r="BN29" i="1" s="1"/>
  <c r="BN28" i="1" s="1"/>
  <c r="BW187" i="1"/>
  <c r="BX82" i="1"/>
  <c r="BT22" i="1"/>
  <c r="AS66" i="1"/>
  <c r="AS77" i="1"/>
  <c r="AT68" i="1"/>
  <c r="AS67" i="1"/>
  <c r="BI86" i="1"/>
  <c r="BH158" i="1"/>
  <c r="B229" i="1"/>
  <c r="AM178" i="1"/>
  <c r="AM104" i="1" s="1"/>
  <c r="AM103" i="1"/>
  <c r="AM255" i="1"/>
  <c r="AM253" i="1" s="1"/>
  <c r="AM141" i="1"/>
  <c r="AM135" i="1"/>
  <c r="AM134" i="1"/>
  <c r="AM136" i="1"/>
  <c r="R229" i="1"/>
  <c r="R234" i="1"/>
  <c r="O294" i="1"/>
  <c r="P251" i="1"/>
  <c r="P249" i="1" s="1"/>
  <c r="O292" i="1"/>
  <c r="AV77" i="1"/>
  <c r="AV79" i="1" s="1"/>
  <c r="AV66" i="1"/>
  <c r="Q108" i="1"/>
  <c r="BV77" i="1"/>
  <c r="BV29" i="1" s="1"/>
  <c r="BV28" i="1" s="1"/>
  <c r="BV68" i="1"/>
  <c r="BW68" i="1"/>
  <c r="BV66" i="1"/>
  <c r="BZ67" i="1"/>
  <c r="AT83" i="1"/>
  <c r="AT87" i="1" s="1"/>
  <c r="AT78" i="1"/>
  <c r="AT280" i="1"/>
  <c r="AT281" i="1" s="1"/>
  <c r="AV67" i="1"/>
  <c r="C117" i="1"/>
  <c r="C118" i="1"/>
  <c r="I229" i="1"/>
  <c r="I234" i="1"/>
  <c r="BV67" i="1"/>
  <c r="BR77" i="1"/>
  <c r="BR29" i="1" s="1"/>
  <c r="BR28" i="1" s="1"/>
  <c r="BR68" i="1"/>
  <c r="BR66" i="1"/>
  <c r="BS68" i="1"/>
  <c r="BR67" i="1"/>
  <c r="AW68" i="1"/>
  <c r="M232" i="1"/>
  <c r="M234" i="1"/>
  <c r="N237" i="1" s="1"/>
  <c r="N238" i="1" s="1"/>
  <c r="D118" i="1"/>
  <c r="D117" i="1"/>
  <c r="BW22" i="1"/>
  <c r="CA22" i="1"/>
  <c r="BF77" i="1"/>
  <c r="BF68" i="1"/>
  <c r="BJ67" i="1"/>
  <c r="BF66" i="1"/>
  <c r="BG68" i="1"/>
  <c r="S108" i="1"/>
  <c r="BI68" i="1"/>
  <c r="BL67" i="1"/>
  <c r="BH77" i="1"/>
  <c r="BH29" i="1" s="1"/>
  <c r="BH28" i="1" s="1"/>
  <c r="BH66" i="1"/>
  <c r="BH67" i="1"/>
  <c r="BH68" i="1"/>
  <c r="T108" i="1"/>
  <c r="AU68" i="1"/>
  <c r="AV68" i="1"/>
  <c r="AU77" i="1"/>
  <c r="AU66" i="1"/>
  <c r="BC68" i="1"/>
  <c r="BB66" i="1"/>
  <c r="BB77" i="1"/>
  <c r="BF67" i="1"/>
  <c r="BA66" i="1"/>
  <c r="BA77" i="1"/>
  <c r="BE67" i="1"/>
  <c r="BB68" i="1"/>
  <c r="BW77" i="1"/>
  <c r="BW29" i="1" s="1"/>
  <c r="BW28" i="1" s="1"/>
  <c r="X108" i="1"/>
  <c r="BW66" i="1"/>
  <c r="CA67" i="1"/>
  <c r="BX68" i="1"/>
  <c r="AN77" i="1"/>
  <c r="O108" i="1"/>
  <c r="AO68" i="1"/>
  <c r="AN68" i="1"/>
  <c r="AN67" i="1"/>
  <c r="AN66" i="1"/>
  <c r="BS77" i="1"/>
  <c r="BS29" i="1" s="1"/>
  <c r="BS28" i="1" s="1"/>
  <c r="BS66" i="1"/>
  <c r="BT68" i="1"/>
  <c r="BW67" i="1"/>
  <c r="BS67" i="1"/>
  <c r="C251" i="1"/>
  <c r="C249" i="1" s="1"/>
  <c r="S234" i="1"/>
  <c r="BV22" i="1"/>
  <c r="BZ22" i="1"/>
  <c r="BV237" i="1"/>
  <c r="BQ68" i="1"/>
  <c r="BT67" i="1"/>
  <c r="BP68" i="1"/>
  <c r="BP67" i="1"/>
  <c r="BP77" i="1"/>
  <c r="BP29" i="1" s="1"/>
  <c r="BP28" i="1" s="1"/>
  <c r="V108" i="1"/>
  <c r="BP66" i="1"/>
  <c r="B213" i="1"/>
  <c r="AR280" i="1"/>
  <c r="AR281" i="1" s="1"/>
  <c r="AR83" i="1"/>
  <c r="AR78" i="1"/>
  <c r="AZ83" i="1"/>
  <c r="AZ87" i="1" s="1"/>
  <c r="AZ280" i="1"/>
  <c r="AZ281" i="1" s="1"/>
  <c r="AZ78" i="1"/>
  <c r="BN160" i="1"/>
  <c r="BN159" i="1"/>
  <c r="BP159" i="1"/>
  <c r="BP160" i="1"/>
  <c r="AX251" i="1"/>
  <c r="AX249" i="1" s="1"/>
  <c r="AW251" i="1"/>
  <c r="AW249" i="1" s="1"/>
  <c r="AN160" i="1"/>
  <c r="AN159" i="1"/>
  <c r="BT160" i="1"/>
  <c r="BT159" i="1"/>
  <c r="BO251" i="1"/>
  <c r="BO249" i="1" s="1"/>
  <c r="BP251" i="1"/>
  <c r="BP249" i="1" s="1"/>
  <c r="AP159" i="1"/>
  <c r="AP160" i="1"/>
  <c r="AZ159" i="1"/>
  <c r="AZ160" i="1"/>
  <c r="BN237" i="1"/>
  <c r="BR237" i="1"/>
  <c r="CR187" i="1"/>
  <c r="CS81" i="1"/>
  <c r="AP78" i="1" l="1"/>
  <c r="BO280" i="1"/>
  <c r="BO281" i="1" s="1"/>
  <c r="BE89" i="1"/>
  <c r="BO79" i="1"/>
  <c r="BH237" i="1"/>
  <c r="AT237" i="1"/>
  <c r="AW79" i="1"/>
  <c r="AP79" i="1"/>
  <c r="AP280" i="1"/>
  <c r="AP281" i="1" s="1"/>
  <c r="BF159" i="1"/>
  <c r="BO83" i="1"/>
  <c r="BO87" i="1" s="1"/>
  <c r="BO90" i="1" s="1"/>
  <c r="BO282" i="1" s="1"/>
  <c r="BO78" i="1"/>
  <c r="AP83" i="1"/>
  <c r="AP87" i="1" s="1"/>
  <c r="AP80" i="1"/>
  <c r="AX159" i="1"/>
  <c r="BJ89" i="1"/>
  <c r="AW280" i="1"/>
  <c r="AW281" i="1" s="1"/>
  <c r="AW83" i="1"/>
  <c r="AW87" i="1" s="1"/>
  <c r="BK90" i="1"/>
  <c r="BL93" i="1" s="1"/>
  <c r="BQ78" i="1"/>
  <c r="M258" i="1"/>
  <c r="M259" i="1" s="1"/>
  <c r="BM90" i="1"/>
  <c r="R261" i="1"/>
  <c r="BD159" i="1"/>
  <c r="BQ280" i="1"/>
  <c r="BQ281" i="1" s="1"/>
  <c r="O258" i="1"/>
  <c r="O259" i="1" s="1"/>
  <c r="BK79" i="1"/>
  <c r="BG78" i="1"/>
  <c r="BG83" i="1"/>
  <c r="BG87" i="1" s="1"/>
  <c r="BG90" i="1" s="1"/>
  <c r="BG280" i="1"/>
  <c r="BG281" i="1" s="1"/>
  <c r="BF237" i="1"/>
  <c r="S261" i="1"/>
  <c r="AX78" i="1"/>
  <c r="AX280" i="1"/>
  <c r="AX281" i="1" s="1"/>
  <c r="BQ83" i="1"/>
  <c r="BQ87" i="1" s="1"/>
  <c r="BQ89" i="1" s="1"/>
  <c r="BQ79" i="1"/>
  <c r="AO251" i="1"/>
  <c r="AO249" i="1" s="1"/>
  <c r="O261" i="1"/>
  <c r="V258" i="1"/>
  <c r="V259" i="1" s="1"/>
  <c r="L258" i="1"/>
  <c r="L259" i="1" s="1"/>
  <c r="AY80" i="1"/>
  <c r="L261" i="1"/>
  <c r="U237" i="1"/>
  <c r="U238" i="1" s="1"/>
  <c r="K258" i="1"/>
  <c r="K259" i="1" s="1"/>
  <c r="AS161" i="1"/>
  <c r="S237" i="1"/>
  <c r="S238" i="1" s="1"/>
  <c r="BU79" i="1"/>
  <c r="BU29" i="1"/>
  <c r="BU28" i="1" s="1"/>
  <c r="D258" i="1"/>
  <c r="D259" i="1" s="1"/>
  <c r="BQ28" i="1"/>
  <c r="BQ26" i="1"/>
  <c r="AY298" i="1"/>
  <c r="AY299" i="1" s="1"/>
  <c r="AR274" i="1"/>
  <c r="I261" i="1"/>
  <c r="I258" i="1"/>
  <c r="I259" i="1" s="1"/>
  <c r="N258" i="1"/>
  <c r="N259" i="1" s="1"/>
  <c r="AY280" i="1"/>
  <c r="AY281" i="1" s="1"/>
  <c r="AY78" i="1"/>
  <c r="N261" i="1"/>
  <c r="R258" i="1"/>
  <c r="R259" i="1" s="1"/>
  <c r="AY79" i="1"/>
  <c r="AZ274" i="1"/>
  <c r="BA161" i="1"/>
  <c r="AZ161" i="1"/>
  <c r="AZ163" i="1" s="1"/>
  <c r="D261" i="1"/>
  <c r="AS274" i="1"/>
  <c r="AX80" i="1"/>
  <c r="AO280" i="1"/>
  <c r="AO281" i="1" s="1"/>
  <c r="AO83" i="1"/>
  <c r="AO87" i="1" s="1"/>
  <c r="AO79" i="1"/>
  <c r="AO78" i="1"/>
  <c r="AP298" i="1"/>
  <c r="AP299" i="1" s="1"/>
  <c r="BR251" i="1"/>
  <c r="BR249" i="1" s="1"/>
  <c r="BQ251" i="1"/>
  <c r="BQ249" i="1" s="1"/>
  <c r="BB251" i="1"/>
  <c r="BB249" i="1" s="1"/>
  <c r="BA251" i="1"/>
  <c r="BA249" i="1" s="1"/>
  <c r="BE251" i="1"/>
  <c r="BE249" i="1" s="1"/>
  <c r="BF251" i="1"/>
  <c r="BF249" i="1" s="1"/>
  <c r="AV251" i="1"/>
  <c r="AV249" i="1" s="1"/>
  <c r="AU251" i="1"/>
  <c r="AU249" i="1" s="1"/>
  <c r="BC251" i="1"/>
  <c r="BC249" i="1" s="1"/>
  <c r="BD251" i="1"/>
  <c r="BD249" i="1" s="1"/>
  <c r="BH251" i="1"/>
  <c r="BH249" i="1" s="1"/>
  <c r="BG251" i="1"/>
  <c r="BG249" i="1" s="1"/>
  <c r="BV251" i="1"/>
  <c r="BV249" i="1" s="1"/>
  <c r="BU251" i="1"/>
  <c r="BU249" i="1" s="1"/>
  <c r="BT251" i="1"/>
  <c r="BT249" i="1" s="1"/>
  <c r="BS251" i="1"/>
  <c r="BS249" i="1" s="1"/>
  <c r="AR251" i="1"/>
  <c r="AR249" i="1" s="1"/>
  <c r="AQ251" i="1"/>
  <c r="AQ249" i="1" s="1"/>
  <c r="AY251" i="1"/>
  <c r="AY249" i="1" s="1"/>
  <c r="AZ251" i="1"/>
  <c r="AZ249" i="1" s="1"/>
  <c r="AT160" i="1"/>
  <c r="AT159" i="1"/>
  <c r="AX237" i="1"/>
  <c r="BB237" i="1"/>
  <c r="C292" i="1"/>
  <c r="C214" i="1"/>
  <c r="AQ79" i="1"/>
  <c r="AQ83" i="1"/>
  <c r="AQ87" i="1" s="1"/>
  <c r="AQ89" i="1" s="1"/>
  <c r="AQ280" i="1"/>
  <c r="AQ281" i="1" s="1"/>
  <c r="AQ78" i="1"/>
  <c r="AQ298" i="1"/>
  <c r="AQ299" i="1" s="1"/>
  <c r="BV160" i="1"/>
  <c r="BV159" i="1"/>
  <c r="G237" i="1"/>
  <c r="G238" i="1" s="1"/>
  <c r="K261" i="1"/>
  <c r="S258" i="1"/>
  <c r="S259" i="1" s="1"/>
  <c r="AT161" i="1"/>
  <c r="F261" i="1"/>
  <c r="F258" i="1"/>
  <c r="F259" i="1" s="1"/>
  <c r="D292" i="1"/>
  <c r="D214" i="1"/>
  <c r="AQ80" i="1"/>
  <c r="AR161" i="1"/>
  <c r="AR298" i="1"/>
  <c r="AR299" i="1" s="1"/>
  <c r="AZ298" i="1"/>
  <c r="AZ299" i="1" s="1"/>
  <c r="AZ80" i="1"/>
  <c r="BC79" i="1"/>
  <c r="C237" i="1"/>
  <c r="C238" i="1" s="1"/>
  <c r="D237" i="1"/>
  <c r="D238" i="1" s="1"/>
  <c r="BB160" i="1"/>
  <c r="BB159" i="1"/>
  <c r="B135" i="1"/>
  <c r="B136" i="1"/>
  <c r="B134" i="1"/>
  <c r="AV159" i="1"/>
  <c r="AV160" i="1"/>
  <c r="BR159" i="1"/>
  <c r="BR160" i="1"/>
  <c r="U261" i="1"/>
  <c r="U258" i="1"/>
  <c r="U259" i="1" s="1"/>
  <c r="R237" i="1"/>
  <c r="R238" i="1" s="1"/>
  <c r="P237" i="1"/>
  <c r="P238" i="1" s="1"/>
  <c r="O237" i="1"/>
  <c r="O238" i="1" s="1"/>
  <c r="E258" i="1"/>
  <c r="E259" i="1" s="1"/>
  <c r="E261" i="1"/>
  <c r="T261" i="1"/>
  <c r="T258" i="1"/>
  <c r="T259" i="1" s="1"/>
  <c r="E237" i="1"/>
  <c r="E238" i="1" s="1"/>
  <c r="F237" i="1"/>
  <c r="F238" i="1" s="1"/>
  <c r="BI251" i="1"/>
  <c r="BI249" i="1" s="1"/>
  <c r="BJ251" i="1"/>
  <c r="BJ249" i="1" s="1"/>
  <c r="BU83" i="1"/>
  <c r="BU87" i="1" s="1"/>
  <c r="BY79" i="1"/>
  <c r="BU280" i="1"/>
  <c r="BU281" i="1" s="1"/>
  <c r="BU78" i="1"/>
  <c r="BE298" i="1"/>
  <c r="BE299" i="1" s="1"/>
  <c r="BD280" i="1"/>
  <c r="BD281" i="1" s="1"/>
  <c r="BD78" i="1"/>
  <c r="BD83" i="1"/>
  <c r="BD87" i="1" s="1"/>
  <c r="BE80" i="1"/>
  <c r="BD298" i="1"/>
  <c r="BD299" i="1" s="1"/>
  <c r="BC280" i="1"/>
  <c r="BC281" i="1" s="1"/>
  <c r="BC78" i="1"/>
  <c r="BC83" i="1"/>
  <c r="BC87" i="1" s="1"/>
  <c r="BG79" i="1"/>
  <c r="BD80" i="1"/>
  <c r="AI280" i="1"/>
  <c r="AI281" i="1" s="1"/>
  <c r="AL274" i="1"/>
  <c r="N109" i="1"/>
  <c r="AI83" i="1"/>
  <c r="AM79" i="1"/>
  <c r="AI78" i="1"/>
  <c r="AL161" i="1"/>
  <c r="AJ80" i="1"/>
  <c r="L237" i="1"/>
  <c r="L238" i="1" s="1"/>
  <c r="K237" i="1"/>
  <c r="K238" i="1" s="1"/>
  <c r="G261" i="1"/>
  <c r="G258" i="1"/>
  <c r="G259" i="1" s="1"/>
  <c r="BB274" i="1"/>
  <c r="AR237" i="1"/>
  <c r="AV237" i="1"/>
  <c r="AX298" i="1"/>
  <c r="AX299" i="1" s="1"/>
  <c r="AX79" i="1"/>
  <c r="H258" i="1"/>
  <c r="H259" i="1" s="1"/>
  <c r="H261" i="1"/>
  <c r="J261" i="1"/>
  <c r="J258" i="1"/>
  <c r="J259" i="1" s="1"/>
  <c r="BT237" i="1"/>
  <c r="BX237" i="1"/>
  <c r="BA79" i="1"/>
  <c r="BA298" i="1"/>
  <c r="BA299" i="1" s="1"/>
  <c r="BA274" i="1"/>
  <c r="AV161" i="1"/>
  <c r="BH160" i="1"/>
  <c r="BH159" i="1"/>
  <c r="BN274" i="1"/>
  <c r="BO298" i="1"/>
  <c r="BO299" i="1" s="1"/>
  <c r="BN78" i="1"/>
  <c r="BN80" i="1"/>
  <c r="BN298" i="1"/>
  <c r="BN299" i="1" s="1"/>
  <c r="BN79" i="1"/>
  <c r="BO161" i="1"/>
  <c r="BN83" i="1"/>
  <c r="BO80" i="1"/>
  <c r="BN280" i="1"/>
  <c r="BN281" i="1" s="1"/>
  <c r="U109" i="1"/>
  <c r="BN161" i="1"/>
  <c r="BN163" i="1" s="1"/>
  <c r="BO274" i="1"/>
  <c r="BB161" i="1"/>
  <c r="AU274" i="1"/>
  <c r="AS83" i="1"/>
  <c r="AS87" i="1" s="1"/>
  <c r="AS280" i="1"/>
  <c r="AS281" i="1" s="1"/>
  <c r="AT80" i="1"/>
  <c r="AS78" i="1"/>
  <c r="AS79" i="1"/>
  <c r="AT298" i="1"/>
  <c r="AT299" i="1" s="1"/>
  <c r="P109" i="1"/>
  <c r="BX251" i="1"/>
  <c r="BX249" i="1" s="1"/>
  <c r="BW251" i="1"/>
  <c r="BW249" i="1" s="1"/>
  <c r="BI79" i="1"/>
  <c r="BI83" i="1"/>
  <c r="BL161" i="1"/>
  <c r="BM79" i="1"/>
  <c r="BI78" i="1"/>
  <c r="BJ80" i="1"/>
  <c r="BI280" i="1"/>
  <c r="BI281" i="1" s="1"/>
  <c r="BL274" i="1"/>
  <c r="BJ298" i="1"/>
  <c r="BJ299" i="1" s="1"/>
  <c r="BX79" i="1"/>
  <c r="BT78" i="1"/>
  <c r="BT83" i="1"/>
  <c r="BT87" i="1" s="1"/>
  <c r="BT90" i="1" s="1"/>
  <c r="BU80" i="1"/>
  <c r="BU298" i="1"/>
  <c r="BU299" i="1" s="1"/>
  <c r="BT280" i="1"/>
  <c r="BT281" i="1" s="1"/>
  <c r="AS80" i="1"/>
  <c r="AS298" i="1"/>
  <c r="AS299" i="1" s="1"/>
  <c r="AT274" i="1"/>
  <c r="BA280" i="1"/>
  <c r="BA281" i="1" s="1"/>
  <c r="BA78" i="1"/>
  <c r="BA83" i="1"/>
  <c r="BD161" i="1"/>
  <c r="BD163" i="1" s="1"/>
  <c r="BD274" i="1"/>
  <c r="BC161" i="1"/>
  <c r="BC274" i="1"/>
  <c r="BB80" i="1"/>
  <c r="BE79" i="1"/>
  <c r="C135" i="1"/>
  <c r="C136" i="1"/>
  <c r="C119" i="1"/>
  <c r="C134" i="1"/>
  <c r="B138" i="1"/>
  <c r="B292" i="1"/>
  <c r="B214" i="1"/>
  <c r="AN79" i="1"/>
  <c r="O109" i="1"/>
  <c r="AQ274" i="1"/>
  <c r="AN298" i="1"/>
  <c r="AN299" i="1" s="1"/>
  <c r="AQ161" i="1"/>
  <c r="AN83" i="1"/>
  <c r="AO274" i="1"/>
  <c r="AR79" i="1"/>
  <c r="AN78" i="1"/>
  <c r="AP274" i="1"/>
  <c r="AN280" i="1"/>
  <c r="AN281" i="1" s="1"/>
  <c r="AO161" i="1"/>
  <c r="AN161" i="1"/>
  <c r="AN163" i="1" s="1"/>
  <c r="AN274" i="1"/>
  <c r="AP161" i="1"/>
  <c r="AP162" i="1" s="1"/>
  <c r="AO80" i="1"/>
  <c r="AO298" i="1"/>
  <c r="AO299" i="1" s="1"/>
  <c r="AN80" i="1"/>
  <c r="BB83" i="1"/>
  <c r="BB87" i="1" s="1"/>
  <c r="BB89" i="1" s="1"/>
  <c r="BB78" i="1"/>
  <c r="BF79" i="1"/>
  <c r="BB79" i="1"/>
  <c r="BB280" i="1"/>
  <c r="BB281" i="1" s="1"/>
  <c r="BE161" i="1"/>
  <c r="BB298" i="1"/>
  <c r="BB299" i="1" s="1"/>
  <c r="BC298" i="1"/>
  <c r="BC299" i="1" s="1"/>
  <c r="BC80" i="1"/>
  <c r="BE274" i="1"/>
  <c r="BF78" i="1"/>
  <c r="BF83" i="1"/>
  <c r="BF280" i="1"/>
  <c r="BF281" i="1" s="1"/>
  <c r="BG161" i="1"/>
  <c r="BI161" i="1"/>
  <c r="BF161" i="1"/>
  <c r="BH274" i="1"/>
  <c r="BG274" i="1"/>
  <c r="BF298" i="1"/>
  <c r="BF299" i="1" s="1"/>
  <c r="BF274" i="1"/>
  <c r="BG298" i="1"/>
  <c r="BG299" i="1" s="1"/>
  <c r="BF80" i="1"/>
  <c r="BI274" i="1"/>
  <c r="BJ79" i="1"/>
  <c r="S109" i="1"/>
  <c r="BH161" i="1"/>
  <c r="BG80" i="1"/>
  <c r="C261" i="1"/>
  <c r="C258" i="1"/>
  <c r="C259" i="1" s="1"/>
  <c r="AU80" i="1"/>
  <c r="R109" i="1"/>
  <c r="AW80" i="1"/>
  <c r="AV78" i="1"/>
  <c r="AV83" i="1"/>
  <c r="AV87" i="1" s="1"/>
  <c r="AV89" i="1" s="1"/>
  <c r="AW298" i="1"/>
  <c r="AW299" i="1" s="1"/>
  <c r="AV298" i="1"/>
  <c r="AV299" i="1" s="1"/>
  <c r="AZ79" i="1"/>
  <c r="AV280" i="1"/>
  <c r="AV281" i="1" s="1"/>
  <c r="BQ274" i="1"/>
  <c r="BS161" i="1"/>
  <c r="BP80" i="1"/>
  <c r="V109" i="1"/>
  <c r="BS274" i="1"/>
  <c r="BP298" i="1"/>
  <c r="BP299" i="1" s="1"/>
  <c r="BP161" i="1"/>
  <c r="BP162" i="1" s="1"/>
  <c r="BT79" i="1"/>
  <c r="BR274" i="1"/>
  <c r="BQ80" i="1"/>
  <c r="BQ161" i="1"/>
  <c r="BP78" i="1"/>
  <c r="BR161" i="1"/>
  <c r="BQ298" i="1"/>
  <c r="BQ299" i="1" s="1"/>
  <c r="BP274" i="1"/>
  <c r="BP79" i="1"/>
  <c r="BP280" i="1"/>
  <c r="BP281" i="1" s="1"/>
  <c r="BP83" i="1"/>
  <c r="D135" i="1"/>
  <c r="D134" i="1"/>
  <c r="D136" i="1"/>
  <c r="D119" i="1"/>
  <c r="C138" i="1"/>
  <c r="P261" i="1"/>
  <c r="P258" i="1"/>
  <c r="P259" i="1" s="1"/>
  <c r="BW79" i="1"/>
  <c r="BV161" i="1"/>
  <c r="BT298" i="1"/>
  <c r="BT299" i="1" s="1"/>
  <c r="BS78" i="1"/>
  <c r="BS79" i="1"/>
  <c r="BS83" i="1"/>
  <c r="BS298" i="1"/>
  <c r="BS299" i="1" s="1"/>
  <c r="BV274" i="1"/>
  <c r="BT80" i="1"/>
  <c r="BS280" i="1"/>
  <c r="BS281" i="1" s="1"/>
  <c r="BZ161" i="1"/>
  <c r="BZ274" i="1"/>
  <c r="BW298" i="1"/>
  <c r="BW299" i="1" s="1"/>
  <c r="BX298" i="1"/>
  <c r="BX299" i="1" s="1"/>
  <c r="CA79" i="1"/>
  <c r="BW280" i="1"/>
  <c r="BW281" i="1" s="1"/>
  <c r="BX80" i="1"/>
  <c r="X109" i="1"/>
  <c r="BW78" i="1"/>
  <c r="BW83" i="1"/>
  <c r="AT89" i="1"/>
  <c r="AT90" i="1"/>
  <c r="AM144" i="1"/>
  <c r="AM145" i="1"/>
  <c r="AM143" i="1"/>
  <c r="BV280" i="1"/>
  <c r="BV281" i="1" s="1"/>
  <c r="BV83" i="1"/>
  <c r="BZ79" i="1"/>
  <c r="BV78" i="1"/>
  <c r="BW161" i="1"/>
  <c r="BW80" i="1"/>
  <c r="BV298" i="1"/>
  <c r="BV299" i="1" s="1"/>
  <c r="BV80" i="1"/>
  <c r="BX161" i="1"/>
  <c r="BW274" i="1"/>
  <c r="BY274" i="1"/>
  <c r="BX274" i="1"/>
  <c r="BY161" i="1"/>
  <c r="BR298" i="1"/>
  <c r="BR299" i="1" s="1"/>
  <c r="BS80" i="1"/>
  <c r="BR78" i="1"/>
  <c r="BT161" i="1"/>
  <c r="BT163" i="1" s="1"/>
  <c r="BR80" i="1"/>
  <c r="BT274" i="1"/>
  <c r="BR79" i="1"/>
  <c r="BR280" i="1"/>
  <c r="BR281" i="1" s="1"/>
  <c r="BR83" i="1"/>
  <c r="BV79" i="1"/>
  <c r="BU161" i="1"/>
  <c r="AY274" i="1"/>
  <c r="J237" i="1"/>
  <c r="J238" i="1" s="1"/>
  <c r="I237" i="1"/>
  <c r="I238" i="1" s="1"/>
  <c r="T237" i="1"/>
  <c r="T238" i="1" s="1"/>
  <c r="BK161" i="1"/>
  <c r="BJ274" i="1"/>
  <c r="BH80" i="1"/>
  <c r="T109" i="1"/>
  <c r="BL79" i="1"/>
  <c r="BH79" i="1"/>
  <c r="BJ161" i="1"/>
  <c r="BH78" i="1"/>
  <c r="BH83" i="1"/>
  <c r="BH298" i="1"/>
  <c r="BH299" i="1" s="1"/>
  <c r="BH280" i="1"/>
  <c r="BH281" i="1" s="1"/>
  <c r="BK274" i="1"/>
  <c r="BI298" i="1"/>
  <c r="BI299" i="1" s="1"/>
  <c r="BI80" i="1"/>
  <c r="AU78" i="1"/>
  <c r="AX161" i="1"/>
  <c r="AX163" i="1" s="1"/>
  <c r="Q109" i="1"/>
  <c r="AU79" i="1"/>
  <c r="AU83" i="1"/>
  <c r="AV274" i="1"/>
  <c r="AV80" i="1"/>
  <c r="AW274" i="1"/>
  <c r="AX274" i="1"/>
  <c r="AW161" i="1"/>
  <c r="AU298" i="1"/>
  <c r="AU299" i="1" s="1"/>
  <c r="AU161" i="1"/>
  <c r="AU280" i="1"/>
  <c r="AU281" i="1" s="1"/>
  <c r="BA80" i="1"/>
  <c r="M237" i="1"/>
  <c r="M238" i="1" s="1"/>
  <c r="AY161" i="1"/>
  <c r="BQ90" i="1"/>
  <c r="AZ89" i="1"/>
  <c r="AZ90" i="1"/>
  <c r="AR87" i="1"/>
  <c r="AY87" i="1"/>
  <c r="BJ282" i="1"/>
  <c r="BJ91" i="1"/>
  <c r="BJ293" i="1" s="1"/>
  <c r="BJ97" i="1"/>
  <c r="BM282" i="1"/>
  <c r="BE91" i="1"/>
  <c r="BE293" i="1" s="1"/>
  <c r="BE97" i="1"/>
  <c r="BE282" i="1"/>
  <c r="AX90" i="1"/>
  <c r="AX89" i="1"/>
  <c r="CS242" i="1"/>
  <c r="CS181" i="1"/>
  <c r="CR251" i="1"/>
  <c r="CR249" i="1" s="1"/>
  <c r="AC174" i="1"/>
  <c r="AC177" i="1" s="1"/>
  <c r="AC297" i="1" s="1"/>
  <c r="BO92" i="1" l="1"/>
  <c r="BK282" i="1"/>
  <c r="AZ104" i="1"/>
  <c r="BO97" i="1"/>
  <c r="BO101" i="1" s="1"/>
  <c r="BK93" i="1"/>
  <c r="BF162" i="1"/>
  <c r="BO91" i="1"/>
  <c r="BO293" i="1" s="1"/>
  <c r="BK91" i="1"/>
  <c r="BK293" i="1" s="1"/>
  <c r="BM275" i="1"/>
  <c r="BK97" i="1"/>
  <c r="BO89" i="1"/>
  <c r="BM93" i="1"/>
  <c r="BM97" i="1"/>
  <c r="AP90" i="1"/>
  <c r="AT92" i="1" s="1"/>
  <c r="AP89" i="1"/>
  <c r="BM91" i="1"/>
  <c r="BM293" i="1" s="1"/>
  <c r="BG89" i="1"/>
  <c r="BB90" i="1"/>
  <c r="BB91" i="1" s="1"/>
  <c r="BB293" i="1" s="1"/>
  <c r="AQ90" i="1"/>
  <c r="AQ282" i="1" s="1"/>
  <c r="BD162" i="1"/>
  <c r="AR104" i="1"/>
  <c r="AN162" i="1"/>
  <c r="AZ162" i="1"/>
  <c r="BN162" i="1"/>
  <c r="BF163" i="1"/>
  <c r="BP163" i="1"/>
  <c r="AO89" i="1"/>
  <c r="AO90" i="1"/>
  <c r="BT89" i="1"/>
  <c r="BB163" i="1"/>
  <c r="BB162" i="1"/>
  <c r="BR162" i="1"/>
  <c r="AT163" i="1"/>
  <c r="AT162" i="1"/>
  <c r="BU89" i="1"/>
  <c r="BU90" i="1"/>
  <c r="BU92" i="1" s="1"/>
  <c r="BD90" i="1"/>
  <c r="BD89" i="1"/>
  <c r="AL104" i="1"/>
  <c r="AI87" i="1"/>
  <c r="AL162" i="1"/>
  <c r="AL163" i="1"/>
  <c r="BC90" i="1"/>
  <c r="BC89" i="1"/>
  <c r="AV162" i="1"/>
  <c r="AV163" i="1"/>
  <c r="BN87" i="1"/>
  <c r="BN104" i="1"/>
  <c r="AS89" i="1"/>
  <c r="AS90" i="1"/>
  <c r="AV90" i="1"/>
  <c r="AZ92" i="1" s="1"/>
  <c r="BL163" i="1"/>
  <c r="BL162" i="1"/>
  <c r="BI87" i="1"/>
  <c r="BL104" i="1"/>
  <c r="AP163" i="1"/>
  <c r="AT104" i="1"/>
  <c r="BQ91" i="1"/>
  <c r="BQ293" i="1" s="1"/>
  <c r="BQ97" i="1"/>
  <c r="BQ282" i="1"/>
  <c r="AT97" i="1"/>
  <c r="AT282" i="1"/>
  <c r="AT91" i="1"/>
  <c r="AT293" i="1" s="1"/>
  <c r="BX162" i="1"/>
  <c r="BX163" i="1"/>
  <c r="AU87" i="1"/>
  <c r="AV104" i="1"/>
  <c r="BJ162" i="1"/>
  <c r="BJ163" i="1"/>
  <c r="BT162" i="1"/>
  <c r="BR163" i="1"/>
  <c r="BS87" i="1"/>
  <c r="BV104" i="1"/>
  <c r="BZ162" i="1"/>
  <c r="BZ163" i="1"/>
  <c r="BQ92" i="1"/>
  <c r="BW87" i="1"/>
  <c r="BZ104" i="1"/>
  <c r="AX162" i="1"/>
  <c r="BA87" i="1"/>
  <c r="BD104" i="1"/>
  <c r="BH87" i="1"/>
  <c r="BJ104" i="1"/>
  <c r="BR87" i="1"/>
  <c r="BT104" i="1"/>
  <c r="AX104" i="1"/>
  <c r="BV87" i="1"/>
  <c r="BY104" i="1"/>
  <c r="BX104" i="1"/>
  <c r="BV162" i="1"/>
  <c r="BV163" i="1"/>
  <c r="BH162" i="1"/>
  <c r="BH163" i="1"/>
  <c r="BP87" i="1"/>
  <c r="BP104" i="1"/>
  <c r="BR104" i="1"/>
  <c r="BB104" i="1"/>
  <c r="BF87" i="1"/>
  <c r="BF104" i="1"/>
  <c r="BH104" i="1"/>
  <c r="AN104" i="1"/>
  <c r="AN87" i="1"/>
  <c r="AP104" i="1"/>
  <c r="AZ97" i="1"/>
  <c r="AZ91" i="1"/>
  <c r="AZ293" i="1" s="1"/>
  <c r="AZ282" i="1"/>
  <c r="AR90" i="1"/>
  <c r="AR89" i="1"/>
  <c r="AW89" i="1"/>
  <c r="AW90" i="1"/>
  <c r="AY90" i="1"/>
  <c r="AY89" i="1"/>
  <c r="BJ115" i="1"/>
  <c r="BJ101" i="1"/>
  <c r="BJ241" i="1"/>
  <c r="BJ243" i="1" s="1"/>
  <c r="BK241" i="1"/>
  <c r="BK243" i="1" s="1"/>
  <c r="BK168" i="1"/>
  <c r="BK169" i="1" s="1"/>
  <c r="BK115" i="1"/>
  <c r="BM115" i="1"/>
  <c r="BM101" i="1"/>
  <c r="BE115" i="1"/>
  <c r="BE241" i="1"/>
  <c r="BE243" i="1" s="1"/>
  <c r="BE101" i="1"/>
  <c r="BE168" i="1"/>
  <c r="BE169" i="1" s="1"/>
  <c r="BX92" i="1"/>
  <c r="BT91" i="1"/>
  <c r="BT293" i="1" s="1"/>
  <c r="BT282" i="1"/>
  <c r="BT97" i="1"/>
  <c r="AX97" i="1"/>
  <c r="AX282" i="1"/>
  <c r="AX91" i="1"/>
  <c r="AX293" i="1" s="1"/>
  <c r="AX92" i="1"/>
  <c r="BK92" i="1"/>
  <c r="BG97" i="1"/>
  <c r="BG91" i="1"/>
  <c r="BG293" i="1" s="1"/>
  <c r="BG282" i="1"/>
  <c r="CS183" i="1"/>
  <c r="AC254" i="1"/>
  <c r="CA274" i="1"/>
  <c r="CB274" i="1"/>
  <c r="BU274" i="1"/>
  <c r="BM168" i="1" l="1"/>
  <c r="BM169" i="1" s="1"/>
  <c r="BM241" i="1"/>
  <c r="BM243" i="1" s="1"/>
  <c r="BK101" i="1"/>
  <c r="BO168" i="1"/>
  <c r="BO169" i="1" s="1"/>
  <c r="BB282" i="1"/>
  <c r="BB97" i="1"/>
  <c r="BB92" i="1"/>
  <c r="AQ92" i="1"/>
  <c r="BO241" i="1"/>
  <c r="BO243" i="1" s="1"/>
  <c r="BO115" i="1"/>
  <c r="AQ93" i="1"/>
  <c r="AQ91" i="1"/>
  <c r="AQ293" i="1" s="1"/>
  <c r="AQ97" i="1"/>
  <c r="AP92" i="1"/>
  <c r="AP282" i="1"/>
  <c r="AP97" i="1"/>
  <c r="AP91" i="1"/>
  <c r="AP293" i="1" s="1"/>
  <c r="AV91" i="1"/>
  <c r="AV293" i="1" s="1"/>
  <c r="AV97" i="1"/>
  <c r="AV241" i="1" s="1"/>
  <c r="AV243" i="1" s="1"/>
  <c r="AV282" i="1"/>
  <c r="BU93" i="1"/>
  <c r="AO92" i="1"/>
  <c r="AP93" i="1"/>
  <c r="AO97" i="1"/>
  <c r="AO282" i="1"/>
  <c r="AO91" i="1"/>
  <c r="AO293" i="1" s="1"/>
  <c r="BD93" i="1"/>
  <c r="BC97" i="1"/>
  <c r="BC168" i="1" s="1"/>
  <c r="BC169" i="1" s="1"/>
  <c r="BC282" i="1"/>
  <c r="BC91" i="1"/>
  <c r="BC293" i="1" s="1"/>
  <c r="BC93" i="1"/>
  <c r="BE275" i="1"/>
  <c r="BG92" i="1"/>
  <c r="BU97" i="1"/>
  <c r="BU282" i="1"/>
  <c r="BU91" i="1"/>
  <c r="BU293" i="1" s="1"/>
  <c r="BY92" i="1"/>
  <c r="BE93" i="1"/>
  <c r="BD91" i="1"/>
  <c r="BD293" i="1" s="1"/>
  <c r="BD282" i="1"/>
  <c r="BD97" i="1"/>
  <c r="BD92" i="1"/>
  <c r="AI89" i="1"/>
  <c r="AI90" i="1"/>
  <c r="BI90" i="1"/>
  <c r="BI89" i="1"/>
  <c r="AT93" i="1"/>
  <c r="AS97" i="1"/>
  <c r="AS282" i="1"/>
  <c r="AS92" i="1"/>
  <c r="AS91" i="1"/>
  <c r="AS293" i="1" s="1"/>
  <c r="BN90" i="1"/>
  <c r="BN89" i="1"/>
  <c r="BF90" i="1"/>
  <c r="BF89" i="1"/>
  <c r="BW89" i="1"/>
  <c r="BW90" i="1"/>
  <c r="AU90" i="1"/>
  <c r="AU89" i="1"/>
  <c r="BR89" i="1"/>
  <c r="BR90" i="1"/>
  <c r="BP89" i="1"/>
  <c r="BP90" i="1"/>
  <c r="AT115" i="1"/>
  <c r="AT101" i="1"/>
  <c r="AT241" i="1"/>
  <c r="AT243" i="1" s="1"/>
  <c r="BS89" i="1"/>
  <c r="BS90" i="1"/>
  <c r="BH89" i="1"/>
  <c r="BH90" i="1"/>
  <c r="BQ241" i="1"/>
  <c r="BQ243" i="1" s="1"/>
  <c r="BQ115" i="1"/>
  <c r="BQ168" i="1"/>
  <c r="BQ169" i="1" s="1"/>
  <c r="BQ101" i="1"/>
  <c r="BA89" i="1"/>
  <c r="BA90" i="1"/>
  <c r="BV89" i="1"/>
  <c r="BV90" i="1"/>
  <c r="AN90" i="1"/>
  <c r="AR92" i="1" s="1"/>
  <c r="AN89" i="1"/>
  <c r="AZ241" i="1"/>
  <c r="AZ243" i="1" s="1"/>
  <c r="AZ101" i="1"/>
  <c r="AZ115" i="1"/>
  <c r="AR282" i="1"/>
  <c r="AR91" i="1"/>
  <c r="AR293" i="1" s="1"/>
  <c r="AR97" i="1"/>
  <c r="AS93" i="1"/>
  <c r="AW92" i="1"/>
  <c r="AW282" i="1"/>
  <c r="AW97" i="1"/>
  <c r="AW91" i="1"/>
  <c r="AW293" i="1" s="1"/>
  <c r="AV92" i="1"/>
  <c r="AR93" i="1"/>
  <c r="AT275" i="1"/>
  <c r="AS275" i="1"/>
  <c r="AR275" i="1"/>
  <c r="AW93" i="1"/>
  <c r="AX93" i="1"/>
  <c r="AY97" i="1"/>
  <c r="AY91" i="1"/>
  <c r="AY293" i="1" s="1"/>
  <c r="AZ93" i="1"/>
  <c r="AY282" i="1"/>
  <c r="BC92" i="1"/>
  <c r="AY275" i="1"/>
  <c r="AZ275" i="1"/>
  <c r="AY93" i="1"/>
  <c r="BM118" i="1"/>
  <c r="BI138" i="1" s="1"/>
  <c r="BK141" i="1"/>
  <c r="BL255" i="1"/>
  <c r="BL253" i="1" s="1"/>
  <c r="BK255" i="1"/>
  <c r="BK253" i="1" s="1"/>
  <c r="BK178" i="1"/>
  <c r="BK104" i="1" s="1"/>
  <c r="BM103" i="1"/>
  <c r="BM255" i="1"/>
  <c r="BM253" i="1" s="1"/>
  <c r="BM178" i="1"/>
  <c r="BM104" i="1" s="1"/>
  <c r="BM141" i="1"/>
  <c r="BE141" i="1"/>
  <c r="BE178" i="1"/>
  <c r="BE104" i="1" s="1"/>
  <c r="BE255" i="1"/>
  <c r="BE253" i="1" s="1"/>
  <c r="BT241" i="1"/>
  <c r="BT243" i="1" s="1"/>
  <c r="BT101" i="1"/>
  <c r="BT115" i="1"/>
  <c r="AX101" i="1"/>
  <c r="AX115" i="1"/>
  <c r="AX241" i="1"/>
  <c r="AX243" i="1" s="1"/>
  <c r="BB115" i="1"/>
  <c r="BB101" i="1"/>
  <c r="BB241" i="1"/>
  <c r="BB243" i="1" s="1"/>
  <c r="AQ168" i="1"/>
  <c r="AQ169" i="1" s="1"/>
  <c r="AQ241" i="1"/>
  <c r="AQ243" i="1" s="1"/>
  <c r="AQ101" i="1"/>
  <c r="AQ115" i="1"/>
  <c r="BG101" i="1"/>
  <c r="BG115" i="1"/>
  <c r="BG168" i="1"/>
  <c r="BG169" i="1" s="1"/>
  <c r="BG241" i="1"/>
  <c r="BG243" i="1" s="1"/>
  <c r="CS187" i="1"/>
  <c r="CT81" i="1"/>
  <c r="AD173" i="1"/>
  <c r="W108" i="1"/>
  <c r="BO178" i="1" l="1"/>
  <c r="BO104" i="1" s="1"/>
  <c r="BO255" i="1"/>
  <c r="BO253" i="1" s="1"/>
  <c r="BO141" i="1"/>
  <c r="AV115" i="1"/>
  <c r="AV101" i="1"/>
  <c r="AP115" i="1"/>
  <c r="AP101" i="1"/>
  <c r="AP241" i="1"/>
  <c r="AP243" i="1" s="1"/>
  <c r="BC101" i="1"/>
  <c r="BC241" i="1"/>
  <c r="BC243" i="1" s="1"/>
  <c r="BC115" i="1"/>
  <c r="BE103" i="1"/>
  <c r="AO115" i="1"/>
  <c r="AO168" i="1"/>
  <c r="AO169" i="1" s="1"/>
  <c r="AO101" i="1"/>
  <c r="AO241" i="1"/>
  <c r="AO243" i="1" s="1"/>
  <c r="BU241" i="1"/>
  <c r="BU243" i="1" s="1"/>
  <c r="BU168" i="1"/>
  <c r="BU169" i="1" s="1"/>
  <c r="BU115" i="1"/>
  <c r="BU101" i="1"/>
  <c r="BD115" i="1"/>
  <c r="BD241" i="1"/>
  <c r="BD243" i="1" s="1"/>
  <c r="BD101" i="1"/>
  <c r="AL275" i="1"/>
  <c r="AI97" i="1"/>
  <c r="AM92" i="1"/>
  <c r="AJ93" i="1"/>
  <c r="AI282" i="1"/>
  <c r="AI91" i="1"/>
  <c r="AU275" i="1"/>
  <c r="AY92" i="1"/>
  <c r="AS241" i="1"/>
  <c r="AS243" i="1" s="1"/>
  <c r="AS115" i="1"/>
  <c r="AS101" i="1"/>
  <c r="AS168" i="1"/>
  <c r="AS169" i="1" s="1"/>
  <c r="AS103" i="1" s="1"/>
  <c r="BO93" i="1"/>
  <c r="BO275" i="1"/>
  <c r="BN282" i="1"/>
  <c r="BN91" i="1"/>
  <c r="BN293" i="1" s="1"/>
  <c r="BN275" i="1"/>
  <c r="BN93" i="1"/>
  <c r="BN97" i="1"/>
  <c r="BN92" i="1"/>
  <c r="BI92" i="1"/>
  <c r="BJ93" i="1"/>
  <c r="BI97" i="1"/>
  <c r="BL275" i="1"/>
  <c r="BI282" i="1"/>
  <c r="BM92" i="1"/>
  <c r="BI91" i="1"/>
  <c r="BI293" i="1" s="1"/>
  <c r="BQ93" i="1"/>
  <c r="BP92" i="1"/>
  <c r="BP93" i="1"/>
  <c r="BP97" i="1"/>
  <c r="BP282" i="1"/>
  <c r="BP91" i="1"/>
  <c r="BP293" i="1" s="1"/>
  <c r="BQ275" i="1"/>
  <c r="BR275" i="1"/>
  <c r="BT92" i="1"/>
  <c r="BS275" i="1"/>
  <c r="BP275" i="1"/>
  <c r="BR91" i="1"/>
  <c r="BR293" i="1" s="1"/>
  <c r="BR93" i="1"/>
  <c r="BR97" i="1"/>
  <c r="BS93" i="1"/>
  <c r="BR92" i="1"/>
  <c r="BR282" i="1"/>
  <c r="BT275" i="1"/>
  <c r="BV92" i="1"/>
  <c r="BA97" i="1"/>
  <c r="BC103" i="1" s="1"/>
  <c r="BA282" i="1"/>
  <c r="BA91" i="1"/>
  <c r="BA293" i="1" s="1"/>
  <c r="BE92" i="1"/>
  <c r="BD275" i="1"/>
  <c r="BC275" i="1"/>
  <c r="BA93" i="1"/>
  <c r="BB93" i="1"/>
  <c r="BQ255" i="1"/>
  <c r="BQ253" i="1" s="1"/>
  <c r="BQ141" i="1"/>
  <c r="BQ178" i="1"/>
  <c r="BQ104" i="1" s="1"/>
  <c r="BA92" i="1"/>
  <c r="AU282" i="1"/>
  <c r="AU91" i="1"/>
  <c r="AU293" i="1" s="1"/>
  <c r="AU97" i="1"/>
  <c r="AX103" i="1" s="1"/>
  <c r="AV93" i="1"/>
  <c r="AU93" i="1"/>
  <c r="AV275" i="1"/>
  <c r="AU92" i="1"/>
  <c r="BB275" i="1"/>
  <c r="AQ275" i="1"/>
  <c r="AN97" i="1"/>
  <c r="AQ103" i="1" s="1"/>
  <c r="AN93" i="1"/>
  <c r="AO93" i="1"/>
  <c r="AN275" i="1"/>
  <c r="AN91" i="1"/>
  <c r="AN293" i="1" s="1"/>
  <c r="AN92" i="1"/>
  <c r="AO275" i="1"/>
  <c r="AP275" i="1"/>
  <c r="AN282" i="1"/>
  <c r="AX275" i="1"/>
  <c r="BV282" i="1"/>
  <c r="BV91" i="1"/>
  <c r="BV293" i="1" s="1"/>
  <c r="BV97" i="1"/>
  <c r="BZ92" i="1"/>
  <c r="BV93" i="1"/>
  <c r="BW93" i="1"/>
  <c r="BW275" i="1"/>
  <c r="BY275" i="1"/>
  <c r="BX275" i="1"/>
  <c r="BA275" i="1"/>
  <c r="BH282" i="1"/>
  <c r="BH91" i="1"/>
  <c r="BH293" i="1" s="1"/>
  <c r="BH92" i="1"/>
  <c r="BH97" i="1"/>
  <c r="BH255" i="1" s="1"/>
  <c r="BH253" i="1" s="1"/>
  <c r="BL92" i="1"/>
  <c r="BH93" i="1"/>
  <c r="BK275" i="1"/>
  <c r="BJ275" i="1"/>
  <c r="BI93" i="1"/>
  <c r="BS91" i="1"/>
  <c r="BS293" i="1" s="1"/>
  <c r="BS97" i="1"/>
  <c r="BS92" i="1"/>
  <c r="BS282" i="1"/>
  <c r="BV275" i="1"/>
  <c r="BT93" i="1"/>
  <c r="BW92" i="1"/>
  <c r="BX93" i="1"/>
  <c r="BW97" i="1"/>
  <c r="CA92" i="1"/>
  <c r="X110" i="1"/>
  <c r="BW91" i="1"/>
  <c r="BW293" i="1" s="1"/>
  <c r="BZ275" i="1"/>
  <c r="BW282" i="1"/>
  <c r="AW275" i="1"/>
  <c r="BF282" i="1"/>
  <c r="BF91" i="1"/>
  <c r="BF293" i="1" s="1"/>
  <c r="BF97" i="1"/>
  <c r="BG103" i="1" s="1"/>
  <c r="BJ92" i="1"/>
  <c r="BF93" i="1"/>
  <c r="BG275" i="1"/>
  <c r="BH275" i="1"/>
  <c r="BF275" i="1"/>
  <c r="BI275" i="1"/>
  <c r="BF92" i="1"/>
  <c r="BG93" i="1"/>
  <c r="AR115" i="1"/>
  <c r="AR241" i="1"/>
  <c r="AR243" i="1" s="1"/>
  <c r="AR101" i="1"/>
  <c r="AW101" i="1"/>
  <c r="AW115" i="1"/>
  <c r="AW168" i="1"/>
  <c r="AW169" i="1" s="1"/>
  <c r="AW241" i="1"/>
  <c r="AW243" i="1" s="1"/>
  <c r="AR103" i="1"/>
  <c r="P110" i="1"/>
  <c r="AT103" i="1"/>
  <c r="AZ103" i="1"/>
  <c r="AY168" i="1"/>
  <c r="AY169" i="1" s="1"/>
  <c r="AY241" i="1"/>
  <c r="AY243" i="1" s="1"/>
  <c r="AY101" i="1"/>
  <c r="AY115" i="1"/>
  <c r="BM134" i="1"/>
  <c r="BM136" i="1"/>
  <c r="BM135" i="1"/>
  <c r="BK145" i="1"/>
  <c r="BK143" i="1"/>
  <c r="BK144" i="1"/>
  <c r="BM144" i="1"/>
  <c r="BM145" i="1"/>
  <c r="BM143" i="1"/>
  <c r="BE143" i="1"/>
  <c r="BE145" i="1"/>
  <c r="BE144" i="1"/>
  <c r="BC255" i="1"/>
  <c r="BC253" i="1" s="1"/>
  <c r="BC178" i="1"/>
  <c r="BC104" i="1" s="1"/>
  <c r="BC141" i="1"/>
  <c r="BD255" i="1"/>
  <c r="BD253" i="1" s="1"/>
  <c r="BO143" i="1"/>
  <c r="BO144" i="1"/>
  <c r="BO145" i="1"/>
  <c r="BG255" i="1"/>
  <c r="BG253" i="1" s="1"/>
  <c r="BG178" i="1"/>
  <c r="BG104" i="1" s="1"/>
  <c r="BG141" i="1"/>
  <c r="AQ178" i="1"/>
  <c r="AQ104" i="1" s="1"/>
  <c r="AQ255" i="1"/>
  <c r="AQ253" i="1" s="1"/>
  <c r="AQ141" i="1"/>
  <c r="AR255" i="1"/>
  <c r="AR253" i="1" s="1"/>
  <c r="AC81" i="1"/>
  <c r="CT242" i="1"/>
  <c r="CT181" i="1"/>
  <c r="CS251" i="1"/>
  <c r="CS249" i="1" s="1"/>
  <c r="W109" i="1"/>
  <c r="BE118" i="1" l="1"/>
  <c r="AP255" i="1"/>
  <c r="AP253" i="1" s="1"/>
  <c r="AO141" i="1"/>
  <c r="AO178" i="1"/>
  <c r="AO104" i="1" s="1"/>
  <c r="AO255" i="1"/>
  <c r="AO253" i="1" s="1"/>
  <c r="BU178" i="1"/>
  <c r="BU104" i="1" s="1"/>
  <c r="BU141" i="1"/>
  <c r="BU255" i="1"/>
  <c r="BU253" i="1" s="1"/>
  <c r="AL103" i="1"/>
  <c r="AI255" i="1"/>
  <c r="AI253" i="1" s="1"/>
  <c r="AI101" i="1"/>
  <c r="AI115" i="1"/>
  <c r="AL118" i="1" s="1"/>
  <c r="AI241" i="1"/>
  <c r="AI243" i="1" s="1"/>
  <c r="AI247" i="1" s="1"/>
  <c r="AI261" i="1" s="1"/>
  <c r="N110" i="1"/>
  <c r="AT255" i="1"/>
  <c r="AT253" i="1" s="1"/>
  <c r="AS255" i="1"/>
  <c r="AS253" i="1" s="1"/>
  <c r="AS141" i="1"/>
  <c r="AS178" i="1"/>
  <c r="AS104" i="1" s="1"/>
  <c r="BI101" i="1"/>
  <c r="BL103" i="1"/>
  <c r="BI241" i="1"/>
  <c r="BI243" i="1" s="1"/>
  <c r="BI168" i="1"/>
  <c r="BI169" i="1" s="1"/>
  <c r="BI103" i="1" s="1"/>
  <c r="BI115" i="1"/>
  <c r="BL118" i="1" s="1"/>
  <c r="BN101" i="1"/>
  <c r="BN241" i="1"/>
  <c r="BN243" i="1" s="1"/>
  <c r="BO103" i="1"/>
  <c r="BN115" i="1"/>
  <c r="U110" i="1"/>
  <c r="BN103" i="1"/>
  <c r="BN255" i="1"/>
  <c r="BN253" i="1" s="1"/>
  <c r="BS101" i="1"/>
  <c r="BS168" i="1"/>
  <c r="BS169" i="1" s="1"/>
  <c r="BS115" i="1"/>
  <c r="BS241" i="1"/>
  <c r="BS243" i="1" s="1"/>
  <c r="BV103" i="1"/>
  <c r="BW115" i="1"/>
  <c r="BZ118" i="1" s="1"/>
  <c r="BV138" i="1" s="1"/>
  <c r="BZ103" i="1"/>
  <c r="BW241" i="1"/>
  <c r="BW243" i="1" s="1"/>
  <c r="BW168" i="1"/>
  <c r="BW169" i="1" s="1"/>
  <c r="BW101" i="1"/>
  <c r="BA168" i="1"/>
  <c r="BA169" i="1" s="1"/>
  <c r="BA241" i="1"/>
  <c r="BA243" i="1" s="1"/>
  <c r="BA115" i="1"/>
  <c r="BA118" i="1" s="1"/>
  <c r="BA101" i="1"/>
  <c r="BB103" i="1"/>
  <c r="R110" i="1"/>
  <c r="BD103" i="1"/>
  <c r="AW103" i="1"/>
  <c r="BF241" i="1"/>
  <c r="BF243" i="1" s="1"/>
  <c r="BF101" i="1"/>
  <c r="BF115" i="1"/>
  <c r="BH103" i="1"/>
  <c r="BF103" i="1"/>
  <c r="BF255" i="1"/>
  <c r="BF253" i="1" s="1"/>
  <c r="S110" i="1"/>
  <c r="AP103" i="1"/>
  <c r="AN115" i="1"/>
  <c r="AN101" i="1"/>
  <c r="O110" i="1"/>
  <c r="AN241" i="1"/>
  <c r="AN243" i="1" s="1"/>
  <c r="AN103" i="1"/>
  <c r="AO103" i="1"/>
  <c r="AN255" i="1"/>
  <c r="AN253" i="1" s="1"/>
  <c r="BH101" i="1"/>
  <c r="BH115" i="1"/>
  <c r="BH241" i="1"/>
  <c r="BH243" i="1" s="1"/>
  <c r="BJ103" i="1"/>
  <c r="BK103" i="1"/>
  <c r="T110" i="1"/>
  <c r="BP101" i="1"/>
  <c r="BP241" i="1"/>
  <c r="BP243" i="1" s="1"/>
  <c r="BP115" i="1"/>
  <c r="BR103" i="1"/>
  <c r="V110" i="1"/>
  <c r="BP103" i="1"/>
  <c r="BP255" i="1"/>
  <c r="BP253" i="1" s="1"/>
  <c r="AU168" i="1"/>
  <c r="AU169" i="1" s="1"/>
  <c r="AU115" i="1"/>
  <c r="AW118" i="1" s="1"/>
  <c r="AU101" i="1"/>
  <c r="AU241" i="1"/>
  <c r="AU243" i="1" s="1"/>
  <c r="AV103" i="1"/>
  <c r="BQ144" i="1"/>
  <c r="BQ145" i="1"/>
  <c r="BQ143" i="1"/>
  <c r="Q110" i="1"/>
  <c r="BR255" i="1"/>
  <c r="BR253" i="1" s="1"/>
  <c r="BU103" i="1"/>
  <c r="BT103" i="1"/>
  <c r="BR115" i="1"/>
  <c r="BR241" i="1"/>
  <c r="BR243" i="1" s="1"/>
  <c r="BR101" i="1"/>
  <c r="BV241" i="1"/>
  <c r="BV243" i="1" s="1"/>
  <c r="BV115" i="1"/>
  <c r="BV101" i="1"/>
  <c r="BY103" i="1"/>
  <c r="BX103" i="1"/>
  <c r="BV255" i="1"/>
  <c r="BV253" i="1" s="1"/>
  <c r="BQ103" i="1"/>
  <c r="AX255" i="1"/>
  <c r="AX253" i="1" s="1"/>
  <c r="AW141" i="1"/>
  <c r="AW255" i="1"/>
  <c r="AW253" i="1" s="1"/>
  <c r="AW178" i="1"/>
  <c r="AW104" i="1" s="1"/>
  <c r="AT118" i="1"/>
  <c r="AR118" i="1"/>
  <c r="AS118" i="1"/>
  <c r="AZ118" i="1"/>
  <c r="AY118" i="1"/>
  <c r="AY135" i="1" s="1"/>
  <c r="AY103" i="1"/>
  <c r="AZ255" i="1"/>
  <c r="AZ253" i="1" s="1"/>
  <c r="AY178" i="1"/>
  <c r="AY104" i="1" s="1"/>
  <c r="AY255" i="1"/>
  <c r="AY253" i="1" s="1"/>
  <c r="AY141" i="1"/>
  <c r="BE135" i="1"/>
  <c r="BA138" i="1"/>
  <c r="BC144" i="1"/>
  <c r="BC143" i="1"/>
  <c r="BC145" i="1"/>
  <c r="BE136" i="1"/>
  <c r="BE134" i="1"/>
  <c r="BG143" i="1"/>
  <c r="BG145" i="1"/>
  <c r="BG144" i="1"/>
  <c r="AQ144" i="1"/>
  <c r="AQ145" i="1"/>
  <c r="AQ143" i="1"/>
  <c r="AC242" i="1"/>
  <c r="AC181" i="1"/>
  <c r="AC183" i="1" s="1"/>
  <c r="AC82" i="1" s="1"/>
  <c r="CT183" i="1"/>
  <c r="AD174" i="1"/>
  <c r="AD177" i="1" s="1"/>
  <c r="AD297" i="1" s="1"/>
  <c r="AR158" i="1"/>
  <c r="W110" i="1"/>
  <c r="AO143" i="1" l="1"/>
  <c r="AO144" i="1"/>
  <c r="AO145" i="1"/>
  <c r="BV118" i="1"/>
  <c r="BZ119" i="1" s="1"/>
  <c r="BH138" i="1"/>
  <c r="BL134" i="1"/>
  <c r="BL136" i="1"/>
  <c r="AR136" i="1"/>
  <c r="AR135" i="1"/>
  <c r="AR134" i="1"/>
  <c r="BU144" i="1"/>
  <c r="BU143" i="1"/>
  <c r="BU145" i="1"/>
  <c r="AL136" i="1"/>
  <c r="AL135" i="1"/>
  <c r="AL134" i="1"/>
  <c r="AI258" i="1"/>
  <c r="AI259" i="1" s="1"/>
  <c r="AW138" i="1"/>
  <c r="BA136" i="1"/>
  <c r="BA134" i="1"/>
  <c r="BE119" i="1"/>
  <c r="BA135" i="1"/>
  <c r="BY118" i="1"/>
  <c r="BW118" i="1"/>
  <c r="BX118" i="1"/>
  <c r="BI178" i="1"/>
  <c r="BI104" i="1" s="1"/>
  <c r="BI255" i="1"/>
  <c r="BI253" i="1" s="1"/>
  <c r="BI141" i="1"/>
  <c r="BJ255" i="1"/>
  <c r="BJ253" i="1" s="1"/>
  <c r="BS118" i="1"/>
  <c r="BR118" i="1"/>
  <c r="AU118" i="1"/>
  <c r="CD119" i="1"/>
  <c r="BK118" i="1"/>
  <c r="BK136" i="1" s="1"/>
  <c r="BJ118" i="1"/>
  <c r="BZ134" i="1"/>
  <c r="BI118" i="1"/>
  <c r="BI135" i="1" s="1"/>
  <c r="BF118" i="1"/>
  <c r="BG118" i="1"/>
  <c r="BH118" i="1"/>
  <c r="BO118" i="1"/>
  <c r="BQ118" i="1"/>
  <c r="BN118" i="1"/>
  <c r="BP118" i="1"/>
  <c r="AS145" i="1"/>
  <c r="AS143" i="1"/>
  <c r="AS144" i="1"/>
  <c r="AQ118" i="1"/>
  <c r="AN118" i="1"/>
  <c r="AP118" i="1"/>
  <c r="AO118" i="1"/>
  <c r="AS119" i="1" s="1"/>
  <c r="BZ136" i="1"/>
  <c r="BD118" i="1"/>
  <c r="BC118" i="1"/>
  <c r="BC119" i="1" s="1"/>
  <c r="BU118" i="1"/>
  <c r="BT118" i="1"/>
  <c r="AX118" i="1"/>
  <c r="AV118" i="1"/>
  <c r="AZ119" i="1" s="1"/>
  <c r="BZ135" i="1"/>
  <c r="CC139" i="1" s="1"/>
  <c r="BL135" i="1"/>
  <c r="BB118" i="1"/>
  <c r="BB134" i="1" s="1"/>
  <c r="BA178" i="1"/>
  <c r="BA104" i="1" s="1"/>
  <c r="BA255" i="1"/>
  <c r="BA253" i="1" s="1"/>
  <c r="BA141" i="1"/>
  <c r="BB255" i="1"/>
  <c r="BB253" i="1" s="1"/>
  <c r="BA103" i="1"/>
  <c r="AU138" i="1"/>
  <c r="AU141" i="1"/>
  <c r="AU255" i="1"/>
  <c r="AU253" i="1" s="1"/>
  <c r="AV255" i="1"/>
  <c r="AV253" i="1" s="1"/>
  <c r="AU178" i="1"/>
  <c r="AU104" i="1" s="1"/>
  <c r="AU103" i="1"/>
  <c r="BS178" i="1"/>
  <c r="BS104" i="1" s="1"/>
  <c r="BT255" i="1"/>
  <c r="BT253" i="1" s="1"/>
  <c r="BS141" i="1"/>
  <c r="BS103" i="1"/>
  <c r="BS255" i="1"/>
  <c r="BS253" i="1" s="1"/>
  <c r="BW103" i="1"/>
  <c r="BW255" i="1"/>
  <c r="BW253" i="1" s="1"/>
  <c r="BX255" i="1"/>
  <c r="BX253" i="1" s="1"/>
  <c r="BW141" i="1"/>
  <c r="BW178" i="1"/>
  <c r="BW104" i="1" s="1"/>
  <c r="AW144" i="1"/>
  <c r="AW145" i="1"/>
  <c r="AW143" i="1"/>
  <c r="AP138" i="1"/>
  <c r="AT135" i="1"/>
  <c r="AT136" i="1"/>
  <c r="AT134" i="1"/>
  <c r="AN138" i="1"/>
  <c r="AO138" i="1"/>
  <c r="AS135" i="1"/>
  <c r="AS136" i="1"/>
  <c r="AS134" i="1"/>
  <c r="AW119" i="1"/>
  <c r="AV138" i="1"/>
  <c r="AZ136" i="1"/>
  <c r="AZ134" i="1"/>
  <c r="AZ135" i="1"/>
  <c r="AY136" i="1"/>
  <c r="AY134" i="1"/>
  <c r="AS138" i="1"/>
  <c r="AW134" i="1"/>
  <c r="AW135" i="1"/>
  <c r="AW136" i="1"/>
  <c r="BA119" i="1"/>
  <c r="AY144" i="1"/>
  <c r="AY145" i="1"/>
  <c r="AY143" i="1"/>
  <c r="CU81" i="1"/>
  <c r="CT187" i="1"/>
  <c r="AD254" i="1"/>
  <c r="AB187" i="1"/>
  <c r="AR159" i="1"/>
  <c r="AR162" i="1" s="1"/>
  <c r="AR160" i="1"/>
  <c r="AR163" i="1" s="1"/>
  <c r="CA275" i="1"/>
  <c r="CB275" i="1"/>
  <c r="W241" i="1"/>
  <c r="W243" i="1" s="1"/>
  <c r="BU275" i="1"/>
  <c r="AX119" i="1" l="1"/>
  <c r="BV135" i="1"/>
  <c r="BV136" i="1"/>
  <c r="BO119" i="1"/>
  <c r="BV134" i="1"/>
  <c r="BR138" i="1"/>
  <c r="BU134" i="1"/>
  <c r="BQ138" i="1"/>
  <c r="BU135" i="1"/>
  <c r="BU136" i="1"/>
  <c r="AU134" i="1"/>
  <c r="AU135" i="1"/>
  <c r="AU139" i="1" s="1"/>
  <c r="AU136" i="1"/>
  <c r="AQ138" i="1"/>
  <c r="AY119" i="1"/>
  <c r="BB119" i="1"/>
  <c r="AT138" i="1"/>
  <c r="AX134" i="1"/>
  <c r="AX136" i="1"/>
  <c r="AX135" i="1"/>
  <c r="AX138" i="1"/>
  <c r="BB136" i="1"/>
  <c r="BF119" i="1"/>
  <c r="BD138" i="1"/>
  <c r="BH136" i="1"/>
  <c r="BL119" i="1"/>
  <c r="BH134" i="1"/>
  <c r="BH135" i="1"/>
  <c r="BI144" i="1"/>
  <c r="BI145" i="1"/>
  <c r="BI143" i="1"/>
  <c r="AO136" i="1"/>
  <c r="AO135" i="1"/>
  <c r="AO134" i="1"/>
  <c r="BC138" i="1"/>
  <c r="BG136" i="1"/>
  <c r="BG134" i="1"/>
  <c r="BG135" i="1"/>
  <c r="BK119" i="1"/>
  <c r="AZ138" i="1"/>
  <c r="BH119" i="1"/>
  <c r="BD135" i="1"/>
  <c r="BD134" i="1"/>
  <c r="BD136" i="1"/>
  <c r="AN135" i="1"/>
  <c r="AN134" i="1"/>
  <c r="AN136" i="1"/>
  <c r="BE138" i="1"/>
  <c r="BM119" i="1"/>
  <c r="BI119" i="1"/>
  <c r="BI136" i="1"/>
  <c r="BT138" i="1"/>
  <c r="BX136" i="1"/>
  <c r="BX134" i="1"/>
  <c r="BX135" i="1"/>
  <c r="CB119" i="1"/>
  <c r="BF138" i="1"/>
  <c r="BJ134" i="1"/>
  <c r="BN119" i="1"/>
  <c r="BJ136" i="1"/>
  <c r="BJ135" i="1"/>
  <c r="BU138" i="1"/>
  <c r="BY135" i="1"/>
  <c r="CB139" i="1" s="1"/>
  <c r="CC119" i="1"/>
  <c r="BY136" i="1"/>
  <c r="BB138" i="1"/>
  <c r="BF136" i="1"/>
  <c r="BF134" i="1"/>
  <c r="BF135" i="1"/>
  <c r="BJ119" i="1"/>
  <c r="AM138" i="1"/>
  <c r="AQ135" i="1"/>
  <c r="AT139" i="1" s="1"/>
  <c r="AU119" i="1"/>
  <c r="AQ136" i="1"/>
  <c r="AQ134" i="1"/>
  <c r="AQ119" i="1"/>
  <c r="AR119" i="1"/>
  <c r="BB135" i="1"/>
  <c r="AR138" i="1"/>
  <c r="AV135" i="1"/>
  <c r="AV134" i="1"/>
  <c r="AV136" i="1"/>
  <c r="AV119" i="1"/>
  <c r="BG138" i="1"/>
  <c r="BK135" i="1"/>
  <c r="BK134" i="1"/>
  <c r="BS138" i="1"/>
  <c r="BW135" i="1"/>
  <c r="CA119" i="1"/>
  <c r="BW136" i="1"/>
  <c r="BW134" i="1"/>
  <c r="BP138" i="1"/>
  <c r="BT134" i="1"/>
  <c r="BT136" i="1"/>
  <c r="BX119" i="1"/>
  <c r="BT135" i="1"/>
  <c r="BL138" i="1"/>
  <c r="BP135" i="1"/>
  <c r="BT119" i="1"/>
  <c r="BP136" i="1"/>
  <c r="BP119" i="1"/>
  <c r="BP134" i="1"/>
  <c r="BD119" i="1"/>
  <c r="BI134" i="1"/>
  <c r="BY119" i="1"/>
  <c r="BJ138" i="1"/>
  <c r="BN136" i="1"/>
  <c r="BN135" i="1"/>
  <c r="BR119" i="1"/>
  <c r="BN134" i="1"/>
  <c r="BR134" i="1"/>
  <c r="BV119" i="1"/>
  <c r="BR136" i="1"/>
  <c r="BR135" i="1"/>
  <c r="BN138" i="1"/>
  <c r="BK138" i="1"/>
  <c r="BS119" i="1"/>
  <c r="BO135" i="1"/>
  <c r="BO134" i="1"/>
  <c r="BO136" i="1"/>
  <c r="AL138" i="1"/>
  <c r="AP119" i="1"/>
  <c r="AP135" i="1"/>
  <c r="AP134" i="1"/>
  <c r="AT119" i="1"/>
  <c r="AP136" i="1"/>
  <c r="BY134" i="1"/>
  <c r="AY138" i="1"/>
  <c r="BC136" i="1"/>
  <c r="BG119" i="1"/>
  <c r="BC135" i="1"/>
  <c r="BC134" i="1"/>
  <c r="BM138" i="1"/>
  <c r="BQ135" i="1"/>
  <c r="BQ119" i="1"/>
  <c r="BQ134" i="1"/>
  <c r="BU119" i="1"/>
  <c r="BQ136" i="1"/>
  <c r="BO138" i="1"/>
  <c r="BS136" i="1"/>
  <c r="BW119" i="1"/>
  <c r="BS135" i="1"/>
  <c r="BS134" i="1"/>
  <c r="BA144" i="1"/>
  <c r="BA143" i="1"/>
  <c r="BA145" i="1"/>
  <c r="BW144" i="1"/>
  <c r="BW143" i="1"/>
  <c r="BW145" i="1"/>
  <c r="BS144" i="1"/>
  <c r="BS143" i="1"/>
  <c r="BS145" i="1"/>
  <c r="AU143" i="1"/>
  <c r="AU145" i="1"/>
  <c r="AU144" i="1"/>
  <c r="CT251" i="1"/>
  <c r="CT249" i="1" s="1"/>
  <c r="CU242" i="1"/>
  <c r="CU181" i="1"/>
  <c r="AB251" i="1"/>
  <c r="AB249" i="1" s="1"/>
  <c r="AE173" i="1"/>
  <c r="BC139" i="1" l="1"/>
  <c r="AW139" i="1"/>
  <c r="BL139" i="1"/>
  <c r="BG139" i="1"/>
  <c r="BH139" i="1"/>
  <c r="BW139" i="1"/>
  <c r="AS139" i="1"/>
  <c r="BA139" i="1"/>
  <c r="AZ139" i="1"/>
  <c r="AP139" i="1"/>
  <c r="AO139" i="1"/>
  <c r="CA139" i="1"/>
  <c r="BX139" i="1"/>
  <c r="BN139" i="1"/>
  <c r="BR139" i="1"/>
  <c r="BQ139" i="1"/>
  <c r="BP139" i="1"/>
  <c r="AQ139" i="1"/>
  <c r="BJ139" i="1"/>
  <c r="AR139" i="1"/>
  <c r="BT139" i="1"/>
  <c r="BE139" i="1"/>
  <c r="BD139" i="1"/>
  <c r="BB139" i="1"/>
  <c r="BY139" i="1"/>
  <c r="BI139" i="1"/>
  <c r="BO139" i="1"/>
  <c r="AY139" i="1"/>
  <c r="AX139" i="1"/>
  <c r="AV139" i="1"/>
  <c r="BZ139" i="1"/>
  <c r="BF139" i="1"/>
  <c r="BM139" i="1"/>
  <c r="BU139" i="1"/>
  <c r="BS139" i="1"/>
  <c r="BV139" i="1"/>
  <c r="BK139" i="1"/>
  <c r="CU183" i="1"/>
  <c r="CU187" i="1" l="1"/>
  <c r="CV81" i="1"/>
  <c r="AE174" i="1"/>
  <c r="AE177" i="1" s="1"/>
  <c r="AE297" i="1" s="1"/>
  <c r="CV242" i="1" l="1"/>
  <c r="CV181" i="1"/>
  <c r="CU251" i="1"/>
  <c r="CU249" i="1" s="1"/>
  <c r="AE254" i="1"/>
  <c r="AC187" i="1"/>
  <c r="W169" i="1"/>
  <c r="CV183" i="1" l="1"/>
  <c r="W103" i="1"/>
  <c r="AC251" i="1"/>
  <c r="AC249" i="1" s="1"/>
  <c r="X255" i="1"/>
  <c r="X253" i="1" s="1"/>
  <c r="W255" i="1"/>
  <c r="W253" i="1" s="1"/>
  <c r="W178" i="1"/>
  <c r="W104" i="1" s="1"/>
  <c r="W223" i="1"/>
  <c r="CW81" i="1" l="1"/>
  <c r="CV187" i="1"/>
  <c r="CV251" i="1" l="1"/>
  <c r="CV249" i="1" s="1"/>
  <c r="CW242" i="1"/>
  <c r="CW181" i="1"/>
  <c r="CW183" i="1" l="1"/>
  <c r="CW187" i="1" l="1"/>
  <c r="CX81" i="1"/>
  <c r="AD81" i="1" l="1"/>
  <c r="CX242" i="1"/>
  <c r="CX181" i="1"/>
  <c r="CW251" i="1"/>
  <c r="CW249" i="1" s="1"/>
  <c r="AD242" i="1" l="1"/>
  <c r="AD181" i="1"/>
  <c r="AD183" i="1" s="1"/>
  <c r="CX183" i="1"/>
  <c r="AD187" i="1" l="1"/>
  <c r="AD251" i="1" s="1"/>
  <c r="AD249" i="1" s="1"/>
  <c r="AD82" i="1"/>
  <c r="CX187" i="1"/>
  <c r="CY81" i="1"/>
  <c r="CY242" i="1" l="1"/>
  <c r="CY181" i="1"/>
  <c r="CX251" i="1"/>
  <c r="CX249" i="1" s="1"/>
  <c r="CY183" i="1" l="1"/>
  <c r="W228" i="1"/>
  <c r="CY187" i="1" l="1"/>
  <c r="CZ81" i="1"/>
  <c r="W231" i="1"/>
  <c r="W204" i="1"/>
  <c r="X245" i="1" s="1"/>
  <c r="CZ242" i="1" l="1"/>
  <c r="CZ181" i="1"/>
  <c r="CY251" i="1"/>
  <c r="CY249" i="1" s="1"/>
  <c r="W233" i="1"/>
  <c r="W232" i="1" s="1"/>
  <c r="W245" i="1"/>
  <c r="W196" i="1"/>
  <c r="X244" i="1" s="1"/>
  <c r="X246" i="1" s="1"/>
  <c r="X247" i="1" s="1"/>
  <c r="X261" i="1" s="1"/>
  <c r="W227" i="1"/>
  <c r="CZ183" i="1" l="1"/>
  <c r="W230" i="1"/>
  <c r="W205" i="1"/>
  <c r="W244" i="1"/>
  <c r="W246" i="1" s="1"/>
  <c r="W247" i="1" s="1"/>
  <c r="CZ187" i="1" l="1"/>
  <c r="CZ251" i="1" s="1"/>
  <c r="CZ249" i="1" s="1"/>
  <c r="DA81" i="1"/>
  <c r="W229" i="1"/>
  <c r="W234" i="1"/>
  <c r="W258" i="1"/>
  <c r="W261" i="1"/>
  <c r="DA242" i="1" l="1"/>
  <c r="DA181" i="1"/>
  <c r="W237" i="1"/>
  <c r="W238" i="1" s="1"/>
  <c r="X237" i="1"/>
  <c r="X238" i="1" s="1"/>
  <c r="DA183" i="1" l="1"/>
  <c r="W209" i="1"/>
  <c r="X257" i="1" l="1"/>
  <c r="X258" i="1" s="1"/>
  <c r="X259" i="1" s="1"/>
  <c r="W294" i="1"/>
  <c r="W296" i="1"/>
  <c r="W292" i="1"/>
  <c r="DA187" i="1"/>
  <c r="DA251" i="1" s="1"/>
  <c r="DA249" i="1" s="1"/>
  <c r="DB81" i="1"/>
  <c r="W216" i="1"/>
  <c r="W158" i="1" s="1"/>
  <c r="W213" i="1"/>
  <c r="W259" i="1"/>
  <c r="AE81" i="1" l="1"/>
  <c r="AE242" i="1" s="1"/>
  <c r="DB242" i="1"/>
  <c r="DB181" i="1"/>
  <c r="W214" i="1"/>
  <c r="DB183" i="1" l="1"/>
  <c r="DB187" i="1" s="1"/>
  <c r="DB251" i="1" s="1"/>
  <c r="DB249" i="1" s="1"/>
  <c r="AE181" i="1"/>
  <c r="AE183" i="1" s="1"/>
  <c r="C112" i="2"/>
  <c r="C113" i="2"/>
  <c r="C111" i="2"/>
  <c r="AE187" i="1" l="1"/>
  <c r="AE251" i="1" s="1"/>
  <c r="AE249" i="1" s="1"/>
  <c r="AE82" i="1"/>
  <c r="B122" i="1"/>
  <c r="B123" i="1"/>
  <c r="AK227" i="1" l="1"/>
  <c r="AK192" i="1" s="1"/>
  <c r="AM192" i="1" l="1"/>
  <c r="AO192" i="1" l="1"/>
  <c r="AQ192" i="1" l="1"/>
  <c r="AS192" i="1" l="1"/>
  <c r="AU192" i="1" l="1"/>
  <c r="AW192" i="1" l="1"/>
  <c r="AY192" i="1" l="1"/>
  <c r="BA192" i="1" l="1"/>
  <c r="BC192" i="1" l="1"/>
  <c r="BE192" i="1" l="1"/>
  <c r="BG192" i="1" l="1"/>
  <c r="BI192" i="1" l="1"/>
  <c r="BK192" i="1" l="1"/>
  <c r="BM192" i="1" l="1"/>
  <c r="BO192" i="1" l="1"/>
  <c r="BQ192" i="1" l="1"/>
  <c r="BS192" i="1" l="1"/>
  <c r="BU192" i="1" l="1"/>
  <c r="BW192" i="1" l="1"/>
  <c r="BY192" i="1" l="1"/>
  <c r="AK193" i="1" l="1"/>
  <c r="AK196" i="1" s="1"/>
  <c r="AL244" i="1" l="1"/>
  <c r="AK244" i="1"/>
  <c r="AK230" i="1"/>
  <c r="AM193" i="1"/>
  <c r="AM196" i="1" s="1"/>
  <c r="AM230" i="1" l="1"/>
  <c r="AM229" i="1" s="1"/>
  <c r="AN244" i="1"/>
  <c r="AM244" i="1"/>
  <c r="AJ229" i="1"/>
  <c r="AK229" i="1"/>
  <c r="AO193" i="1" l="1"/>
  <c r="AO196" i="1" s="1"/>
  <c r="AP244" i="1" l="1"/>
  <c r="AO230" i="1"/>
  <c r="AO229" i="1" s="1"/>
  <c r="AO244" i="1"/>
  <c r="AQ193" i="1" l="1"/>
  <c r="AQ196" i="1" s="1"/>
  <c r="AQ230" i="1" l="1"/>
  <c r="AQ229" i="1" s="1"/>
  <c r="AR244" i="1"/>
  <c r="AQ244" i="1"/>
  <c r="AS193" i="1" l="1"/>
  <c r="AS196" i="1" s="1"/>
  <c r="AT244" i="1" l="1"/>
  <c r="AS230" i="1"/>
  <c r="AS229" i="1" s="1"/>
  <c r="AS244" i="1"/>
  <c r="AU193" i="1" l="1"/>
  <c r="AU196" i="1" s="1"/>
  <c r="AU230" i="1" l="1"/>
  <c r="AU229" i="1" s="1"/>
  <c r="AV244" i="1"/>
  <c r="AU244" i="1"/>
  <c r="AW193" i="1" l="1"/>
  <c r="AW196" i="1" s="1"/>
  <c r="AW230" i="1" l="1"/>
  <c r="AW229" i="1" s="1"/>
  <c r="AX244" i="1"/>
  <c r="AW244" i="1"/>
  <c r="AY193" i="1" l="1"/>
  <c r="AY196" i="1" s="1"/>
  <c r="AY230" i="1" l="1"/>
  <c r="AY229" i="1" s="1"/>
  <c r="AZ244" i="1"/>
  <c r="AY244" i="1"/>
  <c r="BA193" i="1" l="1"/>
  <c r="BA196" i="1" s="1"/>
  <c r="BB244" i="1" l="1"/>
  <c r="BA230" i="1"/>
  <c r="BA229" i="1" s="1"/>
  <c r="BA244" i="1"/>
  <c r="BC193" i="1" l="1"/>
  <c r="BC196" i="1" s="1"/>
  <c r="BD244" i="1" l="1"/>
  <c r="BC230" i="1"/>
  <c r="BC229" i="1" s="1"/>
  <c r="BC244" i="1"/>
  <c r="BE193" i="1" l="1"/>
  <c r="BE196" i="1" s="1"/>
  <c r="BF244" i="1" l="1"/>
  <c r="BE230" i="1"/>
  <c r="BE229" i="1" s="1"/>
  <c r="BE244" i="1"/>
  <c r="BG193" i="1" l="1"/>
  <c r="BG196" i="1" s="1"/>
  <c r="BG230" i="1" l="1"/>
  <c r="BG229" i="1" s="1"/>
  <c r="BH244" i="1"/>
  <c r="BG244" i="1"/>
  <c r="BI193" i="1" l="1"/>
  <c r="BI196" i="1" s="1"/>
  <c r="BJ244" i="1" l="1"/>
  <c r="BI230" i="1"/>
  <c r="BI229" i="1" s="1"/>
  <c r="BI244" i="1"/>
  <c r="BK193" i="1" l="1"/>
  <c r="BK196" i="1" s="1"/>
  <c r="BL244" i="1" l="1"/>
  <c r="BK230" i="1"/>
  <c r="BK229" i="1" s="1"/>
  <c r="BK244" i="1"/>
  <c r="BM193" i="1" l="1"/>
  <c r="BM196" i="1" s="1"/>
  <c r="BM230" i="1" l="1"/>
  <c r="BM229" i="1" s="1"/>
  <c r="BN244" i="1"/>
  <c r="BM244" i="1"/>
  <c r="BO193" i="1" l="1"/>
  <c r="BO196" i="1" s="1"/>
  <c r="BO230" i="1" l="1"/>
  <c r="BO229" i="1" s="1"/>
  <c r="BP244" i="1"/>
  <c r="BO244" i="1"/>
  <c r="BQ193" i="1" l="1"/>
  <c r="BQ196" i="1" s="1"/>
  <c r="BR244" i="1" l="1"/>
  <c r="BQ230" i="1"/>
  <c r="BQ229" i="1" s="1"/>
  <c r="BQ244" i="1"/>
  <c r="BS193" i="1" l="1"/>
  <c r="BS196" i="1" s="1"/>
  <c r="BT244" i="1" l="1"/>
  <c r="BS230" i="1"/>
  <c r="BS229" i="1" s="1"/>
  <c r="BS244" i="1"/>
  <c r="BU193" i="1" l="1"/>
  <c r="BU196" i="1" s="1"/>
  <c r="BU230" i="1" l="1"/>
  <c r="BU229" i="1" s="1"/>
  <c r="BV244" i="1"/>
  <c r="BU244" i="1"/>
  <c r="BW193" i="1" l="1"/>
  <c r="BW196" i="1" s="1"/>
  <c r="BW230" i="1" l="1"/>
  <c r="BW229" i="1" s="1"/>
  <c r="BX244" i="1"/>
  <c r="BW244" i="1"/>
  <c r="BY193" i="1" l="1"/>
  <c r="BY196" i="1" s="1"/>
  <c r="BZ244" i="1" l="1"/>
  <c r="BY230" i="1"/>
  <c r="BY229" i="1" s="1"/>
  <c r="BY244" i="1"/>
  <c r="AK231" i="1" l="1"/>
  <c r="AK201" i="1" s="1"/>
  <c r="AK204" i="1" s="1"/>
  <c r="AK205" i="1" l="1"/>
  <c r="AK233" i="1"/>
  <c r="AL245" i="1"/>
  <c r="AL246" i="1" s="1"/>
  <c r="AL247" i="1" s="1"/>
  <c r="AL261" i="1" s="1"/>
  <c r="AK245" i="1"/>
  <c r="AK246" i="1" s="1"/>
  <c r="AK247" i="1" s="1"/>
  <c r="AM201" i="1"/>
  <c r="AM204" i="1" s="1"/>
  <c r="AK261" i="1" l="1"/>
  <c r="AK258" i="1"/>
  <c r="AK208" i="1" s="1"/>
  <c r="AK209" i="1" s="1"/>
  <c r="AK213" i="1" s="1"/>
  <c r="AK214" i="1" s="1"/>
  <c r="AN245" i="1"/>
  <c r="AN246" i="1" s="1"/>
  <c r="AN247" i="1" s="1"/>
  <c r="AN261" i="1" s="1"/>
  <c r="AM233" i="1"/>
  <c r="AM232" i="1" s="1"/>
  <c r="AM245" i="1"/>
  <c r="AM246" i="1" s="1"/>
  <c r="AM247" i="1" s="1"/>
  <c r="AM205" i="1"/>
  <c r="AJ232" i="1"/>
  <c r="AJ234" i="1"/>
  <c r="AN237" i="1" s="1"/>
  <c r="AK232" i="1"/>
  <c r="AK234" i="1"/>
  <c r="AO201" i="1"/>
  <c r="AO204" i="1" s="1"/>
  <c r="AM234" i="1" l="1"/>
  <c r="AO233" i="1"/>
  <c r="AO232" i="1" s="1"/>
  <c r="AP245" i="1"/>
  <c r="AP246" i="1" s="1"/>
  <c r="AP247" i="1" s="1"/>
  <c r="AP261" i="1" s="1"/>
  <c r="AO245" i="1"/>
  <c r="AO246" i="1" s="1"/>
  <c r="AO247" i="1" s="1"/>
  <c r="AM261" i="1"/>
  <c r="AM258" i="1"/>
  <c r="AO205" i="1"/>
  <c r="AL257" i="1" l="1"/>
  <c r="AL258" i="1" s="1"/>
  <c r="AL259" i="1" s="1"/>
  <c r="AK259" i="1"/>
  <c r="AO234" i="1"/>
  <c r="AO237" i="1" s="1"/>
  <c r="AO261" i="1"/>
  <c r="AO258" i="1"/>
  <c r="AQ201" i="1"/>
  <c r="AQ204" i="1" s="1"/>
  <c r="AK216" i="1"/>
  <c r="AL86" i="1" s="1"/>
  <c r="AM208" i="1"/>
  <c r="AM209" i="1" s="1"/>
  <c r="AM213" i="1" s="1"/>
  <c r="AN257" i="1" l="1"/>
  <c r="AN258" i="1" s="1"/>
  <c r="AN259" i="1" s="1"/>
  <c r="AM296" i="1"/>
  <c r="AM294" i="1"/>
  <c r="AM292" i="1"/>
  <c r="AQ233" i="1"/>
  <c r="AQ232" i="1" s="1"/>
  <c r="AR245" i="1"/>
  <c r="AR246" i="1" s="1"/>
  <c r="AR247" i="1" s="1"/>
  <c r="AR261" i="1" s="1"/>
  <c r="AQ245" i="1"/>
  <c r="AQ246" i="1" s="1"/>
  <c r="AQ247" i="1" s="1"/>
  <c r="AM259" i="1"/>
  <c r="AQ205" i="1"/>
  <c r="AO208" i="1"/>
  <c r="AO209" i="1" s="1"/>
  <c r="AM216" i="1"/>
  <c r="AO294" i="1" l="1"/>
  <c r="AO296" i="1"/>
  <c r="AO292" i="1"/>
  <c r="AM158" i="1"/>
  <c r="AM159" i="1" s="1"/>
  <c r="AM162" i="1" s="1"/>
  <c r="AN86" i="1"/>
  <c r="AQ234" i="1"/>
  <c r="AQ237" i="1" s="1"/>
  <c r="AQ261" i="1"/>
  <c r="AQ258" i="1"/>
  <c r="AP257" i="1"/>
  <c r="AP258" i="1" s="1"/>
  <c r="AP259" i="1" s="1"/>
  <c r="AO259" i="1"/>
  <c r="AS201" i="1"/>
  <c r="AS204" i="1" s="1"/>
  <c r="AO216" i="1"/>
  <c r="AO213" i="1"/>
  <c r="AM214" i="1"/>
  <c r="AM160" i="1" l="1"/>
  <c r="AM163" i="1" s="1"/>
  <c r="AO158" i="1"/>
  <c r="AO160" i="1" s="1"/>
  <c r="AO163" i="1" s="1"/>
  <c r="AP86" i="1"/>
  <c r="AS233" i="1"/>
  <c r="AS232" i="1" s="1"/>
  <c r="AT245" i="1"/>
  <c r="AT246" i="1" s="1"/>
  <c r="AT247" i="1" s="1"/>
  <c r="AT261" i="1" s="1"/>
  <c r="AS245" i="1"/>
  <c r="AS246" i="1" s="1"/>
  <c r="AS247" i="1" s="1"/>
  <c r="AO214" i="1"/>
  <c r="AS205" i="1"/>
  <c r="AQ208" i="1"/>
  <c r="AQ209" i="1" s="1"/>
  <c r="AQ294" i="1" l="1"/>
  <c r="AQ296" i="1"/>
  <c r="AQ292" i="1"/>
  <c r="AO159" i="1"/>
  <c r="AO162" i="1" s="1"/>
  <c r="AS234" i="1"/>
  <c r="AS237" i="1" s="1"/>
  <c r="AS261" i="1"/>
  <c r="AS258" i="1"/>
  <c r="AR257" i="1"/>
  <c r="AR258" i="1" s="1"/>
  <c r="AR259" i="1" s="1"/>
  <c r="AQ259" i="1"/>
  <c r="AQ213" i="1"/>
  <c r="AQ216" i="1"/>
  <c r="AU201" i="1"/>
  <c r="AU204" i="1" s="1"/>
  <c r="AQ158" i="1" l="1"/>
  <c r="AQ159" i="1" s="1"/>
  <c r="AQ162" i="1" s="1"/>
  <c r="AR86" i="1"/>
  <c r="AU233" i="1"/>
  <c r="AU232" i="1" s="1"/>
  <c r="AV245" i="1"/>
  <c r="AV246" i="1" s="1"/>
  <c r="AV247" i="1" s="1"/>
  <c r="AV261" i="1" s="1"/>
  <c r="AU245" i="1"/>
  <c r="AU246" i="1" s="1"/>
  <c r="AU247" i="1" s="1"/>
  <c r="AU205" i="1"/>
  <c r="AS208" i="1"/>
  <c r="AS209" i="1" s="1"/>
  <c r="AQ214" i="1"/>
  <c r="AS296" i="1" l="1"/>
  <c r="AS294" i="1"/>
  <c r="AS292" i="1"/>
  <c r="AQ160" i="1"/>
  <c r="AQ163" i="1" s="1"/>
  <c r="AU234" i="1"/>
  <c r="AU237" i="1" s="1"/>
  <c r="AU261" i="1"/>
  <c r="AU258" i="1"/>
  <c r="AT257" i="1"/>
  <c r="AT258" i="1" s="1"/>
  <c r="AT259" i="1" s="1"/>
  <c r="AS259" i="1"/>
  <c r="AS216" i="1"/>
  <c r="AS213" i="1"/>
  <c r="AW201" i="1"/>
  <c r="AW204" i="1" s="1"/>
  <c r="AS158" i="1" l="1"/>
  <c r="AS159" i="1" s="1"/>
  <c r="AS162" i="1" s="1"/>
  <c r="AT86" i="1"/>
  <c r="AW233" i="1"/>
  <c r="AW234" i="1" s="1"/>
  <c r="AW237" i="1" s="1"/>
  <c r="AX245" i="1"/>
  <c r="AX246" i="1" s="1"/>
  <c r="AX247" i="1" s="1"/>
  <c r="AX261" i="1" s="1"/>
  <c r="AW245" i="1"/>
  <c r="AW246" i="1" s="1"/>
  <c r="AW247" i="1" s="1"/>
  <c r="AU208" i="1"/>
  <c r="AU209" i="1" s="1"/>
  <c r="AS214" i="1"/>
  <c r="AW205" i="1"/>
  <c r="AU296" i="1" l="1"/>
  <c r="AU294" i="1"/>
  <c r="AU292" i="1"/>
  <c r="AS160" i="1"/>
  <c r="AS163" i="1" s="1"/>
  <c r="AW232" i="1"/>
  <c r="AW261" i="1"/>
  <c r="AW258" i="1"/>
  <c r="AV257" i="1"/>
  <c r="AV258" i="1" s="1"/>
  <c r="AV259" i="1" s="1"/>
  <c r="AU259" i="1"/>
  <c r="AU216" i="1"/>
  <c r="AU213" i="1"/>
  <c r="AY201" i="1"/>
  <c r="AY204" i="1" s="1"/>
  <c r="AU158" i="1" l="1"/>
  <c r="AU160" i="1" s="1"/>
  <c r="AU163" i="1" s="1"/>
  <c r="AV86" i="1"/>
  <c r="AY233" i="1"/>
  <c r="AY232" i="1" s="1"/>
  <c r="AZ245" i="1"/>
  <c r="AZ246" i="1" s="1"/>
  <c r="AZ247" i="1" s="1"/>
  <c r="AZ261" i="1" s="1"/>
  <c r="AY245" i="1"/>
  <c r="AY246" i="1" s="1"/>
  <c r="AY247" i="1" s="1"/>
  <c r="AW208" i="1"/>
  <c r="AW209" i="1" s="1"/>
  <c r="AY205" i="1"/>
  <c r="AU214" i="1"/>
  <c r="AW294" i="1" l="1"/>
  <c r="AW296" i="1"/>
  <c r="AW292" i="1"/>
  <c r="AU159" i="1"/>
  <c r="AU162" i="1" s="1"/>
  <c r="AY234" i="1"/>
  <c r="AY237" i="1" s="1"/>
  <c r="AY261" i="1"/>
  <c r="AY258" i="1"/>
  <c r="AX257" i="1"/>
  <c r="AX258" i="1" s="1"/>
  <c r="AX259" i="1" s="1"/>
  <c r="AW259" i="1"/>
  <c r="BA201" i="1"/>
  <c r="BA204" i="1" s="1"/>
  <c r="AW213" i="1"/>
  <c r="AW216" i="1"/>
  <c r="AW158" i="1" l="1"/>
  <c r="AW160" i="1" s="1"/>
  <c r="AW163" i="1" s="1"/>
  <c r="AX86" i="1"/>
  <c r="BB245" i="1"/>
  <c r="BB246" i="1" s="1"/>
  <c r="BB247" i="1" s="1"/>
  <c r="BB261" i="1" s="1"/>
  <c r="BA233" i="1"/>
  <c r="BA232" i="1" s="1"/>
  <c r="BA245" i="1"/>
  <c r="BA246" i="1" s="1"/>
  <c r="BA247" i="1" s="1"/>
  <c r="AW214" i="1"/>
  <c r="BA205" i="1"/>
  <c r="AY208" i="1"/>
  <c r="AY209" i="1" s="1"/>
  <c r="AY294" i="1" l="1"/>
  <c r="AY296" i="1"/>
  <c r="AY292" i="1"/>
  <c r="AW159" i="1"/>
  <c r="AW162" i="1" s="1"/>
  <c r="BA234" i="1"/>
  <c r="BA237" i="1" s="1"/>
  <c r="BA261" i="1"/>
  <c r="BA258" i="1"/>
  <c r="AZ257" i="1"/>
  <c r="AZ258" i="1" s="1"/>
  <c r="AZ259" i="1" s="1"/>
  <c r="AY259" i="1"/>
  <c r="AY213" i="1"/>
  <c r="AY216" i="1"/>
  <c r="BC201" i="1"/>
  <c r="BC204" i="1" s="1"/>
  <c r="AY158" i="1" l="1"/>
  <c r="AY160" i="1" s="1"/>
  <c r="AY163" i="1" s="1"/>
  <c r="AZ86" i="1"/>
  <c r="BC233" i="1"/>
  <c r="BC232" i="1" s="1"/>
  <c r="BD245" i="1"/>
  <c r="BD246" i="1" s="1"/>
  <c r="BD247" i="1" s="1"/>
  <c r="BD261" i="1" s="1"/>
  <c r="BC245" i="1"/>
  <c r="BC246" i="1" s="1"/>
  <c r="BC247" i="1" s="1"/>
  <c r="AY214" i="1"/>
  <c r="BC205" i="1"/>
  <c r="BA208" i="1"/>
  <c r="BA209" i="1" s="1"/>
  <c r="BA296" i="1" l="1"/>
  <c r="BA294" i="1"/>
  <c r="BA292" i="1"/>
  <c r="AY159" i="1"/>
  <c r="AY162" i="1" s="1"/>
  <c r="BC234" i="1"/>
  <c r="BC237" i="1" s="1"/>
  <c r="BC261" i="1"/>
  <c r="BC258" i="1"/>
  <c r="BB257" i="1"/>
  <c r="BB258" i="1" s="1"/>
  <c r="BB259" i="1" s="1"/>
  <c r="BA259" i="1"/>
  <c r="BE201" i="1"/>
  <c r="BE204" i="1" s="1"/>
  <c r="BA216" i="1"/>
  <c r="BA213" i="1"/>
  <c r="BA158" i="1" l="1"/>
  <c r="BA159" i="1" s="1"/>
  <c r="BA162" i="1" s="1"/>
  <c r="BB86" i="1"/>
  <c r="BE233" i="1"/>
  <c r="BE232" i="1" s="1"/>
  <c r="BF245" i="1"/>
  <c r="BF246" i="1" s="1"/>
  <c r="BF247" i="1" s="1"/>
  <c r="BF261" i="1" s="1"/>
  <c r="BE245" i="1"/>
  <c r="BE246" i="1" s="1"/>
  <c r="BE247" i="1" s="1"/>
  <c r="BC208" i="1"/>
  <c r="BC209" i="1" s="1"/>
  <c r="BA214" i="1"/>
  <c r="BE205" i="1"/>
  <c r="BC296" i="1" l="1"/>
  <c r="BC294" i="1"/>
  <c r="BC292" i="1"/>
  <c r="BA160" i="1"/>
  <c r="BA163" i="1" s="1"/>
  <c r="BE234" i="1"/>
  <c r="BE237" i="1" s="1"/>
  <c r="BE261" i="1"/>
  <c r="BE258" i="1"/>
  <c r="BD257" i="1"/>
  <c r="BD258" i="1" s="1"/>
  <c r="BD259" i="1" s="1"/>
  <c r="BC259" i="1"/>
  <c r="BG201" i="1"/>
  <c r="BG204" i="1" s="1"/>
  <c r="BC213" i="1"/>
  <c r="BC216" i="1"/>
  <c r="BC158" i="1" l="1"/>
  <c r="BC159" i="1" s="1"/>
  <c r="BC162" i="1" s="1"/>
  <c r="BD86" i="1"/>
  <c r="BG233" i="1"/>
  <c r="BG234" i="1" s="1"/>
  <c r="BG237" i="1" s="1"/>
  <c r="BH245" i="1"/>
  <c r="BH246" i="1" s="1"/>
  <c r="BH247" i="1" s="1"/>
  <c r="BH261" i="1" s="1"/>
  <c r="BG245" i="1"/>
  <c r="BG246" i="1" s="1"/>
  <c r="BG247" i="1" s="1"/>
  <c r="BC214" i="1"/>
  <c r="BE208" i="1"/>
  <c r="BE209" i="1" s="1"/>
  <c r="BG205" i="1"/>
  <c r="BE294" i="1" l="1"/>
  <c r="BE296" i="1"/>
  <c r="BE292" i="1"/>
  <c r="BC160" i="1"/>
  <c r="BC163" i="1" s="1"/>
  <c r="BG232" i="1"/>
  <c r="BG261" i="1"/>
  <c r="BG258" i="1"/>
  <c r="BF257" i="1"/>
  <c r="BF258" i="1" s="1"/>
  <c r="BF259" i="1" s="1"/>
  <c r="BE259" i="1"/>
  <c r="BE216" i="1"/>
  <c r="BE213" i="1"/>
  <c r="BI201" i="1"/>
  <c r="BI204" i="1" s="1"/>
  <c r="BE158" i="1" l="1"/>
  <c r="BE159" i="1" s="1"/>
  <c r="BE162" i="1" s="1"/>
  <c r="BF86" i="1"/>
  <c r="BI233" i="1"/>
  <c r="BI232" i="1" s="1"/>
  <c r="BJ245" i="1"/>
  <c r="BJ246" i="1" s="1"/>
  <c r="BJ247" i="1" s="1"/>
  <c r="BJ261" i="1" s="1"/>
  <c r="BI245" i="1"/>
  <c r="BI246" i="1" s="1"/>
  <c r="BI247" i="1" s="1"/>
  <c r="BE214" i="1"/>
  <c r="BG208" i="1"/>
  <c r="BG209" i="1" s="1"/>
  <c r="BI205" i="1"/>
  <c r="BG294" i="1" l="1"/>
  <c r="BG296" i="1"/>
  <c r="BG292" i="1"/>
  <c r="BE160" i="1"/>
  <c r="BE163" i="1" s="1"/>
  <c r="BI234" i="1"/>
  <c r="BI237" i="1" s="1"/>
  <c r="BI261" i="1"/>
  <c r="BI258" i="1"/>
  <c r="BH257" i="1"/>
  <c r="BH258" i="1" s="1"/>
  <c r="BH259" i="1" s="1"/>
  <c r="BG259" i="1"/>
  <c r="BG213" i="1"/>
  <c r="BG216" i="1"/>
  <c r="BK201" i="1"/>
  <c r="BK204" i="1" s="1"/>
  <c r="BG158" i="1" l="1"/>
  <c r="BG159" i="1" s="1"/>
  <c r="BG162" i="1" s="1"/>
  <c r="BH86" i="1"/>
  <c r="BL245" i="1"/>
  <c r="BL246" i="1" s="1"/>
  <c r="BL247" i="1" s="1"/>
  <c r="BL261" i="1" s="1"/>
  <c r="BK233" i="1"/>
  <c r="BK232" i="1" s="1"/>
  <c r="BK245" i="1"/>
  <c r="BK246" i="1" s="1"/>
  <c r="BK247" i="1" s="1"/>
  <c r="BK205" i="1"/>
  <c r="BG214" i="1"/>
  <c r="BI208" i="1"/>
  <c r="BI209" i="1" s="1"/>
  <c r="BI296" i="1" l="1"/>
  <c r="BI294" i="1"/>
  <c r="BI292" i="1"/>
  <c r="BG160" i="1"/>
  <c r="BG163" i="1" s="1"/>
  <c r="BK234" i="1"/>
  <c r="BK237" i="1" s="1"/>
  <c r="BK261" i="1"/>
  <c r="BK258" i="1"/>
  <c r="BJ257" i="1"/>
  <c r="BJ258" i="1" s="1"/>
  <c r="BJ259" i="1" s="1"/>
  <c r="BI259" i="1"/>
  <c r="BI216" i="1"/>
  <c r="BI213" i="1"/>
  <c r="BM201" i="1"/>
  <c r="BM204" i="1" s="1"/>
  <c r="BI158" i="1" l="1"/>
  <c r="BI160" i="1" s="1"/>
  <c r="BI163" i="1" s="1"/>
  <c r="BJ86" i="1"/>
  <c r="BM233" i="1"/>
  <c r="BM232" i="1" s="1"/>
  <c r="BN245" i="1"/>
  <c r="BN246" i="1" s="1"/>
  <c r="BN247" i="1" s="1"/>
  <c r="BN261" i="1" s="1"/>
  <c r="BM245" i="1"/>
  <c r="BM246" i="1" s="1"/>
  <c r="BM247" i="1" s="1"/>
  <c r="BM205" i="1"/>
  <c r="BI214" i="1"/>
  <c r="BK208" i="1"/>
  <c r="BK209" i="1" s="1"/>
  <c r="BK296" i="1" l="1"/>
  <c r="BK294" i="1"/>
  <c r="BK292" i="1"/>
  <c r="BI159" i="1"/>
  <c r="BI162" i="1" s="1"/>
  <c r="BM234" i="1"/>
  <c r="BM237" i="1" s="1"/>
  <c r="BM261" i="1"/>
  <c r="BM258" i="1"/>
  <c r="BL257" i="1"/>
  <c r="BL258" i="1" s="1"/>
  <c r="BL259" i="1" s="1"/>
  <c r="BK259" i="1"/>
  <c r="BK216" i="1"/>
  <c r="BK213" i="1"/>
  <c r="BO201" i="1"/>
  <c r="BO204" i="1" s="1"/>
  <c r="BK158" i="1" l="1"/>
  <c r="BK160" i="1" s="1"/>
  <c r="BK163" i="1" s="1"/>
  <c r="BL86" i="1"/>
  <c r="BO233" i="1"/>
  <c r="BO232" i="1" s="1"/>
  <c r="BP245" i="1"/>
  <c r="BP246" i="1" s="1"/>
  <c r="BP247" i="1" s="1"/>
  <c r="BP261" i="1" s="1"/>
  <c r="BO245" i="1"/>
  <c r="BO246" i="1" s="1"/>
  <c r="BO247" i="1" s="1"/>
  <c r="BM208" i="1"/>
  <c r="BM209" i="1" s="1"/>
  <c r="BK214" i="1"/>
  <c r="BO205" i="1"/>
  <c r="BM294" i="1" l="1"/>
  <c r="BM296" i="1"/>
  <c r="BM292" i="1"/>
  <c r="BK159" i="1"/>
  <c r="BK162" i="1" s="1"/>
  <c r="BO234" i="1"/>
  <c r="BO237" i="1" s="1"/>
  <c r="BO261" i="1"/>
  <c r="BO258" i="1"/>
  <c r="BN257" i="1"/>
  <c r="BN258" i="1" s="1"/>
  <c r="BN259" i="1" s="1"/>
  <c r="BM259" i="1"/>
  <c r="BM213" i="1"/>
  <c r="BM216" i="1"/>
  <c r="BQ201" i="1"/>
  <c r="BQ204" i="1" s="1"/>
  <c r="BM158" i="1" l="1"/>
  <c r="BM159" i="1" s="1"/>
  <c r="BM162" i="1" s="1"/>
  <c r="BN86" i="1"/>
  <c r="BQ233" i="1"/>
  <c r="BQ232" i="1" s="1"/>
  <c r="BR245" i="1"/>
  <c r="BR246" i="1" s="1"/>
  <c r="BR247" i="1" s="1"/>
  <c r="BR261" i="1" s="1"/>
  <c r="BQ245" i="1"/>
  <c r="BQ246" i="1" s="1"/>
  <c r="BQ247" i="1" s="1"/>
  <c r="BO208" i="1"/>
  <c r="BO209" i="1" s="1"/>
  <c r="BQ205" i="1"/>
  <c r="BM214" i="1"/>
  <c r="BO294" i="1" l="1"/>
  <c r="BO296" i="1"/>
  <c r="BO292" i="1"/>
  <c r="BM160" i="1"/>
  <c r="BM163" i="1" s="1"/>
  <c r="BQ234" i="1"/>
  <c r="BQ237" i="1" s="1"/>
  <c r="BQ261" i="1"/>
  <c r="BQ258" i="1"/>
  <c r="BP257" i="1"/>
  <c r="BP258" i="1" s="1"/>
  <c r="BP259" i="1" s="1"/>
  <c r="BO259" i="1"/>
  <c r="BS201" i="1"/>
  <c r="BS204" i="1" s="1"/>
  <c r="BO213" i="1"/>
  <c r="BO216" i="1"/>
  <c r="BO158" i="1" l="1"/>
  <c r="BO159" i="1" s="1"/>
  <c r="BO162" i="1" s="1"/>
  <c r="BP86" i="1"/>
  <c r="BS233" i="1"/>
  <c r="BS232" i="1" s="1"/>
  <c r="BT245" i="1"/>
  <c r="BT246" i="1" s="1"/>
  <c r="BT247" i="1" s="1"/>
  <c r="BT261" i="1" s="1"/>
  <c r="BS245" i="1"/>
  <c r="BS246" i="1" s="1"/>
  <c r="BS247" i="1" s="1"/>
  <c r="BO214" i="1"/>
  <c r="BS205" i="1"/>
  <c r="BQ208" i="1"/>
  <c r="BQ209" i="1" s="1"/>
  <c r="BQ296" i="1" l="1"/>
  <c r="BQ294" i="1"/>
  <c r="BQ292" i="1"/>
  <c r="BO160" i="1"/>
  <c r="BO163" i="1" s="1"/>
  <c r="BS234" i="1"/>
  <c r="BS237" i="1" s="1"/>
  <c r="BS261" i="1"/>
  <c r="BS258" i="1"/>
  <c r="BR257" i="1"/>
  <c r="BR258" i="1" s="1"/>
  <c r="BR259" i="1" s="1"/>
  <c r="BQ259" i="1"/>
  <c r="BQ213" i="1"/>
  <c r="BQ216" i="1"/>
  <c r="BU201" i="1"/>
  <c r="BU204" i="1" s="1"/>
  <c r="BQ158" i="1" l="1"/>
  <c r="BQ159" i="1" s="1"/>
  <c r="BQ162" i="1" s="1"/>
  <c r="BR86" i="1"/>
  <c r="BU233" i="1"/>
  <c r="BU232" i="1" s="1"/>
  <c r="BV245" i="1"/>
  <c r="BV246" i="1" s="1"/>
  <c r="BV247" i="1" s="1"/>
  <c r="BV261" i="1" s="1"/>
  <c r="BU245" i="1"/>
  <c r="BU246" i="1" s="1"/>
  <c r="BU247" i="1" s="1"/>
  <c r="BS208" i="1"/>
  <c r="BS209" i="1" s="1"/>
  <c r="BQ214" i="1"/>
  <c r="BU205" i="1"/>
  <c r="BS296" i="1" l="1"/>
  <c r="BS294" i="1"/>
  <c r="BS292" i="1"/>
  <c r="BQ160" i="1"/>
  <c r="BQ163" i="1" s="1"/>
  <c r="BU234" i="1"/>
  <c r="BU237" i="1" s="1"/>
  <c r="BU261" i="1"/>
  <c r="BU258" i="1"/>
  <c r="BT257" i="1"/>
  <c r="BT258" i="1" s="1"/>
  <c r="BT259" i="1" s="1"/>
  <c r="BS259" i="1"/>
  <c r="BS213" i="1"/>
  <c r="BS216" i="1"/>
  <c r="BW201" i="1"/>
  <c r="BW204" i="1" s="1"/>
  <c r="BS158" i="1" l="1"/>
  <c r="BS160" i="1" s="1"/>
  <c r="BS163" i="1" s="1"/>
  <c r="BT86" i="1"/>
  <c r="BW233" i="1"/>
  <c r="BW232" i="1" s="1"/>
  <c r="BX245" i="1"/>
  <c r="BX246" i="1" s="1"/>
  <c r="BX247" i="1" s="1"/>
  <c r="BX261" i="1" s="1"/>
  <c r="BW245" i="1"/>
  <c r="BW246" i="1" s="1"/>
  <c r="BW247" i="1" s="1"/>
  <c r="BW205" i="1"/>
  <c r="BS214" i="1"/>
  <c r="BU208" i="1"/>
  <c r="BU209" i="1" s="1"/>
  <c r="BU294" i="1" l="1"/>
  <c r="BU296" i="1"/>
  <c r="BU292" i="1"/>
  <c r="BS159" i="1"/>
  <c r="BS162" i="1" s="1"/>
  <c r="BW234" i="1"/>
  <c r="BW237" i="1" s="1"/>
  <c r="BW261" i="1"/>
  <c r="BW258" i="1"/>
  <c r="BV257" i="1"/>
  <c r="BV258" i="1" s="1"/>
  <c r="BV259" i="1" s="1"/>
  <c r="BU259" i="1"/>
  <c r="BU213" i="1"/>
  <c r="BU216" i="1"/>
  <c r="BY201" i="1"/>
  <c r="BY204" i="1" s="1"/>
  <c r="BU158" i="1" l="1"/>
  <c r="BU160" i="1" s="1"/>
  <c r="BU163" i="1" s="1"/>
  <c r="BV86" i="1"/>
  <c r="BZ245" i="1"/>
  <c r="BZ246" i="1" s="1"/>
  <c r="BZ247" i="1" s="1"/>
  <c r="BZ261" i="1" s="1"/>
  <c r="BY233" i="1"/>
  <c r="BY232" i="1" s="1"/>
  <c r="BY245" i="1"/>
  <c r="BY246" i="1" s="1"/>
  <c r="BY247" i="1" s="1"/>
  <c r="BW208" i="1"/>
  <c r="BW209" i="1" s="1"/>
  <c r="BY205" i="1"/>
  <c r="BU214" i="1"/>
  <c r="BW294" i="1" l="1"/>
  <c r="BW296" i="1"/>
  <c r="BW292" i="1"/>
  <c r="BU159" i="1"/>
  <c r="BU162" i="1" s="1"/>
  <c r="BY234" i="1"/>
  <c r="BY237" i="1" s="1"/>
  <c r="BY261" i="1"/>
  <c r="BY258" i="1"/>
  <c r="BX257" i="1"/>
  <c r="BX258" i="1" s="1"/>
  <c r="BX259" i="1" s="1"/>
  <c r="BW259" i="1"/>
  <c r="BW213" i="1"/>
  <c r="BW216" i="1"/>
  <c r="BW158" i="1" l="1"/>
  <c r="BW160" i="1" s="1"/>
  <c r="BW163" i="1" s="1"/>
  <c r="BX86" i="1"/>
  <c r="BW214" i="1"/>
  <c r="BY208" i="1"/>
  <c r="BY209" i="1" s="1"/>
  <c r="BY296" i="1" l="1"/>
  <c r="BY294" i="1"/>
  <c r="BY292" i="1"/>
  <c r="BW159" i="1"/>
  <c r="BW162" i="1" s="1"/>
  <c r="BZ257" i="1"/>
  <c r="BZ258" i="1" s="1"/>
  <c r="BZ259" i="1" s="1"/>
  <c r="BY259" i="1"/>
  <c r="BY216" i="1"/>
  <c r="BY213" i="1"/>
  <c r="BY158" i="1" l="1"/>
  <c r="BY159" i="1" s="1"/>
  <c r="BY162" i="1" s="1"/>
  <c r="BZ86" i="1"/>
  <c r="BY214" i="1"/>
  <c r="CC193" i="1"/>
  <c r="CC192" i="1"/>
  <c r="CA192" i="1"/>
  <c r="CA201" i="1"/>
  <c r="CA204" i="1" s="1"/>
  <c r="CA193" i="1"/>
  <c r="BY160" i="1" l="1"/>
  <c r="BY163" i="1" s="1"/>
  <c r="CA196" i="1"/>
  <c r="CA230" i="1" s="1"/>
  <c r="CA229" i="1" s="1"/>
  <c r="CB245" i="1"/>
  <c r="CA233" i="1"/>
  <c r="CA232" i="1" s="1"/>
  <c r="CA245" i="1"/>
  <c r="CC201" i="1"/>
  <c r="CC204" i="1" s="1"/>
  <c r="CC196" i="1"/>
  <c r="CA205" i="1" l="1"/>
  <c r="CA244" i="1"/>
  <c r="CA246" i="1" s="1"/>
  <c r="CA247" i="1" s="1"/>
  <c r="CA261" i="1" s="1"/>
  <c r="CB244" i="1"/>
  <c r="CB246" i="1" s="1"/>
  <c r="CB247" i="1" s="1"/>
  <c r="CB261" i="1" s="1"/>
  <c r="CA234" i="1"/>
  <c r="CD244" i="1"/>
  <c r="CC230" i="1"/>
  <c r="CC229" i="1" s="1"/>
  <c r="CC244" i="1"/>
  <c r="CC233" i="1"/>
  <c r="CC232" i="1" s="1"/>
  <c r="CD245" i="1"/>
  <c r="CC245" i="1"/>
  <c r="CC205" i="1"/>
  <c r="CA237" i="1" l="1"/>
  <c r="CE237" i="1"/>
  <c r="CC246" i="1"/>
  <c r="CC247" i="1" s="1"/>
  <c r="CC261" i="1" s="1"/>
  <c r="CD246" i="1"/>
  <c r="CD247" i="1" s="1"/>
  <c r="CD261" i="1" s="1"/>
  <c r="CA258" i="1"/>
  <c r="CA208" i="1" s="1"/>
  <c r="CA209" i="1" s="1"/>
  <c r="CC234" i="1"/>
  <c r="CA296" i="1" l="1"/>
  <c r="CA294" i="1"/>
  <c r="CA292" i="1"/>
  <c r="CC237" i="1"/>
  <c r="CG237" i="1"/>
  <c r="CC258" i="1"/>
  <c r="CC208" i="1" s="1"/>
  <c r="CC209" i="1" s="1"/>
  <c r="CB257" i="1"/>
  <c r="CB258" i="1" s="1"/>
  <c r="CB259" i="1" s="1"/>
  <c r="CA259" i="1"/>
  <c r="CA216" i="1"/>
  <c r="CA213" i="1"/>
  <c r="CC294" i="1" l="1"/>
  <c r="CC296" i="1"/>
  <c r="CC292" i="1"/>
  <c r="CA158" i="1"/>
  <c r="CA159" i="1" s="1"/>
  <c r="CA162" i="1" s="1"/>
  <c r="CB86" i="1"/>
  <c r="CD257" i="1"/>
  <c r="CD258" i="1" s="1"/>
  <c r="CD259" i="1" s="1"/>
  <c r="CC259" i="1"/>
  <c r="CC213" i="1"/>
  <c r="CC216" i="1"/>
  <c r="CA214" i="1"/>
  <c r="CA160" i="1" l="1"/>
  <c r="CA163" i="1" s="1"/>
  <c r="CC158" i="1"/>
  <c r="CC159" i="1" s="1"/>
  <c r="CC162" i="1" s="1"/>
  <c r="CD86" i="1"/>
  <c r="CC214" i="1"/>
  <c r="CC160" i="1" l="1"/>
  <c r="CC163" i="1" s="1"/>
  <c r="CI193" i="1" l="1"/>
  <c r="CI201" i="1"/>
  <c r="CI204" i="1" s="1"/>
  <c r="CI192" i="1"/>
  <c r="CJ245" i="1" l="1"/>
  <c r="CI196" i="1"/>
  <c r="CI245" i="1"/>
  <c r="CJ244" i="1" l="1"/>
  <c r="CJ246" i="1" s="1"/>
  <c r="CJ247" i="1" s="1"/>
  <c r="CJ261" i="1" s="1"/>
  <c r="CI205" i="1"/>
  <c r="CI244" i="1"/>
  <c r="CI246" i="1" s="1"/>
  <c r="CI247" i="1" s="1"/>
  <c r="CI261" i="1" s="1"/>
  <c r="CI234" i="1" l="1"/>
  <c r="CI237" i="1" s="1"/>
  <c r="CI258" i="1"/>
  <c r="CI208" i="1" s="1"/>
  <c r="CI209" i="1" s="1"/>
  <c r="CI296" i="1" l="1"/>
  <c r="CI294" i="1"/>
  <c r="CI292" i="1"/>
  <c r="CI259" i="1"/>
  <c r="CJ257" i="1"/>
  <c r="CJ258" i="1" s="1"/>
  <c r="CI216" i="1"/>
  <c r="CI213" i="1"/>
  <c r="CI158" i="1" l="1"/>
  <c r="CI160" i="1" s="1"/>
  <c r="CI163" i="1" s="1"/>
  <c r="CJ86" i="1"/>
  <c r="CJ259" i="1"/>
  <c r="CI214" i="1"/>
  <c r="CI159" i="1" l="1"/>
  <c r="CI162" i="1" s="1"/>
  <c r="CJ216" i="1"/>
  <c r="CJ158" i="1" l="1"/>
  <c r="CK86" i="1"/>
  <c r="CJ159" i="1" l="1"/>
  <c r="CJ162" i="1" s="1"/>
  <c r="CJ160" i="1"/>
  <c r="CJ163" i="1" s="1"/>
  <c r="CN59" i="1"/>
  <c r="CN301" i="1"/>
  <c r="CM59" i="1"/>
  <c r="CM301" i="1"/>
  <c r="CN279" i="1"/>
  <c r="CM279" i="1"/>
  <c r="CN60" i="1" l="1"/>
  <c r="CN61" i="1"/>
  <c r="CM60" i="1"/>
  <c r="CM61" i="1"/>
  <c r="CM194" i="1"/>
  <c r="CQ301" i="1"/>
  <c r="CN75" i="1"/>
  <c r="CN72" i="1" s="1"/>
  <c r="CR301" i="1"/>
  <c r="CN193" i="1"/>
  <c r="CN65" i="1"/>
  <c r="CN27" i="1" s="1"/>
  <c r="CN192" i="1"/>
  <c r="CN201" i="1"/>
  <c r="CM75" i="1"/>
  <c r="CM72" i="1" s="1"/>
  <c r="CM201" i="1"/>
  <c r="CN200" i="1"/>
  <c r="CN194" i="1"/>
  <c r="CM193" i="1"/>
  <c r="CM65" i="1"/>
  <c r="CM200" i="1"/>
  <c r="CM192" i="1"/>
  <c r="CN26" i="1" l="1"/>
  <c r="CM64" i="1"/>
  <c r="CM27" i="1"/>
  <c r="CM26" i="1" s="1"/>
  <c r="CM204" i="1"/>
  <c r="CN64" i="1"/>
  <c r="CN67" i="1"/>
  <c r="CN77" i="1"/>
  <c r="CN29" i="1" s="1"/>
  <c r="CN28" i="1" s="1"/>
  <c r="CN196" i="1"/>
  <c r="CM196" i="1"/>
  <c r="CN204" i="1"/>
  <c r="CR59" i="1"/>
  <c r="CM67" i="1"/>
  <c r="CR279" i="1"/>
  <c r="CQ59" i="1"/>
  <c r="CQ279" i="1"/>
  <c r="CM77" i="1"/>
  <c r="CM29" i="1" s="1"/>
  <c r="CP301" i="1"/>
  <c r="CN68" i="1"/>
  <c r="CM68" i="1"/>
  <c r="CP279" i="1"/>
  <c r="CP59" i="1"/>
  <c r="CM28" i="1" l="1"/>
  <c r="CR60" i="1"/>
  <c r="CR61" i="1"/>
  <c r="CQ60" i="1"/>
  <c r="CQ61" i="1"/>
  <c r="CP60" i="1"/>
  <c r="CN298" i="1"/>
  <c r="CN299" i="1" s="1"/>
  <c r="CN245" i="1"/>
  <c r="CN78" i="1"/>
  <c r="CN280" i="1"/>
  <c r="CN281" i="1" s="1"/>
  <c r="CN79" i="1"/>
  <c r="CN83" i="1"/>
  <c r="CN205" i="1"/>
  <c r="CM205" i="1"/>
  <c r="CN244" i="1"/>
  <c r="CR200" i="1"/>
  <c r="CR65" i="1"/>
  <c r="CR27" i="1" s="1"/>
  <c r="CR192" i="1"/>
  <c r="CR193" i="1"/>
  <c r="CR194" i="1"/>
  <c r="CR75" i="1"/>
  <c r="CR72" i="1" s="1"/>
  <c r="CR201" i="1"/>
  <c r="CQ75" i="1"/>
  <c r="CQ72" i="1" s="1"/>
  <c r="CQ194" i="1"/>
  <c r="CQ193" i="1"/>
  <c r="CQ200" i="1"/>
  <c r="CQ201" i="1"/>
  <c r="CQ192" i="1"/>
  <c r="CN80" i="1"/>
  <c r="CM79" i="1"/>
  <c r="CM280" i="1"/>
  <c r="CM281" i="1" s="1"/>
  <c r="CM78" i="1"/>
  <c r="CM83" i="1"/>
  <c r="CQ65" i="1"/>
  <c r="CQ27" i="1" s="1"/>
  <c r="CM298" i="1"/>
  <c r="CM299" i="1" s="1"/>
  <c r="CM245" i="1"/>
  <c r="CP193" i="1"/>
  <c r="AB193" i="1" s="1"/>
  <c r="CP192" i="1"/>
  <c r="CP200" i="1"/>
  <c r="CP65" i="1"/>
  <c r="CP201" i="1"/>
  <c r="AB201" i="1" s="1"/>
  <c r="CP194" i="1"/>
  <c r="AB194" i="1" s="1"/>
  <c r="CP75" i="1"/>
  <c r="CP72" i="1" s="1"/>
  <c r="CT301" i="1"/>
  <c r="CM244" i="1"/>
  <c r="CM80" i="1"/>
  <c r="CR26" i="1" l="1"/>
  <c r="CP64" i="1"/>
  <c r="CP27" i="1"/>
  <c r="CQ26" i="1"/>
  <c r="CU301" i="1"/>
  <c r="CU59" i="1"/>
  <c r="CU279" i="1"/>
  <c r="CR196" i="1"/>
  <c r="CQ204" i="1"/>
  <c r="CN246" i="1"/>
  <c r="CR204" i="1"/>
  <c r="CR67" i="1"/>
  <c r="CR68" i="1"/>
  <c r="CR77" i="1"/>
  <c r="CR29" i="1" s="1"/>
  <c r="CR28" i="1" s="1"/>
  <c r="CR64" i="1"/>
  <c r="CV301" i="1"/>
  <c r="CV279" i="1"/>
  <c r="CV59" i="1"/>
  <c r="CQ64" i="1"/>
  <c r="CQ67" i="1"/>
  <c r="CQ77" i="1"/>
  <c r="CQ29" i="1" s="1"/>
  <c r="CQ28" i="1" s="1"/>
  <c r="CQ196" i="1"/>
  <c r="CQ68" i="1"/>
  <c r="CM246" i="1"/>
  <c r="AB192" i="1"/>
  <c r="CP196" i="1"/>
  <c r="CP67" i="1"/>
  <c r="CP77" i="1"/>
  <c r="CP29" i="1" s="1"/>
  <c r="CT279" i="1"/>
  <c r="CT59" i="1"/>
  <c r="AB200" i="1"/>
  <c r="AB204" i="1" s="1"/>
  <c r="CP204" i="1"/>
  <c r="CP28" i="1" l="1"/>
  <c r="CP26" i="1"/>
  <c r="CV61" i="1"/>
  <c r="CU60" i="1"/>
  <c r="CV60" i="1"/>
  <c r="CU61" i="1"/>
  <c r="CT60" i="1"/>
  <c r="CU75" i="1"/>
  <c r="CU72" i="1" s="1"/>
  <c r="CU192" i="1"/>
  <c r="CU200" i="1"/>
  <c r="CU193" i="1"/>
  <c r="CU194" i="1"/>
  <c r="CU65" i="1"/>
  <c r="CU201" i="1"/>
  <c r="CQ245" i="1"/>
  <c r="CV192" i="1"/>
  <c r="CV65" i="1"/>
  <c r="CV200" i="1"/>
  <c r="CR245" i="1"/>
  <c r="CR205" i="1"/>
  <c r="CR280" i="1"/>
  <c r="CR281" i="1" s="1"/>
  <c r="CR78" i="1"/>
  <c r="CR83" i="1"/>
  <c r="CR79" i="1"/>
  <c r="CV194" i="1"/>
  <c r="CV193" i="1"/>
  <c r="CV75" i="1"/>
  <c r="CV72" i="1" s="1"/>
  <c r="CV201" i="1"/>
  <c r="CQ83" i="1"/>
  <c r="CQ78" i="1"/>
  <c r="CQ79" i="1"/>
  <c r="CR80" i="1"/>
  <c r="CR298" i="1"/>
  <c r="CR299" i="1" s="1"/>
  <c r="CQ280" i="1"/>
  <c r="CQ281" i="1" s="1"/>
  <c r="CR244" i="1"/>
  <c r="CQ205" i="1"/>
  <c r="CQ298" i="1"/>
  <c r="CQ299" i="1" s="1"/>
  <c r="CP280" i="1"/>
  <c r="CP281" i="1" s="1"/>
  <c r="CP79" i="1"/>
  <c r="CP78" i="1"/>
  <c r="CP83" i="1"/>
  <c r="CT192" i="1"/>
  <c r="CT201" i="1"/>
  <c r="AC201" i="1" s="1"/>
  <c r="CT65" i="1"/>
  <c r="CT193" i="1"/>
  <c r="AC193" i="1" s="1"/>
  <c r="CT200" i="1"/>
  <c r="CT75" i="1"/>
  <c r="CT72" i="1" s="1"/>
  <c r="CT194" i="1"/>
  <c r="AC194" i="1" s="1"/>
  <c r="CQ80" i="1"/>
  <c r="CQ244" i="1"/>
  <c r="CP205" i="1"/>
  <c r="AB245" i="1"/>
  <c r="AB196" i="1"/>
  <c r="CU64" i="1" l="1"/>
  <c r="CU27" i="1"/>
  <c r="CU26" i="1" s="1"/>
  <c r="CT64" i="1"/>
  <c r="CT27" i="1"/>
  <c r="CV67" i="1"/>
  <c r="CV27" i="1"/>
  <c r="CU67" i="1"/>
  <c r="CU77" i="1"/>
  <c r="CU29" i="1" s="1"/>
  <c r="CU204" i="1"/>
  <c r="CU196" i="1"/>
  <c r="CY301" i="1"/>
  <c r="CY59" i="1"/>
  <c r="CY279" i="1"/>
  <c r="CQ246" i="1"/>
  <c r="CV196" i="1"/>
  <c r="CV64" i="1"/>
  <c r="CV68" i="1"/>
  <c r="CV204" i="1"/>
  <c r="CV77" i="1"/>
  <c r="CV29" i="1" s="1"/>
  <c r="CZ301" i="1"/>
  <c r="CZ279" i="1"/>
  <c r="CZ59" i="1"/>
  <c r="CR246" i="1"/>
  <c r="CX301" i="1"/>
  <c r="CT196" i="1"/>
  <c r="AC192" i="1"/>
  <c r="AB205" i="1"/>
  <c r="AB244" i="1"/>
  <c r="AB246" i="1" s="1"/>
  <c r="CT204" i="1"/>
  <c r="AC200" i="1"/>
  <c r="AC204" i="1" s="1"/>
  <c r="CT67" i="1"/>
  <c r="CT77" i="1"/>
  <c r="CT29" i="1" s="1"/>
  <c r="CX279" i="1"/>
  <c r="CX59" i="1"/>
  <c r="CU68" i="1"/>
  <c r="CU28" i="1" l="1"/>
  <c r="CV26" i="1"/>
  <c r="CV28" i="1"/>
  <c r="CT28" i="1"/>
  <c r="CT26" i="1"/>
  <c r="CU205" i="1"/>
  <c r="CU79" i="1"/>
  <c r="CU83" i="1"/>
  <c r="CU78" i="1"/>
  <c r="CZ61" i="1"/>
  <c r="CY60" i="1"/>
  <c r="CZ201" i="1"/>
  <c r="CZ60" i="1"/>
  <c r="CY61" i="1"/>
  <c r="CX60" i="1"/>
  <c r="CV244" i="1"/>
  <c r="CU280" i="1"/>
  <c r="CU281" i="1" s="1"/>
  <c r="CY65" i="1"/>
  <c r="CY27" i="1" s="1"/>
  <c r="CY194" i="1"/>
  <c r="CY200" i="1"/>
  <c r="CY192" i="1"/>
  <c r="CY193" i="1"/>
  <c r="CY201" i="1"/>
  <c r="CY75" i="1"/>
  <c r="CY72" i="1" s="1"/>
  <c r="CV298" i="1"/>
  <c r="CV299" i="1" s="1"/>
  <c r="CV83" i="1"/>
  <c r="CV280" i="1"/>
  <c r="CV281" i="1" s="1"/>
  <c r="CV78" i="1"/>
  <c r="CV80" i="1"/>
  <c r="CV79" i="1"/>
  <c r="CZ75" i="1"/>
  <c r="CZ72" i="1" s="1"/>
  <c r="CZ192" i="1"/>
  <c r="CZ200" i="1"/>
  <c r="CZ194" i="1"/>
  <c r="CZ193" i="1"/>
  <c r="CZ65" i="1"/>
  <c r="CZ27" i="1" s="1"/>
  <c r="CV205" i="1"/>
  <c r="CV245" i="1"/>
  <c r="CU298" i="1"/>
  <c r="CU299" i="1" s="1"/>
  <c r="CU245" i="1"/>
  <c r="AC196" i="1"/>
  <c r="CT205" i="1"/>
  <c r="CU244" i="1"/>
  <c r="CX192" i="1"/>
  <c r="CX193" i="1"/>
  <c r="AD193" i="1" s="1"/>
  <c r="CX65" i="1"/>
  <c r="CX27" i="1" s="1"/>
  <c r="CX201" i="1"/>
  <c r="AD201" i="1" s="1"/>
  <c r="CX200" i="1"/>
  <c r="CX75" i="1"/>
  <c r="CX72" i="1" s="1"/>
  <c r="CX194" i="1"/>
  <c r="AD194" i="1" s="1"/>
  <c r="CT83" i="1"/>
  <c r="CT79" i="1"/>
  <c r="CT78" i="1"/>
  <c r="CT280" i="1"/>
  <c r="CT281" i="1" s="1"/>
  <c r="CU80" i="1"/>
  <c r="AC245" i="1"/>
  <c r="CZ26" i="1" l="1"/>
  <c r="CX26" i="1"/>
  <c r="CY26" i="1"/>
  <c r="CZ204" i="1"/>
  <c r="CV246" i="1"/>
  <c r="CY204" i="1"/>
  <c r="CY196" i="1"/>
  <c r="CY68" i="1"/>
  <c r="CY64" i="1"/>
  <c r="CY67" i="1"/>
  <c r="CY77" i="1"/>
  <c r="CY29" i="1" s="1"/>
  <c r="CY28" i="1" s="1"/>
  <c r="CZ196" i="1"/>
  <c r="CZ64" i="1"/>
  <c r="CZ67" i="1"/>
  <c r="CZ77" i="1"/>
  <c r="CZ29" i="1" s="1"/>
  <c r="CZ28" i="1" s="1"/>
  <c r="CZ68" i="1"/>
  <c r="DB301" i="1"/>
  <c r="CU246" i="1"/>
  <c r="AD200" i="1"/>
  <c r="AD204" i="1" s="1"/>
  <c r="CX204" i="1"/>
  <c r="CX77" i="1"/>
  <c r="CX29" i="1" s="1"/>
  <c r="CX28" i="1" s="1"/>
  <c r="CX67" i="1"/>
  <c r="AC205" i="1"/>
  <c r="AC244" i="1"/>
  <c r="AC246" i="1" s="1"/>
  <c r="DB59" i="1"/>
  <c r="DB60" i="1" s="1"/>
  <c r="DB279" i="1"/>
  <c r="AD192" i="1"/>
  <c r="CX196" i="1"/>
  <c r="CX64" i="1"/>
  <c r="CZ245" i="1" l="1"/>
  <c r="CY205" i="1"/>
  <c r="CY78" i="1"/>
  <c r="CY83" i="1"/>
  <c r="CY79" i="1"/>
  <c r="CY298" i="1"/>
  <c r="CY299" i="1" s="1"/>
  <c r="CY280" i="1"/>
  <c r="CY281" i="1" s="1"/>
  <c r="CZ244" i="1"/>
  <c r="CZ205" i="1"/>
  <c r="CZ298" i="1"/>
  <c r="CZ299" i="1" s="1"/>
  <c r="CZ78" i="1"/>
  <c r="CZ280" i="1"/>
  <c r="CZ281" i="1" s="1"/>
  <c r="CZ80" i="1"/>
  <c r="CZ83" i="1"/>
  <c r="CZ79" i="1"/>
  <c r="CY80" i="1"/>
  <c r="CY244" i="1"/>
  <c r="CX205" i="1"/>
  <c r="CY245" i="1"/>
  <c r="AD245" i="1"/>
  <c r="CX83" i="1"/>
  <c r="CX79" i="1"/>
  <c r="CX78" i="1"/>
  <c r="CX280" i="1"/>
  <c r="CX281" i="1" s="1"/>
  <c r="AD196" i="1"/>
  <c r="DB193" i="1"/>
  <c r="AE193" i="1" s="1"/>
  <c r="DB65" i="1"/>
  <c r="DB192" i="1"/>
  <c r="DB75" i="1"/>
  <c r="DB72" i="1" s="1"/>
  <c r="DB201" i="1"/>
  <c r="AE201" i="1" s="1"/>
  <c r="DB194" i="1"/>
  <c r="AE194" i="1" s="1"/>
  <c r="DB200" i="1"/>
  <c r="CZ246" i="1" l="1"/>
  <c r="DB64" i="1"/>
  <c r="DB27" i="1"/>
  <c r="DB77" i="1"/>
  <c r="DB29" i="1" s="1"/>
  <c r="DB67" i="1"/>
  <c r="CY246" i="1"/>
  <c r="AD205" i="1"/>
  <c r="AD244" i="1"/>
  <c r="AD246" i="1" s="1"/>
  <c r="DB196" i="1"/>
  <c r="AE192" i="1"/>
  <c r="AE200" i="1"/>
  <c r="AE204" i="1" s="1"/>
  <c r="DB204" i="1"/>
  <c r="DB26" i="1" l="1"/>
  <c r="DB28" i="1"/>
  <c r="DB83" i="1"/>
  <c r="DB280" i="1"/>
  <c r="DB281" i="1" s="1"/>
  <c r="DB78" i="1"/>
  <c r="DB79" i="1"/>
  <c r="AE196" i="1"/>
  <c r="DB205" i="1"/>
  <c r="AE245" i="1"/>
  <c r="AE205" i="1" l="1"/>
  <c r="AE244" i="1"/>
  <c r="AE246" i="1" s="1"/>
  <c r="AA39" i="1" l="1"/>
  <c r="AA49" i="1" s="1"/>
  <c r="CM147" i="1"/>
  <c r="CM148" i="1" s="1"/>
  <c r="CM151" i="1" s="1"/>
  <c r="CK279" i="1"/>
  <c r="CK300" i="1"/>
  <c r="CK301" i="1"/>
  <c r="CN147" i="1"/>
  <c r="CN148" i="1" s="1"/>
  <c r="CN151" i="1" s="1"/>
  <c r="CO21" i="1"/>
  <c r="CO25" i="1" s="1"/>
  <c r="CK273" i="1" l="1"/>
  <c r="CK201" i="1"/>
  <c r="CK192" i="1"/>
  <c r="CK193" i="1"/>
  <c r="CK194" i="1"/>
  <c r="CK200" i="1"/>
  <c r="CM273" i="1"/>
  <c r="CN273" i="1"/>
  <c r="CO57" i="1"/>
  <c r="CS21" i="1"/>
  <c r="CS25" i="1" s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M152" i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K196" i="1" l="1"/>
  <c r="CL244" i="1" s="1"/>
  <c r="CK204" i="1"/>
  <c r="CL245" i="1" s="1"/>
  <c r="AA21" i="1"/>
  <c r="CQ147" i="1"/>
  <c r="CQ148" i="1" s="1"/>
  <c r="CQ151" i="1" s="1"/>
  <c r="CO301" i="1"/>
  <c r="CO279" i="1"/>
  <c r="CO59" i="1"/>
  <c r="CO147" i="1"/>
  <c r="CO148" i="1" s="1"/>
  <c r="CO151" i="1" s="1"/>
  <c r="CR147" i="1"/>
  <c r="CR148" i="1" s="1"/>
  <c r="CR151" i="1" s="1"/>
  <c r="AB57" i="1"/>
  <c r="CP147" i="1"/>
  <c r="CP148" i="1" s="1"/>
  <c r="CP151" i="1" s="1"/>
  <c r="CW21" i="1"/>
  <c r="CW25" i="1" s="1"/>
  <c r="CS57" i="1"/>
  <c r="AA27" i="1" l="1"/>
  <c r="AA40" i="1"/>
  <c r="AA22" i="1"/>
  <c r="AA25" i="1"/>
  <c r="AA26" i="1" s="1"/>
  <c r="CL246" i="1"/>
  <c r="CL247" i="1" s="1"/>
  <c r="CL261" i="1" s="1"/>
  <c r="CP61" i="1"/>
  <c r="CO60" i="1"/>
  <c r="CO61" i="1"/>
  <c r="CK244" i="1"/>
  <c r="CK205" i="1"/>
  <c r="CK245" i="1"/>
  <c r="AB59" i="1"/>
  <c r="AB233" i="1"/>
  <c r="AB230" i="1"/>
  <c r="AB227" i="1"/>
  <c r="AB231" i="1"/>
  <c r="AB228" i="1"/>
  <c r="AB301" i="1"/>
  <c r="CS59" i="1"/>
  <c r="CS60" i="1" s="1"/>
  <c r="CU147" i="1"/>
  <c r="CU148" i="1" s="1"/>
  <c r="CU151" i="1" s="1"/>
  <c r="CS301" i="1"/>
  <c r="CS147" i="1"/>
  <c r="CS148" i="1" s="1"/>
  <c r="CS151" i="1" s="1"/>
  <c r="AC57" i="1"/>
  <c r="CT147" i="1"/>
  <c r="CT148" i="1" s="1"/>
  <c r="CT151" i="1" s="1"/>
  <c r="CV147" i="1"/>
  <c r="CV148" i="1" s="1"/>
  <c r="CV151" i="1" s="1"/>
  <c r="CS279" i="1"/>
  <c r="DA21" i="1"/>
  <c r="CW57" i="1"/>
  <c r="CN161" i="1"/>
  <c r="CN274" i="1"/>
  <c r="CK280" i="1"/>
  <c r="CK281" i="1" s="1"/>
  <c r="CK274" i="1"/>
  <c r="CK298" i="1"/>
  <c r="CK299" i="1" s="1"/>
  <c r="CM161" i="1"/>
  <c r="CM274" i="1"/>
  <c r="CO201" i="1"/>
  <c r="CO273" i="1"/>
  <c r="CO200" i="1"/>
  <c r="CR273" i="1"/>
  <c r="CO192" i="1"/>
  <c r="CO65" i="1"/>
  <c r="CO27" i="1" s="1"/>
  <c r="CQ273" i="1"/>
  <c r="CO193" i="1"/>
  <c r="CO75" i="1"/>
  <c r="CO72" i="1" s="1"/>
  <c r="AB72" i="1" s="1"/>
  <c r="AB75" i="1" s="1"/>
  <c r="CP273" i="1"/>
  <c r="CO194" i="1"/>
  <c r="AA46" i="1" l="1"/>
  <c r="AA50" i="1"/>
  <c r="AA29" i="1"/>
  <c r="AA28" i="1" s="1"/>
  <c r="AA41" i="1"/>
  <c r="DA57" i="1"/>
  <c r="DA59" i="1" s="1"/>
  <c r="DA25" i="1"/>
  <c r="CO26" i="1"/>
  <c r="AB76" i="1"/>
  <c r="CK246" i="1"/>
  <c r="CT61" i="1"/>
  <c r="CS61" i="1"/>
  <c r="CO204" i="1"/>
  <c r="CP68" i="1"/>
  <c r="CO77" i="1"/>
  <c r="CO29" i="1" s="1"/>
  <c r="CO28" i="1" s="1"/>
  <c r="CO67" i="1"/>
  <c r="CO68" i="1"/>
  <c r="AC227" i="1"/>
  <c r="AC231" i="1"/>
  <c r="AC228" i="1"/>
  <c r="AC301" i="1"/>
  <c r="AC230" i="1"/>
  <c r="AC59" i="1"/>
  <c r="AC233" i="1"/>
  <c r="CO196" i="1"/>
  <c r="AB234" i="1"/>
  <c r="AB237" i="1" s="1"/>
  <c r="AB229" i="1"/>
  <c r="AB232" i="1"/>
  <c r="CS65" i="1"/>
  <c r="CS27" i="1" s="1"/>
  <c r="CV273" i="1"/>
  <c r="CS192" i="1"/>
  <c r="CU273" i="1"/>
  <c r="CT273" i="1"/>
  <c r="CS273" i="1"/>
  <c r="CS200" i="1"/>
  <c r="CS75" i="1"/>
  <c r="CS72" i="1" s="1"/>
  <c r="AC72" i="1" s="1"/>
  <c r="AC75" i="1" s="1"/>
  <c r="CS194" i="1"/>
  <c r="CS201" i="1"/>
  <c r="CS193" i="1"/>
  <c r="CO64" i="1"/>
  <c r="AB64" i="1" s="1"/>
  <c r="AB65" i="1" s="1"/>
  <c r="AB27" i="1" s="1"/>
  <c r="AD57" i="1"/>
  <c r="CW301" i="1"/>
  <c r="CX147" i="1"/>
  <c r="CX148" i="1" s="1"/>
  <c r="CX151" i="1" s="1"/>
  <c r="CW59" i="1"/>
  <c r="CW60" i="1" s="1"/>
  <c r="CW279" i="1"/>
  <c r="CW147" i="1"/>
  <c r="CW148" i="1" s="1"/>
  <c r="CW151" i="1" s="1"/>
  <c r="CY147" i="1"/>
  <c r="CY148" i="1" s="1"/>
  <c r="CY151" i="1" s="1"/>
  <c r="CZ147" i="1"/>
  <c r="CZ148" i="1" s="1"/>
  <c r="CZ151" i="1" s="1"/>
  <c r="AB60" i="1"/>
  <c r="AB236" i="1"/>
  <c r="AB21" i="1"/>
  <c r="AB147" i="1"/>
  <c r="AB107" i="1"/>
  <c r="DA147" i="1" l="1"/>
  <c r="DA148" i="1" s="1"/>
  <c r="DA151" i="1" s="1"/>
  <c r="AA47" i="1"/>
  <c r="AA51" i="1"/>
  <c r="DB147" i="1"/>
  <c r="DB148" i="1" s="1"/>
  <c r="DB151" i="1" s="1"/>
  <c r="DA279" i="1"/>
  <c r="AE57" i="1"/>
  <c r="AE233" i="1" s="1"/>
  <c r="DA301" i="1"/>
  <c r="AB22" i="1"/>
  <c r="AB25" i="1"/>
  <c r="AB26" i="1" s="1"/>
  <c r="CS26" i="1"/>
  <c r="CS204" i="1"/>
  <c r="CP245" i="1"/>
  <c r="CO245" i="1"/>
  <c r="DB61" i="1"/>
  <c r="DA61" i="1"/>
  <c r="CX61" i="1"/>
  <c r="DA60" i="1"/>
  <c r="CW61" i="1"/>
  <c r="AC76" i="1"/>
  <c r="AC232" i="1"/>
  <c r="AB238" i="1"/>
  <c r="CS196" i="1"/>
  <c r="AB66" i="1"/>
  <c r="AB77" i="1"/>
  <c r="AB29" i="1" s="1"/>
  <c r="AB28" i="1" s="1"/>
  <c r="AB108" i="1"/>
  <c r="AB67" i="1"/>
  <c r="CP244" i="1"/>
  <c r="CO244" i="1"/>
  <c r="CO205" i="1"/>
  <c r="CS67" i="1"/>
  <c r="CS77" i="1"/>
  <c r="CS29" i="1" s="1"/>
  <c r="CS28" i="1" s="1"/>
  <c r="CT68" i="1"/>
  <c r="CS68" i="1"/>
  <c r="AC236" i="1"/>
  <c r="AC147" i="1"/>
  <c r="AC107" i="1"/>
  <c r="AC21" i="1"/>
  <c r="AC60" i="1"/>
  <c r="CP298" i="1"/>
  <c r="CP299" i="1" s="1"/>
  <c r="CO280" i="1"/>
  <c r="CO281" i="1" s="1"/>
  <c r="CP80" i="1"/>
  <c r="CO79" i="1"/>
  <c r="CQ274" i="1"/>
  <c r="CP161" i="1"/>
  <c r="CR274" i="1"/>
  <c r="CO161" i="1"/>
  <c r="CP274" i="1"/>
  <c r="CO80" i="1"/>
  <c r="CO298" i="1"/>
  <c r="CO299" i="1" s="1"/>
  <c r="CO83" i="1"/>
  <c r="CQ161" i="1"/>
  <c r="CO78" i="1"/>
  <c r="CR161" i="1"/>
  <c r="CO274" i="1"/>
  <c r="CS64" i="1"/>
  <c r="AC64" i="1" s="1"/>
  <c r="AC65" i="1" s="1"/>
  <c r="AC27" i="1" s="1"/>
  <c r="AC229" i="1"/>
  <c r="AC234" i="1"/>
  <c r="AC237" i="1" s="1"/>
  <c r="CW201" i="1"/>
  <c r="CW200" i="1"/>
  <c r="CW192" i="1"/>
  <c r="CW273" i="1"/>
  <c r="CY273" i="1"/>
  <c r="CX273" i="1"/>
  <c r="CW75" i="1"/>
  <c r="CW72" i="1" s="1"/>
  <c r="AD72" i="1" s="1"/>
  <c r="AD75" i="1" s="1"/>
  <c r="CZ273" i="1"/>
  <c r="CW194" i="1"/>
  <c r="CW65" i="1"/>
  <c r="CW27" i="1" s="1"/>
  <c r="CW193" i="1"/>
  <c r="DA75" i="1"/>
  <c r="DA72" i="1" s="1"/>
  <c r="AE72" i="1" s="1"/>
  <c r="AE75" i="1" s="1"/>
  <c r="DA201" i="1"/>
  <c r="DA194" i="1"/>
  <c r="DA200" i="1"/>
  <c r="DA273" i="1"/>
  <c r="DA192" i="1"/>
  <c r="DA65" i="1"/>
  <c r="DB273" i="1"/>
  <c r="DA193" i="1"/>
  <c r="AD230" i="1"/>
  <c r="AD301" i="1"/>
  <c r="AD59" i="1"/>
  <c r="AD233" i="1"/>
  <c r="AD227" i="1"/>
  <c r="AD228" i="1"/>
  <c r="AD231" i="1"/>
  <c r="AE59" i="1" l="1"/>
  <c r="AE301" i="1"/>
  <c r="AE227" i="1"/>
  <c r="AE230" i="1"/>
  <c r="AE231" i="1"/>
  <c r="AE232" i="1" s="1"/>
  <c r="AE228" i="1"/>
  <c r="AC22" i="1"/>
  <c r="AC25" i="1"/>
  <c r="AC26" i="1" s="1"/>
  <c r="DA64" i="1"/>
  <c r="AE64" i="1" s="1"/>
  <c r="AE65" i="1" s="1"/>
  <c r="AE27" i="1" s="1"/>
  <c r="DA27" i="1"/>
  <c r="CW26" i="1"/>
  <c r="CO246" i="1"/>
  <c r="CP246" i="1"/>
  <c r="CT245" i="1"/>
  <c r="CS245" i="1"/>
  <c r="CS205" i="1"/>
  <c r="CT244" i="1"/>
  <c r="CS244" i="1"/>
  <c r="DA204" i="1"/>
  <c r="CW196" i="1"/>
  <c r="CW204" i="1"/>
  <c r="CX245" i="1" s="1"/>
  <c r="AD76" i="1"/>
  <c r="AC238" i="1"/>
  <c r="AC77" i="1"/>
  <c r="AC66" i="1"/>
  <c r="AC108" i="1"/>
  <c r="AC67" i="1"/>
  <c r="CK293" i="1"/>
  <c r="CK282" i="1"/>
  <c r="CK275" i="1"/>
  <c r="CT80" i="1"/>
  <c r="CS80" i="1"/>
  <c r="CS83" i="1"/>
  <c r="CU274" i="1"/>
  <c r="CS161" i="1"/>
  <c r="CU161" i="1"/>
  <c r="CS274" i="1"/>
  <c r="CT274" i="1"/>
  <c r="CS79" i="1"/>
  <c r="CV274" i="1"/>
  <c r="CT161" i="1"/>
  <c r="CV161" i="1"/>
  <c r="CS280" i="1"/>
  <c r="CS281" i="1" s="1"/>
  <c r="CS298" i="1"/>
  <c r="CS299" i="1" s="1"/>
  <c r="CT298" i="1"/>
  <c r="CT299" i="1" s="1"/>
  <c r="CS78" i="1"/>
  <c r="AE21" i="1"/>
  <c r="AE25" i="1" s="1"/>
  <c r="AE236" i="1"/>
  <c r="AE60" i="1"/>
  <c r="AE147" i="1"/>
  <c r="AD229" i="1"/>
  <c r="AD234" i="1"/>
  <c r="AD237" i="1" s="1"/>
  <c r="CW67" i="1"/>
  <c r="CW77" i="1"/>
  <c r="CW29" i="1" s="1"/>
  <c r="CW28" i="1" s="1"/>
  <c r="CX68" i="1"/>
  <c r="CW68" i="1"/>
  <c r="DA77" i="1"/>
  <c r="DA29" i="1" s="1"/>
  <c r="DB68" i="1"/>
  <c r="DA67" i="1"/>
  <c r="DA68" i="1"/>
  <c r="CW64" i="1"/>
  <c r="AD64" i="1" s="1"/>
  <c r="AD65" i="1" s="1"/>
  <c r="AD232" i="1"/>
  <c r="AB83" i="1"/>
  <c r="AB298" i="1"/>
  <c r="AB299" i="1" s="1"/>
  <c r="AB78" i="1"/>
  <c r="AB161" i="1"/>
  <c r="AB109" i="1"/>
  <c r="AB79" i="1"/>
  <c r="AD60" i="1"/>
  <c r="AD236" i="1"/>
  <c r="AD21" i="1"/>
  <c r="AD107" i="1"/>
  <c r="AD147" i="1"/>
  <c r="DA196" i="1"/>
  <c r="AE76" i="1"/>
  <c r="AE234" i="1"/>
  <c r="AE107" i="1" l="1"/>
  <c r="AE229" i="1"/>
  <c r="CS246" i="1"/>
  <c r="AD22" i="1"/>
  <c r="AD25" i="1"/>
  <c r="AE26" i="1"/>
  <c r="AD67" i="1"/>
  <c r="AD27" i="1"/>
  <c r="AC79" i="1"/>
  <c r="AC29" i="1"/>
  <c r="AC28" i="1" s="1"/>
  <c r="DA26" i="1"/>
  <c r="DA28" i="1"/>
  <c r="CT246" i="1"/>
  <c r="DA245" i="1"/>
  <c r="DB245" i="1"/>
  <c r="CX244" i="1"/>
  <c r="CX246" i="1" s="1"/>
  <c r="CW244" i="1"/>
  <c r="CW205" i="1"/>
  <c r="AE22" i="1"/>
  <c r="CW245" i="1"/>
  <c r="AE237" i="1"/>
  <c r="AE238" i="1" s="1"/>
  <c r="CK168" i="1"/>
  <c r="CK241" i="1"/>
  <c r="CK243" i="1" s="1"/>
  <c r="CK247" i="1" s="1"/>
  <c r="CK261" i="1" s="1"/>
  <c r="DA83" i="1"/>
  <c r="DB298" i="1"/>
  <c r="DB299" i="1" s="1"/>
  <c r="DA79" i="1"/>
  <c r="DA78" i="1"/>
  <c r="DA298" i="1"/>
  <c r="DA299" i="1" s="1"/>
  <c r="DA80" i="1"/>
  <c r="DB161" i="1"/>
  <c r="DA274" i="1"/>
  <c r="DB274" i="1"/>
  <c r="DA161" i="1"/>
  <c r="DB80" i="1"/>
  <c r="DA280" i="1"/>
  <c r="DA281" i="1" s="1"/>
  <c r="CW83" i="1"/>
  <c r="CX298" i="1"/>
  <c r="CX299" i="1" s="1"/>
  <c r="CW280" i="1"/>
  <c r="CW281" i="1" s="1"/>
  <c r="CX274" i="1"/>
  <c r="CW274" i="1"/>
  <c r="CZ274" i="1"/>
  <c r="CW79" i="1"/>
  <c r="CZ161" i="1"/>
  <c r="CW161" i="1"/>
  <c r="CY274" i="1"/>
  <c r="CX80" i="1"/>
  <c r="CW78" i="1"/>
  <c r="CX161" i="1"/>
  <c r="CY161" i="1"/>
  <c r="CW298" i="1"/>
  <c r="CW299" i="1" s="1"/>
  <c r="CW80" i="1"/>
  <c r="AE66" i="1"/>
  <c r="AE108" i="1"/>
  <c r="AE77" i="1"/>
  <c r="AE29" i="1" s="1"/>
  <c r="AE28" i="1" s="1"/>
  <c r="AD108" i="1"/>
  <c r="AD66" i="1"/>
  <c r="AE67" i="1"/>
  <c r="AD77" i="1"/>
  <c r="AD29" i="1" s="1"/>
  <c r="DA244" i="1"/>
  <c r="DB244" i="1"/>
  <c r="DA205" i="1"/>
  <c r="AD238" i="1"/>
  <c r="AC83" i="1"/>
  <c r="AC298" i="1"/>
  <c r="AC299" i="1" s="1"/>
  <c r="AC78" i="1"/>
  <c r="AC161" i="1"/>
  <c r="AC109" i="1"/>
  <c r="AD28" i="1" l="1"/>
  <c r="AD26" i="1"/>
  <c r="CW246" i="1"/>
  <c r="DA246" i="1"/>
  <c r="DB246" i="1"/>
  <c r="CK169" i="1"/>
  <c r="CL255" i="1" s="1"/>
  <c r="CL253" i="1" s="1"/>
  <c r="AE83" i="1"/>
  <c r="AE298" i="1"/>
  <c r="AE299" i="1" s="1"/>
  <c r="AE161" i="1"/>
  <c r="AE109" i="1"/>
  <c r="AE78" i="1"/>
  <c r="AD83" i="1"/>
  <c r="AE79" i="1"/>
  <c r="AD109" i="1"/>
  <c r="AD161" i="1"/>
  <c r="AD78" i="1"/>
  <c r="AD298" i="1"/>
  <c r="AD299" i="1" s="1"/>
  <c r="AD79" i="1"/>
  <c r="CK141" i="1" l="1"/>
  <c r="CK103" i="1"/>
  <c r="CG138" i="1"/>
  <c r="CK255" i="1"/>
  <c r="CK253" i="1" s="1"/>
  <c r="CK258" i="1" s="1"/>
  <c r="CK178" i="1"/>
  <c r="CK104" i="1" s="1"/>
  <c r="CK143" i="1" l="1"/>
  <c r="CK145" i="1"/>
  <c r="CK144" i="1"/>
  <c r="CK208" i="1"/>
  <c r="CK209" i="1" s="1"/>
  <c r="CK259" i="1" l="1"/>
  <c r="CL257" i="1"/>
  <c r="CL258" i="1" s="1"/>
  <c r="CL259" i="1" s="1"/>
  <c r="CK294" i="1"/>
  <c r="CK213" i="1"/>
  <c r="CK214" i="1" s="1"/>
  <c r="CK216" i="1"/>
  <c r="CK296" i="1"/>
  <c r="CK292" i="1"/>
  <c r="CK158" i="1" l="1"/>
  <c r="CK160" i="1" s="1"/>
  <c r="CK163" i="1" s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K159" i="1" l="1"/>
  <c r="CK162" i="1" s="1"/>
  <c r="AA43" i="1" l="1"/>
  <c r="AA45" i="1" s="1"/>
  <c r="CM144" i="1" l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H138" i="1"/>
  <c r="CN135" i="1" l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W136" i="1"/>
  <c r="CX136" i="1" l="1"/>
  <c r="CM257" i="1" l="1"/>
  <c r="AB257" i="1"/>
  <c r="CY136" i="1"/>
  <c r="CM85" i="1" l="1"/>
  <c r="CZ136" i="1"/>
  <c r="DA136" i="1" l="1"/>
  <c r="CM300" i="1"/>
  <c r="CM87" i="1"/>
  <c r="CM88" i="1" l="1"/>
  <c r="CM90" i="1" s="1"/>
  <c r="DB136" i="1"/>
  <c r="CM91" i="1" l="1"/>
  <c r="CM293" i="1" s="1"/>
  <c r="CM97" i="1"/>
  <c r="CM282" i="1"/>
  <c r="CM93" i="1"/>
  <c r="CM92" i="1"/>
  <c r="CM275" i="1"/>
  <c r="CM241" i="1" l="1"/>
  <c r="CM243" i="1" s="1"/>
  <c r="CM247" i="1" s="1"/>
  <c r="CM261" i="1" s="1"/>
  <c r="CM115" i="1"/>
  <c r="CM168" i="1"/>
  <c r="CM169" i="1" l="1"/>
  <c r="CM118" i="1"/>
  <c r="CI138" i="1" l="1"/>
  <c r="CM127" i="1"/>
  <c r="CM134" i="1"/>
  <c r="CM119" i="1"/>
  <c r="CM128" i="1"/>
  <c r="CM178" i="1"/>
  <c r="CM104" i="1" s="1"/>
  <c r="CM255" i="1"/>
  <c r="CM253" i="1" s="1"/>
  <c r="CM258" i="1" s="1"/>
  <c r="CM141" i="1"/>
  <c r="CM143" i="1" s="1"/>
  <c r="CM103" i="1"/>
  <c r="CM208" i="1" l="1"/>
  <c r="CM209" i="1" s="1"/>
  <c r="CM259" i="1" s="1"/>
  <c r="CM157" i="1"/>
  <c r="CM131" i="1"/>
  <c r="CM156" i="1"/>
  <c r="CM130" i="1"/>
  <c r="CM294" i="1" l="1"/>
  <c r="CN257" i="1"/>
  <c r="CM296" i="1"/>
  <c r="CM216" i="1"/>
  <c r="CM213" i="1"/>
  <c r="CM214" i="1" s="1"/>
  <c r="CM292" i="1"/>
  <c r="CN85" i="1" l="1"/>
  <c r="CM158" i="1"/>
  <c r="CM159" i="1" l="1"/>
  <c r="CM162" i="1" s="1"/>
  <c r="CM160" i="1"/>
  <c r="CM163" i="1" s="1"/>
  <c r="CN87" i="1"/>
  <c r="CN300" i="1"/>
  <c r="CN88" i="1" l="1"/>
  <c r="CN90" i="1" l="1"/>
  <c r="CN92" i="1" l="1"/>
  <c r="CN282" i="1"/>
  <c r="CN97" i="1"/>
  <c r="CN91" i="1"/>
  <c r="CN293" i="1" s="1"/>
  <c r="CN93" i="1"/>
  <c r="CN275" i="1"/>
  <c r="CN115" i="1" l="1"/>
  <c r="CN241" i="1"/>
  <c r="CN243" i="1" s="1"/>
  <c r="CN247" i="1" s="1"/>
  <c r="CN261" i="1" s="1"/>
  <c r="CN168" i="1"/>
  <c r="CN169" i="1" l="1"/>
  <c r="CN118" i="1"/>
  <c r="CN141" i="1" l="1"/>
  <c r="CN143" i="1" s="1"/>
  <c r="CN255" i="1"/>
  <c r="CN253" i="1" s="1"/>
  <c r="CN258" i="1" s="1"/>
  <c r="CN178" i="1"/>
  <c r="CN104" i="1" s="1"/>
  <c r="CN103" i="1"/>
  <c r="CN134" i="1"/>
  <c r="CN119" i="1"/>
  <c r="CJ138" i="1"/>
  <c r="CN127" i="1"/>
  <c r="CN128" i="1"/>
  <c r="CN208" i="1" l="1"/>
  <c r="CN209" i="1" s="1"/>
  <c r="CN259" i="1" s="1"/>
  <c r="CN131" i="1"/>
  <c r="CN157" i="1"/>
  <c r="CN156" i="1"/>
  <c r="CN130" i="1"/>
  <c r="CO257" i="1" l="1"/>
  <c r="CN216" i="1"/>
  <c r="CN213" i="1"/>
  <c r="CN214" i="1" s="1"/>
  <c r="CN294" i="1"/>
  <c r="CN296" i="1"/>
  <c r="CN292" i="1"/>
  <c r="CO85" i="1" l="1"/>
  <c r="CN158" i="1"/>
  <c r="CN159" i="1" l="1"/>
  <c r="CN162" i="1" s="1"/>
  <c r="CN160" i="1"/>
  <c r="CN163" i="1" s="1"/>
  <c r="CO300" i="1"/>
  <c r="CO87" i="1"/>
  <c r="CO88" i="1" l="1"/>
  <c r="CO90" i="1" l="1"/>
  <c r="CO92" i="1" l="1"/>
  <c r="CO97" i="1"/>
  <c r="CO93" i="1"/>
  <c r="CO91" i="1"/>
  <c r="CO293" i="1" s="1"/>
  <c r="CO282" i="1"/>
  <c r="CO275" i="1"/>
  <c r="CO241" i="1" l="1"/>
  <c r="CO243" i="1" s="1"/>
  <c r="CO247" i="1" s="1"/>
  <c r="CO261" i="1" s="1"/>
  <c r="CO115" i="1"/>
  <c r="CO168" i="1"/>
  <c r="CO169" i="1" l="1"/>
  <c r="CO118" i="1"/>
  <c r="CK138" i="1" s="1"/>
  <c r="CO134" i="1" l="1"/>
  <c r="CO127" i="1"/>
  <c r="CO119" i="1"/>
  <c r="CO128" i="1"/>
  <c r="CO141" i="1"/>
  <c r="CO143" i="1" s="1"/>
  <c r="CO255" i="1"/>
  <c r="CO253" i="1" s="1"/>
  <c r="CO258" i="1" s="1"/>
  <c r="CO178" i="1"/>
  <c r="CO104" i="1" s="1"/>
  <c r="CO103" i="1"/>
  <c r="CO208" i="1" l="1"/>
  <c r="CO209" i="1" s="1"/>
  <c r="CO259" i="1" s="1"/>
  <c r="CO157" i="1"/>
  <c r="CO131" i="1"/>
  <c r="CO156" i="1"/>
  <c r="CO130" i="1"/>
  <c r="CO294" i="1" l="1"/>
  <c r="CO213" i="1"/>
  <c r="CO214" i="1" s="1"/>
  <c r="CP257" i="1"/>
  <c r="CO216" i="1"/>
  <c r="CO296" i="1"/>
  <c r="CO292" i="1"/>
  <c r="CP85" i="1" l="1"/>
  <c r="CO158" i="1"/>
  <c r="CO159" i="1" l="1"/>
  <c r="CO162" i="1" s="1"/>
  <c r="CO160" i="1"/>
  <c r="CO163" i="1" s="1"/>
  <c r="CP300" i="1"/>
  <c r="CP87" i="1"/>
  <c r="AB85" i="1"/>
  <c r="AB300" i="1" l="1"/>
  <c r="AB86" i="1"/>
  <c r="AB87" i="1"/>
  <c r="CP88" i="1"/>
  <c r="AB88" i="1" s="1"/>
  <c r="AB89" i="1" l="1"/>
  <c r="CP90" i="1"/>
  <c r="AB90" i="1"/>
  <c r="AB110" i="1" l="1"/>
  <c r="AB97" i="1"/>
  <c r="AB91" i="1"/>
  <c r="AB293" i="1" s="1"/>
  <c r="AB92" i="1"/>
  <c r="CP97" i="1"/>
  <c r="CP91" i="1"/>
  <c r="CP293" i="1" s="1"/>
  <c r="CP93" i="1"/>
  <c r="CP282" i="1"/>
  <c r="CP92" i="1"/>
  <c r="CP275" i="1"/>
  <c r="CP115" i="1" l="1"/>
  <c r="CP241" i="1"/>
  <c r="CP243" i="1" s="1"/>
  <c r="CP247" i="1" s="1"/>
  <c r="CP261" i="1" s="1"/>
  <c r="CP168" i="1"/>
  <c r="AB241" i="1"/>
  <c r="AB243" i="1" s="1"/>
  <c r="AB247" i="1" s="1"/>
  <c r="AB261" i="1" s="1"/>
  <c r="AB100" i="1"/>
  <c r="AB101" i="1" s="1"/>
  <c r="AB168" i="1" l="1"/>
  <c r="AB169" i="1" s="1"/>
  <c r="CP169" i="1"/>
  <c r="CP118" i="1"/>
  <c r="CL138" i="1" s="1"/>
  <c r="CP127" i="1" l="1"/>
  <c r="CP134" i="1"/>
  <c r="CP128" i="1"/>
  <c r="CP119" i="1"/>
  <c r="CP255" i="1"/>
  <c r="CP253" i="1" s="1"/>
  <c r="CP258" i="1" s="1"/>
  <c r="CP141" i="1"/>
  <c r="CP143" i="1" s="1"/>
  <c r="CP178" i="1"/>
  <c r="CP104" i="1" s="1"/>
  <c r="CP103" i="1"/>
  <c r="AB178" i="1"/>
  <c r="AB104" i="1" s="1"/>
  <c r="AB255" i="1"/>
  <c r="AB253" i="1" s="1"/>
  <c r="AB258" i="1" s="1"/>
  <c r="AB223" i="1"/>
  <c r="AB103" i="1"/>
  <c r="CP131" i="1" l="1"/>
  <c r="CP157" i="1"/>
  <c r="AB128" i="1"/>
  <c r="CP208" i="1"/>
  <c r="CP130" i="1"/>
  <c r="CP156" i="1"/>
  <c r="AB127" i="1"/>
  <c r="CP209" i="1" l="1"/>
  <c r="AB208" i="1"/>
  <c r="AB209" i="1" s="1"/>
  <c r="AB131" i="1"/>
  <c r="AB130" i="1"/>
  <c r="AC257" i="1" l="1"/>
  <c r="AB216" i="1"/>
  <c r="AB158" i="1" s="1"/>
  <c r="AB296" i="1"/>
  <c r="AB294" i="1"/>
  <c r="AB213" i="1"/>
  <c r="AB214" i="1" s="1"/>
  <c r="AB292" i="1"/>
  <c r="AB259" i="1"/>
  <c r="CP213" i="1"/>
  <c r="CP214" i="1" s="1"/>
  <c r="CP216" i="1"/>
  <c r="CP296" i="1"/>
  <c r="CQ257" i="1"/>
  <c r="CP294" i="1"/>
  <c r="CP292" i="1"/>
  <c r="CP259" i="1"/>
  <c r="CP158" i="1" l="1"/>
  <c r="CQ85" i="1"/>
  <c r="CQ300" i="1" l="1"/>
  <c r="CQ87" i="1"/>
  <c r="CP160" i="1"/>
  <c r="CP163" i="1" s="1"/>
  <c r="CP159" i="1"/>
  <c r="CP162" i="1" s="1"/>
  <c r="CQ88" i="1" l="1"/>
  <c r="CQ90" i="1" s="1"/>
  <c r="CQ92" i="1" l="1"/>
  <c r="CQ282" i="1"/>
  <c r="CQ97" i="1"/>
  <c r="CQ91" i="1"/>
  <c r="CQ293" i="1" s="1"/>
  <c r="CQ93" i="1"/>
  <c r="CQ275" i="1"/>
  <c r="CQ115" i="1" l="1"/>
  <c r="CQ241" i="1"/>
  <c r="CQ243" i="1" s="1"/>
  <c r="CQ247" i="1" s="1"/>
  <c r="CQ261" i="1" s="1"/>
  <c r="CQ168" i="1"/>
  <c r="CQ169" i="1" l="1"/>
  <c r="CQ118" i="1"/>
  <c r="CQ134" i="1" l="1"/>
  <c r="CQ127" i="1"/>
  <c r="CQ128" i="1"/>
  <c r="CQ119" i="1"/>
  <c r="CQ141" i="1"/>
  <c r="CQ143" i="1" s="1"/>
  <c r="CQ255" i="1"/>
  <c r="CQ253" i="1" s="1"/>
  <c r="CQ258" i="1" s="1"/>
  <c r="CQ178" i="1"/>
  <c r="CQ104" i="1" s="1"/>
  <c r="CQ103" i="1"/>
  <c r="CQ208" i="1" l="1"/>
  <c r="CQ209" i="1" s="1"/>
  <c r="CQ157" i="1"/>
  <c r="CQ131" i="1"/>
  <c r="CQ156" i="1"/>
  <c r="CQ130" i="1"/>
  <c r="CR257" i="1" l="1"/>
  <c r="CQ213" i="1"/>
  <c r="CQ214" i="1" s="1"/>
  <c r="CQ294" i="1"/>
  <c r="CQ296" i="1"/>
  <c r="CQ216" i="1"/>
  <c r="CQ292" i="1"/>
  <c r="CQ259" i="1"/>
  <c r="CQ158" i="1" l="1"/>
  <c r="CR85" i="1"/>
  <c r="CR87" i="1" l="1"/>
  <c r="CR300" i="1"/>
  <c r="CQ159" i="1"/>
  <c r="CQ162" i="1" s="1"/>
  <c r="CQ160" i="1"/>
  <c r="CQ163" i="1" s="1"/>
  <c r="CR88" i="1" l="1"/>
  <c r="CR90" i="1" l="1"/>
  <c r="CR92" i="1" l="1"/>
  <c r="CR97" i="1"/>
  <c r="CR91" i="1"/>
  <c r="CR293" i="1" s="1"/>
  <c r="CR282" i="1"/>
  <c r="CR93" i="1"/>
  <c r="CR275" i="1"/>
  <c r="CR115" i="1" l="1"/>
  <c r="CR241" i="1"/>
  <c r="CR243" i="1" s="1"/>
  <c r="CR247" i="1" s="1"/>
  <c r="CR261" i="1" s="1"/>
  <c r="CR168" i="1"/>
  <c r="CR169" i="1" l="1"/>
  <c r="CR118" i="1"/>
  <c r="CR127" i="1" l="1"/>
  <c r="CR134" i="1"/>
  <c r="CR128" i="1"/>
  <c r="CR119" i="1"/>
  <c r="CR255" i="1"/>
  <c r="CR253" i="1" s="1"/>
  <c r="CR258" i="1" s="1"/>
  <c r="CR178" i="1"/>
  <c r="CR104" i="1" s="1"/>
  <c r="CR141" i="1"/>
  <c r="CR143" i="1" s="1"/>
  <c r="CR103" i="1"/>
  <c r="CR208" i="1" l="1"/>
  <c r="CR209" i="1" s="1"/>
  <c r="CR259" i="1" s="1"/>
  <c r="CR131" i="1"/>
  <c r="CR157" i="1"/>
  <c r="CR156" i="1"/>
  <c r="CR130" i="1"/>
  <c r="CS257" i="1" l="1"/>
  <c r="CR294" i="1"/>
  <c r="CR296" i="1"/>
  <c r="CR216" i="1"/>
  <c r="CR213" i="1"/>
  <c r="CR214" i="1" s="1"/>
  <c r="CR292" i="1"/>
  <c r="CS85" i="1" l="1"/>
  <c r="CR158" i="1"/>
  <c r="CR159" i="1" l="1"/>
  <c r="CR162" i="1" s="1"/>
  <c r="CR160" i="1"/>
  <c r="CR163" i="1" s="1"/>
  <c r="CS300" i="1"/>
  <c r="CS87" i="1"/>
  <c r="CS88" i="1" l="1"/>
  <c r="CS90" i="1" s="1"/>
  <c r="CS97" i="1" l="1"/>
  <c r="CS93" i="1"/>
  <c r="CS91" i="1"/>
  <c r="CS293" i="1" s="1"/>
  <c r="CS92" i="1"/>
  <c r="CS282" i="1"/>
  <c r="CS275" i="1"/>
  <c r="CS115" i="1" l="1"/>
  <c r="CS241" i="1"/>
  <c r="CS243" i="1" s="1"/>
  <c r="CS247" i="1" s="1"/>
  <c r="CS261" i="1" s="1"/>
  <c r="CS168" i="1"/>
  <c r="CS169" i="1" l="1"/>
  <c r="CS118" i="1"/>
  <c r="CS127" i="1" l="1"/>
  <c r="CS134" i="1"/>
  <c r="CS128" i="1"/>
  <c r="CS119" i="1"/>
  <c r="CS141" i="1"/>
  <c r="CS143" i="1" s="1"/>
  <c r="CS255" i="1"/>
  <c r="CS253" i="1" s="1"/>
  <c r="CS258" i="1" s="1"/>
  <c r="CS178" i="1"/>
  <c r="CS104" i="1" s="1"/>
  <c r="CS103" i="1"/>
  <c r="CS208" i="1" l="1"/>
  <c r="CS209" i="1" s="1"/>
  <c r="CS259" i="1" s="1"/>
  <c r="CS131" i="1"/>
  <c r="CS157" i="1"/>
  <c r="CS130" i="1"/>
  <c r="CS156" i="1"/>
  <c r="CS213" i="1" l="1"/>
  <c r="CS214" i="1" s="1"/>
  <c r="CS216" i="1"/>
  <c r="CS296" i="1"/>
  <c r="CT257" i="1"/>
  <c r="CS294" i="1"/>
  <c r="CS292" i="1"/>
  <c r="CT85" i="1" l="1"/>
  <c r="CS158" i="1"/>
  <c r="CS159" i="1" l="1"/>
  <c r="CS162" i="1" s="1"/>
  <c r="CS160" i="1"/>
  <c r="CS163" i="1" s="1"/>
  <c r="CT300" i="1"/>
  <c r="CT87" i="1"/>
  <c r="AC85" i="1"/>
  <c r="AC300" i="1" l="1"/>
  <c r="AC86" i="1"/>
  <c r="AC87" i="1"/>
  <c r="CT88" i="1"/>
  <c r="AC88" i="1" s="1"/>
  <c r="AC89" i="1" l="1"/>
  <c r="CT90" i="1"/>
  <c r="CT275" i="1" s="1"/>
  <c r="AC90" i="1"/>
  <c r="CT282" i="1" l="1"/>
  <c r="CT97" i="1"/>
  <c r="CT115" i="1" s="1"/>
  <c r="CT92" i="1"/>
  <c r="CT91" i="1"/>
  <c r="CT293" i="1" s="1"/>
  <c r="CT93" i="1"/>
  <c r="AC91" i="1"/>
  <c r="AC293" i="1" s="1"/>
  <c r="AC97" i="1"/>
  <c r="AC110" i="1"/>
  <c r="AC92" i="1"/>
  <c r="CT168" i="1" l="1"/>
  <c r="CT241" i="1"/>
  <c r="CT243" i="1" s="1"/>
  <c r="CT247" i="1" s="1"/>
  <c r="CT261" i="1" s="1"/>
  <c r="AC100" i="1"/>
  <c r="AC101" i="1" s="1"/>
  <c r="AC241" i="1"/>
  <c r="AC243" i="1" s="1"/>
  <c r="AC247" i="1" s="1"/>
  <c r="AC261" i="1" s="1"/>
  <c r="CT118" i="1"/>
  <c r="CT169" i="1" l="1"/>
  <c r="AC168" i="1"/>
  <c r="AC169" i="1" s="1"/>
  <c r="CT134" i="1"/>
  <c r="CT127" i="1"/>
  <c r="CT128" i="1"/>
  <c r="CT119" i="1"/>
  <c r="CT141" i="1" l="1"/>
  <c r="CT143" i="1" s="1"/>
  <c r="CT255" i="1"/>
  <c r="CT253" i="1" s="1"/>
  <c r="CT258" i="1" s="1"/>
  <c r="CT208" i="1" s="1"/>
  <c r="CT178" i="1"/>
  <c r="CT104" i="1" s="1"/>
  <c r="CT103" i="1"/>
  <c r="AC178" i="1"/>
  <c r="AC104" i="1" s="1"/>
  <c r="AC103" i="1"/>
  <c r="AC255" i="1"/>
  <c r="AC253" i="1" s="1"/>
  <c r="AC258" i="1" s="1"/>
  <c r="AC223" i="1"/>
  <c r="CT157" i="1"/>
  <c r="CT131" i="1"/>
  <c r="AC128" i="1"/>
  <c r="CT156" i="1"/>
  <c r="CT130" i="1"/>
  <c r="AC127" i="1"/>
  <c r="AC131" i="1" l="1"/>
  <c r="AC208" i="1"/>
  <c r="AC209" i="1" s="1"/>
  <c r="CT209" i="1"/>
  <c r="AC130" i="1"/>
  <c r="AC294" i="1" l="1"/>
  <c r="AC296" i="1"/>
  <c r="AC213" i="1"/>
  <c r="AC214" i="1" s="1"/>
  <c r="AC216" i="1"/>
  <c r="AC158" i="1" s="1"/>
  <c r="AD257" i="1"/>
  <c r="AC292" i="1"/>
  <c r="AC259" i="1"/>
  <c r="CT213" i="1"/>
  <c r="CT214" i="1" s="1"/>
  <c r="CT294" i="1"/>
  <c r="CU257" i="1"/>
  <c r="CT296" i="1"/>
  <c r="CT216" i="1"/>
  <c r="CT292" i="1"/>
  <c r="CT259" i="1"/>
  <c r="CU85" i="1" l="1"/>
  <c r="CT158" i="1"/>
  <c r="CT160" i="1" l="1"/>
  <c r="CT163" i="1" s="1"/>
  <c r="CT159" i="1"/>
  <c r="CT162" i="1" s="1"/>
  <c r="CU87" i="1"/>
  <c r="CU300" i="1"/>
  <c r="CU88" i="1" l="1"/>
  <c r="CU90" i="1" s="1"/>
  <c r="CU93" i="1" l="1"/>
  <c r="CU92" i="1"/>
  <c r="CU97" i="1"/>
  <c r="CU91" i="1"/>
  <c r="CU293" i="1" s="1"/>
  <c r="CU282" i="1"/>
  <c r="CU275" i="1"/>
  <c r="CU115" i="1" l="1"/>
  <c r="CU241" i="1"/>
  <c r="CU243" i="1" s="1"/>
  <c r="CU247" i="1" s="1"/>
  <c r="CU261" i="1" s="1"/>
  <c r="CU168" i="1"/>
  <c r="CU169" i="1" l="1"/>
  <c r="CU118" i="1"/>
  <c r="CU134" i="1" l="1"/>
  <c r="CU127" i="1"/>
  <c r="CU128" i="1"/>
  <c r="CU119" i="1"/>
  <c r="CU255" i="1"/>
  <c r="CU253" i="1" s="1"/>
  <c r="CU258" i="1" s="1"/>
  <c r="CU178" i="1"/>
  <c r="CU104" i="1" s="1"/>
  <c r="CU141" i="1"/>
  <c r="CU143" i="1" s="1"/>
  <c r="CU103" i="1"/>
  <c r="CU208" i="1" l="1"/>
  <c r="CU209" i="1" s="1"/>
  <c r="CU259" i="1" s="1"/>
  <c r="CU131" i="1"/>
  <c r="CU157" i="1"/>
  <c r="CU130" i="1"/>
  <c r="CU156" i="1"/>
  <c r="CV257" i="1" l="1"/>
  <c r="CU213" i="1"/>
  <c r="CU214" i="1" s="1"/>
  <c r="CU294" i="1"/>
  <c r="CU296" i="1"/>
  <c r="CU216" i="1"/>
  <c r="CU292" i="1"/>
  <c r="CV85" i="1" l="1"/>
  <c r="CU158" i="1"/>
  <c r="CU159" i="1" l="1"/>
  <c r="CU162" i="1" s="1"/>
  <c r="CU160" i="1"/>
  <c r="CU163" i="1" s="1"/>
  <c r="CV87" i="1"/>
  <c r="CV300" i="1"/>
  <c r="CV88" i="1" l="1"/>
  <c r="CV90" i="1" l="1"/>
  <c r="CV97" i="1" l="1"/>
  <c r="CV92" i="1"/>
  <c r="CV93" i="1"/>
  <c r="CV282" i="1"/>
  <c r="CV91" i="1"/>
  <c r="CV293" i="1" s="1"/>
  <c r="CV275" i="1"/>
  <c r="CV241" i="1" l="1"/>
  <c r="CV243" i="1" s="1"/>
  <c r="CV247" i="1" s="1"/>
  <c r="CV261" i="1" s="1"/>
  <c r="CV115" i="1"/>
  <c r="CV168" i="1"/>
  <c r="CV118" i="1" l="1"/>
  <c r="CV169" i="1"/>
  <c r="CV127" i="1" l="1"/>
  <c r="CV134" i="1"/>
  <c r="CV128" i="1"/>
  <c r="CV119" i="1"/>
  <c r="CV178" i="1"/>
  <c r="CV104" i="1" s="1"/>
  <c r="CV141" i="1"/>
  <c r="CV143" i="1" s="1"/>
  <c r="CV255" i="1"/>
  <c r="CV253" i="1" s="1"/>
  <c r="CV258" i="1" s="1"/>
  <c r="CV103" i="1"/>
  <c r="CV131" i="1" l="1"/>
  <c r="CV157" i="1"/>
  <c r="CV208" i="1"/>
  <c r="CV209" i="1" s="1"/>
  <c r="CV259" i="1" s="1"/>
  <c r="CV130" i="1"/>
  <c r="CV156" i="1"/>
  <c r="CV296" i="1" l="1"/>
  <c r="CV294" i="1"/>
  <c r="CV216" i="1"/>
  <c r="CW257" i="1"/>
  <c r="CV213" i="1"/>
  <c r="CV214" i="1" s="1"/>
  <c r="CV292" i="1"/>
  <c r="CW85" i="1" l="1"/>
  <c r="CV158" i="1"/>
  <c r="CV159" i="1" l="1"/>
  <c r="CV162" i="1" s="1"/>
  <c r="CV160" i="1"/>
  <c r="CV163" i="1" s="1"/>
  <c r="CW300" i="1"/>
  <c r="CW87" i="1"/>
  <c r="CW88" i="1" l="1"/>
  <c r="CW90" i="1" s="1"/>
  <c r="CW91" i="1" l="1"/>
  <c r="CW293" i="1" s="1"/>
  <c r="CW282" i="1"/>
  <c r="CW92" i="1"/>
  <c r="CW97" i="1"/>
  <c r="CW93" i="1"/>
  <c r="CW275" i="1"/>
  <c r="CW115" i="1" l="1"/>
  <c r="CW241" i="1"/>
  <c r="CW243" i="1" s="1"/>
  <c r="CW247" i="1" s="1"/>
  <c r="CW261" i="1" s="1"/>
  <c r="CW168" i="1"/>
  <c r="CW169" i="1" l="1"/>
  <c r="CW118" i="1"/>
  <c r="CW134" i="1" l="1"/>
  <c r="CW127" i="1"/>
  <c r="CW128" i="1"/>
  <c r="CW119" i="1"/>
  <c r="CW255" i="1"/>
  <c r="CW253" i="1" s="1"/>
  <c r="CW258" i="1" s="1"/>
  <c r="CW141" i="1"/>
  <c r="CW143" i="1" s="1"/>
  <c r="CW178" i="1"/>
  <c r="CW104" i="1" s="1"/>
  <c r="CW103" i="1"/>
  <c r="CW208" i="1" l="1"/>
  <c r="CW209" i="1" s="1"/>
  <c r="CW131" i="1"/>
  <c r="CW157" i="1"/>
  <c r="CW156" i="1"/>
  <c r="CW130" i="1"/>
  <c r="CW294" i="1" l="1"/>
  <c r="CW213" i="1"/>
  <c r="CW214" i="1" s="1"/>
  <c r="CX257" i="1"/>
  <c r="CW216" i="1"/>
  <c r="CW296" i="1"/>
  <c r="CW292" i="1"/>
  <c r="CW259" i="1"/>
  <c r="CX85" i="1" l="1"/>
  <c r="CW158" i="1"/>
  <c r="CW159" i="1" l="1"/>
  <c r="CW162" i="1" s="1"/>
  <c r="CW160" i="1"/>
  <c r="CW163" i="1" s="1"/>
  <c r="CX300" i="1"/>
  <c r="CX87" i="1"/>
  <c r="AD85" i="1"/>
  <c r="CX88" i="1" l="1"/>
  <c r="AD86" i="1"/>
  <c r="AD300" i="1"/>
  <c r="AD87" i="1"/>
  <c r="AD88" i="1" l="1"/>
  <c r="CX90" i="1"/>
  <c r="CX275" i="1" s="1"/>
  <c r="AD89" i="1" l="1"/>
  <c r="AD90" i="1"/>
  <c r="AD92" i="1" s="1"/>
  <c r="CX91" i="1"/>
  <c r="CX293" i="1" s="1"/>
  <c r="CX92" i="1"/>
  <c r="CX282" i="1"/>
  <c r="CX97" i="1"/>
  <c r="CX115" i="1" s="1"/>
  <c r="CX93" i="1"/>
  <c r="CX241" i="1" l="1"/>
  <c r="CX243" i="1" s="1"/>
  <c r="CX247" i="1" s="1"/>
  <c r="CX261" i="1" s="1"/>
  <c r="CX168" i="1"/>
  <c r="AD168" i="1" s="1"/>
  <c r="AD169" i="1" s="1"/>
  <c r="AD91" i="1"/>
  <c r="AD293" i="1" s="1"/>
  <c r="AD110" i="1"/>
  <c r="AD97" i="1"/>
  <c r="CX118" i="1"/>
  <c r="CX169" i="1" l="1"/>
  <c r="CX141" i="1" s="1"/>
  <c r="CX143" i="1" s="1"/>
  <c r="AD241" i="1"/>
  <c r="AD243" i="1" s="1"/>
  <c r="AD247" i="1" s="1"/>
  <c r="AD261" i="1" s="1"/>
  <c r="AD100" i="1"/>
  <c r="AD101" i="1" s="1"/>
  <c r="CX134" i="1"/>
  <c r="CX127" i="1"/>
  <c r="CX128" i="1"/>
  <c r="CX119" i="1"/>
  <c r="AD223" i="1"/>
  <c r="AD178" i="1"/>
  <c r="AD104" i="1" s="1"/>
  <c r="AD255" i="1"/>
  <c r="AD253" i="1" s="1"/>
  <c r="AD103" i="1"/>
  <c r="CX103" i="1" l="1"/>
  <c r="CX255" i="1"/>
  <c r="CX253" i="1" s="1"/>
  <c r="CX258" i="1" s="1"/>
  <c r="CX178" i="1"/>
  <c r="CX104" i="1" s="1"/>
  <c r="AD258" i="1"/>
  <c r="CX157" i="1"/>
  <c r="CX131" i="1"/>
  <c r="AD128" i="1"/>
  <c r="CX130" i="1"/>
  <c r="CX156" i="1"/>
  <c r="AD127" i="1"/>
  <c r="CX208" i="1" l="1"/>
  <c r="AD131" i="1"/>
  <c r="AD130" i="1"/>
  <c r="CX209" i="1" l="1"/>
  <c r="AD208" i="1"/>
  <c r="AD209" i="1" s="1"/>
  <c r="CX213" i="1" l="1"/>
  <c r="CX214" i="1" s="1"/>
  <c r="CX296" i="1"/>
  <c r="CX216" i="1"/>
  <c r="CY257" i="1"/>
  <c r="CX294" i="1"/>
  <c r="CX292" i="1"/>
  <c r="CX259" i="1"/>
  <c r="AD296" i="1"/>
  <c r="AD216" i="1"/>
  <c r="AD158" i="1" s="1"/>
  <c r="AE257" i="1"/>
  <c r="AD213" i="1"/>
  <c r="AD214" i="1" s="1"/>
  <c r="AD292" i="1"/>
  <c r="AD259" i="1"/>
  <c r="AD294" i="1"/>
  <c r="CX158" i="1" l="1"/>
  <c r="CY85" i="1"/>
  <c r="CY87" i="1"/>
  <c r="CY300" i="1"/>
  <c r="CX159" i="1" l="1"/>
  <c r="CX162" i="1" s="1"/>
  <c r="CX160" i="1"/>
  <c r="CX163" i="1" s="1"/>
  <c r="CY88" i="1"/>
  <c r="CY90" i="1" s="1"/>
  <c r="CY93" i="1" l="1"/>
  <c r="CY92" i="1"/>
  <c r="CY97" i="1"/>
  <c r="CY282" i="1"/>
  <c r="CY91" i="1"/>
  <c r="CY293" i="1" s="1"/>
  <c r="CY275" i="1"/>
  <c r="CY115" i="1" l="1"/>
  <c r="CY241" i="1"/>
  <c r="CY243" i="1" s="1"/>
  <c r="CY247" i="1" s="1"/>
  <c r="CY261" i="1" s="1"/>
  <c r="CY168" i="1"/>
  <c r="CY169" i="1" l="1"/>
  <c r="CY118" i="1"/>
  <c r="CY178" i="1" l="1"/>
  <c r="CY104" i="1" s="1"/>
  <c r="CY141" i="1"/>
  <c r="CY143" i="1" s="1"/>
  <c r="CY255" i="1"/>
  <c r="CY253" i="1" s="1"/>
  <c r="CY258" i="1" s="1"/>
  <c r="CY103" i="1"/>
  <c r="CY134" i="1"/>
  <c r="CY127" i="1"/>
  <c r="CY128" i="1"/>
  <c r="CY119" i="1"/>
  <c r="CY156" i="1" l="1"/>
  <c r="CY130" i="1"/>
  <c r="CY131" i="1"/>
  <c r="CY157" i="1"/>
  <c r="CY208" i="1"/>
  <c r="CY209" i="1" s="1"/>
  <c r="CY259" i="1" s="1"/>
  <c r="CZ257" i="1" l="1"/>
  <c r="CY213" i="1"/>
  <c r="CY214" i="1" s="1"/>
  <c r="CY294" i="1"/>
  <c r="CY296" i="1"/>
  <c r="CY216" i="1"/>
  <c r="CY292" i="1"/>
  <c r="CZ85" i="1" l="1"/>
  <c r="CY158" i="1"/>
  <c r="CY160" i="1" l="1"/>
  <c r="CY163" i="1" s="1"/>
  <c r="CY159" i="1"/>
  <c r="CY162" i="1" s="1"/>
  <c r="CZ87" i="1"/>
  <c r="CZ300" i="1"/>
  <c r="CZ88" i="1" l="1"/>
  <c r="CZ90" i="1" l="1"/>
  <c r="CZ91" i="1" l="1"/>
  <c r="CZ293" i="1" s="1"/>
  <c r="CZ97" i="1"/>
  <c r="CZ92" i="1"/>
  <c r="CZ282" i="1"/>
  <c r="CZ93" i="1"/>
  <c r="CZ275" i="1"/>
  <c r="CZ115" i="1" l="1"/>
  <c r="CZ241" i="1"/>
  <c r="CZ243" i="1" s="1"/>
  <c r="CZ247" i="1" s="1"/>
  <c r="CZ261" i="1" s="1"/>
  <c r="CZ168" i="1"/>
  <c r="CZ169" i="1" l="1"/>
  <c r="CZ118" i="1"/>
  <c r="CZ134" i="1" l="1"/>
  <c r="CZ127" i="1"/>
  <c r="CZ128" i="1"/>
  <c r="CZ119" i="1"/>
  <c r="CZ178" i="1"/>
  <c r="CZ104" i="1" s="1"/>
  <c r="CZ141" i="1"/>
  <c r="CZ143" i="1" s="1"/>
  <c r="CZ255" i="1"/>
  <c r="CZ253" i="1" s="1"/>
  <c r="CZ258" i="1" s="1"/>
  <c r="CZ103" i="1"/>
  <c r="CZ157" i="1" l="1"/>
  <c r="CZ131" i="1"/>
  <c r="CZ208" i="1"/>
  <c r="CZ209" i="1" s="1"/>
  <c r="CZ130" i="1"/>
  <c r="CZ156" i="1"/>
  <c r="CZ296" i="1" l="1"/>
  <c r="CZ213" i="1"/>
  <c r="CZ214" i="1" s="1"/>
  <c r="CZ294" i="1"/>
  <c r="DA257" i="1"/>
  <c r="CZ216" i="1"/>
  <c r="CZ292" i="1"/>
  <c r="CZ259" i="1"/>
  <c r="DA85" i="1" l="1"/>
  <c r="CZ158" i="1"/>
  <c r="CZ159" i="1" l="1"/>
  <c r="CZ162" i="1" s="1"/>
  <c r="CZ160" i="1"/>
  <c r="CZ163" i="1" s="1"/>
  <c r="DA300" i="1"/>
  <c r="DA87" i="1"/>
  <c r="DA88" i="1" l="1"/>
  <c r="DA90" i="1" s="1"/>
  <c r="DA282" i="1" l="1"/>
  <c r="DA97" i="1"/>
  <c r="DA91" i="1"/>
  <c r="DA293" i="1" s="1"/>
  <c r="DA93" i="1"/>
  <c r="DA92" i="1"/>
  <c r="DA275" i="1"/>
  <c r="DA115" i="1" l="1"/>
  <c r="DA241" i="1"/>
  <c r="DA243" i="1" s="1"/>
  <c r="DA247" i="1" s="1"/>
  <c r="DA261" i="1" s="1"/>
  <c r="DA168" i="1"/>
  <c r="DA169" i="1" l="1"/>
  <c r="DA118" i="1"/>
  <c r="DA134" i="1" l="1"/>
  <c r="DA127" i="1"/>
  <c r="DA128" i="1"/>
  <c r="DA119" i="1"/>
  <c r="DA178" i="1"/>
  <c r="DA104" i="1" s="1"/>
  <c r="DA141" i="1"/>
  <c r="DA143" i="1" s="1"/>
  <c r="DA255" i="1"/>
  <c r="DA253" i="1" s="1"/>
  <c r="DA258" i="1" s="1"/>
  <c r="DA103" i="1"/>
  <c r="DA208" i="1" l="1"/>
  <c r="DA209" i="1" s="1"/>
  <c r="DA157" i="1"/>
  <c r="DA131" i="1"/>
  <c r="DA156" i="1"/>
  <c r="DA130" i="1"/>
  <c r="DA296" i="1" l="1"/>
  <c r="DA216" i="1"/>
  <c r="DA213" i="1"/>
  <c r="DA214" i="1" s="1"/>
  <c r="DA294" i="1"/>
  <c r="DB257" i="1"/>
  <c r="DA292" i="1"/>
  <c r="DA259" i="1"/>
  <c r="DB85" i="1" l="1"/>
  <c r="DA158" i="1"/>
  <c r="DA160" i="1" l="1"/>
  <c r="DA163" i="1" s="1"/>
  <c r="DA159" i="1"/>
  <c r="DA162" i="1" s="1"/>
  <c r="DB300" i="1"/>
  <c r="DB87" i="1"/>
  <c r="AE85" i="1"/>
  <c r="AE86" i="1" l="1"/>
  <c r="AE300" i="1"/>
  <c r="AE87" i="1"/>
  <c r="DB88" i="1"/>
  <c r="AE88" i="1" s="1"/>
  <c r="AE89" i="1" l="1"/>
  <c r="AE90" i="1"/>
  <c r="DB90" i="1"/>
  <c r="DB92" i="1" l="1"/>
  <c r="DB282" i="1"/>
  <c r="DB91" i="1"/>
  <c r="DB293" i="1" s="1"/>
  <c r="DB97" i="1"/>
  <c r="DB93" i="1"/>
  <c r="DB275" i="1"/>
  <c r="AE97" i="1"/>
  <c r="AE110" i="1"/>
  <c r="AE91" i="1"/>
  <c r="AE293" i="1" s="1"/>
  <c r="AE92" i="1"/>
  <c r="AE100" i="1" l="1"/>
  <c r="AE101" i="1" s="1"/>
  <c r="AE241" i="1"/>
  <c r="AE243" i="1" s="1"/>
  <c r="AE247" i="1" s="1"/>
  <c r="AE261" i="1" s="1"/>
  <c r="DB241" i="1"/>
  <c r="DB243" i="1" s="1"/>
  <c r="DB247" i="1" s="1"/>
  <c r="DB261" i="1" s="1"/>
  <c r="DB115" i="1"/>
  <c r="DB118" i="1" s="1"/>
  <c r="DB168" i="1"/>
  <c r="DB134" i="1" l="1"/>
  <c r="DB127" i="1"/>
  <c r="DB128" i="1"/>
  <c r="DB119" i="1"/>
  <c r="AE168" i="1"/>
  <c r="AE169" i="1" s="1"/>
  <c r="DB169" i="1"/>
  <c r="AE223" i="1" l="1"/>
  <c r="AE255" i="1"/>
  <c r="AE253" i="1" s="1"/>
  <c r="AE258" i="1" s="1"/>
  <c r="AE178" i="1"/>
  <c r="AE104" i="1" s="1"/>
  <c r="AE103" i="1"/>
  <c r="DB178" i="1"/>
  <c r="DB104" i="1" s="1"/>
  <c r="DB255" i="1"/>
  <c r="DB253" i="1" s="1"/>
  <c r="DB258" i="1" s="1"/>
  <c r="DB141" i="1"/>
  <c r="DB143" i="1" s="1"/>
  <c r="DB103" i="1"/>
  <c r="DB131" i="1"/>
  <c r="DB157" i="1"/>
  <c r="AE128" i="1"/>
  <c r="DB156" i="1"/>
  <c r="DB130" i="1"/>
  <c r="AE127" i="1"/>
  <c r="AE131" i="1" l="1"/>
  <c r="DB208" i="1"/>
  <c r="AE130" i="1"/>
  <c r="DB209" i="1" l="1"/>
  <c r="AE208" i="1"/>
  <c r="AE209" i="1" s="1"/>
  <c r="AE213" i="1" l="1"/>
  <c r="AE214" i="1" s="1"/>
  <c r="AE216" i="1"/>
  <c r="AE158" i="1" s="1"/>
  <c r="AE296" i="1"/>
  <c r="AE294" i="1"/>
  <c r="AE292" i="1"/>
  <c r="AE259" i="1"/>
  <c r="DB296" i="1"/>
  <c r="DB216" i="1"/>
  <c r="DB158" i="1" s="1"/>
  <c r="DB294" i="1"/>
  <c r="DB213" i="1"/>
  <c r="DB214" i="1" s="1"/>
  <c r="DB292" i="1"/>
  <c r="DB259" i="1"/>
  <c r="DB160" i="1" l="1"/>
  <c r="DB163" i="1" s="1"/>
  <c r="DB159" i="1"/>
  <c r="DB162" i="1" s="1"/>
  <c r="AA112" i="1" l="1"/>
  <c r="AB112" i="1"/>
  <c r="AA114" i="1"/>
  <c r="AA115" i="1"/>
  <c r="AA118" i="1"/>
  <c r="AA119" i="1"/>
  <c r="AA134" i="1"/>
  <c r="AA157" i="1"/>
  <c r="AA160" i="1"/>
  <c r="AA136" i="1"/>
  <c r="AA156" i="1"/>
  <c r="AA159" i="1"/>
  <c r="AA162" i="1"/>
  <c r="AA135" i="1"/>
  <c r="AA163" i="1"/>
  <c r="AA141" i="1"/>
  <c r="AA148" i="1"/>
  <c r="AA144" i="1"/>
  <c r="AA145" i="1"/>
  <c r="AA143" i="1"/>
  <c r="AA152" i="1"/>
  <c r="AA151" i="1"/>
  <c r="AA153" i="1"/>
  <c r="AA117" i="1"/>
  <c r="AA113" i="1"/>
  <c r="AB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AC113" i="1"/>
  <c r="AD113" i="1"/>
  <c r="AE113" i="1"/>
  <c r="AB114" i="1"/>
  <c r="Z112" i="1"/>
  <c r="AC112" i="1"/>
  <c r="Y112" i="1"/>
  <c r="Z114" i="1"/>
  <c r="AC114" i="1"/>
  <c r="AD112" i="1"/>
  <c r="Z157" i="1"/>
  <c r="Z160" i="1"/>
  <c r="Z163" i="1"/>
  <c r="Z148" i="1"/>
  <c r="Z156" i="1"/>
  <c r="Z159" i="1"/>
  <c r="Z162" i="1"/>
  <c r="Z141" i="1"/>
  <c r="Z115" i="1"/>
  <c r="X112" i="1"/>
  <c r="Y114" i="1"/>
  <c r="AD114" i="1"/>
  <c r="AE112" i="1"/>
  <c r="AE114" i="1"/>
  <c r="Y157" i="1"/>
  <c r="Y160" i="1"/>
  <c r="Y163" i="1"/>
  <c r="Y156" i="1"/>
  <c r="Y159" i="1"/>
  <c r="Y162" i="1"/>
  <c r="Y141" i="1"/>
  <c r="Y148" i="1"/>
  <c r="Y115" i="1"/>
  <c r="W112" i="1"/>
  <c r="V112" i="1"/>
  <c r="U112" i="1"/>
  <c r="T112" i="1"/>
  <c r="S112" i="1"/>
  <c r="R112" i="1"/>
  <c r="Q112" i="1"/>
  <c r="P112" i="1"/>
  <c r="O112" i="1"/>
  <c r="N112" i="1"/>
  <c r="M112" i="1"/>
  <c r="Z152" i="1"/>
  <c r="N114" i="1"/>
  <c r="Y153" i="1"/>
  <c r="W114" i="1"/>
  <c r="AB141" i="1"/>
  <c r="L112" i="1"/>
  <c r="R114" i="1"/>
  <c r="R141" i="1"/>
  <c r="R144" i="1"/>
  <c r="K112" i="1"/>
  <c r="J112" i="1"/>
  <c r="I112" i="1"/>
  <c r="H112" i="1"/>
  <c r="G112" i="1"/>
  <c r="F112" i="1"/>
  <c r="F114" i="1"/>
  <c r="V114" i="1"/>
  <c r="T114" i="1"/>
  <c r="O114" i="1"/>
  <c r="O141" i="1"/>
  <c r="Q114" i="1"/>
  <c r="Q156" i="1"/>
  <c r="Y152" i="1"/>
  <c r="AC157" i="1"/>
  <c r="T141" i="1"/>
  <c r="AC115" i="1"/>
  <c r="AE156" i="1"/>
  <c r="R157" i="1"/>
  <c r="R160" i="1"/>
  <c r="R163" i="1"/>
  <c r="X114" i="1"/>
  <c r="X115" i="1"/>
  <c r="Y117" i="1"/>
  <c r="N141" i="1"/>
  <c r="U114" i="1"/>
  <c r="AB115" i="1"/>
  <c r="Z118" i="1"/>
  <c r="Y144" i="1"/>
  <c r="Z143" i="1"/>
  <c r="W148" i="1"/>
  <c r="K114" i="1"/>
  <c r="P114" i="1"/>
  <c r="P115" i="1"/>
  <c r="P118" i="1"/>
  <c r="K148" i="1"/>
  <c r="M114" i="1"/>
  <c r="M115" i="1"/>
  <c r="J114" i="1"/>
  <c r="R115" i="1"/>
  <c r="V115" i="1"/>
  <c r="O115" i="1"/>
  <c r="S114" i="1"/>
  <c r="L114" i="1"/>
  <c r="Q115" i="1"/>
  <c r="U115" i="1"/>
  <c r="U118" i="1"/>
  <c r="U119" i="1"/>
  <c r="M117" i="1"/>
  <c r="K157" i="1"/>
  <c r="U136" i="1"/>
  <c r="T115" i="1"/>
  <c r="T118" i="1"/>
  <c r="T134" i="1"/>
  <c r="V117" i="1"/>
  <c r="S148" i="1"/>
  <c r="S115" i="1"/>
  <c r="S118" i="1"/>
  <c r="S134" i="1"/>
  <c r="H114" i="1"/>
  <c r="H115" i="1"/>
  <c r="H118" i="1"/>
  <c r="F157" i="1"/>
  <c r="L115" i="1"/>
  <c r="L118" i="1"/>
  <c r="L135" i="1"/>
  <c r="P148" i="1"/>
  <c r="S141" i="1"/>
  <c r="AB143" i="1"/>
  <c r="P157" i="1"/>
  <c r="J148" i="1"/>
  <c r="AC156" i="1"/>
  <c r="T143" i="1"/>
  <c r="X148" i="1"/>
  <c r="X152" i="1"/>
  <c r="Z138" i="1"/>
  <c r="Z119" i="1"/>
  <c r="K160" i="1"/>
  <c r="AE115" i="1"/>
  <c r="Z144" i="1"/>
  <c r="G114" i="1"/>
  <c r="G148" i="1"/>
  <c r="G153" i="1"/>
  <c r="X141" i="1"/>
  <c r="S157" i="1"/>
  <c r="R156" i="1"/>
  <c r="M141" i="1"/>
  <c r="P153" i="1"/>
  <c r="O118" i="1"/>
  <c r="K153" i="1"/>
  <c r="J115" i="1"/>
  <c r="J118" i="1"/>
  <c r="J134" i="1"/>
  <c r="K156" i="1"/>
  <c r="L136" i="1"/>
  <c r="T135" i="1"/>
  <c r="K151" i="1"/>
  <c r="F115" i="1"/>
  <c r="F118" i="1"/>
  <c r="F136" i="1"/>
  <c r="AD148" i="1"/>
  <c r="Z153" i="1"/>
  <c r="K163" i="1"/>
  <c r="T144" i="1"/>
  <c r="V156" i="1"/>
  <c r="W152" i="1"/>
  <c r="P136" i="1"/>
  <c r="N157" i="1"/>
  <c r="M156" i="1"/>
  <c r="I138" i="1"/>
  <c r="AC148" i="1"/>
  <c r="AB156" i="1"/>
  <c r="Z151" i="1"/>
  <c r="AB117" i="1"/>
  <c r="L141" i="1"/>
  <c r="N148" i="1"/>
  <c r="N153" i="1"/>
  <c r="J153" i="1"/>
  <c r="AC159" i="1"/>
  <c r="AD115" i="1"/>
  <c r="AD118" i="1"/>
  <c r="AD136" i="1"/>
  <c r="O134" i="1"/>
  <c r="AB144" i="1"/>
  <c r="J141" i="1"/>
  <c r="AC138" i="1"/>
  <c r="AD151" i="1"/>
  <c r="I114" i="1"/>
  <c r="I115" i="1"/>
  <c r="I118" i="1"/>
  <c r="I135" i="1"/>
  <c r="X144" i="1"/>
  <c r="P156" i="1"/>
  <c r="P159" i="1"/>
  <c r="P162" i="1"/>
  <c r="Y138" i="1"/>
  <c r="S151" i="1"/>
  <c r="L134" i="1"/>
  <c r="N143" i="1"/>
  <c r="O135" i="1"/>
  <c r="L144" i="1"/>
  <c r="O144" i="1"/>
  <c r="N156" i="1"/>
  <c r="Y145" i="1"/>
  <c r="AD141" i="1"/>
  <c r="E112" i="1"/>
  <c r="E114" i="1"/>
  <c r="E156" i="1"/>
  <c r="E159" i="1"/>
  <c r="Q159" i="1"/>
  <c r="AC141" i="1"/>
  <c r="AE141" i="1"/>
  <c r="AC143" i="1"/>
  <c r="AC118" i="1"/>
  <c r="AD156" i="1"/>
  <c r="AB148" i="1"/>
  <c r="X118" i="1"/>
  <c r="X136" i="1"/>
  <c r="AC119" i="1"/>
  <c r="V157" i="1"/>
  <c r="U148" i="1"/>
  <c r="AB118" i="1"/>
  <c r="AB119" i="1"/>
  <c r="T157" i="1"/>
  <c r="O148" i="1"/>
  <c r="K115" i="1"/>
  <c r="M118" i="1"/>
  <c r="R118" i="1"/>
  <c r="V118" i="1"/>
  <c r="K118" i="1"/>
  <c r="Q118" i="1"/>
  <c r="L117" i="1"/>
  <c r="E115" i="1"/>
  <c r="O117" i="1"/>
  <c r="Q117" i="1"/>
  <c r="H117" i="1"/>
  <c r="M134" i="1"/>
  <c r="F134" i="1"/>
  <c r="W115" i="1"/>
  <c r="L157" i="1"/>
  <c r="AB157" i="1"/>
  <c r="Q119" i="1"/>
  <c r="V135" i="1"/>
  <c r="AD145" i="1"/>
  <c r="Q157" i="1"/>
  <c r="H157" i="1"/>
  <c r="H160" i="1"/>
  <c r="F160" i="1"/>
  <c r="F163" i="1"/>
  <c r="O143" i="1"/>
  <c r="J157" i="1"/>
  <c r="Z145" i="1"/>
  <c r="I119" i="1"/>
  <c r="O152" i="1"/>
  <c r="AE144" i="1"/>
  <c r="K141" i="1"/>
  <c r="M119" i="1"/>
  <c r="G157" i="1"/>
  <c r="Z135" i="1"/>
  <c r="I156" i="1"/>
  <c r="W141" i="1"/>
  <c r="X135" i="1"/>
  <c r="AB152" i="1"/>
  <c r="AE157" i="1"/>
  <c r="N115" i="1"/>
  <c r="N118" i="1"/>
  <c r="N136" i="1"/>
  <c r="W156" i="1"/>
  <c r="W159" i="1"/>
  <c r="W162" i="1"/>
  <c r="W153" i="1"/>
  <c r="N144" i="1"/>
  <c r="X145" i="1"/>
  <c r="Y151" i="1"/>
  <c r="M157" i="1"/>
  <c r="P117" i="1"/>
  <c r="E138" i="1"/>
  <c r="P152" i="1"/>
  <c r="T138" i="1"/>
  <c r="F135" i="1"/>
  <c r="S136" i="1"/>
  <c r="X157" i="1"/>
  <c r="Y143" i="1"/>
  <c r="H163" i="1"/>
  <c r="AE160" i="1"/>
  <c r="P134" i="1"/>
  <c r="O153" i="1"/>
  <c r="R136" i="1"/>
  <c r="M159" i="1"/>
  <c r="W118" i="1"/>
  <c r="N145" i="1"/>
  <c r="T156" i="1"/>
  <c r="T159" i="1"/>
  <c r="H136" i="1"/>
  <c r="AD143" i="1"/>
  <c r="P141" i="1"/>
  <c r="I141" i="1"/>
  <c r="I143" i="1"/>
  <c r="K144" i="1"/>
  <c r="H138" i="1"/>
  <c r="G160" i="1"/>
  <c r="G163" i="1"/>
  <c r="J119" i="1"/>
  <c r="AB160" i="1"/>
  <c r="X153" i="1"/>
  <c r="N159" i="1"/>
  <c r="N162" i="1"/>
  <c r="R148" i="1"/>
  <c r="X119" i="1"/>
  <c r="AB151" i="1"/>
  <c r="N119" i="1"/>
  <c r="S156" i="1"/>
  <c r="AC162" i="1"/>
  <c r="AD119" i="1"/>
  <c r="Z117" i="1"/>
  <c r="N135" i="1"/>
  <c r="R145" i="1"/>
  <c r="G151" i="1"/>
  <c r="V159" i="1"/>
  <c r="X160" i="1"/>
  <c r="X143" i="1"/>
  <c r="S153" i="1"/>
  <c r="Q160" i="1"/>
  <c r="T145" i="1"/>
  <c r="P143" i="1"/>
  <c r="F141" i="1"/>
  <c r="AE117" i="1"/>
  <c r="I157" i="1"/>
  <c r="I160" i="1"/>
  <c r="M143" i="1"/>
  <c r="T148" i="1"/>
  <c r="U157" i="1"/>
  <c r="K159" i="1"/>
  <c r="N152" i="1"/>
  <c r="V160" i="1"/>
  <c r="V163" i="1"/>
  <c r="T151" i="1"/>
  <c r="AB159" i="1"/>
  <c r="R151" i="1"/>
  <c r="AC117" i="1"/>
  <c r="H119" i="1"/>
  <c r="R117" i="1"/>
  <c r="K119" i="1"/>
  <c r="P135" i="1"/>
  <c r="L138" i="1"/>
  <c r="AB163" i="1"/>
  <c r="AB136" i="1"/>
  <c r="AB135" i="1"/>
  <c r="K145" i="1"/>
  <c r="G141" i="1"/>
  <c r="G143" i="1"/>
  <c r="R134" i="1"/>
  <c r="H135" i="1"/>
  <c r="X117" i="1"/>
  <c r="L143" i="1"/>
  <c r="M138" i="1"/>
  <c r="W119" i="1"/>
  <c r="AC151" i="1"/>
  <c r="T153" i="1"/>
  <c r="O156" i="1"/>
  <c r="O159" i="1"/>
  <c r="O162" i="1"/>
  <c r="E157" i="1"/>
  <c r="E160" i="1"/>
  <c r="E163" i="1"/>
  <c r="T152" i="1"/>
  <c r="AB162" i="1"/>
  <c r="N151" i="1"/>
  <c r="G145" i="1"/>
  <c r="G144" i="1"/>
  <c r="AE118" i="1"/>
  <c r="AE119" i="1"/>
  <c r="AE134" i="1"/>
  <c r="I163" i="1"/>
  <c r="AD138" i="1"/>
  <c r="AE136" i="1"/>
  <c r="AE163" i="1"/>
  <c r="W157" i="1"/>
  <c r="W160" i="1"/>
  <c r="W163" i="1"/>
  <c r="J160" i="1"/>
  <c r="J163" i="1"/>
  <c r="AE135" i="1"/>
  <c r="V148" i="1"/>
  <c r="X156" i="1"/>
  <c r="S145" i="1"/>
  <c r="V153" i="1"/>
  <c r="G115" i="1"/>
  <c r="G118" i="1"/>
  <c r="R159" i="1"/>
  <c r="S144" i="1"/>
  <c r="AC135" i="1"/>
  <c r="AD159" i="1"/>
  <c r="AD162" i="1"/>
  <c r="W117" i="1"/>
  <c r="S135" i="1"/>
  <c r="I144" i="1"/>
  <c r="S119" i="1"/>
  <c r="AC153" i="1"/>
  <c r="F138" i="1"/>
  <c r="L156" i="1"/>
  <c r="L159" i="1"/>
  <c r="L162" i="1"/>
  <c r="X159" i="1"/>
  <c r="X162" i="1"/>
  <c r="AD153" i="1"/>
  <c r="K138" i="1"/>
  <c r="H134" i="1"/>
  <c r="F145" i="1"/>
  <c r="E141" i="1"/>
  <c r="AC160" i="1"/>
  <c r="L119" i="1"/>
  <c r="T119" i="1"/>
  <c r="F119" i="1"/>
  <c r="Z134" i="1"/>
  <c r="G136" i="1"/>
  <c r="J152" i="1"/>
  <c r="AC134" i="1"/>
  <c r="M144" i="1"/>
  <c r="F144" i="1"/>
  <c r="AC144" i="1"/>
  <c r="P145" i="1"/>
  <c r="T117" i="1"/>
  <c r="V152" i="1"/>
  <c r="J145" i="1"/>
  <c r="G119" i="1"/>
  <c r="J143" i="1"/>
  <c r="AD135" i="1"/>
  <c r="S159" i="1"/>
  <c r="S162" i="1"/>
  <c r="E148" i="1"/>
  <c r="E151" i="1"/>
  <c r="V151" i="1"/>
  <c r="V162" i="1"/>
  <c r="X163" i="1"/>
  <c r="J156" i="1"/>
  <c r="J159" i="1"/>
  <c r="J162" i="1"/>
  <c r="Q163" i="1"/>
  <c r="AD134" i="1"/>
  <c r="J144" i="1"/>
  <c r="E153" i="1"/>
  <c r="F143" i="1"/>
  <c r="AC152" i="1"/>
  <c r="R162" i="1"/>
  <c r="E143" i="1"/>
  <c r="G135" i="1"/>
  <c r="E144" i="1"/>
  <c r="G134" i="1"/>
  <c r="AC163" i="1"/>
  <c r="E145" i="1"/>
  <c r="H156" i="1"/>
  <c r="K143" i="1"/>
  <c r="W145" i="1"/>
  <c r="AE148" i="1"/>
  <c r="AD157" i="1"/>
  <c r="U153" i="1"/>
  <c r="N134" i="1"/>
  <c r="T136" i="1"/>
  <c r="Q134" i="1"/>
  <c r="T160" i="1"/>
  <c r="S160" i="1"/>
  <c r="U141" i="1"/>
  <c r="U117" i="1"/>
  <c r="U135" i="1"/>
  <c r="M148" i="1"/>
  <c r="E118" i="1"/>
  <c r="I117" i="1"/>
  <c r="W151" i="1"/>
  <c r="O151" i="1"/>
  <c r="O136" i="1"/>
  <c r="G117" i="1"/>
  <c r="P119" i="1"/>
  <c r="O138" i="1"/>
  <c r="G138" i="1"/>
  <c r="M152" i="1"/>
  <c r="R138" i="1"/>
  <c r="I148" i="1"/>
  <c r="L148" i="1"/>
  <c r="Q148" i="1"/>
  <c r="U134" i="1"/>
  <c r="L153" i="1"/>
  <c r="K134" i="1"/>
  <c r="F156" i="1"/>
  <c r="M151" i="1"/>
  <c r="O145" i="1"/>
  <c r="M160" i="1"/>
  <c r="S143" i="1"/>
  <c r="AD152" i="1"/>
  <c r="S152" i="1"/>
  <c r="Y118" i="1"/>
  <c r="AE159" i="1"/>
  <c r="I134" i="1"/>
  <c r="Q136" i="1"/>
  <c r="O157" i="1"/>
  <c r="U138" i="1"/>
  <c r="J136" i="1"/>
  <c r="N160" i="1"/>
  <c r="M162" i="1"/>
  <c r="W136" i="1"/>
  <c r="T163" i="1"/>
  <c r="L151" i="1"/>
  <c r="H141" i="1"/>
  <c r="F159" i="1"/>
  <c r="Q141" i="1"/>
  <c r="AA138" i="1"/>
  <c r="H148" i="1"/>
  <c r="O160" i="1"/>
  <c r="E119" i="1"/>
  <c r="Q162" i="1"/>
  <c r="U156" i="1"/>
  <c r="AB145" i="1"/>
  <c r="AB153" i="1"/>
  <c r="W138" i="1"/>
  <c r="G156" i="1"/>
  <c r="G159" i="1"/>
  <c r="R143" i="1"/>
  <c r="F148" i="1"/>
  <c r="AC145" i="1"/>
  <c r="AE145" i="1"/>
  <c r="I136" i="1"/>
  <c r="L160" i="1"/>
  <c r="L163" i="1"/>
  <c r="J138" i="1"/>
  <c r="Q135" i="1"/>
  <c r="J135" i="1"/>
  <c r="AD117" i="1"/>
  <c r="L145" i="1"/>
  <c r="Q145" i="1"/>
  <c r="E152" i="1"/>
  <c r="V141" i="1"/>
  <c r="P160" i="1"/>
  <c r="U152" i="1"/>
  <c r="K152" i="1"/>
  <c r="Z136" i="1"/>
  <c r="I159" i="1"/>
  <c r="J151" i="1"/>
  <c r="U160" i="1"/>
  <c r="H159" i="1"/>
  <c r="H162" i="1"/>
  <c r="O119" i="1"/>
  <c r="X151" i="1"/>
  <c r="M145" i="1"/>
  <c r="Y135" i="1"/>
  <c r="AE153" i="1"/>
  <c r="G152" i="1"/>
  <c r="R119" i="1"/>
  <c r="P151" i="1"/>
  <c r="N138" i="1"/>
  <c r="P144" i="1"/>
  <c r="V145" i="1"/>
  <c r="I145" i="1"/>
  <c r="S138" i="1"/>
  <c r="AB134" i="1"/>
  <c r="U159" i="1"/>
  <c r="U162" i="1"/>
  <c r="AC136" i="1"/>
  <c r="X134" i="1"/>
  <c r="U151" i="1"/>
  <c r="S117" i="1"/>
  <c r="E117" i="1"/>
  <c r="K136" i="1"/>
  <c r="V134" i="1"/>
  <c r="F117" i="1"/>
  <c r="K117" i="1"/>
  <c r="W143" i="1"/>
  <c r="M153" i="1"/>
  <c r="E134" i="1"/>
  <c r="J117" i="1"/>
  <c r="N117" i="1"/>
  <c r="E136" i="1"/>
  <c r="V136" i="1"/>
  <c r="M135" i="1"/>
  <c r="I153" i="1"/>
  <c r="L152" i="1"/>
  <c r="Q151" i="1"/>
  <c r="AB138" i="1"/>
  <c r="Q153" i="1"/>
  <c r="Q138" i="1"/>
  <c r="H144" i="1"/>
  <c r="E162" i="1"/>
  <c r="T162" i="1"/>
  <c r="R153" i="1"/>
  <c r="W144" i="1"/>
  <c r="G162" i="1"/>
  <c r="H151" i="1"/>
  <c r="AD144" i="1"/>
  <c r="AD160" i="1"/>
  <c r="AD163" i="1"/>
  <c r="M136" i="1"/>
  <c r="W135" i="1"/>
  <c r="AE143" i="1"/>
  <c r="Q152" i="1"/>
  <c r="P138" i="1"/>
  <c r="W134" i="1"/>
  <c r="U163" i="1"/>
  <c r="K162" i="1"/>
  <c r="V138" i="1"/>
  <c r="K135" i="1"/>
  <c r="F151" i="1"/>
  <c r="V119" i="1"/>
  <c r="R135" i="1"/>
  <c r="I152" i="1"/>
  <c r="Q143" i="1"/>
  <c r="R152" i="1"/>
  <c r="AE152" i="1"/>
  <c r="S163" i="1"/>
  <c r="I151" i="1"/>
  <c r="N163" i="1"/>
  <c r="H143" i="1"/>
  <c r="F162" i="1"/>
  <c r="E135" i="1"/>
  <c r="H152" i="1"/>
  <c r="H153" i="1"/>
  <c r="H145" i="1"/>
  <c r="AE151" i="1"/>
  <c r="F152" i="1"/>
  <c r="Q144" i="1"/>
  <c r="O163" i="1"/>
  <c r="Y136" i="1"/>
  <c r="Y134" i="1"/>
  <c r="F153" i="1"/>
  <c r="X138" i="1"/>
  <c r="AE162" i="1"/>
  <c r="I162" i="1"/>
  <c r="V143" i="1"/>
  <c r="Y119" i="1"/>
  <c r="V144" i="1"/>
  <c r="M163" i="1"/>
  <c r="U143" i="1"/>
  <c r="U145" i="1"/>
  <c r="D138" i="1"/>
  <c r="P163" i="1"/>
  <c r="U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X5" authorId="0" shapeId="0" xr:uid="{A9B28526-32AF-413A-8D53-FEA2F40CC21B}">
      <text>
        <r>
          <rPr>
            <b/>
            <sz val="9"/>
            <color indexed="81"/>
            <rFont val="Tahoma"/>
          </rPr>
          <t>dhwanil shah:</t>
        </r>
        <r>
          <rPr>
            <sz val="9"/>
            <color indexed="81"/>
            <rFont val="Tahoma"/>
          </rPr>
          <t xml:space="preserve">
15000 MT DMC and 11,100 MT Propylene Glycol</t>
        </r>
      </text>
    </comment>
    <comment ref="Z6" authorId="0" shapeId="0" xr:uid="{706AAF00-FCEC-47DF-B7AE-9E4819CE53EF}">
      <text>
        <r>
          <rPr>
            <b/>
            <sz val="9"/>
            <color indexed="81"/>
            <rFont val="Tahoma"/>
          </rPr>
          <t>dhwanil shah:</t>
        </r>
        <r>
          <rPr>
            <sz val="9"/>
            <color indexed="81"/>
            <rFont val="Tahoma"/>
          </rPr>
          <t xml:space="preserve">
added metyl amine 40000 MT.</t>
        </r>
      </text>
    </comment>
    <comment ref="CM6" authorId="0" shapeId="0" xr:uid="{347AA8AE-834E-41B5-8F70-06EF8C1EED10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DME 1 lac MT</t>
        </r>
      </text>
    </comment>
    <comment ref="CN6" authorId="0" shapeId="0" xr:uid="{307470F2-261B-42CB-B260-90F611971461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Acetonitrile - 18000 MT 9000 was old</t>
        </r>
      </text>
    </comment>
    <comment ref="CP39" authorId="0" shapeId="0" xr:uid="{06B1AC96-8C20-4A1D-80B2-F636B21BAE91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cyanide products 600 rs realisation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<sst xmlns="http://schemas.openxmlformats.org/spreadsheetml/2006/main" count="831" uniqueCount="686">
  <si>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</si>
  <si>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</si>
  <si>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</si>
  <si>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</si>
  <si>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</si>
  <si>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</si>
  <si>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</si>
  <si>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</si>
  <si>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</si>
  <si>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</si>
  <si>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</si>
  <si>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</si>
  <si>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</si>
  <si>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</si>
  <si>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</si>
  <si>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</si>
  <si>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</si>
  <si>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</si>
  <si>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</si>
  <si>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</si>
  <si>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</si>
  <si>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</si>
  <si>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</si>
  <si>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</si>
  <si>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</si>
  <si>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</si>
  <si>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</si>
  <si>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</si>
  <si>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</si>
  <si>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</si>
  <si>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</si>
  <si>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</si>
  <si>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</si>
  <si>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</si>
  <si>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</si>
  <si>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</si>
  <si>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</si>
  <si>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</si>
  <si>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</si>
  <si>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</si>
  <si>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</si>
  <si>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</si>
  <si>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</si>
  <si>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</si>
  <si>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</si>
  <si>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</si>
  <si>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</si>
  <si>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</si>
  <si>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</si>
  <si>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</si>
  <si>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</si>
  <si>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</si>
  <si>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</si>
  <si>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</si>
  <si>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</si>
  <si>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</si>
  <si>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</si>
  <si>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</si>
  <si>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</si>
  <si>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</si>
  <si>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</si>
  <si>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</si>
  <si>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</si>
  <si>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</si>
  <si>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</si>
  <si>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</si>
  <si>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</si>
  <si>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</si>
  <si>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</si>
  <si>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</si>
  <si>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</si>
  <si>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</si>
  <si>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</si>
  <si>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</si>
  <si>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</si>
  <si>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</si>
  <si>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</si>
  <si>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</si>
  <si>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</si>
  <si>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</si>
  <si>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</si>
  <si>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</si>
  <si>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</si>
  <si>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</si>
  <si>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</si>
  <si>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</si>
  <si>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</si>
  <si>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</si>
  <si>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</si>
  <si>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</si>
  <si>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</si>
  <si>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</si>
  <si>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</si>
  <si>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</si>
  <si>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</si>
  <si>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</si>
  <si>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</si>
  <si>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</si>
  <si>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</si>
  <si>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</si>
  <si>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</si>
  <si>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</si>
  <si>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</si>
  <si>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</si>
  <si>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</si>
  <si>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</si>
  <si>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</si>
  <si>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</si>
  <si>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</si>
  <si>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</si>
  <si>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</si>
  <si>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</si>
  <si>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</si>
  <si>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</si>
  <si>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</si>
  <si>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</si>
  <si>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</si>
  <si>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</si>
  <si>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</si>
  <si>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</si>
  <si>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</si>
  <si>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</si>
  <si>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</si>
  <si>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</si>
  <si>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</si>
  <si>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</si>
  <si>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</si>
  <si>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</si>
  <si>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</si>
  <si>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</si>
  <si>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</si>
  <si>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</si>
  <si>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</si>
  <si>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</si>
  <si>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</si>
  <si>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</si>
  <si>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</si>
  <si>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</si>
  <si>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</si>
  <si>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</si>
  <si>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</si>
  <si>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</si>
  <si>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</si>
  <si>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</si>
  <si>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</si>
  <si>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</si>
  <si>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</si>
  <si>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</si>
  <si>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</si>
  <si>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</si>
  <si>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</si>
  <si>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</si>
  <si>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</si>
  <si>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</si>
  <si>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</si>
  <si>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</si>
  <si>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</si>
  <si>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</si>
  <si>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</si>
  <si>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</si>
  <si>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</si>
  <si>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</si>
  <si>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</si>
  <si>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</si>
  <si>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</si>
  <si>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</si>
  <si>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</si>
  <si>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</si>
  <si>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</si>
  <si>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</si>
  <si>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</si>
  <si>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</si>
  <si>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</si>
  <si>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</si>
  <si>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</si>
  <si>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</si>
  <si>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</si>
  <si>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</si>
  <si>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</si>
  <si>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</si>
  <si>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</si>
  <si>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</si>
  <si>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</si>
  <si>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</si>
  <si>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</si>
  <si>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</si>
  <si>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</si>
  <si>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</si>
  <si>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</si>
  <si>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</si>
  <si>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</si>
  <si>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</si>
  <si>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</si>
  <si>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</si>
  <si>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</si>
  <si>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</si>
  <si>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</si>
  <si>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</si>
  <si>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</si>
  <si>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</si>
  <si>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</si>
  <si>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</si>
  <si>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</si>
  <si>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</si>
  <si>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</si>
  <si>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</si>
  <si>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</si>
  <si>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</si>
  <si>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</si>
  <si>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</si>
  <si>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</si>
  <si>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</si>
  <si>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</si>
  <si>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</si>
  <si>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</si>
  <si>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</si>
  <si>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</si>
  <si>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</si>
  <si>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</si>
  <si>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</si>
  <si>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</si>
  <si>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</si>
  <si>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</si>
  <si>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</si>
  <si>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</si>
  <si>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</si>
  <si>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</si>
  <si>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</si>
  <si>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</si>
  <si>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</si>
  <si>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</si>
  <si>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</si>
  <si>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</si>
  <si>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</si>
  <si>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</si>
  <si>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</si>
  <si>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</si>
  <si>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</si>
  <si>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</si>
  <si>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</si>
  <si>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</si>
  <si>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</si>
  <si>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</si>
  <si>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</si>
  <si>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</si>
  <si>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</si>
  <si>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</si>
  <si>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</si>
  <si>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</si>
  <si>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</si>
  <si>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</si>
  <si>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</si>
  <si>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</si>
  <si>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</si>
  <si>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</si>
  <si>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</si>
  <si>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</si>
  <si>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</si>
  <si>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</si>
  <si>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</si>
  <si>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</si>
  <si>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</si>
  <si>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</si>
  <si>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</si>
  <si>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</si>
  <si>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</si>
  <si>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</si>
  <si>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</si>
  <si>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</si>
  <si>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</si>
  <si>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</si>
  <si>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</si>
  <si>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</si>
  <si>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</si>
  <si>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</si>
  <si>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</si>
  <si>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</si>
  <si>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</si>
  <si>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</si>
  <si>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</si>
  <si>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</si>
  <si>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</si>
  <si>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</si>
  <si>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</si>
  <si>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</si>
  <si>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</si>
  <si>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</si>
  <si>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</si>
  <si>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</si>
  <si>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</si>
  <si>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</si>
  <si>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</si>
  <si>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</si>
  <si>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</si>
  <si>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</si>
  <si>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</si>
  <si>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</si>
  <si>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</si>
  <si>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</si>
  <si>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</si>
  <si>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</si>
  <si>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</si>
  <si>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</si>
  <si>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</si>
  <si>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</si>
  <si>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</si>
  <si>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</si>
  <si>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</si>
  <si>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</si>
  <si>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</si>
  <si>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</si>
  <si>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</si>
  <si>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</si>
  <si>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</si>
  <si>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</si>
  <si>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</si>
  <si>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</si>
  <si>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</si>
  <si>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</si>
  <si>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</si>
  <si>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</si>
  <si>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</si>
  <si>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</si>
  <si>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</si>
  <si>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</si>
  <si>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</si>
  <si>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</si>
  <si>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</si>
  <si>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</si>
  <si>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</si>
  <si>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</si>
  <si>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</si>
  <si>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</si>
  <si>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</si>
  <si>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</si>
  <si>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</si>
  <si>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</si>
  <si>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</si>
  <si>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</si>
  <si>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</si>
  <si>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</si>
  <si>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</si>
  <si>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</si>
  <si>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</si>
  <si>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</si>
  <si>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</si>
  <si>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</si>
  <si>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</si>
  <si>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</si>
  <si>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</si>
  <si>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</si>
  <si>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</si>
  <si>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</si>
  <si>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</si>
  <si>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</si>
  <si>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</si>
  <si>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</si>
  <si>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</si>
  <si>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</si>
  <si>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</si>
  <si>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</si>
  <si>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</si>
  <si>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</si>
  <si>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</si>
  <si>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</si>
  <si>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</si>
  <si>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</si>
  <si>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</si>
  <si>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</si>
  <si>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</si>
  <si>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</si>
  <si>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</si>
  <si>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</si>
  <si>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</si>
  <si>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</si>
  <si>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</si>
  <si>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</si>
  <si>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</si>
  <si>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</si>
  <si>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</si>
  <si>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</si>
  <si>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</si>
  <si>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</si>
  <si>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</si>
  <si>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</si>
  <si>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</si>
  <si>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</si>
  <si>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</si>
  <si>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</si>
  <si>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</si>
  <si>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</si>
  <si>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</si>
  <si>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</si>
  <si>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</si>
  <si>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</si>
  <si>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</si>
  <si>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</si>
  <si>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</si>
  <si>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</si>
  <si>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</si>
  <si>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</si>
  <si>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</si>
  <si>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</si>
  <si>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</si>
  <si>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</si>
  <si>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</si>
  <si>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</si>
  <si>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</si>
  <si>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</si>
  <si>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</si>
  <si>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</si>
  <si>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</si>
  <si>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</si>
  <si>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</si>
  <si>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</si>
  <si>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</si>
  <si>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</si>
  <si>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</si>
  <si>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</si>
  <si>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</si>
  <si>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</si>
  <si>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</si>
  <si>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</si>
  <si>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</si>
  <si>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</si>
  <si>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</si>
  <si>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</si>
  <si>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</si>
  <si>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</si>
  <si>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</si>
  <si>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</si>
  <si>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</si>
  <si>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</si>
  <si>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</si>
  <si>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</si>
  <si>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</si>
  <si>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</si>
  <si>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</si>
  <si>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</si>
  <si>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</si>
  <si>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</si>
  <si>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</si>
  <si>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</si>
  <si>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</si>
  <si>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</si>
  <si>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</si>
  <si>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</si>
  <si>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</si>
  <si>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</si>
  <si>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</si>
  <si>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</si>
  <si>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</si>
  <si>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</si>
  <si>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</si>
  <si>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</si>
  <si>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</si>
  <si>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</si>
  <si>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</si>
  <si>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</si>
  <si>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</si>
  <si>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</si>
  <si>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</si>
  <si>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</si>
  <si>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</si>
  <si>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</si>
  <si>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</si>
  <si>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</si>
  <si>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</si>
  <si>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</si>
  <si>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</si>
  <si>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</si>
  <si>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</si>
  <si>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</si>
  <si>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</si>
  <si>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</si>
  <si>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</si>
  <si>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</si>
  <si>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</si>
  <si>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</si>
  <si>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</si>
  <si>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</si>
  <si>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</si>
  <si>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</si>
  <si>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</si>
  <si>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</si>
  <si>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</si>
  <si>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</si>
  <si>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</si>
  <si>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</si>
  <si>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</si>
  <si>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</si>
  <si>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</si>
  <si>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</si>
  <si>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</si>
  <si>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</si>
  <si>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</si>
  <si>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</si>
  <si>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</si>
  <si>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</si>
  <si>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</si>
  <si>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</si>
  <si>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</si>
  <si>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</si>
  <si>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</si>
  <si>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</si>
  <si>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</si>
  <si>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</si>
  <si>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</si>
  <si>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</si>
  <si>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</si>
  <si>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</si>
  <si>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</si>
  <si>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</si>
  <si>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</si>
  <si>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</si>
  <si>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</si>
  <si>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</si>
  <si>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</si>
  <si>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</si>
  <si>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</si>
  <si>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</si>
  <si>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</si>
  <si>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Volume MT</t>
  </si>
  <si>
    <t>YOY%</t>
  </si>
  <si>
    <t>Amines</t>
  </si>
  <si>
    <t>Amines Derivatives</t>
  </si>
  <si>
    <t xml:space="preserve">Specialty Chemicals </t>
  </si>
  <si>
    <t>Realisation  MT</t>
  </si>
  <si>
    <t>Balaji Amines Ltd.</t>
  </si>
  <si>
    <t>Sales</t>
  </si>
  <si>
    <t>GP</t>
  </si>
  <si>
    <t>Raw Mat</t>
  </si>
  <si>
    <t>Other Cost</t>
  </si>
  <si>
    <t>EBIDTA</t>
  </si>
  <si>
    <t>Unit Matrix per kg</t>
  </si>
  <si>
    <t>Plant / Product</t>
  </si>
  <si>
    <t>Estimated Annual Revenue Contribution</t>
  </si>
  <si>
    <t>HCN &amp; Sodium Cyanide</t>
  </si>
  <si>
    <t>₹750 Cr</t>
  </si>
  <si>
    <t>₹1,100 – ₹1,500 Cr</t>
  </si>
  <si>
    <t>Methyl Amines (Unit IV)</t>
  </si>
  <si>
    <t>Part of prior CAPEX</t>
  </si>
  <si>
    <t>₹300 – ₹400 Cr</t>
  </si>
  <si>
    <t>Dimethyl Ether (DME)</t>
  </si>
  <si>
    <t>₹200 – ₹300 Cr</t>
  </si>
  <si>
    <t>Specialty Derivatives (NBPT/EDTA)</t>
  </si>
  <si>
    <t>Integrated</t>
  </si>
  <si>
    <t>₹150 – ₹250 Cr</t>
  </si>
  <si>
    <t>Segments</t>
  </si>
  <si>
    <t>Amine Derivatives</t>
  </si>
  <si>
    <t>Speciality Chemicals</t>
  </si>
  <si>
    <t>Spec Chem Products</t>
  </si>
  <si>
    <t>Application</t>
  </si>
  <si>
    <t>Products</t>
  </si>
  <si>
    <t>• Mono Methyl Amine (MMA)</t>
  </si>
  <si>
    <t>Di-Methyl Acetamide (DMAC)</t>
  </si>
  <si>
    <t>• Morpholine</t>
  </si>
  <si>
    <t>EDA (Ethyldiamine)</t>
  </si>
  <si>
    <t>Pesticides, Polymers</t>
  </si>
  <si>
    <t>• Di-Methyl Amine (DMA)</t>
  </si>
  <si>
    <t>• Di-Methyl Amine Hydrochloride (DMA HCL)</t>
  </si>
  <si>
    <t>• Acetonitrile</t>
  </si>
  <si>
    <t>Piprazine</t>
  </si>
  <si>
    <t>Pharma, Oilfield</t>
  </si>
  <si>
    <t>• Tri-Methyl Amine (TMA)</t>
  </si>
  <si>
    <t>• Tri-Methyl Amine Hydrochloride (TMA HCL)</t>
  </si>
  <si>
    <t>• Dimethylformamide (DMF)</t>
  </si>
  <si>
    <t>Diethyltriamine</t>
  </si>
  <si>
    <t>Coatings, Polymers, Pharma</t>
  </si>
  <si>
    <t>• Mono-Ethyl Amine (MEA)</t>
  </si>
  <si>
    <t>• Mono-Methyl Amine Hydrochloride (MMA HCL)</t>
  </si>
  <si>
    <t>• N-Ethyl-2-Pyrrolidone (NEP)</t>
  </si>
  <si>
    <t>Mixture of amines</t>
  </si>
  <si>
    <t>Multiple Industries</t>
  </si>
  <si>
    <t>• Di-Ethyl Amine (DEA)</t>
  </si>
  <si>
    <t>• Di-Ethyl Amine Hydrochloride (DEA HCL)</t>
  </si>
  <si>
    <t>• 2-Pyrrolidone (2-P)</t>
  </si>
  <si>
    <t>• Tri-Ethyl Amine (TEA)</t>
  </si>
  <si>
    <t>• Tri-Ethyl Amine Hydrochloride (TEA HCL)</t>
  </si>
  <si>
    <t>• Gamma Butyrolactone,</t>
  </si>
  <si>
    <t>• Di-Methyl Amino Ethanol (DMAE)</t>
  </si>
  <si>
    <t>• Mono-Ethyl Amine Hydrochloride (MEA HCL)</t>
  </si>
  <si>
    <t>• N-Methyl-Pyrrolidone (NMP)</t>
  </si>
  <si>
    <t>• Di-Ethyl Amino Ethanol (DEAE)</t>
  </si>
  <si>
    <t>• Di-Methyl Urea (DMU)</t>
  </si>
  <si>
    <t>• Pharmapure Povidone (PVP K30 &amp; PVP K25)</t>
  </si>
  <si>
    <t>• Choline Chloride</t>
  </si>
  <si>
    <t>End User</t>
  </si>
  <si>
    <t>Pharma, Agro, Dyestuff intermediates, Agro, Rubber Chemicals, Rocket Fuel</t>
  </si>
  <si>
    <t>Pharma, Pesticides, Speciality Chem, Animal Poultry feed, Performance chem</t>
  </si>
  <si>
    <t>Water treatment chemicals, Solvents</t>
  </si>
  <si>
    <t>Clientele</t>
  </si>
  <si>
    <t>Jubilant Life science, Dr reddy, Aurobindo, Hetero</t>
  </si>
  <si>
    <t>Sun Pharma, Venkys, Kores, USV, Wanburry</t>
  </si>
  <si>
    <t>HP, IOC, Hikal, Mylan, Zydus</t>
  </si>
  <si>
    <t>3. Key Raw Materials (The "Cost" Side)</t>
  </si>
  <si>
    <t>Since raw materials make up 60-70% of their total cost, tracking these is non-negotiable for margin forecasting.</t>
  </si>
  <si>
    <t>Methanol: The single most important raw material for the Methyl Amines and DMF chain.</t>
  </si>
  <si>
    <t>Note: Methanol prices are often correlated with global Natural Gas prices.</t>
  </si>
  <si>
    <t>Ammonia: The critical nitrogen source for all amines.</t>
  </si>
  <si>
    <t>Note: Ammonia prices are highly volatile and linked to global Fertilizer demand.</t>
  </si>
  <si>
    <t>Ethyl Alcohol (Ethanol): The primary input for the Ethyl Amines chain.</t>
  </si>
  <si>
    <t>Note: In India, this is influenced by Government Sugar/Ethanol policies.</t>
  </si>
  <si>
    <t>Capacity</t>
  </si>
  <si>
    <t>Reporting Segment</t>
  </si>
  <si>
    <t>FY22</t>
  </si>
  <si>
    <t>FY23</t>
  </si>
  <si>
    <t>FY24</t>
  </si>
  <si>
    <t>FY25</t>
  </si>
  <si>
    <t>FY26 (Current)</t>
  </si>
  <si>
    <r>
      <t>Aliphatic Amines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(Methyl &amp; Ethyl)</t>
    </r>
  </si>
  <si>
    <r>
      <t>Amine Derivatives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(DMAHCL, etc.)</t>
    </r>
  </si>
  <si>
    <r>
      <t>Specialty Chemicals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(DMC, Acetonitrile)</t>
    </r>
  </si>
  <si>
    <t>Total Nameplate Capacity (MTPA)</t>
  </si>
  <si>
    <t>Utilisation</t>
  </si>
  <si>
    <t>DME - unit 4 expected to comission in 1QFY27. applcation in Aerosol and replacement of LPG</t>
  </si>
  <si>
    <t>N methyl morphine project - capacity of 5000 MT - commisiion in FY27</t>
  </si>
  <si>
    <t>Balaji speciality - 750 crs project - hydrogen cyanide, sodium cyanide, EDTA, and advanced chemical products</t>
  </si>
  <si>
    <t>at unit 1 - brownfield project of including DETA, Teta, PIP, AEEA and AEP during first half of FY27</t>
  </si>
  <si>
    <t>Unit 2 - greenfield in chincholi to mfg HCN, Nacn expected to commission in 4QFY27</t>
  </si>
  <si>
    <t xml:space="preserve">Current standalone capacity 293,000 MT. DMF and Methyl amines running at lower utilisatons </t>
  </si>
  <si>
    <t>Expecting vol growth of 25 to 30% from current levels and EBIDTA margins to sustain at 22-23%</t>
  </si>
  <si>
    <t>DME</t>
  </si>
  <si>
    <t>Capacity  - MT</t>
  </si>
  <si>
    <t>if current situation remians we will rach 3000 crs of sales</t>
  </si>
  <si>
    <t>DME - aerosl industry uses 40,000 to 50,000 MT of gases other industry who will use this are baking, bukb and ceramic industry</t>
  </si>
  <si>
    <t xml:space="preserve">EDA- 280 to 300 prices currently it also reached 400 </t>
  </si>
  <si>
    <t>Ammoia and methanol - prices are up but availability is not the issue</t>
  </si>
  <si>
    <t>NMM</t>
  </si>
  <si>
    <t>Price</t>
  </si>
  <si>
    <t>Acetonitrile</t>
  </si>
  <si>
    <t xml:space="preserve">Capex: balaji speciality - total 750 crs of capex - in first phase will spend 350 -400 crs already spent 110 crs rest 280 crs will be spent in this year. </t>
  </si>
  <si>
    <t xml:space="preserve">In DME transport permission is still left which will take 1 months time. After that being a new product can have teething issues. FY27 - 30% utilisation, FY 28 60-80%. Conservative price of 80 rs with 80% utilisation. Have reached to all potential customers bcoz its a gas, have ordered 100 cyclinders of 500 kg each once thos trials are successful we will receive permision   </t>
  </si>
  <si>
    <t>Vol growth for FY27 - 10-15% vol growth on consol basis</t>
  </si>
  <si>
    <t>Aliphatic amine capacity</t>
  </si>
  <si>
    <t>Amine Derivative Cpacity</t>
  </si>
  <si>
    <t>Speciality chemical Capacity</t>
  </si>
  <si>
    <t xml:space="preserve">Growth </t>
  </si>
  <si>
    <t>Amines vol growth</t>
  </si>
  <si>
    <t>Amines Derivatives vol growth</t>
  </si>
  <si>
    <t>Specialty Chemicals vol growth</t>
  </si>
  <si>
    <t>Battery chemical product currently offtake has not happened due to mfg pushing their timeline. Its running at 22-25% utilisation and giving to pharma and agrochem</t>
  </si>
  <si>
    <t>elara nos</t>
  </si>
  <si>
    <t>Unit 1</t>
  </si>
  <si>
    <t>EDA</t>
  </si>
  <si>
    <t>Tetra</t>
  </si>
  <si>
    <t>pipra</t>
  </si>
  <si>
    <t>Unit 3</t>
  </si>
  <si>
    <t>MA</t>
  </si>
  <si>
    <t>NMP</t>
  </si>
  <si>
    <t>GBL</t>
  </si>
  <si>
    <t>PVPK 30</t>
  </si>
  <si>
    <t>DMF</t>
  </si>
  <si>
    <t>DMA HCL</t>
  </si>
  <si>
    <t>ACN</t>
  </si>
  <si>
    <t xml:space="preserve">Unit 4 </t>
  </si>
  <si>
    <t>DMC</t>
  </si>
  <si>
    <t>N Butyl Amine</t>
  </si>
  <si>
    <t>Ethyl Amine</t>
  </si>
  <si>
    <t>Unit 4 New</t>
  </si>
  <si>
    <t>Sodium cyanide</t>
  </si>
  <si>
    <t>EDTA</t>
  </si>
  <si>
    <t>MT Pa</t>
  </si>
  <si>
    <t>Per Day - MT</t>
  </si>
  <si>
    <t>Speciality Chem - volume and model accordingly with - minority interest</t>
  </si>
  <si>
    <t>Subsidiary Volume</t>
  </si>
  <si>
    <t>Standalone EBIDTA</t>
  </si>
  <si>
    <t>Standalone PAT</t>
  </si>
  <si>
    <t xml:space="preserve">Standalone Sales </t>
  </si>
  <si>
    <t>Standalone GP</t>
  </si>
  <si>
    <t>Standalone GM</t>
  </si>
  <si>
    <t>Standalone EBIDTA Margins</t>
  </si>
  <si>
    <t xml:space="preserve">Subsidiary Sales </t>
  </si>
  <si>
    <t>Subsidiary GP</t>
  </si>
  <si>
    <t>Subsidiary EBIDTA</t>
  </si>
  <si>
    <t>Subsidiary PAT</t>
  </si>
  <si>
    <t>Subsidiary GM</t>
  </si>
  <si>
    <t>Subsidiary EBIDTA Margins</t>
  </si>
  <si>
    <t>Minority Int</t>
  </si>
  <si>
    <t>Minority Int %</t>
  </si>
  <si>
    <t>Subsidiary Sales per kg</t>
  </si>
  <si>
    <t>Subsidiary GP per kg</t>
  </si>
  <si>
    <t>Subsidiary EBIDTA per kg</t>
  </si>
  <si>
    <t xml:space="preserve">Capacity </t>
  </si>
  <si>
    <t>Subsidiary Int Dep tax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</si>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</sst>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i/>
      <sz val="11"/>
      <color rgb="FF1F1F1F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3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9" fillId="2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9" fontId="9" fillId="7" borderId="0" xfId="1" applyFont="1" applyFill="1" applyAlignment="1">
      <alignment horizontal="right"/>
    </xf>
    <xf numFmtId="9" fontId="9" fillId="0" borderId="0" xfId="1" applyFont="1" applyAlignment="1">
      <alignment horizontal="right"/>
    </xf>
    <xf numFmtId="9" fontId="9" fillId="0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  <xf numFmtId="9" fontId="20" fillId="2" borderId="0" xfId="1" applyFont="1" applyFill="1" applyAlignment="1">
      <alignment horizontal="left"/>
    </xf>
    <xf numFmtId="165" fontId="20" fillId="2" borderId="0" xfId="1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165" fontId="20" fillId="2" borderId="0" xfId="2" applyNumberFormat="1" applyFont="1" applyFill="1" applyAlignment="1">
      <alignment horizontal="right"/>
    </xf>
    <xf numFmtId="43" fontId="20" fillId="2" borderId="0" xfId="1" applyNumberFormat="1" applyFont="1" applyFill="1" applyAlignment="1">
      <alignment horizontal="right"/>
    </xf>
    <xf numFmtId="0" fontId="22" fillId="0" borderId="5" xfId="0" applyFont="1" applyBorder="1" applyAlignment="1">
      <alignment horizontal="left" vertical="center" readingOrder="1"/>
    </xf>
    <xf numFmtId="0" fontId="22" fillId="0" borderId="5" xfId="0" applyFont="1" applyBorder="1" applyAlignment="1">
      <alignment vertical="center" readingOrder="1"/>
    </xf>
    <xf numFmtId="0" fontId="23" fillId="0" borderId="0" xfId="0" applyFont="1"/>
    <xf numFmtId="165" fontId="23" fillId="0" borderId="0" xfId="2" applyNumberFormat="1" applyFont="1" applyAlignment="1"/>
    <xf numFmtId="0" fontId="24" fillId="0" borderId="0" xfId="0" applyFont="1"/>
    <xf numFmtId="0" fontId="24" fillId="0" borderId="6" xfId="0" applyFont="1" applyBorder="1"/>
    <xf numFmtId="0" fontId="23" fillId="0" borderId="7" xfId="0" applyFont="1" applyBorder="1"/>
    <xf numFmtId="0" fontId="24" fillId="0" borderId="7" xfId="0" applyFont="1" applyBorder="1"/>
    <xf numFmtId="0" fontId="23" fillId="0" borderId="8" xfId="0" applyFont="1" applyBorder="1"/>
    <xf numFmtId="0" fontId="25" fillId="0" borderId="5" xfId="0" applyFont="1" applyBorder="1" applyAlignment="1">
      <alignment horizontal="left" vertical="center" readingOrder="1"/>
    </xf>
    <xf numFmtId="0" fontId="25" fillId="0" borderId="5" xfId="0" applyFont="1" applyBorder="1" applyAlignment="1">
      <alignment vertical="center" readingOrder="1"/>
    </xf>
    <xf numFmtId="0" fontId="26" fillId="0" borderId="0" xfId="0" applyFont="1"/>
    <xf numFmtId="0" fontId="27" fillId="0" borderId="5" xfId="0" applyFont="1" applyBorder="1" applyAlignment="1">
      <alignment horizontal="left" vertical="center" readingOrder="1"/>
    </xf>
    <xf numFmtId="3" fontId="21" fillId="0" borderId="5" xfId="0" applyNumberFormat="1" applyFont="1" applyBorder="1" applyAlignment="1">
      <alignment horizontal="left" vertical="center" readingOrder="1"/>
    </xf>
    <xf numFmtId="3" fontId="21" fillId="0" borderId="5" xfId="0" applyNumberFormat="1" applyFont="1" applyBorder="1" applyAlignment="1">
      <alignment vertical="center" readingOrder="1"/>
    </xf>
    <xf numFmtId="3" fontId="22" fillId="0" borderId="5" xfId="0" applyNumberFormat="1" applyFont="1" applyBorder="1" applyAlignment="1">
      <alignment horizontal="left" vertical="center" readingOrder="1"/>
    </xf>
    <xf numFmtId="3" fontId="22" fillId="0" borderId="5" xfId="0" applyNumberFormat="1" applyFont="1" applyBorder="1" applyAlignment="1">
      <alignment vertical="center" readingOrder="1"/>
    </xf>
    <xf numFmtId="9" fontId="18" fillId="2" borderId="0" xfId="2" applyNumberFormat="1" applyFont="1" applyFill="1" applyAlignment="1">
      <alignment horizontal="right"/>
    </xf>
    <xf numFmtId="3" fontId="0" fillId="0" borderId="0" xfId="0" applyNumberFormat="1"/>
    <xf numFmtId="165" fontId="18" fillId="2" borderId="0" xfId="2" applyNumberFormat="1" applyFont="1" applyFill="1" applyAlignment="1">
      <alignment horizontal="center"/>
    </xf>
    <xf numFmtId="9" fontId="18" fillId="7" borderId="0" xfId="2" applyNumberFormat="1" applyFont="1" applyFill="1" applyAlignment="1">
      <alignment horizontal="right"/>
    </xf>
    <xf numFmtId="9" fontId="20" fillId="2" borderId="0" xfId="2" applyNumberFormat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20" fillId="7" borderId="0" xfId="1" applyNumberFormat="1" applyFont="1" applyFill="1" applyAlignment="1">
      <alignment horizontal="right"/>
    </xf>
    <xf numFmtId="165" fontId="9" fillId="0" borderId="0" xfId="2" applyNumberFormat="1" applyFont="1"/>
    <xf numFmtId="165" fontId="0" fillId="0" borderId="0" xfId="2" applyNumberFormat="1" applyFont="1"/>
    <xf numFmtId="2" fontId="20" fillId="2" borderId="0" xfId="1" applyNumberFormat="1" applyFont="1" applyFill="1" applyAlignment="1">
      <alignment horizontal="right"/>
    </xf>
    <xf numFmtId="10" fontId="20" fillId="2" borderId="0" xfId="2" applyNumberFormat="1" applyFont="1" applyFill="1" applyAlignment="1">
      <alignment horizontal="right"/>
    </xf>
    <xf numFmtId="12" fontId="20" fillId="7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737152</xdr:colOff>
      <xdr:row>0</xdr:row>
      <xdr:rowOff>149087</xdr:rowOff>
    </xdr:from>
    <xdr:to>
      <xdr:col>17</xdr:col>
      <xdr:colOff>165652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EF8D1-6638-4356-AF03-C168B439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5109" y="149087"/>
          <a:ext cx="10171043" cy="3271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2"/>
  <sheetViews>
    <sheetView tabSelected="1" zoomScale="115" zoomScaleNormal="115" workbookViewId="0">
      <pane xSplit="1" ySplit="1" topLeftCell="CI110" activePane="bottomRight" state="frozen"/>
      <selection pane="topRight" activeCell="B1" sqref="B1"/>
      <selection pane="bottomLeft" activeCell="A2" sqref="A2"/>
      <selection pane="bottomRight" activeCell="CN122" sqref="CN122"/>
    </sheetView>
  </sheetViews>
  <sheetFormatPr defaultColWidth="11.140625" defaultRowHeight="12" outlineLevelRow="1" x14ac:dyDescent="0.2"/>
  <cols>
    <col min="1" max="1" width="35.85546875" style="2" customWidth="1"/>
    <col min="2" max="27" width="11.140625" style="2"/>
    <col min="28" max="29" width="11.140625" style="19"/>
    <col min="30" max="31" width="12.140625" style="19" bestFit="1" customWidth="1"/>
    <col min="32" max="90" width="11.140625" style="2"/>
    <col min="91" max="91" width="11.28515625" style="24" customWidth="1"/>
    <col min="92" max="92" width="10.28515625" style="24" customWidth="1"/>
    <col min="93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Balaji Amines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79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2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55" t="s">
        <v>634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>
        <v>112500</v>
      </c>
      <c r="X3" s="107">
        <v>112500</v>
      </c>
      <c r="Y3" s="107">
        <v>112500</v>
      </c>
      <c r="Z3" s="107">
        <f>Y3+40000</f>
        <v>152500</v>
      </c>
      <c r="AA3" s="107">
        <f>Z3</f>
        <v>152500</v>
      </c>
      <c r="AB3" s="17">
        <f t="shared" ref="AB3:AB5" si="33">+SUM(CM3:CP3)</f>
        <v>152500</v>
      </c>
      <c r="AC3" s="17">
        <f t="shared" ref="AC3:AC5" si="34">+SUM(CQ3:CT3)</f>
        <v>152500</v>
      </c>
      <c r="AD3" s="17">
        <f t="shared" ref="AD3:AD5" si="35">+SUM(CU3:CX3)</f>
        <v>152500</v>
      </c>
      <c r="AE3" s="17">
        <f t="shared" ref="AE3:AE5" si="36">+SUM(CY3:DB3)</f>
        <v>152500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227">
        <f t="shared" ref="BS3:BT3" si="37">BT3</f>
        <v>28125</v>
      </c>
      <c r="BT3" s="227">
        <f t="shared" si="37"/>
        <v>28125</v>
      </c>
      <c r="BU3" s="227">
        <f>BV3</f>
        <v>28125</v>
      </c>
      <c r="BV3" s="227">
        <f t="shared" ref="BV3:BV5" si="38">W3/4</f>
        <v>28125</v>
      </c>
      <c r="BW3" s="227">
        <f t="shared" ref="BW3:BY3" si="39">BX3</f>
        <v>28125</v>
      </c>
      <c r="BX3" s="227">
        <f t="shared" si="39"/>
        <v>28125</v>
      </c>
      <c r="BY3" s="227">
        <f t="shared" si="39"/>
        <v>28125</v>
      </c>
      <c r="BZ3" s="227">
        <f t="shared" ref="BZ3:BZ5" si="40">X3/4</f>
        <v>28125</v>
      </c>
      <c r="CA3" s="227">
        <f t="shared" ref="CA3:CC3" si="41">CB3</f>
        <v>28125</v>
      </c>
      <c r="CB3" s="227">
        <f t="shared" si="41"/>
        <v>28125</v>
      </c>
      <c r="CC3" s="227">
        <f t="shared" si="41"/>
        <v>28125</v>
      </c>
      <c r="CD3" s="227">
        <f t="shared" ref="CD3:CD5" si="42">Y3/4</f>
        <v>28125</v>
      </c>
      <c r="CE3" s="227">
        <f t="shared" ref="CE3:CG3" si="43">CF3</f>
        <v>38125</v>
      </c>
      <c r="CF3" s="227">
        <f t="shared" si="43"/>
        <v>38125</v>
      </c>
      <c r="CG3" s="227">
        <f t="shared" si="43"/>
        <v>38125</v>
      </c>
      <c r="CH3" s="227">
        <f t="shared" ref="CH3:CH5" si="44">Z3/4</f>
        <v>38125</v>
      </c>
      <c r="CI3" s="227">
        <f t="shared" ref="CI3:CK3" si="45">CJ3</f>
        <v>38125</v>
      </c>
      <c r="CJ3" s="227">
        <f t="shared" si="45"/>
        <v>38125</v>
      </c>
      <c r="CK3" s="227">
        <f t="shared" si="45"/>
        <v>38125</v>
      </c>
      <c r="CL3" s="227">
        <f t="shared" ref="CL3:CL5" si="46">AA3/4</f>
        <v>38125</v>
      </c>
      <c r="CM3" s="238">
        <f>CL3</f>
        <v>38125</v>
      </c>
      <c r="CN3" s="238">
        <f t="shared" ref="CN3:DB3" si="47">CM3</f>
        <v>38125</v>
      </c>
      <c r="CO3" s="238">
        <f t="shared" si="47"/>
        <v>38125</v>
      </c>
      <c r="CP3" s="238">
        <f t="shared" si="47"/>
        <v>38125</v>
      </c>
      <c r="CQ3" s="238">
        <f t="shared" si="47"/>
        <v>38125</v>
      </c>
      <c r="CR3" s="238">
        <f t="shared" si="47"/>
        <v>38125</v>
      </c>
      <c r="CS3" s="238">
        <f t="shared" si="47"/>
        <v>38125</v>
      </c>
      <c r="CT3" s="238">
        <f t="shared" si="47"/>
        <v>38125</v>
      </c>
      <c r="CU3" s="238">
        <f t="shared" si="47"/>
        <v>38125</v>
      </c>
      <c r="CV3" s="238">
        <f t="shared" si="47"/>
        <v>38125</v>
      </c>
      <c r="CW3" s="238">
        <f t="shared" si="47"/>
        <v>38125</v>
      </c>
      <c r="CX3" s="238">
        <f t="shared" si="47"/>
        <v>38125</v>
      </c>
      <c r="CY3" s="238">
        <f t="shared" si="47"/>
        <v>38125</v>
      </c>
      <c r="CZ3" s="238">
        <f t="shared" si="47"/>
        <v>38125</v>
      </c>
      <c r="DA3" s="238">
        <f t="shared" si="47"/>
        <v>38125</v>
      </c>
      <c r="DB3" s="238">
        <f t="shared" si="47"/>
        <v>38125</v>
      </c>
      <c r="DE3" s="117"/>
    </row>
    <row r="4" spans="1:110" s="109" customFormat="1" x14ac:dyDescent="0.2">
      <c r="A4" s="155" t="s">
        <v>635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>
        <v>61100</v>
      </c>
      <c r="X4" s="107">
        <v>61100</v>
      </c>
      <c r="Y4" s="107">
        <v>69000</v>
      </c>
      <c r="Z4" s="107">
        <v>69000</v>
      </c>
      <c r="AA4" s="107">
        <v>76000</v>
      </c>
      <c r="AB4" s="17">
        <f t="shared" si="33"/>
        <v>76000</v>
      </c>
      <c r="AC4" s="17">
        <f t="shared" si="34"/>
        <v>76000</v>
      </c>
      <c r="AD4" s="17">
        <f t="shared" si="35"/>
        <v>76000</v>
      </c>
      <c r="AE4" s="17">
        <f t="shared" si="36"/>
        <v>76000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227">
        <f t="shared" ref="BS4:BU4" si="48">BT4</f>
        <v>15275</v>
      </c>
      <c r="BT4" s="227">
        <f t="shared" si="48"/>
        <v>15275</v>
      </c>
      <c r="BU4" s="227">
        <f t="shared" si="48"/>
        <v>15275</v>
      </c>
      <c r="BV4" s="227">
        <f t="shared" si="38"/>
        <v>15275</v>
      </c>
      <c r="BW4" s="227">
        <f t="shared" ref="BW4:BY4" si="49">BX4</f>
        <v>15275</v>
      </c>
      <c r="BX4" s="227">
        <f t="shared" si="49"/>
        <v>15275</v>
      </c>
      <c r="BY4" s="227">
        <f t="shared" si="49"/>
        <v>15275</v>
      </c>
      <c r="BZ4" s="227">
        <f t="shared" si="40"/>
        <v>15275</v>
      </c>
      <c r="CA4" s="227">
        <f t="shared" ref="CA4:CC4" si="50">CB4</f>
        <v>17250</v>
      </c>
      <c r="CB4" s="227">
        <f t="shared" si="50"/>
        <v>17250</v>
      </c>
      <c r="CC4" s="227">
        <f t="shared" si="50"/>
        <v>17250</v>
      </c>
      <c r="CD4" s="227">
        <f t="shared" si="42"/>
        <v>17250</v>
      </c>
      <c r="CE4" s="227">
        <f t="shared" ref="CE4:CG4" si="51">CF4</f>
        <v>17250</v>
      </c>
      <c r="CF4" s="227">
        <f t="shared" si="51"/>
        <v>17250</v>
      </c>
      <c r="CG4" s="227">
        <f t="shared" si="51"/>
        <v>17250</v>
      </c>
      <c r="CH4" s="227">
        <f t="shared" si="44"/>
        <v>17250</v>
      </c>
      <c r="CI4" s="227">
        <f t="shared" ref="CI4:CK4" si="52">CJ4</f>
        <v>19000</v>
      </c>
      <c r="CJ4" s="227">
        <f t="shared" si="52"/>
        <v>19000</v>
      </c>
      <c r="CK4" s="227">
        <f t="shared" si="52"/>
        <v>19000</v>
      </c>
      <c r="CL4" s="227">
        <f t="shared" si="46"/>
        <v>19000</v>
      </c>
      <c r="CM4" s="238">
        <f>CL4</f>
        <v>19000</v>
      </c>
      <c r="CN4" s="238">
        <f t="shared" ref="CN4:DB4" si="53">CM4</f>
        <v>19000</v>
      </c>
      <c r="CO4" s="238">
        <f t="shared" si="53"/>
        <v>19000</v>
      </c>
      <c r="CP4" s="238">
        <f t="shared" si="53"/>
        <v>19000</v>
      </c>
      <c r="CQ4" s="238">
        <f t="shared" si="53"/>
        <v>19000</v>
      </c>
      <c r="CR4" s="238">
        <f t="shared" si="53"/>
        <v>19000</v>
      </c>
      <c r="CS4" s="238">
        <f t="shared" si="53"/>
        <v>19000</v>
      </c>
      <c r="CT4" s="238">
        <f t="shared" si="53"/>
        <v>19000</v>
      </c>
      <c r="CU4" s="238">
        <f t="shared" si="53"/>
        <v>19000</v>
      </c>
      <c r="CV4" s="238">
        <f t="shared" si="53"/>
        <v>19000</v>
      </c>
      <c r="CW4" s="238">
        <f t="shared" si="53"/>
        <v>19000</v>
      </c>
      <c r="CX4" s="238">
        <f t="shared" si="53"/>
        <v>19000</v>
      </c>
      <c r="CY4" s="238">
        <f t="shared" si="53"/>
        <v>19000</v>
      </c>
      <c r="CZ4" s="238">
        <f t="shared" si="53"/>
        <v>19000</v>
      </c>
      <c r="DA4" s="238">
        <f t="shared" si="53"/>
        <v>19000</v>
      </c>
      <c r="DB4" s="238">
        <f t="shared" si="53"/>
        <v>19000</v>
      </c>
      <c r="DE4" s="117"/>
    </row>
    <row r="5" spans="1:110" s="109" customFormat="1" x14ac:dyDescent="0.2">
      <c r="A5" s="155" t="s">
        <v>636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>
        <v>37500</v>
      </c>
      <c r="X5" s="107">
        <f>X6-X3-X4</f>
        <v>63600</v>
      </c>
      <c r="Y5" s="107">
        <f t="shared" ref="Y5:AA5" si="54">Y6-Y3-Y4</f>
        <v>63600</v>
      </c>
      <c r="Z5" s="107">
        <f t="shared" si="54"/>
        <v>63600</v>
      </c>
      <c r="AA5" s="107">
        <f t="shared" si="54"/>
        <v>65100</v>
      </c>
      <c r="AB5" s="17">
        <f t="shared" si="33"/>
        <v>176850</v>
      </c>
      <c r="AC5" s="17">
        <f t="shared" si="34"/>
        <v>194100</v>
      </c>
      <c r="AD5" s="17">
        <f t="shared" si="35"/>
        <v>208100</v>
      </c>
      <c r="AE5" s="17">
        <f t="shared" si="36"/>
        <v>208100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227">
        <f t="shared" ref="BS5:BU5" si="55">BT5</f>
        <v>9375</v>
      </c>
      <c r="BT5" s="227">
        <f t="shared" si="55"/>
        <v>9375</v>
      </c>
      <c r="BU5" s="227">
        <f t="shared" si="55"/>
        <v>9375</v>
      </c>
      <c r="BV5" s="227">
        <f t="shared" si="38"/>
        <v>9375</v>
      </c>
      <c r="BW5" s="227">
        <f t="shared" ref="BW5:BY5" si="56">BX5</f>
        <v>15900</v>
      </c>
      <c r="BX5" s="227">
        <f t="shared" si="56"/>
        <v>15900</v>
      </c>
      <c r="BY5" s="227">
        <f t="shared" si="56"/>
        <v>15900</v>
      </c>
      <c r="BZ5" s="227">
        <f t="shared" si="40"/>
        <v>15900</v>
      </c>
      <c r="CA5" s="227">
        <f t="shared" ref="CA5:CC5" si="57">CB5</f>
        <v>15900</v>
      </c>
      <c r="CB5" s="227">
        <f t="shared" si="57"/>
        <v>15900</v>
      </c>
      <c r="CC5" s="227">
        <f t="shared" si="57"/>
        <v>15900</v>
      </c>
      <c r="CD5" s="227">
        <f t="shared" si="42"/>
        <v>15900</v>
      </c>
      <c r="CE5" s="227">
        <f t="shared" ref="CE5:CG5" si="58">CF5</f>
        <v>15900</v>
      </c>
      <c r="CF5" s="227">
        <f t="shared" si="58"/>
        <v>15900</v>
      </c>
      <c r="CG5" s="227">
        <f t="shared" si="58"/>
        <v>15900</v>
      </c>
      <c r="CH5" s="227">
        <f t="shared" si="44"/>
        <v>15900</v>
      </c>
      <c r="CI5" s="227">
        <f t="shared" ref="CI5:CK5" si="59">CJ5</f>
        <v>16275</v>
      </c>
      <c r="CJ5" s="227">
        <f t="shared" si="59"/>
        <v>16275</v>
      </c>
      <c r="CK5" s="227">
        <f t="shared" si="59"/>
        <v>16275</v>
      </c>
      <c r="CL5" s="227">
        <f t="shared" si="46"/>
        <v>16275</v>
      </c>
      <c r="CM5" s="238">
        <f>CM6-CM3-CM4</f>
        <v>41275</v>
      </c>
      <c r="CN5" s="238">
        <f t="shared" ref="CN5:DB5" si="60">CN6-CN3-CN4</f>
        <v>43525</v>
      </c>
      <c r="CO5" s="238">
        <f t="shared" si="60"/>
        <v>43525</v>
      </c>
      <c r="CP5" s="238">
        <f t="shared" si="60"/>
        <v>48525</v>
      </c>
      <c r="CQ5" s="238">
        <f t="shared" si="60"/>
        <v>48525</v>
      </c>
      <c r="CR5" s="238">
        <f t="shared" si="60"/>
        <v>48525</v>
      </c>
      <c r="CS5" s="238">
        <f t="shared" si="60"/>
        <v>48525</v>
      </c>
      <c r="CT5" s="238">
        <f t="shared" si="60"/>
        <v>48525</v>
      </c>
      <c r="CU5" s="238">
        <f t="shared" si="60"/>
        <v>52025</v>
      </c>
      <c r="CV5" s="238">
        <f t="shared" si="60"/>
        <v>52025</v>
      </c>
      <c r="CW5" s="238">
        <f t="shared" si="60"/>
        <v>52025</v>
      </c>
      <c r="CX5" s="238">
        <f t="shared" si="60"/>
        <v>52025</v>
      </c>
      <c r="CY5" s="238">
        <f t="shared" si="60"/>
        <v>52025</v>
      </c>
      <c r="CZ5" s="238">
        <f t="shared" si="60"/>
        <v>52025</v>
      </c>
      <c r="DA5" s="238">
        <f t="shared" si="60"/>
        <v>52025</v>
      </c>
      <c r="DB5" s="238">
        <f t="shared" si="60"/>
        <v>52025</v>
      </c>
      <c r="DE5" s="117"/>
    </row>
    <row r="6" spans="1:110" s="109" customFormat="1" x14ac:dyDescent="0.2">
      <c r="A6" s="155" t="s">
        <v>603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227">
        <v>211100</v>
      </c>
      <c r="X6" s="227">
        <v>237200</v>
      </c>
      <c r="Y6" s="227">
        <v>245100</v>
      </c>
      <c r="Z6" s="227">
        <v>285100</v>
      </c>
      <c r="AA6" s="227">
        <v>293600</v>
      </c>
      <c r="AB6" s="17">
        <f t="shared" ref="AB6" si="61">+SUM(CM6:CP6)</f>
        <v>405350</v>
      </c>
      <c r="AC6" s="17">
        <f t="shared" ref="AC6" si="62">+SUM(CQ6:CT6)</f>
        <v>422600</v>
      </c>
      <c r="AD6" s="17">
        <f t="shared" ref="AD6" si="63">+SUM(CU6:CX6)</f>
        <v>436600</v>
      </c>
      <c r="AE6" s="17">
        <f t="shared" ref="AE6" si="64">+SUM(CY6:DB6)</f>
        <v>436600</v>
      </c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227">
        <f t="shared" ref="BS6:BT6" si="65">BT6</f>
        <v>52775</v>
      </c>
      <c r="BT6" s="227">
        <f t="shared" si="65"/>
        <v>52775</v>
      </c>
      <c r="BU6" s="227">
        <f>BV6</f>
        <v>52775</v>
      </c>
      <c r="BV6" s="227">
        <f>W6/4</f>
        <v>52775</v>
      </c>
      <c r="BW6" s="227">
        <f t="shared" ref="BW6:BX6" si="66">BX6</f>
        <v>59300</v>
      </c>
      <c r="BX6" s="227">
        <f t="shared" si="66"/>
        <v>59300</v>
      </c>
      <c r="BY6" s="227">
        <f>BZ6</f>
        <v>59300</v>
      </c>
      <c r="BZ6" s="227">
        <f>X6/4</f>
        <v>59300</v>
      </c>
      <c r="CA6" s="227">
        <f t="shared" ref="CA6:CB6" si="67">CB6</f>
        <v>61275</v>
      </c>
      <c r="CB6" s="227">
        <f t="shared" si="67"/>
        <v>61275</v>
      </c>
      <c r="CC6" s="227">
        <f>CD6</f>
        <v>61275</v>
      </c>
      <c r="CD6" s="227">
        <f>Y6/4</f>
        <v>61275</v>
      </c>
      <c r="CE6" s="227">
        <f t="shared" ref="CE6:CF6" si="68">CF6</f>
        <v>71275</v>
      </c>
      <c r="CF6" s="227">
        <f t="shared" si="68"/>
        <v>71275</v>
      </c>
      <c r="CG6" s="227">
        <f>CH6</f>
        <v>71275</v>
      </c>
      <c r="CH6" s="227">
        <f>Z6/4</f>
        <v>71275</v>
      </c>
      <c r="CI6" s="227">
        <f t="shared" ref="CI6:CJ6" si="69">CJ6</f>
        <v>73400</v>
      </c>
      <c r="CJ6" s="227">
        <f t="shared" si="69"/>
        <v>73400</v>
      </c>
      <c r="CK6" s="227">
        <f>CL6</f>
        <v>73400</v>
      </c>
      <c r="CL6" s="227">
        <f>AA6/4</f>
        <v>73400</v>
      </c>
      <c r="CM6" s="238">
        <f>CL6+25000</f>
        <v>98400</v>
      </c>
      <c r="CN6" s="238">
        <f>CM6+2250</f>
        <v>100650</v>
      </c>
      <c r="CO6" s="238">
        <f>CN6</f>
        <v>100650</v>
      </c>
      <c r="CP6" s="238">
        <f>CO6+5000</f>
        <v>105650</v>
      </c>
      <c r="CQ6" s="238">
        <f>CP6</f>
        <v>105650</v>
      </c>
      <c r="CR6" s="238">
        <f>CQ6</f>
        <v>105650</v>
      </c>
      <c r="CS6" s="238">
        <f t="shared" ref="CS6:CT6" si="70">CR6</f>
        <v>105650</v>
      </c>
      <c r="CT6" s="238">
        <f t="shared" si="70"/>
        <v>105650</v>
      </c>
      <c r="CU6" s="238">
        <f>CT6+3500</f>
        <v>109150</v>
      </c>
      <c r="CV6" s="238">
        <f>CU6</f>
        <v>109150</v>
      </c>
      <c r="CW6" s="238">
        <f t="shared" ref="CW6:DB6" si="71">CV6</f>
        <v>109150</v>
      </c>
      <c r="CX6" s="238">
        <f t="shared" si="71"/>
        <v>109150</v>
      </c>
      <c r="CY6" s="238">
        <f t="shared" si="71"/>
        <v>109150</v>
      </c>
      <c r="CZ6" s="238">
        <f t="shared" si="71"/>
        <v>109150</v>
      </c>
      <c r="DA6" s="238">
        <f t="shared" si="71"/>
        <v>109150</v>
      </c>
      <c r="DB6" s="238">
        <f t="shared" si="71"/>
        <v>109150</v>
      </c>
      <c r="DE6" s="117"/>
    </row>
    <row r="7" spans="1:110" s="109" customFormat="1" x14ac:dyDescent="0.2">
      <c r="A7" s="198" t="s">
        <v>614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225">
        <f>+W12/W6</f>
        <v>0.54641875888204638</v>
      </c>
      <c r="X7" s="225">
        <f t="shared" ref="X7:AE7" si="72">+X12/X6</f>
        <v>0.46587268128161891</v>
      </c>
      <c r="Y7" s="225">
        <f t="shared" si="72"/>
        <v>0.44602203182374539</v>
      </c>
      <c r="Z7" s="225">
        <f t="shared" si="72"/>
        <v>0.36614170466502982</v>
      </c>
      <c r="AA7" s="225">
        <f t="shared" si="72"/>
        <v>0.36434264305177111</v>
      </c>
      <c r="AB7" s="228">
        <f t="shared" si="72"/>
        <v>0.31206646108301472</v>
      </c>
      <c r="AC7" s="228">
        <f t="shared" si="72"/>
        <v>0.39358855963085665</v>
      </c>
      <c r="AD7" s="228">
        <f t="shared" si="72"/>
        <v>0.45796560437700412</v>
      </c>
      <c r="AE7" s="228">
        <f t="shared" si="72"/>
        <v>0.55487631312865326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225">
        <f>BS12/BS6</f>
        <v>0.41680720037896729</v>
      </c>
      <c r="BT7" s="225">
        <f t="shared" ref="BT7:DB7" si="73">BT12/BT6</f>
        <v>0.44725722406442442</v>
      </c>
      <c r="BU7" s="225">
        <f t="shared" si="73"/>
        <v>0.52276646139270488</v>
      </c>
      <c r="BV7" s="225">
        <f t="shared" si="73"/>
        <v>0.64007579346281385</v>
      </c>
      <c r="BW7" s="225">
        <f t="shared" si="73"/>
        <v>0.46134907251264756</v>
      </c>
      <c r="BX7" s="225">
        <f t="shared" si="73"/>
        <v>0.48052276559865092</v>
      </c>
      <c r="BY7" s="225">
        <f t="shared" si="73"/>
        <v>0.47465430016863408</v>
      </c>
      <c r="BZ7" s="225">
        <f t="shared" si="73"/>
        <v>0.446964586846543</v>
      </c>
      <c r="CA7" s="225">
        <f t="shared" si="73"/>
        <v>0.43769889840881271</v>
      </c>
      <c r="CB7" s="225">
        <f t="shared" si="73"/>
        <v>0.45064055487556098</v>
      </c>
      <c r="CC7" s="225">
        <f t="shared" si="73"/>
        <v>0.43905344757241943</v>
      </c>
      <c r="CD7" s="225">
        <f t="shared" si="73"/>
        <v>0.45654834761321911</v>
      </c>
      <c r="CE7" s="225">
        <f t="shared" si="73"/>
        <v>0.39384075762890214</v>
      </c>
      <c r="CF7" s="225">
        <f t="shared" si="73"/>
        <v>0.36966678358470711</v>
      </c>
      <c r="CG7" s="225">
        <f t="shared" si="73"/>
        <v>0.33808488249736934</v>
      </c>
      <c r="CH7" s="225">
        <f t="shared" si="73"/>
        <v>0.36298842511399509</v>
      </c>
      <c r="CI7" s="225">
        <f t="shared" si="73"/>
        <v>0.37561307901907359</v>
      </c>
      <c r="CJ7" s="225">
        <f t="shared" si="73"/>
        <v>0.35648501362397822</v>
      </c>
      <c r="CK7" s="225">
        <f t="shared" si="73"/>
        <v>0.35277929155313353</v>
      </c>
      <c r="CL7" s="225">
        <f t="shared" si="73"/>
        <v>0.3724931880108992</v>
      </c>
      <c r="CM7" s="228">
        <f t="shared" si="73"/>
        <v>0.31193353658536588</v>
      </c>
      <c r="CN7" s="228">
        <f t="shared" si="73"/>
        <v>0.31380178837555889</v>
      </c>
      <c r="CO7" s="228">
        <f t="shared" si="73"/>
        <v>0.30975668156979635</v>
      </c>
      <c r="CP7" s="228">
        <f t="shared" si="73"/>
        <v>0.31273752957879791</v>
      </c>
      <c r="CQ7" s="228">
        <f t="shared" si="73"/>
        <v>0.38198549645054419</v>
      </c>
      <c r="CR7" s="228">
        <f t="shared" si="73"/>
        <v>0.39347635115948892</v>
      </c>
      <c r="CS7" s="228">
        <f t="shared" si="73"/>
        <v>0.38660516516800758</v>
      </c>
      <c r="CT7" s="228">
        <f t="shared" si="73"/>
        <v>0.41228722574538568</v>
      </c>
      <c r="CU7" s="228">
        <f t="shared" si="73"/>
        <v>0.44441123810352728</v>
      </c>
      <c r="CV7" s="228">
        <f t="shared" si="73"/>
        <v>0.45801038437929459</v>
      </c>
      <c r="CW7" s="228">
        <f t="shared" si="73"/>
        <v>0.44915139440219887</v>
      </c>
      <c r="CX7" s="228">
        <f t="shared" si="73"/>
        <v>0.48028940062299591</v>
      </c>
      <c r="CY7" s="228">
        <f t="shared" si="73"/>
        <v>0.53841150145423733</v>
      </c>
      <c r="CZ7" s="228">
        <f t="shared" si="73"/>
        <v>0.55515254179431983</v>
      </c>
      <c r="DA7" s="228">
        <f t="shared" si="73"/>
        <v>0.54335160419541928</v>
      </c>
      <c r="DB7" s="228">
        <f t="shared" si="73"/>
        <v>0.58258960507063673</v>
      </c>
      <c r="DE7" s="117"/>
    </row>
    <row r="8" spans="1:110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>
        <f t="shared" ref="BS8:BY8" si="74">BS12-BS11-BS10-BS9</f>
        <v>0</v>
      </c>
      <c r="BT8" s="156">
        <f t="shared" si="74"/>
        <v>0</v>
      </c>
      <c r="BU8" s="156">
        <f t="shared" si="74"/>
        <v>0</v>
      </c>
      <c r="BV8" s="156">
        <f t="shared" si="74"/>
        <v>0</v>
      </c>
      <c r="BW8" s="156">
        <f t="shared" si="74"/>
        <v>0</v>
      </c>
      <c r="BX8" s="156">
        <f t="shared" si="74"/>
        <v>0</v>
      </c>
      <c r="BY8" s="156">
        <f t="shared" si="74"/>
        <v>0</v>
      </c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>
        <f>SUM(BK9:BN9)</f>
        <v>18331</v>
      </c>
      <c r="V9" s="156">
        <f>SUM(BO9:BR9)</f>
        <v>20049</v>
      </c>
      <c r="W9" s="156">
        <f>SUM(BS9:BV9)</f>
        <v>24999</v>
      </c>
      <c r="X9" s="156">
        <f>SUM(BW9:BZ9)</f>
        <v>25789</v>
      </c>
      <c r="Y9" s="156">
        <f>SUM(CA9:CD9)</f>
        <v>31459</v>
      </c>
      <c r="Z9" s="156">
        <f>SUM(CE9:CH9)</f>
        <v>30848</v>
      </c>
      <c r="AA9" s="156">
        <f t="shared" ref="AA9:AA11" si="75">SUM(CI9:CL9)</f>
        <v>29997</v>
      </c>
      <c r="AB9" s="17">
        <f t="shared" ref="AB9:AB11" si="76">+SUM(CM9:CP9)</f>
        <v>32096.79</v>
      </c>
      <c r="AC9" s="17">
        <f t="shared" ref="AC9:AC11" si="77">+SUM(CQ9:CT9)</f>
        <v>34343.565300000002</v>
      </c>
      <c r="AD9" s="17">
        <f t="shared" ref="AD9:AD11" si="78">+SUM(CU9:CX9)</f>
        <v>36747.614871000005</v>
      </c>
      <c r="AE9" s="17">
        <f t="shared" ref="AE9:AE11" si="79">+SUM(CY9:DB9)</f>
        <v>39319.947911970004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>
        <v>4280</v>
      </c>
      <c r="BL9" s="156">
        <v>4631</v>
      </c>
      <c r="BM9" s="156">
        <v>4500</v>
      </c>
      <c r="BN9" s="156">
        <v>4920</v>
      </c>
      <c r="BO9" s="156">
        <v>4153</v>
      </c>
      <c r="BP9" s="156">
        <v>5094</v>
      </c>
      <c r="BQ9" s="156">
        <v>4952</v>
      </c>
      <c r="BR9" s="156">
        <v>5850</v>
      </c>
      <c r="BS9" s="156">
        <v>5394</v>
      </c>
      <c r="BT9" s="156">
        <v>5861</v>
      </c>
      <c r="BU9" s="156">
        <v>6460</v>
      </c>
      <c r="BV9" s="156">
        <v>7284</v>
      </c>
      <c r="BW9" s="156">
        <v>6736</v>
      </c>
      <c r="BX9" s="156">
        <v>6312</v>
      </c>
      <c r="BY9" s="156">
        <v>6082</v>
      </c>
      <c r="BZ9" s="156">
        <v>6659</v>
      </c>
      <c r="CA9" s="156">
        <v>6754</v>
      </c>
      <c r="CB9" s="156">
        <v>8092</v>
      </c>
      <c r="CC9" s="156">
        <v>7703</v>
      </c>
      <c r="CD9" s="156">
        <v>8910</v>
      </c>
      <c r="CE9" s="156">
        <v>7401</v>
      </c>
      <c r="CF9" s="156">
        <v>7616</v>
      </c>
      <c r="CG9" s="156">
        <v>7515</v>
      </c>
      <c r="CH9" s="156">
        <v>8316</v>
      </c>
      <c r="CI9" s="156">
        <v>7573</v>
      </c>
      <c r="CJ9" s="156">
        <v>7685</v>
      </c>
      <c r="CK9" s="156">
        <v>6993</v>
      </c>
      <c r="CL9" s="156">
        <v>7746</v>
      </c>
      <c r="CM9" s="157">
        <f>CI9*(1+CM17)</f>
        <v>8103.1100000000006</v>
      </c>
      <c r="CN9" s="157">
        <f t="shared" ref="CN9:DB9" si="80">CJ9*(1+CN17)</f>
        <v>8222.9500000000007</v>
      </c>
      <c r="CO9" s="157">
        <f t="shared" si="80"/>
        <v>7482.51</v>
      </c>
      <c r="CP9" s="157">
        <f t="shared" si="80"/>
        <v>8288.2200000000012</v>
      </c>
      <c r="CQ9" s="157">
        <f t="shared" si="80"/>
        <v>8670.3277000000016</v>
      </c>
      <c r="CR9" s="157">
        <f t="shared" si="80"/>
        <v>8798.5565000000006</v>
      </c>
      <c r="CS9" s="157">
        <f t="shared" si="80"/>
        <v>8006.2857000000004</v>
      </c>
      <c r="CT9" s="157">
        <f t="shared" si="80"/>
        <v>8868.3954000000012</v>
      </c>
      <c r="CU9" s="157">
        <f t="shared" si="80"/>
        <v>9277.2506390000017</v>
      </c>
      <c r="CV9" s="157">
        <f t="shared" si="80"/>
        <v>9414.4554550000012</v>
      </c>
      <c r="CW9" s="157">
        <f t="shared" si="80"/>
        <v>8566.7256990000005</v>
      </c>
      <c r="CX9" s="157">
        <f t="shared" si="80"/>
        <v>9489.1830780000018</v>
      </c>
      <c r="CY9" s="157">
        <f t="shared" si="80"/>
        <v>9926.6581837300018</v>
      </c>
      <c r="CZ9" s="157">
        <f t="shared" si="80"/>
        <v>10073.467336850003</v>
      </c>
      <c r="DA9" s="157">
        <f t="shared" si="80"/>
        <v>9166.3964979300017</v>
      </c>
      <c r="DB9" s="157">
        <f t="shared" si="80"/>
        <v>10153.425893460002</v>
      </c>
      <c r="DE9" s="159"/>
      <c r="DF9" s="158">
        <v>8800</v>
      </c>
    </row>
    <row r="10" spans="1:110" s="158" customFormat="1" x14ac:dyDescent="0.2">
      <c r="A10" s="155" t="s">
        <v>525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>
        <f>SUM(BK10:BN10)</f>
        <v>36024</v>
      </c>
      <c r="V10" s="156">
        <f>SUM(BO10:BR10)</f>
        <v>39545</v>
      </c>
      <c r="W10" s="156">
        <f>SUM(BS10:BV10)</f>
        <v>37171</v>
      </c>
      <c r="X10" s="156">
        <f>SUM(BW10:BZ10)</f>
        <v>33091</v>
      </c>
      <c r="Y10" s="156">
        <f>SUM(CA10:CD10)</f>
        <v>37480</v>
      </c>
      <c r="Z10" s="156">
        <f>SUM(CE10:CH10)</f>
        <v>34182</v>
      </c>
      <c r="AA10" s="156">
        <f t="shared" si="75"/>
        <v>34640</v>
      </c>
      <c r="AB10" s="17">
        <f t="shared" si="76"/>
        <v>38104.000000000007</v>
      </c>
      <c r="AC10" s="17">
        <f t="shared" si="77"/>
        <v>41914.400000000009</v>
      </c>
      <c r="AD10" s="17">
        <f t="shared" si="78"/>
        <v>46105.840000000011</v>
      </c>
      <c r="AE10" s="17">
        <f t="shared" si="79"/>
        <v>50716.424000000014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>
        <v>8500</v>
      </c>
      <c r="BL10" s="156">
        <v>9024</v>
      </c>
      <c r="BM10" s="156">
        <v>9060</v>
      </c>
      <c r="BN10" s="156">
        <v>9440</v>
      </c>
      <c r="BO10" s="156">
        <v>8277</v>
      </c>
      <c r="BP10" s="156">
        <v>9916</v>
      </c>
      <c r="BQ10" s="156">
        <v>10812</v>
      </c>
      <c r="BR10" s="156">
        <v>10540</v>
      </c>
      <c r="BS10" s="156">
        <v>9587</v>
      </c>
      <c r="BT10" s="156">
        <v>8261</v>
      </c>
      <c r="BU10" s="156">
        <v>9912</v>
      </c>
      <c r="BV10" s="156">
        <v>9411</v>
      </c>
      <c r="BW10" s="156">
        <v>8131</v>
      </c>
      <c r="BX10" s="156">
        <v>7766</v>
      </c>
      <c r="BY10" s="156">
        <v>8587</v>
      </c>
      <c r="BZ10" s="156">
        <v>8607</v>
      </c>
      <c r="CA10" s="156">
        <v>8288</v>
      </c>
      <c r="CB10" s="156">
        <v>10236</v>
      </c>
      <c r="CC10" s="156">
        <v>9280</v>
      </c>
      <c r="CD10" s="156">
        <v>9676</v>
      </c>
      <c r="CE10" s="156">
        <v>8299</v>
      </c>
      <c r="CF10" s="156">
        <v>8685</v>
      </c>
      <c r="CG10" s="156">
        <v>8809</v>
      </c>
      <c r="CH10" s="156">
        <v>8389</v>
      </c>
      <c r="CI10" s="156">
        <v>8108</v>
      </c>
      <c r="CJ10" s="156">
        <v>8374</v>
      </c>
      <c r="CK10" s="156">
        <v>9223</v>
      </c>
      <c r="CL10" s="156">
        <v>8935</v>
      </c>
      <c r="CM10" s="157">
        <f>CI10*(1+CM18)</f>
        <v>8918.8000000000011</v>
      </c>
      <c r="CN10" s="157">
        <f t="shared" ref="CN10:DB11" si="81">CJ10*(1+CN18)</f>
        <v>9211.4000000000015</v>
      </c>
      <c r="CO10" s="157">
        <f t="shared" si="81"/>
        <v>10145.300000000001</v>
      </c>
      <c r="CP10" s="157">
        <f t="shared" si="81"/>
        <v>9828.5</v>
      </c>
      <c r="CQ10" s="157">
        <f t="shared" si="81"/>
        <v>9810.6800000000021</v>
      </c>
      <c r="CR10" s="157">
        <f t="shared" si="81"/>
        <v>10132.540000000003</v>
      </c>
      <c r="CS10" s="157">
        <f t="shared" si="81"/>
        <v>11159.830000000002</v>
      </c>
      <c r="CT10" s="157">
        <f t="shared" si="81"/>
        <v>10811.35</v>
      </c>
      <c r="CU10" s="157">
        <f t="shared" si="81"/>
        <v>10791.748000000003</v>
      </c>
      <c r="CV10" s="157">
        <f t="shared" si="81"/>
        <v>11145.794000000004</v>
      </c>
      <c r="CW10" s="157">
        <f t="shared" si="81"/>
        <v>12275.813000000004</v>
      </c>
      <c r="CX10" s="157">
        <f t="shared" si="81"/>
        <v>11892.485000000001</v>
      </c>
      <c r="CY10" s="157">
        <f t="shared" si="81"/>
        <v>11870.922800000004</v>
      </c>
      <c r="CZ10" s="157">
        <f t="shared" si="81"/>
        <v>12260.373400000004</v>
      </c>
      <c r="DA10" s="157">
        <f t="shared" si="81"/>
        <v>13503.394300000005</v>
      </c>
      <c r="DB10" s="157">
        <f t="shared" si="81"/>
        <v>13081.733500000002</v>
      </c>
      <c r="DE10" s="159"/>
      <c r="DF10" s="158">
        <v>9400</v>
      </c>
    </row>
    <row r="11" spans="1:110" s="158" customFormat="1" x14ac:dyDescent="0.2">
      <c r="A11" s="155" t="s">
        <v>526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>
        <f>SUM(BK11:BN11)</f>
        <v>30476</v>
      </c>
      <c r="V11" s="156">
        <f>+V12-V9-V10</f>
        <v>46463</v>
      </c>
      <c r="W11" s="156">
        <f>+W12-W9-W10</f>
        <v>53179</v>
      </c>
      <c r="X11" s="156">
        <f>SUM(BW11:BZ11)</f>
        <v>51625</v>
      </c>
      <c r="Y11" s="156">
        <f>SUM(CA11:CD11)</f>
        <v>40381</v>
      </c>
      <c r="Z11" s="156">
        <f>SUM(CE11:CH11)</f>
        <v>39357</v>
      </c>
      <c r="AA11" s="156">
        <f t="shared" si="75"/>
        <v>42334</v>
      </c>
      <c r="AB11" s="17">
        <f t="shared" si="76"/>
        <v>56295.35</v>
      </c>
      <c r="AC11" s="17">
        <f t="shared" si="77"/>
        <v>90072.56</v>
      </c>
      <c r="AD11" s="17">
        <f t="shared" si="78"/>
        <v>117094.32799999999</v>
      </c>
      <c r="AE11" s="17">
        <f t="shared" si="79"/>
        <v>152222.62640000001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>
        <v>7370</v>
      </c>
      <c r="BL11" s="156">
        <v>7720</v>
      </c>
      <c r="BM11" s="156">
        <v>7600</v>
      </c>
      <c r="BN11" s="156">
        <v>7786</v>
      </c>
      <c r="BO11" s="156">
        <v>9824</v>
      </c>
      <c r="BP11" s="156">
        <v>8140</v>
      </c>
      <c r="BQ11" s="156">
        <v>12589</v>
      </c>
      <c r="BR11" s="156">
        <v>12157</v>
      </c>
      <c r="BS11" s="156">
        <v>7016</v>
      </c>
      <c r="BT11" s="156">
        <v>9482</v>
      </c>
      <c r="BU11" s="156">
        <v>11217</v>
      </c>
      <c r="BV11" s="156">
        <v>17085</v>
      </c>
      <c r="BW11" s="156">
        <v>12491</v>
      </c>
      <c r="BX11" s="156">
        <v>14417</v>
      </c>
      <c r="BY11" s="156">
        <v>13478</v>
      </c>
      <c r="BZ11" s="156">
        <v>11239</v>
      </c>
      <c r="CA11" s="156">
        <v>11778</v>
      </c>
      <c r="CB11" s="156">
        <v>9285</v>
      </c>
      <c r="CC11" s="156">
        <v>9920</v>
      </c>
      <c r="CD11" s="156">
        <v>9398</v>
      </c>
      <c r="CE11" s="156">
        <v>12371</v>
      </c>
      <c r="CF11" s="156">
        <v>10046</v>
      </c>
      <c r="CG11" s="156">
        <v>7773</v>
      </c>
      <c r="CH11" s="156">
        <v>9167</v>
      </c>
      <c r="CI11" s="156">
        <v>11889</v>
      </c>
      <c r="CJ11" s="156">
        <v>10107</v>
      </c>
      <c r="CK11" s="156">
        <v>9678</v>
      </c>
      <c r="CL11" s="156">
        <v>10660</v>
      </c>
      <c r="CM11" s="157">
        <f>CI11*(1+CM19)</f>
        <v>13672.349999999999</v>
      </c>
      <c r="CN11" s="157">
        <f t="shared" si="81"/>
        <v>14149.8</v>
      </c>
      <c r="CO11" s="157">
        <f t="shared" si="81"/>
        <v>13549.199999999999</v>
      </c>
      <c r="CP11" s="157">
        <f t="shared" si="81"/>
        <v>14923.999999999998</v>
      </c>
      <c r="CQ11" s="157">
        <f t="shared" si="81"/>
        <v>21875.759999999998</v>
      </c>
      <c r="CR11" s="157">
        <f t="shared" si="81"/>
        <v>22639.68</v>
      </c>
      <c r="CS11" s="157">
        <f t="shared" si="81"/>
        <v>21678.720000000001</v>
      </c>
      <c r="CT11" s="157">
        <f t="shared" si="81"/>
        <v>23878.399999999998</v>
      </c>
      <c r="CU11" s="157">
        <f t="shared" si="81"/>
        <v>28438.487999999998</v>
      </c>
      <c r="CV11" s="157">
        <f t="shared" si="81"/>
        <v>29431.584000000003</v>
      </c>
      <c r="CW11" s="157">
        <f t="shared" si="81"/>
        <v>28182.336000000003</v>
      </c>
      <c r="CX11" s="157">
        <f t="shared" si="81"/>
        <v>31041.919999999998</v>
      </c>
      <c r="CY11" s="157">
        <f t="shared" si="81"/>
        <v>36970.034399999997</v>
      </c>
      <c r="CZ11" s="157">
        <f t="shared" si="81"/>
        <v>38261.059200000003</v>
      </c>
      <c r="DA11" s="157">
        <f t="shared" si="81"/>
        <v>36637.036800000002</v>
      </c>
      <c r="DB11" s="157">
        <f t="shared" si="81"/>
        <v>40354.495999999999</v>
      </c>
      <c r="DE11" s="159"/>
      <c r="DF11" s="158">
        <v>12300</v>
      </c>
    </row>
    <row r="12" spans="1:110" s="109" customFormat="1" x14ac:dyDescent="0.2">
      <c r="A12" s="198" t="s">
        <v>522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>
        <v>79776</v>
      </c>
      <c r="U12" s="107">
        <f>U9+U10+U11</f>
        <v>84831</v>
      </c>
      <c r="V12" s="107">
        <v>106057</v>
      </c>
      <c r="W12" s="107">
        <v>115349</v>
      </c>
      <c r="X12" s="107">
        <f t="shared" ref="X12:Z12" si="82">X9+X10+X11</f>
        <v>110505</v>
      </c>
      <c r="Y12" s="107">
        <f t="shared" si="82"/>
        <v>109320</v>
      </c>
      <c r="Z12" s="107">
        <f t="shared" si="82"/>
        <v>104387</v>
      </c>
      <c r="AA12" s="107">
        <f t="shared" ref="AA12" si="83">AA9+AA10+AA11</f>
        <v>106971</v>
      </c>
      <c r="AB12" s="108">
        <f t="shared" ref="AB12" si="84">AB9+AB10+AB11</f>
        <v>126496.14000000001</v>
      </c>
      <c r="AC12" s="108">
        <f t="shared" ref="AC12" si="85">AC9+AC10+AC11</f>
        <v>166330.52530000001</v>
      </c>
      <c r="AD12" s="108">
        <f t="shared" ref="AD12" si="86">AD9+AD10+AD11</f>
        <v>199947.782871</v>
      </c>
      <c r="AE12" s="108">
        <f t="shared" ref="AE12" si="87">AE9+AE10+AE11</f>
        <v>242258.99831197003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>
        <v>21678</v>
      </c>
      <c r="BH12" s="107">
        <v>17426</v>
      </c>
      <c r="BI12" s="107">
        <v>19128</v>
      </c>
      <c r="BJ12" s="107">
        <v>21543</v>
      </c>
      <c r="BK12" s="107">
        <f t="shared" ref="BK12:BL12" si="88">BK9+BK10+BK11</f>
        <v>20150</v>
      </c>
      <c r="BL12" s="107">
        <f t="shared" si="88"/>
        <v>21375</v>
      </c>
      <c r="BM12" s="107">
        <f t="shared" ref="BM12" si="89">BM9+BM10+BM11</f>
        <v>21160</v>
      </c>
      <c r="BN12" s="107">
        <f t="shared" ref="BN12" si="90">BN9+BN10+BN11</f>
        <v>22146</v>
      </c>
      <c r="BO12" s="107">
        <f t="shared" ref="BO12" si="91">BO9+BO10+BO11</f>
        <v>22254</v>
      </c>
      <c r="BP12" s="107">
        <f t="shared" ref="BP12" si="92">BP9+BP10+BP11</f>
        <v>23150</v>
      </c>
      <c r="BQ12" s="107">
        <f t="shared" ref="BQ12" si="93">BQ9+BQ10+BQ11</f>
        <v>28353</v>
      </c>
      <c r="BR12" s="107">
        <f t="shared" ref="BR12" si="94">BR9+BR10+BR11</f>
        <v>28547</v>
      </c>
      <c r="BS12" s="107">
        <f t="shared" ref="BS12:BU12" si="95">BS9+BS10+BS11</f>
        <v>21997</v>
      </c>
      <c r="BT12" s="107">
        <f t="shared" si="95"/>
        <v>23604</v>
      </c>
      <c r="BU12" s="107">
        <f t="shared" si="95"/>
        <v>27589</v>
      </c>
      <c r="BV12" s="107">
        <f t="shared" ref="BV12:CB12" si="96">BV9+BV10+BV11</f>
        <v>33780</v>
      </c>
      <c r="BW12" s="107">
        <f t="shared" si="96"/>
        <v>27358</v>
      </c>
      <c r="BX12" s="107">
        <f t="shared" si="96"/>
        <v>28495</v>
      </c>
      <c r="BY12" s="107">
        <f t="shared" si="96"/>
        <v>28147</v>
      </c>
      <c r="BZ12" s="107">
        <f t="shared" si="96"/>
        <v>26505</v>
      </c>
      <c r="CA12" s="107">
        <f t="shared" si="96"/>
        <v>26820</v>
      </c>
      <c r="CB12" s="107">
        <f t="shared" si="96"/>
        <v>27613</v>
      </c>
      <c r="CC12" s="107">
        <v>26903</v>
      </c>
      <c r="CD12" s="107">
        <v>27975</v>
      </c>
      <c r="CE12" s="107">
        <v>28071</v>
      </c>
      <c r="CF12" s="107">
        <v>26348</v>
      </c>
      <c r="CG12" s="107">
        <v>24097</v>
      </c>
      <c r="CH12" s="107">
        <f>CH9+CH10+CH11</f>
        <v>25872</v>
      </c>
      <c r="CI12" s="107">
        <f>CI9+CI10+CI11</f>
        <v>27570</v>
      </c>
      <c r="CJ12" s="107">
        <f>CJ9+CJ10+CJ11</f>
        <v>26166</v>
      </c>
      <c r="CK12" s="107">
        <f t="shared" ref="CK12:DB12" si="97">CK9+CK10+CK11</f>
        <v>25894</v>
      </c>
      <c r="CL12" s="107">
        <f t="shared" si="97"/>
        <v>27341</v>
      </c>
      <c r="CM12" s="108">
        <f t="shared" si="97"/>
        <v>30694.260000000002</v>
      </c>
      <c r="CN12" s="108">
        <f t="shared" si="97"/>
        <v>31584.15</v>
      </c>
      <c r="CO12" s="108">
        <f t="shared" si="97"/>
        <v>31177.010000000002</v>
      </c>
      <c r="CP12" s="108">
        <f t="shared" si="97"/>
        <v>33040.720000000001</v>
      </c>
      <c r="CQ12" s="108">
        <f t="shared" si="97"/>
        <v>40356.767699999997</v>
      </c>
      <c r="CR12" s="108">
        <f t="shared" si="97"/>
        <v>41570.776500000007</v>
      </c>
      <c r="CS12" s="108">
        <f t="shared" si="97"/>
        <v>40844.835700000003</v>
      </c>
      <c r="CT12" s="108">
        <f t="shared" si="97"/>
        <v>43558.145399999994</v>
      </c>
      <c r="CU12" s="108">
        <f t="shared" si="97"/>
        <v>48507.486639000002</v>
      </c>
      <c r="CV12" s="108">
        <f t="shared" si="97"/>
        <v>49991.833455000007</v>
      </c>
      <c r="CW12" s="108">
        <f t="shared" si="97"/>
        <v>49024.874699000007</v>
      </c>
      <c r="CX12" s="108">
        <f t="shared" si="97"/>
        <v>52423.588078000001</v>
      </c>
      <c r="CY12" s="108">
        <f t="shared" si="97"/>
        <v>58767.615383730001</v>
      </c>
      <c r="CZ12" s="108">
        <f t="shared" si="97"/>
        <v>60594.899936850008</v>
      </c>
      <c r="DA12" s="108">
        <f t="shared" si="97"/>
        <v>59306.827597930009</v>
      </c>
      <c r="DB12" s="108">
        <f t="shared" si="97"/>
        <v>63589.655393460002</v>
      </c>
      <c r="DE12" s="117"/>
      <c r="DF12" s="109">
        <v>30500</v>
      </c>
    </row>
    <row r="13" spans="1:110" s="186" customFormat="1" x14ac:dyDescent="0.2">
      <c r="A13" s="184" t="s">
        <v>523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8">
        <f>V12/U12-1</f>
        <v>0.25021513361860648</v>
      </c>
      <c r="W13" s="188">
        <f t="shared" ref="W13:Z13" si="98">W12/V12-1</f>
        <v>8.7613264565280957E-2</v>
      </c>
      <c r="X13" s="188">
        <f t="shared" si="98"/>
        <v>-4.1994295572566731E-2</v>
      </c>
      <c r="Y13" s="188">
        <f t="shared" si="98"/>
        <v>-1.0723496674358679E-2</v>
      </c>
      <c r="Z13" s="188">
        <f t="shared" si="98"/>
        <v>-4.51244054152945E-2</v>
      </c>
      <c r="AA13" s="188">
        <f t="shared" ref="AA13" si="99">AA12/Z12-1</f>
        <v>2.4754040254054699E-2</v>
      </c>
      <c r="AB13" s="199">
        <f t="shared" ref="AB13" si="100">AB12/AA12-1</f>
        <v>0.18252741397201122</v>
      </c>
      <c r="AC13" s="199">
        <f t="shared" ref="AC13" si="101">AC12/AB12-1</f>
        <v>0.31490593546965151</v>
      </c>
      <c r="AD13" s="199">
        <f t="shared" ref="AD13" si="102">AD12/AC12-1</f>
        <v>0.20211117298142733</v>
      </c>
      <c r="AE13" s="199">
        <f t="shared" ref="AE13" si="103">AE12/AD12-1</f>
        <v>0.21161132588435794</v>
      </c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8">
        <f t="shared" ref="BK13:CI13" si="104">BK12/BG12-1</f>
        <v>-7.0486207214687679E-2</v>
      </c>
      <c r="BL13" s="188">
        <f t="shared" si="104"/>
        <v>0.22661540227246646</v>
      </c>
      <c r="BM13" s="188">
        <f t="shared" si="104"/>
        <v>0.10623170221664568</v>
      </c>
      <c r="BN13" s="188">
        <f t="shared" si="104"/>
        <v>2.7990530566773364E-2</v>
      </c>
      <c r="BO13" s="188">
        <f t="shared" si="104"/>
        <v>0.10441687344913153</v>
      </c>
      <c r="BP13" s="188">
        <f t="shared" si="104"/>
        <v>8.3040935672514582E-2</v>
      </c>
      <c r="BQ13" s="188">
        <f t="shared" si="104"/>
        <v>0.33993383742911143</v>
      </c>
      <c r="BR13" s="188">
        <f t="shared" si="104"/>
        <v>0.28903639483428156</v>
      </c>
      <c r="BS13" s="188">
        <f t="shared" si="104"/>
        <v>-1.1548485665498376E-2</v>
      </c>
      <c r="BT13" s="188">
        <f t="shared" si="104"/>
        <v>1.9611231101511972E-2</v>
      </c>
      <c r="BU13" s="188">
        <f t="shared" si="104"/>
        <v>-2.6946002186717499E-2</v>
      </c>
      <c r="BV13" s="188">
        <f t="shared" si="104"/>
        <v>0.18331173153045843</v>
      </c>
      <c r="BW13" s="188">
        <f t="shared" si="104"/>
        <v>0.24371505205255262</v>
      </c>
      <c r="BX13" s="188">
        <f t="shared" si="104"/>
        <v>0.20721064226402297</v>
      </c>
      <c r="BY13" s="188">
        <f t="shared" si="104"/>
        <v>2.0225452172967451E-2</v>
      </c>
      <c r="BZ13" s="188">
        <f t="shared" si="104"/>
        <v>-0.21536412078152756</v>
      </c>
      <c r="CA13" s="188">
        <f t="shared" si="104"/>
        <v>-1.9665180203231269E-2</v>
      </c>
      <c r="CB13" s="188">
        <f t="shared" si="104"/>
        <v>-3.095279873662049E-2</v>
      </c>
      <c r="CC13" s="188">
        <f t="shared" si="104"/>
        <v>-4.4196539595694029E-2</v>
      </c>
      <c r="CD13" s="188">
        <f t="shared" si="104"/>
        <v>5.5461233729485082E-2</v>
      </c>
      <c r="CE13" s="188">
        <f t="shared" si="104"/>
        <v>4.6644295302013417E-2</v>
      </c>
      <c r="CF13" s="188">
        <f t="shared" si="104"/>
        <v>-4.5811755332633153E-2</v>
      </c>
      <c r="CG13" s="188">
        <f t="shared" si="104"/>
        <v>-0.10430063561684566</v>
      </c>
      <c r="CH13" s="188">
        <f t="shared" si="104"/>
        <v>-7.5174262734584496E-2</v>
      </c>
      <c r="CI13" s="188">
        <f t="shared" si="104"/>
        <v>-1.7847600726728641E-2</v>
      </c>
      <c r="CJ13" s="188">
        <f>CJ12/CF12-1</f>
        <v>-6.907545164718365E-3</v>
      </c>
      <c r="CK13" s="188">
        <f t="shared" ref="CK13:DB13" si="105">CK12/CG12-1</f>
        <v>7.4573598373241401E-2</v>
      </c>
      <c r="CL13" s="188">
        <f t="shared" si="105"/>
        <v>5.6779529993815636E-2</v>
      </c>
      <c r="CM13" s="199">
        <f t="shared" si="105"/>
        <v>0.11332100108813936</v>
      </c>
      <c r="CN13" s="199">
        <f t="shared" si="105"/>
        <v>0.20706833295115801</v>
      </c>
      <c r="CO13" s="199">
        <f t="shared" si="105"/>
        <v>0.20402448443654908</v>
      </c>
      <c r="CP13" s="199">
        <f t="shared" si="105"/>
        <v>0.2084678687685162</v>
      </c>
      <c r="CQ13" s="199">
        <f t="shared" si="105"/>
        <v>0.31479852259021701</v>
      </c>
      <c r="CR13" s="199">
        <f t="shared" si="105"/>
        <v>0.31619108001956686</v>
      </c>
      <c r="CS13" s="199">
        <f t="shared" si="105"/>
        <v>0.31009470439917108</v>
      </c>
      <c r="CT13" s="199">
        <f t="shared" si="105"/>
        <v>0.31831707662544861</v>
      </c>
      <c r="CU13" s="199">
        <f t="shared" si="105"/>
        <v>0.20196659453973087</v>
      </c>
      <c r="CV13" s="199">
        <f t="shared" si="105"/>
        <v>0.20257155781056913</v>
      </c>
      <c r="CW13" s="199">
        <f t="shared" si="105"/>
        <v>0.20027107120913223</v>
      </c>
      <c r="CX13" s="199">
        <f t="shared" si="105"/>
        <v>0.20353122467881768</v>
      </c>
      <c r="CY13" s="199">
        <f t="shared" si="105"/>
        <v>0.21151639583158399</v>
      </c>
      <c r="CZ13" s="199">
        <f t="shared" si="105"/>
        <v>0.21209597146290537</v>
      </c>
      <c r="DA13" s="199">
        <f t="shared" si="105"/>
        <v>0.20972930501217024</v>
      </c>
      <c r="DB13" s="199">
        <f t="shared" si="105"/>
        <v>0.21299700621113971</v>
      </c>
      <c r="DE13" s="187"/>
      <c r="DF13" s="186">
        <v>0.17888064316635743</v>
      </c>
    </row>
    <row r="14" spans="1:110" s="158" customFormat="1" x14ac:dyDescent="0.2">
      <c r="A14" s="155" t="s">
        <v>665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>
        <f>+V12-94687</f>
        <v>11370</v>
      </c>
      <c r="W14" s="156">
        <f>+W12-98179</f>
        <v>17170</v>
      </c>
      <c r="X14" s="156">
        <f>+X12-89231</f>
        <v>21274</v>
      </c>
      <c r="Y14" s="156">
        <f>+Y12-96596</f>
        <v>12724</v>
      </c>
      <c r="Z14" s="156">
        <f>+Z12-98086</f>
        <v>6301</v>
      </c>
      <c r="AA14" s="156">
        <f>+AA12-98622</f>
        <v>8349</v>
      </c>
      <c r="AB14" s="76">
        <f>+SUM(CM14:CP14)</f>
        <v>9288</v>
      </c>
      <c r="AC14" s="76">
        <f>+SUM(CQ14:CT14)</f>
        <v>15875</v>
      </c>
      <c r="AD14" s="76">
        <f>+SUM(CU14:CX14)</f>
        <v>21500</v>
      </c>
      <c r="AE14" s="76">
        <f>+SUM(CY14:DB14)</f>
        <v>26000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>
        <f>+CE12+CF12+CG12-74039</f>
        <v>4477</v>
      </c>
      <c r="CF14" s="156">
        <f>+CF12-25041</f>
        <v>1307</v>
      </c>
      <c r="CG14" s="156">
        <f>+CG12-23447</f>
        <v>650</v>
      </c>
      <c r="CH14" s="156">
        <f>+CH12-24047</f>
        <v>1825</v>
      </c>
      <c r="CI14" s="156">
        <f>+CI12+CJ12+CK12-73227</f>
        <v>6403</v>
      </c>
      <c r="CJ14" s="156">
        <f>+CJ12-24523</f>
        <v>1643</v>
      </c>
      <c r="CK14" s="156">
        <f>+CK12-23856</f>
        <v>2038</v>
      </c>
      <c r="CL14" s="156">
        <f>+CL12-25394</f>
        <v>1947</v>
      </c>
      <c r="CM14" s="157">
        <f>+CL14</f>
        <v>1947</v>
      </c>
      <c r="CN14" s="157">
        <f>+CM14</f>
        <v>1947</v>
      </c>
      <c r="CO14" s="157">
        <f>+CN14</f>
        <v>1947</v>
      </c>
      <c r="CP14" s="157">
        <f>+CO14+(3750*40%)</f>
        <v>3447</v>
      </c>
      <c r="CQ14" s="157">
        <f>2000+(3750*40%)</f>
        <v>3500</v>
      </c>
      <c r="CR14" s="157">
        <f>2000+(3750*50%)</f>
        <v>3875</v>
      </c>
      <c r="CS14" s="157">
        <f>2000+(3750*60%)</f>
        <v>4250</v>
      </c>
      <c r="CT14" s="157">
        <f t="shared" ref="CT14" si="106">2000+(3750*60%)</f>
        <v>4250</v>
      </c>
      <c r="CU14" s="157">
        <f>2000+(3750*80%)</f>
        <v>5000</v>
      </c>
      <c r="CV14" s="157">
        <f t="shared" ref="CV14:CW14" si="107">2000+(3750*80%)</f>
        <v>5000</v>
      </c>
      <c r="CW14" s="157">
        <f t="shared" si="107"/>
        <v>5000</v>
      </c>
      <c r="CX14" s="157">
        <f>+CW14+1500</f>
        <v>6500</v>
      </c>
      <c r="CY14" s="157">
        <f>+CX14</f>
        <v>6500</v>
      </c>
      <c r="CZ14" s="157">
        <f t="shared" ref="CZ14:DB14" si="108">+CY14</f>
        <v>6500</v>
      </c>
      <c r="DA14" s="157">
        <f t="shared" si="108"/>
        <v>6500</v>
      </c>
      <c r="DB14" s="157">
        <f t="shared" si="108"/>
        <v>6500</v>
      </c>
      <c r="DE14" s="159"/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23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637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638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229">
        <f t="shared" ref="V17:AA19" si="109">V9/U9-1</f>
        <v>9.3721019038786713E-2</v>
      </c>
      <c r="W17" s="229">
        <f t="shared" si="109"/>
        <v>0.24689510698787975</v>
      </c>
      <c r="X17" s="229">
        <f t="shared" si="109"/>
        <v>3.1601264050562072E-2</v>
      </c>
      <c r="Y17" s="229">
        <f t="shared" si="109"/>
        <v>0.21986118112373498</v>
      </c>
      <c r="Z17" s="229">
        <f t="shared" si="109"/>
        <v>-1.942210496201402E-2</v>
      </c>
      <c r="AA17" s="229">
        <f t="shared" si="109"/>
        <v>-2.7586877593360981E-2</v>
      </c>
      <c r="AB17" s="230">
        <f t="shared" ref="AB17:AE17" si="110">AB9/AA9-1</f>
        <v>7.0000000000000062E-2</v>
      </c>
      <c r="AC17" s="230">
        <f t="shared" si="110"/>
        <v>7.0000000000000062E-2</v>
      </c>
      <c r="AD17" s="230">
        <f t="shared" si="110"/>
        <v>7.0000000000000062E-2</v>
      </c>
      <c r="AE17" s="230">
        <f t="shared" si="110"/>
        <v>7.0000000000000062E-2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229">
        <f t="shared" ref="BO17:BX19" si="111">BO9/BK9-1</f>
        <v>-2.9672897196261649E-2</v>
      </c>
      <c r="BP17" s="229">
        <f t="shared" si="111"/>
        <v>9.9978406391707964E-2</v>
      </c>
      <c r="BQ17" s="229">
        <f t="shared" si="111"/>
        <v>0.10044444444444434</v>
      </c>
      <c r="BR17" s="229">
        <f t="shared" si="111"/>
        <v>0.18902439024390238</v>
      </c>
      <c r="BS17" s="229">
        <f t="shared" si="111"/>
        <v>0.29882013002648677</v>
      </c>
      <c r="BT17" s="229">
        <f t="shared" si="111"/>
        <v>0.15056929721240686</v>
      </c>
      <c r="BU17" s="229">
        <f t="shared" si="111"/>
        <v>0.30452342487883688</v>
      </c>
      <c r="BV17" s="229">
        <f t="shared" si="111"/>
        <v>0.2451282051282051</v>
      </c>
      <c r="BW17" s="229">
        <f t="shared" si="111"/>
        <v>0.24879495736002966</v>
      </c>
      <c r="BX17" s="229">
        <f t="shared" si="111"/>
        <v>7.6949326053574518E-2</v>
      </c>
      <c r="BY17" s="229">
        <f t="shared" ref="BY17:CH19" si="112">BY9/BU9-1</f>
        <v>-5.8513931888544923E-2</v>
      </c>
      <c r="BZ17" s="229">
        <f t="shared" si="112"/>
        <v>-8.5804503020318501E-2</v>
      </c>
      <c r="CA17" s="229">
        <f t="shared" si="112"/>
        <v>2.6722090261281917E-3</v>
      </c>
      <c r="CB17" s="229">
        <f t="shared" si="112"/>
        <v>0.28200253485424587</v>
      </c>
      <c r="CC17" s="229">
        <f t="shared" si="112"/>
        <v>0.26652416968102588</v>
      </c>
      <c r="CD17" s="229">
        <f t="shared" si="112"/>
        <v>0.33803874455623961</v>
      </c>
      <c r="CE17" s="229">
        <f t="shared" si="112"/>
        <v>9.579508439443285E-2</v>
      </c>
      <c r="CF17" s="229">
        <f t="shared" si="112"/>
        <v>-5.8823529411764719E-2</v>
      </c>
      <c r="CG17" s="229">
        <f t="shared" si="112"/>
        <v>-2.4406075554978535E-2</v>
      </c>
      <c r="CH17" s="229">
        <f t="shared" si="112"/>
        <v>-6.6666666666666652E-2</v>
      </c>
      <c r="CI17" s="229">
        <f t="shared" ref="CI17:CL19" si="113">CI9/CE9-1</f>
        <v>2.3240102688825814E-2</v>
      </c>
      <c r="CJ17" s="229">
        <f t="shared" si="113"/>
        <v>9.0598739495797442E-3</v>
      </c>
      <c r="CK17" s="229">
        <f t="shared" si="113"/>
        <v>-6.9461077844311325E-2</v>
      </c>
      <c r="CL17" s="229">
        <f t="shared" si="113"/>
        <v>-6.8542568542568572E-2</v>
      </c>
      <c r="CM17" s="230">
        <v>7.0000000000000007E-2</v>
      </c>
      <c r="CN17" s="230">
        <v>7.0000000000000007E-2</v>
      </c>
      <c r="CO17" s="230">
        <v>7.0000000000000007E-2</v>
      </c>
      <c r="CP17" s="230">
        <v>7.0000000000000007E-2</v>
      </c>
      <c r="CQ17" s="230">
        <v>7.0000000000000007E-2</v>
      </c>
      <c r="CR17" s="230">
        <v>7.0000000000000007E-2</v>
      </c>
      <c r="CS17" s="230">
        <v>7.0000000000000007E-2</v>
      </c>
      <c r="CT17" s="230">
        <v>7.0000000000000007E-2</v>
      </c>
      <c r="CU17" s="230">
        <v>7.0000000000000007E-2</v>
      </c>
      <c r="CV17" s="230">
        <v>7.0000000000000007E-2</v>
      </c>
      <c r="CW17" s="230">
        <v>7.0000000000000007E-2</v>
      </c>
      <c r="CX17" s="230">
        <v>7.0000000000000007E-2</v>
      </c>
      <c r="CY17" s="230">
        <v>7.0000000000000007E-2</v>
      </c>
      <c r="CZ17" s="230">
        <v>7.0000000000000007E-2</v>
      </c>
      <c r="DA17" s="230">
        <v>7.0000000000000007E-2</v>
      </c>
      <c r="DB17" s="230">
        <v>7.0000000000000007E-2</v>
      </c>
      <c r="DE17" s="159"/>
    </row>
    <row r="18" spans="1:110" s="158" customFormat="1" x14ac:dyDescent="0.2">
      <c r="A18" s="155" t="s">
        <v>639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229">
        <f t="shared" si="109"/>
        <v>9.7740395292027493E-2</v>
      </c>
      <c r="W18" s="229">
        <f t="shared" si="109"/>
        <v>-6.0032873941079812E-2</v>
      </c>
      <c r="X18" s="229">
        <f t="shared" si="109"/>
        <v>-0.1097629872750262</v>
      </c>
      <c r="Y18" s="229">
        <f t="shared" si="109"/>
        <v>0.13263425100480486</v>
      </c>
      <c r="Z18" s="229">
        <f t="shared" si="109"/>
        <v>-8.7993596584845291E-2</v>
      </c>
      <c r="AA18" s="229">
        <f t="shared" si="109"/>
        <v>1.3398864899654805E-2</v>
      </c>
      <c r="AB18" s="230">
        <f t="shared" ref="AB18:AE19" si="114">AB10/AA10-1</f>
        <v>0.10000000000000031</v>
      </c>
      <c r="AC18" s="230">
        <f t="shared" si="114"/>
        <v>0.10000000000000009</v>
      </c>
      <c r="AD18" s="230">
        <f t="shared" si="114"/>
        <v>0.10000000000000009</v>
      </c>
      <c r="AE18" s="230">
        <f t="shared" si="114"/>
        <v>0.10000000000000009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229">
        <f t="shared" si="111"/>
        <v>-2.6235294117647023E-2</v>
      </c>
      <c r="BP18" s="229">
        <f t="shared" si="111"/>
        <v>9.8847517730496381E-2</v>
      </c>
      <c r="BQ18" s="229">
        <f t="shared" si="111"/>
        <v>0.19337748344370853</v>
      </c>
      <c r="BR18" s="229">
        <f t="shared" si="111"/>
        <v>0.11652542372881358</v>
      </c>
      <c r="BS18" s="229">
        <f t="shared" si="111"/>
        <v>0.1582699045547904</v>
      </c>
      <c r="BT18" s="229">
        <f t="shared" si="111"/>
        <v>-0.16690197660346917</v>
      </c>
      <c r="BU18" s="229">
        <f t="shared" si="111"/>
        <v>-8.3240843507214168E-2</v>
      </c>
      <c r="BV18" s="229">
        <f t="shared" si="111"/>
        <v>-0.10711574952561664</v>
      </c>
      <c r="BW18" s="229">
        <f t="shared" si="111"/>
        <v>-0.15187232710962761</v>
      </c>
      <c r="BX18" s="229">
        <f t="shared" si="111"/>
        <v>-5.9920106524633865E-2</v>
      </c>
      <c r="BY18" s="229">
        <f t="shared" si="112"/>
        <v>-0.13367635189669091</v>
      </c>
      <c r="BZ18" s="229">
        <f t="shared" si="112"/>
        <v>-8.5431941345234352E-2</v>
      </c>
      <c r="CA18" s="229">
        <f t="shared" si="112"/>
        <v>1.9308818103554337E-2</v>
      </c>
      <c r="CB18" s="229">
        <f t="shared" si="112"/>
        <v>0.31805305176409981</v>
      </c>
      <c r="CC18" s="229">
        <f t="shared" si="112"/>
        <v>8.0703388843600843E-2</v>
      </c>
      <c r="CD18" s="229">
        <f t="shared" si="112"/>
        <v>0.12420123155571039</v>
      </c>
      <c r="CE18" s="229">
        <f t="shared" si="112"/>
        <v>1.3272200772200815E-3</v>
      </c>
      <c r="CF18" s="229">
        <f t="shared" si="112"/>
        <v>-0.15152403282532234</v>
      </c>
      <c r="CG18" s="229">
        <f t="shared" si="112"/>
        <v>-5.075431034482758E-2</v>
      </c>
      <c r="CH18" s="229">
        <f t="shared" si="112"/>
        <v>-0.13300950806118228</v>
      </c>
      <c r="CI18" s="229">
        <f t="shared" si="113"/>
        <v>-2.3014821062778634E-2</v>
      </c>
      <c r="CJ18" s="229">
        <f t="shared" si="113"/>
        <v>-3.5808865860679329E-2</v>
      </c>
      <c r="CK18" s="229">
        <f t="shared" si="113"/>
        <v>4.6997389033942572E-2</v>
      </c>
      <c r="CL18" s="229">
        <f t="shared" si="113"/>
        <v>6.5085230659196469E-2</v>
      </c>
      <c r="CM18" s="230">
        <v>0.1</v>
      </c>
      <c r="CN18" s="230">
        <v>0.1</v>
      </c>
      <c r="CO18" s="230">
        <v>0.1</v>
      </c>
      <c r="CP18" s="230">
        <v>0.1</v>
      </c>
      <c r="CQ18" s="230">
        <v>0.1</v>
      </c>
      <c r="CR18" s="230">
        <v>0.1</v>
      </c>
      <c r="CS18" s="230">
        <v>0.1</v>
      </c>
      <c r="CT18" s="230">
        <v>0.1</v>
      </c>
      <c r="CU18" s="230">
        <v>0.1</v>
      </c>
      <c r="CV18" s="230">
        <v>0.1</v>
      </c>
      <c r="CW18" s="230">
        <v>0.1</v>
      </c>
      <c r="CX18" s="230">
        <v>0.1</v>
      </c>
      <c r="CY18" s="230">
        <v>0.1</v>
      </c>
      <c r="CZ18" s="230">
        <v>0.1</v>
      </c>
      <c r="DA18" s="230">
        <v>0.1</v>
      </c>
      <c r="DB18" s="230">
        <v>0.1</v>
      </c>
      <c r="DE18" s="159"/>
    </row>
    <row r="19" spans="1:110" s="158" customFormat="1" x14ac:dyDescent="0.2">
      <c r="A19" s="155" t="s">
        <v>640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229">
        <f t="shared" si="109"/>
        <v>0.52457671610447565</v>
      </c>
      <c r="W19" s="229">
        <f t="shared" si="109"/>
        <v>0.14454512192497249</v>
      </c>
      <c r="X19" s="229">
        <f t="shared" si="109"/>
        <v>-2.9222061340002603E-2</v>
      </c>
      <c r="Y19" s="229">
        <f t="shared" si="109"/>
        <v>-0.21780145278450358</v>
      </c>
      <c r="Z19" s="229">
        <f t="shared" si="109"/>
        <v>-2.5358460662192606E-2</v>
      </c>
      <c r="AA19" s="229">
        <f t="shared" si="109"/>
        <v>7.5640927916253764E-2</v>
      </c>
      <c r="AB19" s="230">
        <f t="shared" si="114"/>
        <v>0.32979047574053943</v>
      </c>
      <c r="AC19" s="230">
        <f t="shared" si="114"/>
        <v>0.60000000000000009</v>
      </c>
      <c r="AD19" s="230">
        <f t="shared" si="114"/>
        <v>0.30000000000000004</v>
      </c>
      <c r="AE19" s="230">
        <f t="shared" si="114"/>
        <v>0.30000000000000004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229">
        <f t="shared" si="111"/>
        <v>0.33297150610583448</v>
      </c>
      <c r="BP19" s="229">
        <f t="shared" si="111"/>
        <v>5.4404145077720178E-2</v>
      </c>
      <c r="BQ19" s="229">
        <f t="shared" si="111"/>
        <v>0.65644736842105256</v>
      </c>
      <c r="BR19" s="229">
        <f t="shared" si="111"/>
        <v>0.56139224248651431</v>
      </c>
      <c r="BS19" s="229">
        <f t="shared" si="111"/>
        <v>-0.28583061889250816</v>
      </c>
      <c r="BT19" s="229">
        <f t="shared" si="111"/>
        <v>0.16486486486486496</v>
      </c>
      <c r="BU19" s="229">
        <f t="shared" si="111"/>
        <v>-0.10898403368019705</v>
      </c>
      <c r="BV19" s="229">
        <f t="shared" si="111"/>
        <v>0.40536316525458593</v>
      </c>
      <c r="BW19" s="229">
        <f t="shared" si="111"/>
        <v>0.78035917901938423</v>
      </c>
      <c r="BX19" s="229">
        <f t="shared" si="111"/>
        <v>0.52045981860367019</v>
      </c>
      <c r="BY19" s="229">
        <f t="shared" si="112"/>
        <v>0.20156904698225908</v>
      </c>
      <c r="BZ19" s="229">
        <f t="shared" si="112"/>
        <v>-0.34217149546385717</v>
      </c>
      <c r="CA19" s="229">
        <f t="shared" si="112"/>
        <v>-5.7081098390841412E-2</v>
      </c>
      <c r="CB19" s="229">
        <f t="shared" si="112"/>
        <v>-0.35596864812374285</v>
      </c>
      <c r="CC19" s="229">
        <f t="shared" si="112"/>
        <v>-0.26398575456299156</v>
      </c>
      <c r="CD19" s="229">
        <f t="shared" si="112"/>
        <v>-0.16380460895097426</v>
      </c>
      <c r="CE19" s="229">
        <f t="shared" si="112"/>
        <v>5.0348106639497292E-2</v>
      </c>
      <c r="CF19" s="229">
        <f t="shared" si="112"/>
        <v>8.1960150780829188E-2</v>
      </c>
      <c r="CG19" s="229">
        <f t="shared" si="112"/>
        <v>-0.21643145161290323</v>
      </c>
      <c r="CH19" s="229">
        <f t="shared" si="112"/>
        <v>-2.4579697808044254E-2</v>
      </c>
      <c r="CI19" s="229">
        <f t="shared" si="113"/>
        <v>-3.8962088755961521E-2</v>
      </c>
      <c r="CJ19" s="229">
        <f t="shared" si="113"/>
        <v>6.0720684849691064E-3</v>
      </c>
      <c r="CK19" s="229">
        <f t="shared" si="113"/>
        <v>0.24507912003087617</v>
      </c>
      <c r="CL19" s="229">
        <f t="shared" si="113"/>
        <v>0.16286680484346028</v>
      </c>
      <c r="CM19" s="230">
        <v>0.15</v>
      </c>
      <c r="CN19" s="230">
        <v>0.4</v>
      </c>
      <c r="CO19" s="230">
        <v>0.4</v>
      </c>
      <c r="CP19" s="230">
        <v>0.4</v>
      </c>
      <c r="CQ19" s="230">
        <v>0.6</v>
      </c>
      <c r="CR19" s="230">
        <v>0.6</v>
      </c>
      <c r="CS19" s="230">
        <v>0.6</v>
      </c>
      <c r="CT19" s="230">
        <v>0.6</v>
      </c>
      <c r="CU19" s="230">
        <v>0.3</v>
      </c>
      <c r="CV19" s="230">
        <v>0.3</v>
      </c>
      <c r="CW19" s="230">
        <v>0.3</v>
      </c>
      <c r="CX19" s="230">
        <v>0.3</v>
      </c>
      <c r="CY19" s="230">
        <v>0.3</v>
      </c>
      <c r="CZ19" s="230">
        <v>0.3</v>
      </c>
      <c r="DA19" s="230">
        <v>0.3</v>
      </c>
      <c r="DB19" s="230">
        <v>0.3</v>
      </c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229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92" customFormat="1" x14ac:dyDescent="0.2">
      <c r="A21" s="189" t="s">
        <v>527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>
        <f t="shared" ref="T21:AE21" si="115">T59*10^7/T12</f>
        <v>118212.40369283996</v>
      </c>
      <c r="U21" s="190">
        <f t="shared" si="115"/>
        <v>110310.12706439862</v>
      </c>
      <c r="V21" s="190">
        <f t="shared" si="115"/>
        <v>123655.68515043796</v>
      </c>
      <c r="W21" s="190">
        <f t="shared" si="115"/>
        <v>201378.73757033003</v>
      </c>
      <c r="X21" s="190">
        <f t="shared" si="115"/>
        <v>213148.3281299489</v>
      </c>
      <c r="Y21" s="190">
        <f t="shared" si="115"/>
        <v>150156.6959385291</v>
      </c>
      <c r="Z21" s="190">
        <f t="shared" si="115"/>
        <v>133837.01035569565</v>
      </c>
      <c r="AA21" s="190">
        <f t="shared" si="115"/>
        <v>120737.83548812296</v>
      </c>
      <c r="AB21" s="191">
        <f t="shared" si="115"/>
        <v>153277.29594451483</v>
      </c>
      <c r="AC21" s="191">
        <f t="shared" si="115"/>
        <v>176284.28880784949</v>
      </c>
      <c r="AD21" s="191">
        <f t="shared" si="115"/>
        <v>202734.90187506418</v>
      </c>
      <c r="AE21" s="191">
        <f t="shared" si="115"/>
        <v>233154.08171749508</v>
      </c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>
        <f t="shared" ref="BG21:CL21" si="116">BG59*10^7/BG12</f>
        <v>119885.13700525879</v>
      </c>
      <c r="BH21" s="190">
        <f t="shared" si="116"/>
        <v>124148.39894410651</v>
      </c>
      <c r="BI21" s="190">
        <f t="shared" si="116"/>
        <v>124850.48097030532</v>
      </c>
      <c r="BJ21" s="190">
        <f t="shared" si="116"/>
        <v>105194.72682541893</v>
      </c>
      <c r="BK21" s="190">
        <f t="shared" si="116"/>
        <v>110658.56079404466</v>
      </c>
      <c r="BL21" s="190">
        <f t="shared" si="116"/>
        <v>106317.19298245614</v>
      </c>
      <c r="BM21" s="190">
        <f t="shared" si="116"/>
        <v>107521.26654064273</v>
      </c>
      <c r="BN21" s="190">
        <f t="shared" si="116"/>
        <v>116511.78542400434</v>
      </c>
      <c r="BO21" s="190">
        <f t="shared" si="116"/>
        <v>100166.26224498966</v>
      </c>
      <c r="BP21" s="190">
        <f t="shared" si="116"/>
        <v>121980.56155507559</v>
      </c>
      <c r="BQ21" s="190">
        <f t="shared" si="116"/>
        <v>138301.76700878213</v>
      </c>
      <c r="BR21" s="190">
        <f t="shared" si="116"/>
        <v>145035.90569937296</v>
      </c>
      <c r="BS21" s="190">
        <f t="shared" si="116"/>
        <v>204882.93858253397</v>
      </c>
      <c r="BT21" s="190">
        <f t="shared" si="116"/>
        <v>222730.46941196403</v>
      </c>
      <c r="BU21" s="190">
        <f t="shared" si="116"/>
        <v>204753.70618724855</v>
      </c>
      <c r="BV21" s="190">
        <f t="shared" si="116"/>
        <v>231014.20959147424</v>
      </c>
      <c r="BW21" s="190">
        <f t="shared" si="116"/>
        <v>244963.8131442357</v>
      </c>
      <c r="BX21" s="190">
        <f t="shared" si="116"/>
        <v>220234.42709247235</v>
      </c>
      <c r="BY21" s="190">
        <f t="shared" si="116"/>
        <v>208174.22815930648</v>
      </c>
      <c r="BZ21" s="190">
        <f t="shared" si="116"/>
        <v>177851.3488021128</v>
      </c>
      <c r="CA21" s="190">
        <f t="shared" si="116"/>
        <v>172883.29604772557</v>
      </c>
      <c r="CB21" s="190">
        <f t="shared" si="116"/>
        <v>137813.34878499259</v>
      </c>
      <c r="CC21" s="190">
        <f t="shared" si="116"/>
        <v>142496.3758688622</v>
      </c>
      <c r="CD21" s="190">
        <f t="shared" si="116"/>
        <v>147966.75603217157</v>
      </c>
      <c r="CE21" s="190">
        <f t="shared" si="116"/>
        <v>137061.73631149586</v>
      </c>
      <c r="CF21" s="190">
        <f t="shared" si="116"/>
        <v>131654.39502049491</v>
      </c>
      <c r="CG21" s="190">
        <f t="shared" si="116"/>
        <v>129778.81064032867</v>
      </c>
      <c r="CH21" s="190">
        <f t="shared" si="116"/>
        <v>136335.80705009276</v>
      </c>
      <c r="CI21" s="190">
        <f t="shared" si="116"/>
        <v>129974.97279651795</v>
      </c>
      <c r="CJ21" s="190">
        <f t="shared" si="116"/>
        <v>130150.5770847665</v>
      </c>
      <c r="CK21" s="190">
        <f t="shared" si="116"/>
        <v>127945.08380319765</v>
      </c>
      <c r="CL21" s="190">
        <f t="shared" si="116"/>
        <v>144393.40185070041</v>
      </c>
      <c r="CM21" s="191">
        <f t="shared" ref="CM21:DB21" si="117">CI21+(CI21*CM22)</f>
        <v>149471.21871599564</v>
      </c>
      <c r="CN21" s="191">
        <f t="shared" si="117"/>
        <v>149673.16364748147</v>
      </c>
      <c r="CO21" s="191">
        <f t="shared" si="117"/>
        <v>147136.84637367728</v>
      </c>
      <c r="CP21" s="191">
        <f t="shared" si="117"/>
        <v>166052.41212830547</v>
      </c>
      <c r="CQ21" s="191">
        <f t="shared" si="117"/>
        <v>171891.90152339498</v>
      </c>
      <c r="CR21" s="191">
        <f t="shared" si="117"/>
        <v>172124.1381946037</v>
      </c>
      <c r="CS21" s="191">
        <f t="shared" si="117"/>
        <v>169207.37332972887</v>
      </c>
      <c r="CT21" s="191">
        <f t="shared" si="117"/>
        <v>190960.27394755129</v>
      </c>
      <c r="CU21" s="191">
        <f t="shared" si="117"/>
        <v>197675.68675190423</v>
      </c>
      <c r="CV21" s="191">
        <f t="shared" si="117"/>
        <v>197942.75892379426</v>
      </c>
      <c r="CW21" s="191">
        <f t="shared" si="117"/>
        <v>194588.47932918821</v>
      </c>
      <c r="CX21" s="191">
        <f t="shared" si="117"/>
        <v>219604.31503968398</v>
      </c>
      <c r="CY21" s="191">
        <f t="shared" si="117"/>
        <v>227327.03976468986</v>
      </c>
      <c r="CZ21" s="191">
        <f t="shared" si="117"/>
        <v>227634.17276236339</v>
      </c>
      <c r="DA21" s="191">
        <f t="shared" si="117"/>
        <v>223776.75122856643</v>
      </c>
      <c r="DB21" s="191">
        <f t="shared" si="117"/>
        <v>252544.96229563656</v>
      </c>
      <c r="DE21" s="193"/>
      <c r="DF21" s="192">
        <v>144516</v>
      </c>
    </row>
    <row r="22" spans="1:110" s="200" customFormat="1" x14ac:dyDescent="0.2">
      <c r="A22" s="184" t="s">
        <v>523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5">
        <f>V21/U21-1</f>
        <v>0.12098216583730581</v>
      </c>
      <c r="W22" s="185">
        <f t="shared" ref="W22" si="118">W21/V21-1</f>
        <v>0.62854410879156242</v>
      </c>
      <c r="X22" s="188">
        <f t="shared" ref="X22" si="119">X21/W21-1</f>
        <v>5.8445050860984837E-2</v>
      </c>
      <c r="Y22" s="188">
        <f t="shared" ref="Y22" si="120">Y21/X21-1</f>
        <v>-0.29552956264811081</v>
      </c>
      <c r="Z22" s="188">
        <f t="shared" ref="Z22" si="121">Z21/Y21-1</f>
        <v>-0.10868436789202118</v>
      </c>
      <c r="AA22" s="188">
        <f t="shared" ref="AA22" si="122">AA21/Z21-1</f>
        <v>-9.7874084550747975E-2</v>
      </c>
      <c r="AB22" s="199">
        <f t="shared" ref="AB22" si="123">AB21/AA21-1</f>
        <v>0.26950508367853576</v>
      </c>
      <c r="AC22" s="199">
        <f t="shared" ref="AC22" si="124">AC21/AB21-1</f>
        <v>0.15010046152995171</v>
      </c>
      <c r="AD22" s="199">
        <f t="shared" ref="AD22" si="125">AD21/AC21-1</f>
        <v>0.1500452096218623</v>
      </c>
      <c r="AE22" s="199">
        <f t="shared" ref="AE22" si="126">AE21/AD21-1</f>
        <v>0.15004411949342988</v>
      </c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8"/>
      <c r="BK22" s="188">
        <f t="shared" ref="BK22:CI22" si="127">BK21/BG21-1</f>
        <v>-7.6961802285878012E-2</v>
      </c>
      <c r="BL22" s="188">
        <f t="shared" si="127"/>
        <v>-0.14362815882690716</v>
      </c>
      <c r="BM22" s="188">
        <f t="shared" si="127"/>
        <v>-0.13879974105813986</v>
      </c>
      <c r="BN22" s="188">
        <f t="shared" si="127"/>
        <v>0.10758199522079837</v>
      </c>
      <c r="BO22" s="188">
        <f t="shared" si="127"/>
        <v>-9.4816871589203489E-2</v>
      </c>
      <c r="BP22" s="188">
        <f t="shared" si="127"/>
        <v>0.14732676938906897</v>
      </c>
      <c r="BQ22" s="188">
        <f t="shared" si="127"/>
        <v>0.286273603896811</v>
      </c>
      <c r="BR22" s="188">
        <f t="shared" si="127"/>
        <v>0.24481746779147673</v>
      </c>
      <c r="BS22" s="188">
        <f t="shared" si="127"/>
        <v>1.0454286102981971</v>
      </c>
      <c r="BT22" s="188">
        <f t="shared" si="127"/>
        <v>0.8259505168075385</v>
      </c>
      <c r="BU22" s="188">
        <f t="shared" si="127"/>
        <v>0.48048510598022021</v>
      </c>
      <c r="BV22" s="188">
        <f t="shared" si="127"/>
        <v>0.59280702580170108</v>
      </c>
      <c r="BW22" s="188">
        <f t="shared" si="127"/>
        <v>0.19562817108636765</v>
      </c>
      <c r="BX22" s="188">
        <f t="shared" si="127"/>
        <v>-1.1206559776403946E-2</v>
      </c>
      <c r="BY22" s="188">
        <f t="shared" si="127"/>
        <v>1.6705543629719877E-2</v>
      </c>
      <c r="BZ22" s="188">
        <f t="shared" si="127"/>
        <v>-0.23012809854153427</v>
      </c>
      <c r="CA22" s="188">
        <f t="shared" si="127"/>
        <v>-0.29424965333173037</v>
      </c>
      <c r="CB22" s="188">
        <f t="shared" si="127"/>
        <v>-0.37424248059488308</v>
      </c>
      <c r="CC22" s="188">
        <f t="shared" si="127"/>
        <v>-0.31549463577299275</v>
      </c>
      <c r="CD22" s="188">
        <f t="shared" si="127"/>
        <v>-0.16803129676116468</v>
      </c>
      <c r="CE22" s="188">
        <f t="shared" si="127"/>
        <v>-0.20720081439412708</v>
      </c>
      <c r="CF22" s="188">
        <f t="shared" si="127"/>
        <v>-4.4690545718517272E-2</v>
      </c>
      <c r="CG22" s="188">
        <f t="shared" si="127"/>
        <v>-8.9248341587559898E-2</v>
      </c>
      <c r="CH22" s="188">
        <f t="shared" si="127"/>
        <v>-7.8605149521220552E-2</v>
      </c>
      <c r="CI22" s="188">
        <f t="shared" si="127"/>
        <v>-5.1704901059125952E-2</v>
      </c>
      <c r="CJ22" s="188">
        <f>CJ21/CF21-1</f>
        <v>-1.1422466644537832E-2</v>
      </c>
      <c r="CK22" s="188">
        <f>CK21/CG21-1</f>
        <v>-1.4129632010675741E-2</v>
      </c>
      <c r="CL22" s="188">
        <f>CL21/CH21-1</f>
        <v>5.9101089984725075E-2</v>
      </c>
      <c r="CM22" s="199">
        <v>0.15</v>
      </c>
      <c r="CN22" s="199">
        <v>0.15</v>
      </c>
      <c r="CO22" s="199">
        <v>0.15</v>
      </c>
      <c r="CP22" s="199">
        <v>0.15</v>
      </c>
      <c r="CQ22" s="199">
        <v>0.15</v>
      </c>
      <c r="CR22" s="199">
        <v>0.15</v>
      </c>
      <c r="CS22" s="199">
        <v>0.15</v>
      </c>
      <c r="CT22" s="199">
        <v>0.15</v>
      </c>
      <c r="CU22" s="199">
        <v>0.15</v>
      </c>
      <c r="CV22" s="199">
        <v>0.15</v>
      </c>
      <c r="CW22" s="199">
        <v>0.15</v>
      </c>
      <c r="CX22" s="199">
        <v>0.15</v>
      </c>
      <c r="CY22" s="199">
        <v>0.15</v>
      </c>
      <c r="CZ22" s="199">
        <v>0.15</v>
      </c>
      <c r="DA22" s="199">
        <v>0.15</v>
      </c>
      <c r="DB22" s="199">
        <v>0.15</v>
      </c>
      <c r="DE22" s="201"/>
    </row>
    <row r="23" spans="1:110" s="196" customFormat="1" x14ac:dyDescent="0.2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5"/>
      <c r="AC23" s="195"/>
      <c r="AD23" s="195"/>
      <c r="AE23" s="195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5"/>
      <c r="CY23" s="195"/>
      <c r="CZ23" s="195"/>
      <c r="DA23" s="195"/>
      <c r="DB23" s="195"/>
      <c r="DE23" s="197"/>
    </row>
    <row r="24" spans="1:110" s="196" customFormat="1" x14ac:dyDescent="0.2">
      <c r="A24" s="203" t="s">
        <v>534</v>
      </c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5"/>
      <c r="AC24" s="195"/>
      <c r="AD24" s="195"/>
      <c r="AE24" s="195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CZ24" s="195"/>
      <c r="DA24" s="195"/>
      <c r="DB24" s="195"/>
      <c r="DE24" s="197"/>
    </row>
    <row r="25" spans="1:110" s="196" customFormat="1" x14ac:dyDescent="0.2">
      <c r="A25" s="203" t="s">
        <v>529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204">
        <f>T21/1000</f>
        <v>118.21240369283996</v>
      </c>
      <c r="U25" s="204">
        <f>U21/1000</f>
        <v>110.31012706439861</v>
      </c>
      <c r="V25" s="204">
        <f t="shared" ref="V25:AA25" si="128">V21/1000</f>
        <v>123.65568515043796</v>
      </c>
      <c r="W25" s="204">
        <f t="shared" si="128"/>
        <v>201.37873757033003</v>
      </c>
      <c r="X25" s="204">
        <f t="shared" si="128"/>
        <v>213.14832812994891</v>
      </c>
      <c r="Y25" s="204">
        <f t="shared" si="128"/>
        <v>150.15669593852911</v>
      </c>
      <c r="Z25" s="204">
        <f t="shared" si="128"/>
        <v>133.83701035569564</v>
      </c>
      <c r="AA25" s="204">
        <f t="shared" si="128"/>
        <v>120.73783548812295</v>
      </c>
      <c r="AB25" s="231">
        <f t="shared" ref="AB25:AE25" si="129">AB21/1000</f>
        <v>153.27729594451483</v>
      </c>
      <c r="AC25" s="231">
        <f t="shared" si="129"/>
        <v>176.28428880784949</v>
      </c>
      <c r="AD25" s="231">
        <f t="shared" si="129"/>
        <v>202.7349018750642</v>
      </c>
      <c r="AE25" s="231">
        <f t="shared" si="129"/>
        <v>233.15408171749507</v>
      </c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204">
        <f t="shared" ref="BG25:CJ25" si="130">BG21/1000</f>
        <v>119.88513700525878</v>
      </c>
      <c r="BH25" s="204">
        <f t="shared" si="130"/>
        <v>124.1483989441065</v>
      </c>
      <c r="BI25" s="204">
        <f t="shared" si="130"/>
        <v>124.85048097030531</v>
      </c>
      <c r="BJ25" s="204">
        <f t="shared" si="130"/>
        <v>105.19472682541893</v>
      </c>
      <c r="BK25" s="204">
        <f t="shared" si="130"/>
        <v>110.65856079404466</v>
      </c>
      <c r="BL25" s="204">
        <f t="shared" si="130"/>
        <v>106.31719298245613</v>
      </c>
      <c r="BM25" s="204">
        <f t="shared" si="130"/>
        <v>107.52126654064273</v>
      </c>
      <c r="BN25" s="204">
        <f t="shared" si="130"/>
        <v>116.51178542400434</v>
      </c>
      <c r="BO25" s="204">
        <f t="shared" si="130"/>
        <v>100.16626224498965</v>
      </c>
      <c r="BP25" s="204">
        <f t="shared" si="130"/>
        <v>121.9805615550756</v>
      </c>
      <c r="BQ25" s="204">
        <f t="shared" si="130"/>
        <v>138.30176700878212</v>
      </c>
      <c r="BR25" s="204">
        <f t="shared" si="130"/>
        <v>145.03590569937296</v>
      </c>
      <c r="BS25" s="204">
        <f t="shared" si="130"/>
        <v>204.88293858253397</v>
      </c>
      <c r="BT25" s="204">
        <f t="shared" si="130"/>
        <v>222.73046941196404</v>
      </c>
      <c r="BU25" s="204">
        <f t="shared" si="130"/>
        <v>204.75370618724855</v>
      </c>
      <c r="BV25" s="204">
        <f t="shared" si="130"/>
        <v>231.01420959147424</v>
      </c>
      <c r="BW25" s="204">
        <f t="shared" si="130"/>
        <v>244.9638131442357</v>
      </c>
      <c r="BX25" s="204">
        <f t="shared" si="130"/>
        <v>220.23442709247234</v>
      </c>
      <c r="BY25" s="204">
        <f t="shared" si="130"/>
        <v>208.17422815930649</v>
      </c>
      <c r="BZ25" s="204">
        <f t="shared" si="130"/>
        <v>177.8513488021128</v>
      </c>
      <c r="CA25" s="204">
        <f t="shared" si="130"/>
        <v>172.88329604772557</v>
      </c>
      <c r="CB25" s="204">
        <f t="shared" si="130"/>
        <v>137.8133487849926</v>
      </c>
      <c r="CC25" s="204">
        <f t="shared" si="130"/>
        <v>142.4963758688622</v>
      </c>
      <c r="CD25" s="204">
        <f t="shared" si="130"/>
        <v>147.96675603217156</v>
      </c>
      <c r="CE25" s="204">
        <f t="shared" si="130"/>
        <v>137.06173631149585</v>
      </c>
      <c r="CF25" s="204">
        <f t="shared" si="130"/>
        <v>131.65439502049492</v>
      </c>
      <c r="CG25" s="204">
        <f t="shared" si="130"/>
        <v>129.77881064032866</v>
      </c>
      <c r="CH25" s="204">
        <f t="shared" si="130"/>
        <v>136.33580705009277</v>
      </c>
      <c r="CI25" s="204">
        <f t="shared" si="130"/>
        <v>129.97497279651796</v>
      </c>
      <c r="CJ25" s="204">
        <f t="shared" si="130"/>
        <v>130.1505770847665</v>
      </c>
      <c r="CK25" s="204">
        <f t="shared" ref="CK25" si="131">CK21/1000</f>
        <v>127.94508380319765</v>
      </c>
      <c r="CL25" s="204">
        <f t="shared" ref="CL25:DB25" si="132">CL21/1000</f>
        <v>144.3934018507004</v>
      </c>
      <c r="CM25" s="231">
        <f t="shared" si="132"/>
        <v>149.47121871599563</v>
      </c>
      <c r="CN25" s="231">
        <f t="shared" si="132"/>
        <v>149.67316364748146</v>
      </c>
      <c r="CO25" s="231">
        <f t="shared" si="132"/>
        <v>147.13684637367729</v>
      </c>
      <c r="CP25" s="231">
        <f t="shared" si="132"/>
        <v>166.05241212830546</v>
      </c>
      <c r="CQ25" s="231">
        <f t="shared" si="132"/>
        <v>171.89190152339498</v>
      </c>
      <c r="CR25" s="231">
        <f t="shared" si="132"/>
        <v>172.12413819460369</v>
      </c>
      <c r="CS25" s="231">
        <f t="shared" si="132"/>
        <v>169.20737332972888</v>
      </c>
      <c r="CT25" s="231">
        <f t="shared" si="132"/>
        <v>190.96027394755129</v>
      </c>
      <c r="CU25" s="231">
        <f t="shared" si="132"/>
        <v>197.67568675190424</v>
      </c>
      <c r="CV25" s="231">
        <f t="shared" si="132"/>
        <v>197.94275892379426</v>
      </c>
      <c r="CW25" s="231">
        <f t="shared" si="132"/>
        <v>194.5884793291882</v>
      </c>
      <c r="CX25" s="231">
        <f t="shared" si="132"/>
        <v>219.60431503968397</v>
      </c>
      <c r="CY25" s="231">
        <f t="shared" si="132"/>
        <v>227.32703976468986</v>
      </c>
      <c r="CZ25" s="231">
        <f t="shared" si="132"/>
        <v>227.63417276236339</v>
      </c>
      <c r="DA25" s="231">
        <f t="shared" si="132"/>
        <v>223.77675122856644</v>
      </c>
      <c r="DB25" s="231">
        <f t="shared" si="132"/>
        <v>252.54496229563657</v>
      </c>
      <c r="DE25" s="197"/>
    </row>
    <row r="26" spans="1:110" s="196" customFormat="1" x14ac:dyDescent="0.2">
      <c r="A26" s="203" t="s">
        <v>531</v>
      </c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206">
        <f>T25-T27</f>
        <v>64.600459599378269</v>
      </c>
      <c r="U26" s="206">
        <f>U25-U27</f>
        <v>60.571087385507639</v>
      </c>
      <c r="V26" s="206">
        <f t="shared" ref="V26:AA26" si="133">V25-V27</f>
        <v>59.426167061108643</v>
      </c>
      <c r="W26" s="206">
        <f t="shared" si="133"/>
        <v>105.98496735992509</v>
      </c>
      <c r="X26" s="206">
        <f t="shared" si="133"/>
        <v>112.7359395502466</v>
      </c>
      <c r="Y26" s="206">
        <f t="shared" si="133"/>
        <v>82.61970362239299</v>
      </c>
      <c r="Z26" s="206">
        <f t="shared" si="133"/>
        <v>74.784522976999057</v>
      </c>
      <c r="AA26" s="206">
        <f t="shared" si="133"/>
        <v>66.356648063493822</v>
      </c>
      <c r="AB26" s="231">
        <f t="shared" ref="AB26:AE26" si="134">AB25-AB27</f>
        <v>84.691707318693346</v>
      </c>
      <c r="AC26" s="231">
        <f t="shared" si="134"/>
        <v>96.647866393554338</v>
      </c>
      <c r="AD26" s="231">
        <f t="shared" si="134"/>
        <v>111.31563886675042</v>
      </c>
      <c r="AE26" s="231">
        <f t="shared" si="134"/>
        <v>128.04362274239537</v>
      </c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206">
        <f t="shared" ref="BG26" si="135">BG25-BG27</f>
        <v>65.149460282313854</v>
      </c>
      <c r="BH26" s="206">
        <f t="shared" ref="BH26" si="136">BH25-BH27</f>
        <v>65.316768047744745</v>
      </c>
      <c r="BI26" s="206">
        <f t="shared" ref="BI26" si="137">BI25-BI27</f>
        <v>72.905687996654123</v>
      </c>
      <c r="BJ26" s="206">
        <f t="shared" ref="BJ26" si="138">BJ25-BJ27</f>
        <v>56.09757229726592</v>
      </c>
      <c r="BK26" s="206">
        <f t="shared" ref="BK26" si="139">BK25-BK27</f>
        <v>64.626799007444163</v>
      </c>
      <c r="BL26" s="206">
        <f t="shared" ref="BL26" si="140">BL25-BL27</f>
        <v>58.277426900584793</v>
      </c>
      <c r="BM26" s="206">
        <f t="shared" ref="BM26" si="141">BM25-BM27</f>
        <v>57.562854442344047</v>
      </c>
      <c r="BN26" s="206">
        <f t="shared" ref="BN26" si="142">BN25-BN27</f>
        <v>61.968752822180086</v>
      </c>
      <c r="BO26" s="206">
        <f t="shared" ref="BO26" si="143">BO25-BO27</f>
        <v>53.181001168329267</v>
      </c>
      <c r="BP26" s="206">
        <f t="shared" ref="BP26" si="144">BP25-BP27</f>
        <v>59.387041036717058</v>
      </c>
      <c r="BQ26" s="206">
        <f t="shared" ref="BQ26" si="145">BQ25-BQ27</f>
        <v>65.788452721052423</v>
      </c>
      <c r="BR26" s="206">
        <f t="shared" ref="BR26" si="146">BR25-BR27</f>
        <v>65.819875993974847</v>
      </c>
      <c r="BS26" s="206">
        <f t="shared" ref="BS26" si="147">BS25-BS27</f>
        <v>99.862708551166051</v>
      </c>
      <c r="BT26" s="206">
        <f t="shared" ref="BT26" si="148">BT25-BT27</f>
        <v>118.33714624639892</v>
      </c>
      <c r="BU26" s="206">
        <f t="shared" ref="BU26" si="149">BU25-BU27</f>
        <v>103.90300482076194</v>
      </c>
      <c r="BV26" s="206">
        <f t="shared" ref="BV26" si="150">BV25-BV27</f>
        <v>129.33007696862046</v>
      </c>
      <c r="BW26" s="206">
        <f t="shared" ref="BW26" si="151">BW25-BW27</f>
        <v>116.68762336428102</v>
      </c>
      <c r="BX26" s="206">
        <f t="shared" ref="BX26" si="152">BX25-BX27</f>
        <v>114.19652570626425</v>
      </c>
      <c r="BY26" s="206">
        <f t="shared" ref="BY26" si="153">BY25-BY27</f>
        <v>120.37446264255514</v>
      </c>
      <c r="BZ26" s="206">
        <f t="shared" ref="BZ26" si="154">BZ25-BZ27</f>
        <v>98.975287681569512</v>
      </c>
      <c r="CA26" s="206">
        <f t="shared" ref="CA26" si="155">CA25-CA27</f>
        <v>95.475391498881422</v>
      </c>
      <c r="CB26" s="206">
        <f t="shared" ref="CB26" si="156">CB25-CB27</f>
        <v>80.507007568898729</v>
      </c>
      <c r="CC26" s="206">
        <f t="shared" ref="CC26" si="157">CC25-CC27</f>
        <v>78.679701148570786</v>
      </c>
      <c r="CD26" s="206">
        <f t="shared" ref="CD26" si="158">CD25-CD27</f>
        <v>76.195889186773869</v>
      </c>
      <c r="CE26" s="206">
        <f t="shared" ref="CE26" si="159">CE25-CE27</f>
        <v>77.320009974706991</v>
      </c>
      <c r="CF26" s="206">
        <f t="shared" ref="CF26" si="160">CF25-CF27</f>
        <v>71.356080157886751</v>
      </c>
      <c r="CG26" s="206">
        <f t="shared" ref="CG26" si="161">CG25-CG27</f>
        <v>73.700875627671479</v>
      </c>
      <c r="CH26" s="206">
        <f t="shared" ref="CH26" si="162">CH25-CH27</f>
        <v>76.532158317872586</v>
      </c>
      <c r="CI26" s="206">
        <f t="shared" ref="CI26" si="163">CI25-CI27</f>
        <v>76.899528472977877</v>
      </c>
      <c r="CJ26" s="206">
        <f t="shared" ref="CJ26" si="164">CJ25-CJ27</f>
        <v>70.721547045784604</v>
      </c>
      <c r="CK26" s="206">
        <f t="shared" ref="CK26:CL26" si="165">CK25-CK27</f>
        <v>70.965860817177713</v>
      </c>
      <c r="CL26" s="206">
        <f t="shared" si="165"/>
        <v>80.844153469148878</v>
      </c>
      <c r="CM26" s="232">
        <f>CM25-CM27</f>
        <v>82.192450731760175</v>
      </c>
      <c r="CN26" s="232">
        <f t="shared" ref="CN26:DB26" si="166">CN25-CN27</f>
        <v>82.612759242153118</v>
      </c>
      <c r="CO26" s="232">
        <f t="shared" si="166"/>
        <v>81.528137581029569</v>
      </c>
      <c r="CP26" s="232">
        <f t="shared" si="166"/>
        <v>91.98589717667889</v>
      </c>
      <c r="CQ26" s="232">
        <f t="shared" si="166"/>
        <v>93.246925698821173</v>
      </c>
      <c r="CR26" s="232">
        <f t="shared" si="166"/>
        <v>94.77512088186036</v>
      </c>
      <c r="CS26" s="232">
        <f t="shared" si="166"/>
        <v>93.11267406396027</v>
      </c>
      <c r="CT26" s="232">
        <f t="shared" si="166"/>
        <v>104.90112890635635</v>
      </c>
      <c r="CU26" s="232">
        <f t="shared" si="166"/>
        <v>108.36171585815055</v>
      </c>
      <c r="CV26" s="232">
        <f t="shared" si="166"/>
        <v>108.79043803104373</v>
      </c>
      <c r="CW26" s="232">
        <f t="shared" si="166"/>
        <v>106.89752093234296</v>
      </c>
      <c r="CX26" s="232">
        <f t="shared" si="166"/>
        <v>120.58864928923037</v>
      </c>
      <c r="CY26" s="232">
        <f t="shared" si="166"/>
        <v>124.81700413458188</v>
      </c>
      <c r="CZ26" s="232">
        <f t="shared" si="166"/>
        <v>125.03596531147006</v>
      </c>
      <c r="DA26" s="232">
        <f t="shared" si="166"/>
        <v>122.89919254791141</v>
      </c>
      <c r="DB26" s="232">
        <f t="shared" si="166"/>
        <v>138.68952438866665</v>
      </c>
      <c r="DE26" s="197"/>
    </row>
    <row r="27" spans="1:110" s="196" customFormat="1" x14ac:dyDescent="0.2">
      <c r="A27" s="203" t="s">
        <v>530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205">
        <f t="shared" ref="T27:AE27" si="167">T65*10^7/T12/1000</f>
        <v>53.611944093461688</v>
      </c>
      <c r="U27" s="205">
        <f t="shared" si="167"/>
        <v>49.739039678890975</v>
      </c>
      <c r="V27" s="205">
        <f t="shared" si="167"/>
        <v>64.229518089329318</v>
      </c>
      <c r="W27" s="205">
        <f t="shared" si="167"/>
        <v>95.393770210404938</v>
      </c>
      <c r="X27" s="205">
        <f t="shared" si="167"/>
        <v>100.41238857970231</v>
      </c>
      <c r="Y27" s="205">
        <f t="shared" si="167"/>
        <v>67.536992316136121</v>
      </c>
      <c r="Z27" s="205">
        <f t="shared" si="167"/>
        <v>59.052487378696583</v>
      </c>
      <c r="AA27" s="205">
        <f t="shared" si="167"/>
        <v>54.381187424629125</v>
      </c>
      <c r="AB27" s="231">
        <f t="shared" si="167"/>
        <v>68.585588625821487</v>
      </c>
      <c r="AC27" s="231">
        <f t="shared" si="167"/>
        <v>79.636422414295154</v>
      </c>
      <c r="AD27" s="231">
        <f t="shared" si="167"/>
        <v>91.419263008313777</v>
      </c>
      <c r="AE27" s="231">
        <f t="shared" si="167"/>
        <v>105.1104589750997</v>
      </c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205">
        <f t="shared" ref="BG27:DB27" si="168">BG65*10^7/BG12/1000</f>
        <v>54.73567672294493</v>
      </c>
      <c r="BH27" s="205">
        <f t="shared" si="168"/>
        <v>58.831630896361759</v>
      </c>
      <c r="BI27" s="205">
        <f t="shared" si="168"/>
        <v>51.94479297365119</v>
      </c>
      <c r="BJ27" s="205">
        <f t="shared" si="168"/>
        <v>49.097154528153006</v>
      </c>
      <c r="BK27" s="205">
        <f t="shared" si="168"/>
        <v>46.031761786600491</v>
      </c>
      <c r="BL27" s="205">
        <f t="shared" si="168"/>
        <v>48.039766081871342</v>
      </c>
      <c r="BM27" s="205">
        <f t="shared" si="168"/>
        <v>49.95841209829868</v>
      </c>
      <c r="BN27" s="205">
        <f t="shared" si="168"/>
        <v>54.543032601824258</v>
      </c>
      <c r="BO27" s="205">
        <f t="shared" si="168"/>
        <v>46.985261076660386</v>
      </c>
      <c r="BP27" s="205">
        <f t="shared" si="168"/>
        <v>62.593520518358538</v>
      </c>
      <c r="BQ27" s="205">
        <f t="shared" si="168"/>
        <v>72.513314287729699</v>
      </c>
      <c r="BR27" s="205">
        <f t="shared" si="168"/>
        <v>79.216029705398114</v>
      </c>
      <c r="BS27" s="205">
        <f t="shared" si="168"/>
        <v>105.02023003136792</v>
      </c>
      <c r="BT27" s="205">
        <f t="shared" si="168"/>
        <v>104.39332316556512</v>
      </c>
      <c r="BU27" s="205">
        <f t="shared" si="168"/>
        <v>100.85070136648662</v>
      </c>
      <c r="BV27" s="205">
        <f t="shared" si="168"/>
        <v>101.68413262285378</v>
      </c>
      <c r="BW27" s="205">
        <f t="shared" si="168"/>
        <v>128.27618977995468</v>
      </c>
      <c r="BX27" s="205">
        <f t="shared" si="168"/>
        <v>106.03790138620809</v>
      </c>
      <c r="BY27" s="205">
        <f t="shared" si="168"/>
        <v>87.79976551675135</v>
      </c>
      <c r="BZ27" s="205">
        <f t="shared" si="168"/>
        <v>78.876061120543284</v>
      </c>
      <c r="CA27" s="205">
        <f t="shared" si="168"/>
        <v>77.407904548844144</v>
      </c>
      <c r="CB27" s="205">
        <f t="shared" si="168"/>
        <v>57.30634121609387</v>
      </c>
      <c r="CC27" s="205">
        <f t="shared" si="168"/>
        <v>63.816674720291424</v>
      </c>
      <c r="CD27" s="205">
        <f t="shared" si="168"/>
        <v>71.770866845397691</v>
      </c>
      <c r="CE27" s="205">
        <f t="shared" si="168"/>
        <v>59.741726336788858</v>
      </c>
      <c r="CF27" s="205">
        <f t="shared" si="168"/>
        <v>60.298314862608166</v>
      </c>
      <c r="CG27" s="205">
        <f t="shared" si="168"/>
        <v>56.077935012657186</v>
      </c>
      <c r="CH27" s="205">
        <f t="shared" si="168"/>
        <v>59.803648732220175</v>
      </c>
      <c r="CI27" s="205">
        <f t="shared" si="168"/>
        <v>53.075444323540083</v>
      </c>
      <c r="CJ27" s="205">
        <f t="shared" si="168"/>
        <v>59.429030038981885</v>
      </c>
      <c r="CK27" s="205">
        <f t="shared" si="168"/>
        <v>56.979222986019927</v>
      </c>
      <c r="CL27" s="205">
        <f t="shared" si="168"/>
        <v>63.549248381551521</v>
      </c>
      <c r="CM27" s="231">
        <f t="shared" si="168"/>
        <v>67.278767984235458</v>
      </c>
      <c r="CN27" s="231">
        <f t="shared" si="168"/>
        <v>67.060404405328342</v>
      </c>
      <c r="CO27" s="231">
        <f t="shared" si="168"/>
        <v>65.608708792647718</v>
      </c>
      <c r="CP27" s="231">
        <f t="shared" si="168"/>
        <v>74.066514951626573</v>
      </c>
      <c r="CQ27" s="231">
        <f t="shared" si="168"/>
        <v>78.644975824573805</v>
      </c>
      <c r="CR27" s="231">
        <f t="shared" si="168"/>
        <v>77.349017312743328</v>
      </c>
      <c r="CS27" s="231">
        <f t="shared" si="168"/>
        <v>76.094699265768611</v>
      </c>
      <c r="CT27" s="231">
        <f t="shared" si="168"/>
        <v>86.059145041194938</v>
      </c>
      <c r="CU27" s="231">
        <f t="shared" si="168"/>
        <v>89.313970893753691</v>
      </c>
      <c r="CV27" s="231">
        <f t="shared" si="168"/>
        <v>89.152320892750524</v>
      </c>
      <c r="CW27" s="231">
        <f t="shared" si="168"/>
        <v>87.690958396845247</v>
      </c>
      <c r="CX27" s="231">
        <f t="shared" si="168"/>
        <v>99.015665750453593</v>
      </c>
      <c r="CY27" s="231">
        <f t="shared" si="168"/>
        <v>102.51003563010798</v>
      </c>
      <c r="CZ27" s="231">
        <f t="shared" si="168"/>
        <v>102.59820745089333</v>
      </c>
      <c r="DA27" s="231">
        <f t="shared" si="168"/>
        <v>100.87755868065503</v>
      </c>
      <c r="DB27" s="231">
        <f t="shared" si="168"/>
        <v>113.85543790696993</v>
      </c>
      <c r="DE27" s="197"/>
    </row>
    <row r="28" spans="1:110" s="196" customFormat="1" x14ac:dyDescent="0.2">
      <c r="A28" s="203" t="s">
        <v>532</v>
      </c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207">
        <f>T27-T29</f>
        <v>29.600352486963498</v>
      </c>
      <c r="U28" s="207">
        <f>U27-U29</f>
        <v>28.816871462083441</v>
      </c>
      <c r="V28" s="207">
        <f t="shared" ref="V28:AA28" si="169">V27-V29</f>
        <v>29.537107404508895</v>
      </c>
      <c r="W28" s="207">
        <f t="shared" si="169"/>
        <v>41.412495990429036</v>
      </c>
      <c r="X28" s="207">
        <f t="shared" si="169"/>
        <v>45.291452875435496</v>
      </c>
      <c r="Y28" s="207">
        <f t="shared" si="169"/>
        <v>37.923591291620923</v>
      </c>
      <c r="Z28" s="207">
        <f t="shared" si="169"/>
        <v>36.81307059308152</v>
      </c>
      <c r="AA28" s="207">
        <f t="shared" si="169"/>
        <v>31.266408652812437</v>
      </c>
      <c r="AB28" s="231">
        <f t="shared" ref="AB28:AE28" si="170">AB27-AB29</f>
        <v>36.494065867468912</v>
      </c>
      <c r="AC28" s="231">
        <f t="shared" si="170"/>
        <v>41.774039188627356</v>
      </c>
      <c r="AD28" s="231">
        <f t="shared" si="170"/>
        <v>47.982596946103271</v>
      </c>
      <c r="AE28" s="231">
        <f t="shared" si="170"/>
        <v>55.167502433467789</v>
      </c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207">
        <f t="shared" ref="BG28" si="171">BG27-BG29</f>
        <v>27.670449303441266</v>
      </c>
      <c r="BH28" s="207">
        <f t="shared" ref="BH28" si="172">BH27-BH29</f>
        <v>33.127510616320436</v>
      </c>
      <c r="BI28" s="207">
        <f t="shared" ref="BI28" si="173">BI27-BI29</f>
        <v>29.677959012965292</v>
      </c>
      <c r="BJ28" s="207">
        <f t="shared" ref="BJ28" si="174">BJ27-BJ29</f>
        <v>27.117393120735276</v>
      </c>
      <c r="BK28" s="207">
        <f t="shared" ref="BK28" si="175">BK27-BK29</f>
        <v>27.415384615384614</v>
      </c>
      <c r="BL28" s="207">
        <f t="shared" ref="BL28" si="176">BL27-BL29</f>
        <v>27.096608187134503</v>
      </c>
      <c r="BM28" s="207">
        <f t="shared" ref="BM28" si="177">BM27-BM29</f>
        <v>29.714083175803403</v>
      </c>
      <c r="BN28" s="207">
        <f t="shared" ref="BN28" si="178">BN27-BN29</f>
        <v>29.422469068906356</v>
      </c>
      <c r="BO28" s="207">
        <f t="shared" ref="BO28" si="179">BO27-BO29</f>
        <v>23.06641502651209</v>
      </c>
      <c r="BP28" s="207">
        <f t="shared" ref="BP28" si="180">BP27-BP29</f>
        <v>30.757235421166317</v>
      </c>
      <c r="BQ28" s="207">
        <f t="shared" ref="BQ28" si="181">BQ27-BQ29</f>
        <v>31.116989383839453</v>
      </c>
      <c r="BR28" s="207">
        <f t="shared" ref="BR28" si="182">BR27-BR29</f>
        <v>34.053665884331103</v>
      </c>
      <c r="BS28" s="207">
        <f t="shared" ref="BS28" si="183">BS27-BS29</f>
        <v>40.638268854843858</v>
      </c>
      <c r="BT28" s="207">
        <f t="shared" ref="BT28" si="184">BT27-BT29</f>
        <v>49.319606846297226</v>
      </c>
      <c r="BU28" s="207">
        <f t="shared" ref="BU28" si="185">BU27-BU29</f>
        <v>44.604733770705707</v>
      </c>
      <c r="BV28" s="207">
        <f t="shared" ref="BV28" si="186">BV27-BV29</f>
        <v>43.62729425695678</v>
      </c>
      <c r="BW28" s="207">
        <f t="shared" ref="BW28" si="187">BW27-BW29</f>
        <v>49.763506104247369</v>
      </c>
      <c r="BX28" s="207">
        <f t="shared" ref="BX28" si="188">BX27-BX29</f>
        <v>45.288998069836801</v>
      </c>
      <c r="BY28" s="207">
        <f t="shared" ref="BY28" si="189">BY27-BY29</f>
        <v>42.403098021103503</v>
      </c>
      <c r="BZ28" s="207">
        <f t="shared" ref="BZ28" si="190">BZ27-BZ29</f>
        <v>43.739671760045276</v>
      </c>
      <c r="CA28" s="207">
        <f t="shared" ref="CA28" si="191">CA27-CA29</f>
        <v>40.852348993288587</v>
      </c>
      <c r="CB28" s="207">
        <f t="shared" ref="CB28" si="192">CB27-CB29</f>
        <v>37.828559012059529</v>
      </c>
      <c r="CC28" s="207">
        <f t="shared" ref="CC28" si="193">CC27-CC29</f>
        <v>36.237594320336015</v>
      </c>
      <c r="CD28" s="207">
        <f t="shared" ref="CD28" si="194">CD27-CD29</f>
        <v>36.843610366398586</v>
      </c>
      <c r="CE28" s="207">
        <f t="shared" ref="CE28" si="195">CE27-CE29</f>
        <v>36.196430479854655</v>
      </c>
      <c r="CF28" s="207">
        <f t="shared" ref="CF28" si="196">CF27-CF29</f>
        <v>37.265067557309855</v>
      </c>
      <c r="CG28" s="207">
        <f t="shared" ref="CG28" si="197">CG27-CG29</f>
        <v>37.111258662904092</v>
      </c>
      <c r="CH28" s="207">
        <f t="shared" ref="CH28" si="198">CH27-CH29</f>
        <v>36.742810760667915</v>
      </c>
      <c r="CI28" s="207">
        <f t="shared" ref="CI28" si="199">CI27-CI29</f>
        <v>33.23685165034459</v>
      </c>
      <c r="CJ28" s="207">
        <f t="shared" ref="CJ28" si="200">CJ27-CJ29</f>
        <v>36.569594129786736</v>
      </c>
      <c r="CK28" s="207">
        <f t="shared" ref="CK28:CL28" si="201">CK27-CK29</f>
        <v>35.091913184521502</v>
      </c>
      <c r="CL28" s="207">
        <f t="shared" si="201"/>
        <v>29.077575801909219</v>
      </c>
      <c r="CM28" s="231">
        <f t="shared" ref="CM28:DB28" si="202">CM27-CM29</f>
        <v>36.334477816783377</v>
      </c>
      <c r="CN28" s="231">
        <f t="shared" si="202"/>
        <v>35.91095489721674</v>
      </c>
      <c r="CO28" s="231">
        <f t="shared" si="202"/>
        <v>35.263796260668883</v>
      </c>
      <c r="CP28" s="231">
        <f t="shared" si="202"/>
        <v>38.360599929245602</v>
      </c>
      <c r="CQ28" s="231">
        <f t="shared" si="202"/>
        <v>40.983223628700948</v>
      </c>
      <c r="CR28" s="231">
        <f t="shared" si="202"/>
        <v>40.83796735866472</v>
      </c>
      <c r="CS28" s="231">
        <f t="shared" si="202"/>
        <v>40.032978710623325</v>
      </c>
      <c r="CT28" s="231">
        <f t="shared" si="202"/>
        <v>45.032702305277361</v>
      </c>
      <c r="CU28" s="231">
        <f t="shared" si="202"/>
        <v>46.853920722754047</v>
      </c>
      <c r="CV28" s="231">
        <f t="shared" si="202"/>
        <v>46.847933188073569</v>
      </c>
      <c r="CW28" s="231">
        <f t="shared" si="202"/>
        <v>46.025619893530241</v>
      </c>
      <c r="CX28" s="231">
        <f t="shared" si="202"/>
        <v>51.939093073863923</v>
      </c>
      <c r="CY28" s="231">
        <f t="shared" si="202"/>
        <v>53.804814616652124</v>
      </c>
      <c r="CZ28" s="231">
        <f t="shared" si="202"/>
        <v>53.858183647121379</v>
      </c>
      <c r="DA28" s="231">
        <f t="shared" si="202"/>
        <v>52.941355639795354</v>
      </c>
      <c r="DB28" s="231">
        <f t="shared" si="202"/>
        <v>59.750726806166689</v>
      </c>
      <c r="DE28" s="197"/>
    </row>
    <row r="29" spans="1:110" s="196" customFormat="1" x14ac:dyDescent="0.2">
      <c r="A29" s="203" t="s">
        <v>533</v>
      </c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205">
        <f t="shared" ref="T29:AE29" si="203">T77*10^7/T12/1000</f>
        <v>24.01159160649819</v>
      </c>
      <c r="U29" s="205">
        <f t="shared" si="203"/>
        <v>20.922168216807535</v>
      </c>
      <c r="V29" s="205">
        <f t="shared" si="203"/>
        <v>34.692410684820423</v>
      </c>
      <c r="W29" s="205">
        <f t="shared" si="203"/>
        <v>53.981274219975901</v>
      </c>
      <c r="X29" s="205">
        <f t="shared" si="203"/>
        <v>55.120935704266813</v>
      </c>
      <c r="Y29" s="205">
        <f t="shared" si="203"/>
        <v>29.613401024515195</v>
      </c>
      <c r="Z29" s="205">
        <f t="shared" si="203"/>
        <v>22.239416785615063</v>
      </c>
      <c r="AA29" s="205">
        <f t="shared" si="203"/>
        <v>23.114778771816688</v>
      </c>
      <c r="AB29" s="231">
        <f t="shared" si="203"/>
        <v>32.091522758352575</v>
      </c>
      <c r="AC29" s="231">
        <f t="shared" si="203"/>
        <v>37.862383225667799</v>
      </c>
      <c r="AD29" s="231">
        <f t="shared" si="203"/>
        <v>43.436666062210506</v>
      </c>
      <c r="AE29" s="231">
        <f t="shared" si="203"/>
        <v>49.942956541631915</v>
      </c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205">
        <f t="shared" ref="BG29:DB29" si="204">BG77*10^7/BG12/1000</f>
        <v>27.065227419503664</v>
      </c>
      <c r="BH29" s="205">
        <f t="shared" si="204"/>
        <v>25.70412028004132</v>
      </c>
      <c r="BI29" s="205">
        <f t="shared" si="204"/>
        <v>22.266833960685897</v>
      </c>
      <c r="BJ29" s="205">
        <f t="shared" si="204"/>
        <v>21.97976140741773</v>
      </c>
      <c r="BK29" s="205">
        <f t="shared" si="204"/>
        <v>18.616377171215877</v>
      </c>
      <c r="BL29" s="205">
        <f t="shared" si="204"/>
        <v>20.943157894736839</v>
      </c>
      <c r="BM29" s="205">
        <f t="shared" si="204"/>
        <v>20.244328922495278</v>
      </c>
      <c r="BN29" s="205">
        <f t="shared" si="204"/>
        <v>25.120563532917902</v>
      </c>
      <c r="BO29" s="205">
        <f t="shared" si="204"/>
        <v>23.918846050148296</v>
      </c>
      <c r="BP29" s="205">
        <f t="shared" si="204"/>
        <v>31.836285097192221</v>
      </c>
      <c r="BQ29" s="205">
        <f t="shared" si="204"/>
        <v>41.396324903890246</v>
      </c>
      <c r="BR29" s="205">
        <f t="shared" si="204"/>
        <v>45.162363821067011</v>
      </c>
      <c r="BS29" s="205">
        <f t="shared" si="204"/>
        <v>64.381961176524058</v>
      </c>
      <c r="BT29" s="205">
        <f t="shared" si="204"/>
        <v>55.073716319267895</v>
      </c>
      <c r="BU29" s="205">
        <f t="shared" si="204"/>
        <v>56.245967595780911</v>
      </c>
      <c r="BV29" s="205">
        <f t="shared" si="204"/>
        <v>58.056838365897001</v>
      </c>
      <c r="BW29" s="205">
        <f t="shared" si="204"/>
        <v>78.512683675707308</v>
      </c>
      <c r="BX29" s="205">
        <f t="shared" si="204"/>
        <v>60.74890331637129</v>
      </c>
      <c r="BY29" s="205">
        <f t="shared" si="204"/>
        <v>45.396667495647847</v>
      </c>
      <c r="BZ29" s="205">
        <f t="shared" si="204"/>
        <v>35.136389360498008</v>
      </c>
      <c r="CA29" s="205">
        <f t="shared" si="204"/>
        <v>36.555555555555557</v>
      </c>
      <c r="CB29" s="205">
        <f t="shared" si="204"/>
        <v>19.477782204034341</v>
      </c>
      <c r="CC29" s="205">
        <f t="shared" si="204"/>
        <v>27.579080399955409</v>
      </c>
      <c r="CD29" s="205">
        <f t="shared" si="204"/>
        <v>34.927256478999105</v>
      </c>
      <c r="CE29" s="205">
        <f t="shared" si="204"/>
        <v>23.545295856934199</v>
      </c>
      <c r="CF29" s="205">
        <f t="shared" si="204"/>
        <v>23.03324730529831</v>
      </c>
      <c r="CG29" s="205">
        <f t="shared" si="204"/>
        <v>18.966676349753094</v>
      </c>
      <c r="CH29" s="205">
        <f t="shared" si="204"/>
        <v>23.06083797155226</v>
      </c>
      <c r="CI29" s="205">
        <f t="shared" si="204"/>
        <v>19.838592673195496</v>
      </c>
      <c r="CJ29" s="205">
        <f t="shared" si="204"/>
        <v>22.859435909195145</v>
      </c>
      <c r="CK29" s="205">
        <f t="shared" si="204"/>
        <v>21.887309801498422</v>
      </c>
      <c r="CL29" s="205">
        <f t="shared" si="204"/>
        <v>34.471672579642302</v>
      </c>
      <c r="CM29" s="231">
        <f t="shared" si="204"/>
        <v>30.944290167452081</v>
      </c>
      <c r="CN29" s="231">
        <f t="shared" si="204"/>
        <v>31.149449508111598</v>
      </c>
      <c r="CO29" s="231">
        <f t="shared" si="204"/>
        <v>30.344912531978832</v>
      </c>
      <c r="CP29" s="231">
        <f t="shared" si="204"/>
        <v>35.705915022380971</v>
      </c>
      <c r="CQ29" s="231">
        <f t="shared" si="204"/>
        <v>37.661752195872857</v>
      </c>
      <c r="CR29" s="231">
        <f t="shared" si="204"/>
        <v>36.511049954078608</v>
      </c>
      <c r="CS29" s="231">
        <f t="shared" si="204"/>
        <v>36.061720555145286</v>
      </c>
      <c r="CT29" s="231">
        <f t="shared" si="204"/>
        <v>41.026442735917577</v>
      </c>
      <c r="CU29" s="231">
        <f t="shared" si="204"/>
        <v>42.460050170999644</v>
      </c>
      <c r="CV29" s="231">
        <f t="shared" si="204"/>
        <v>42.304387704676955</v>
      </c>
      <c r="CW29" s="231">
        <f t="shared" si="204"/>
        <v>41.665338503315006</v>
      </c>
      <c r="CX29" s="231">
        <f t="shared" si="204"/>
        <v>47.07657267658967</v>
      </c>
      <c r="CY29" s="231">
        <f t="shared" si="204"/>
        <v>48.705221013455855</v>
      </c>
      <c r="CZ29" s="231">
        <f t="shared" si="204"/>
        <v>48.740023803771948</v>
      </c>
      <c r="DA29" s="231">
        <f t="shared" si="204"/>
        <v>47.936203040859674</v>
      </c>
      <c r="DB29" s="231">
        <f t="shared" si="204"/>
        <v>54.104711100803236</v>
      </c>
      <c r="DE29" s="197"/>
    </row>
    <row r="30" spans="1:110" s="196" customFormat="1" x14ac:dyDescent="0.2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5"/>
      <c r="AC30" s="195"/>
      <c r="AD30" s="195"/>
      <c r="AE30" s="195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5"/>
      <c r="CN30" s="195"/>
      <c r="CO30" s="195"/>
      <c r="CP30" s="195"/>
      <c r="CQ30" s="195"/>
      <c r="CR30" s="195"/>
      <c r="CS30" s="195"/>
      <c r="CT30" s="195"/>
      <c r="CU30" s="195"/>
      <c r="CV30" s="195"/>
      <c r="CW30" s="195"/>
      <c r="CX30" s="195"/>
      <c r="CY30" s="195"/>
      <c r="CZ30" s="195"/>
      <c r="DA30" s="195"/>
      <c r="DB30" s="195"/>
      <c r="DE30" s="197"/>
    </row>
    <row r="31" spans="1:110" s="196" customFormat="1" x14ac:dyDescent="0.2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5"/>
      <c r="AC31" s="195"/>
      <c r="AD31" s="195"/>
      <c r="AE31" s="195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  <c r="CI31" s="194"/>
      <c r="CJ31" s="194"/>
      <c r="CK31" s="194"/>
      <c r="CL31" s="194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5"/>
      <c r="CY31" s="195"/>
      <c r="CZ31" s="195"/>
      <c r="DA31" s="195"/>
      <c r="DB31" s="195"/>
      <c r="DE31" s="197"/>
    </row>
    <row r="32" spans="1:110" s="196" customFormat="1" x14ac:dyDescent="0.2">
      <c r="A32" s="203" t="s">
        <v>668</v>
      </c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235">
        <v>949.83161970000003</v>
      </c>
      <c r="U32" s="235">
        <v>919.05410440000003</v>
      </c>
      <c r="V32" s="235">
        <v>1227.7795000000001</v>
      </c>
      <c r="W32" s="235">
        <v>1920.6656</v>
      </c>
      <c r="X32" s="235">
        <v>1726.2831000000001</v>
      </c>
      <c r="Y32" s="235">
        <v>1337.8444</v>
      </c>
      <c r="Z32" s="235">
        <v>1273.5923</v>
      </c>
      <c r="AA32" s="235">
        <v>1291</v>
      </c>
      <c r="AB32" s="195"/>
      <c r="AC32" s="195"/>
      <c r="AD32" s="195"/>
      <c r="AE32" s="195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235">
        <v>332.84</v>
      </c>
      <c r="CF32" s="235">
        <v>319.95999999999998</v>
      </c>
      <c r="CG32" s="235">
        <v>299.23</v>
      </c>
      <c r="CH32" s="235">
        <v>321.56</v>
      </c>
      <c r="CI32" s="235">
        <v>319.38</v>
      </c>
      <c r="CJ32" s="235">
        <v>309.2</v>
      </c>
      <c r="CK32" s="235">
        <v>301.2</v>
      </c>
      <c r="CL32" s="235">
        <v>361.77</v>
      </c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5"/>
      <c r="CY32" s="195"/>
      <c r="CZ32" s="195"/>
      <c r="DA32" s="195"/>
      <c r="DB32" s="195"/>
      <c r="DE32" s="197"/>
    </row>
    <row r="33" spans="1:109" s="196" customFormat="1" x14ac:dyDescent="0.2">
      <c r="A33" s="203" t="s">
        <v>669</v>
      </c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235">
        <v>427.63498630000004</v>
      </c>
      <c r="U33" s="235">
        <v>407.88628730000011</v>
      </c>
      <c r="V33" s="235">
        <v>605.08690000000013</v>
      </c>
      <c r="W33" s="235">
        <v>847.60050000000001</v>
      </c>
      <c r="X33" s="235">
        <v>721.17570000000012</v>
      </c>
      <c r="Y33" s="235">
        <v>582.33969999999999</v>
      </c>
      <c r="Z33" s="235">
        <v>567.24379999999996</v>
      </c>
      <c r="AA33" s="235">
        <f>+AA32-726.56+16.76</f>
        <v>581.20000000000005</v>
      </c>
      <c r="AB33" s="195"/>
      <c r="AC33" s="195"/>
      <c r="AD33" s="195"/>
      <c r="AE33" s="195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235">
        <v>145.95999999999998</v>
      </c>
      <c r="CF33" s="235">
        <v>143.63999999999999</v>
      </c>
      <c r="CG33" s="235">
        <v>135.11000000000004</v>
      </c>
      <c r="CH33" s="235">
        <v>142.53000000000003</v>
      </c>
      <c r="CI33" s="235">
        <v>138.54</v>
      </c>
      <c r="CJ33" s="235">
        <v>132.66999999999999</v>
      </c>
      <c r="CK33" s="235">
        <v>133.04</v>
      </c>
      <c r="CL33" s="235">
        <v>171.62</v>
      </c>
      <c r="CM33" s="195"/>
      <c r="CN33" s="195"/>
      <c r="CO33" s="195"/>
      <c r="CP33" s="195"/>
      <c r="CQ33" s="195"/>
      <c r="CR33" s="195"/>
      <c r="CS33" s="195"/>
      <c r="CT33" s="195"/>
      <c r="CU33" s="195"/>
      <c r="CV33" s="195"/>
      <c r="CW33" s="195"/>
      <c r="CX33" s="195"/>
      <c r="CY33" s="195"/>
      <c r="CZ33" s="195"/>
      <c r="DA33" s="195"/>
      <c r="DB33" s="195"/>
      <c r="DE33" s="197"/>
    </row>
    <row r="34" spans="1:109" s="196" customFormat="1" x14ac:dyDescent="0.2">
      <c r="A34" s="203" t="s">
        <v>666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235">
        <v>191.55096520000001</v>
      </c>
      <c r="U34" s="235">
        <v>175.85258150000001</v>
      </c>
      <c r="V34" s="235">
        <v>321.98860000000002</v>
      </c>
      <c r="W34" s="235">
        <v>440.9547</v>
      </c>
      <c r="X34" s="235">
        <v>329.6126000000001</v>
      </c>
      <c r="Y34" s="235">
        <v>246.5493000000001</v>
      </c>
      <c r="Z34" s="235">
        <v>226.41039999999995</v>
      </c>
      <c r="AA34" s="235">
        <v>247.26</v>
      </c>
      <c r="AB34" s="195"/>
      <c r="AC34" s="195"/>
      <c r="AD34" s="195"/>
      <c r="AE34" s="195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  <c r="CB34" s="194"/>
      <c r="CC34" s="194"/>
      <c r="CD34" s="194"/>
      <c r="CE34" s="235">
        <v>58.88</v>
      </c>
      <c r="CF34" s="235">
        <v>57.83</v>
      </c>
      <c r="CG34" s="235">
        <v>51.66</v>
      </c>
      <c r="CH34" s="235">
        <v>58.05</v>
      </c>
      <c r="CI34" s="235">
        <v>56.47</v>
      </c>
      <c r="CJ34" s="235">
        <v>50.01</v>
      </c>
      <c r="CK34" s="235">
        <v>54.7</v>
      </c>
      <c r="CL34" s="235">
        <v>86.08</v>
      </c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E34" s="197"/>
    </row>
    <row r="35" spans="1:109" s="196" customFormat="1" x14ac:dyDescent="0.2">
      <c r="A35" s="203" t="s">
        <v>667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235">
        <v>118.0762794</v>
      </c>
      <c r="U35" s="235">
        <v>113.7530629</v>
      </c>
      <c r="V35" s="235">
        <v>231.71100000000001</v>
      </c>
      <c r="W35" s="235">
        <v>307.94099999999997</v>
      </c>
      <c r="X35" s="235">
        <v>227.54220000000001</v>
      </c>
      <c r="Y35" s="235">
        <v>171.30410000000001</v>
      </c>
      <c r="Z35" s="235">
        <v>156.21270000000001</v>
      </c>
      <c r="AA35" s="235">
        <v>165.53</v>
      </c>
      <c r="AB35" s="195"/>
      <c r="AC35" s="195"/>
      <c r="AD35" s="195"/>
      <c r="AE35" s="195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  <c r="BO35" s="194"/>
      <c r="BP35" s="194"/>
      <c r="BQ35" s="194"/>
      <c r="BR35" s="194"/>
      <c r="BS35" s="194"/>
      <c r="BT35" s="194"/>
      <c r="BU35" s="194"/>
      <c r="BV35" s="194"/>
      <c r="BW35" s="194"/>
      <c r="BX35" s="194"/>
      <c r="BY35" s="194"/>
      <c r="BZ35" s="194"/>
      <c r="CA35" s="194"/>
      <c r="CB35" s="194"/>
      <c r="CC35" s="194"/>
      <c r="CD35" s="194"/>
      <c r="CE35" s="235">
        <v>40.520000000000003</v>
      </c>
      <c r="CF35" s="235">
        <v>40.4</v>
      </c>
      <c r="CG35" s="235">
        <v>35.69</v>
      </c>
      <c r="CH35" s="235">
        <v>39.6</v>
      </c>
      <c r="CI35" s="235">
        <v>39.799999999999997</v>
      </c>
      <c r="CJ35" s="235">
        <v>31.45</v>
      </c>
      <c r="CK35" s="235">
        <v>32.42</v>
      </c>
      <c r="CL35" s="235">
        <v>61.87</v>
      </c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5"/>
      <c r="CY35" s="195"/>
      <c r="CZ35" s="195"/>
      <c r="DA35" s="195"/>
      <c r="DB35" s="195"/>
      <c r="DE35" s="197"/>
    </row>
    <row r="36" spans="1:109" s="196" customFormat="1" x14ac:dyDescent="0.2">
      <c r="A36" s="203" t="s">
        <v>670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>
        <f>+T33/T32</f>
        <v>0.45022188925976858</v>
      </c>
      <c r="U36" s="194">
        <f t="shared" ref="U36:AA36" si="205">+U33/U32</f>
        <v>0.44381096319273461</v>
      </c>
      <c r="V36" s="194">
        <f t="shared" si="205"/>
        <v>0.49283026797564228</v>
      </c>
      <c r="W36" s="194">
        <f t="shared" si="205"/>
        <v>0.44130560780596062</v>
      </c>
      <c r="X36" s="194">
        <f t="shared" si="205"/>
        <v>0.41776212719686595</v>
      </c>
      <c r="Y36" s="194">
        <f t="shared" si="205"/>
        <v>0.43528208512140876</v>
      </c>
      <c r="Z36" s="194">
        <f t="shared" si="205"/>
        <v>0.44538884225352177</v>
      </c>
      <c r="AA36" s="194">
        <f t="shared" si="205"/>
        <v>0.45019364833462433</v>
      </c>
      <c r="AB36" s="195"/>
      <c r="AC36" s="195"/>
      <c r="AD36" s="195"/>
      <c r="AE36" s="195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4"/>
      <c r="BK36" s="194"/>
      <c r="BL36" s="194"/>
      <c r="BM36" s="194"/>
      <c r="BN36" s="194"/>
      <c r="BO36" s="194"/>
      <c r="BP36" s="194"/>
      <c r="BQ36" s="194"/>
      <c r="BR36" s="194"/>
      <c r="BS36" s="194"/>
      <c r="BT36" s="194"/>
      <c r="BU36" s="194"/>
      <c r="BV36" s="194"/>
      <c r="BW36" s="194"/>
      <c r="BX36" s="194"/>
      <c r="BY36" s="194"/>
      <c r="BZ36" s="194"/>
      <c r="CA36" s="194"/>
      <c r="CB36" s="194"/>
      <c r="CC36" s="194"/>
      <c r="CD36" s="194"/>
      <c r="CE36" s="194">
        <f t="shared" ref="CE36:CL36" si="206">+CE33/CE32</f>
        <v>0.43852902295397184</v>
      </c>
      <c r="CF36" s="194">
        <f t="shared" si="206"/>
        <v>0.44893111638954869</v>
      </c>
      <c r="CG36" s="194">
        <f t="shared" si="206"/>
        <v>0.45152558232797524</v>
      </c>
      <c r="CH36" s="194">
        <f t="shared" si="206"/>
        <v>0.44324542853588766</v>
      </c>
      <c r="CI36" s="194">
        <f t="shared" si="206"/>
        <v>0.43377794476798798</v>
      </c>
      <c r="CJ36" s="194">
        <f t="shared" si="206"/>
        <v>0.4290750323415265</v>
      </c>
      <c r="CK36" s="194">
        <f t="shared" si="206"/>
        <v>0.44169986719787513</v>
      </c>
      <c r="CL36" s="194">
        <f t="shared" si="206"/>
        <v>0.47438980567764055</v>
      </c>
      <c r="CM36" s="195"/>
      <c r="CN36" s="195"/>
      <c r="CO36" s="195"/>
      <c r="CP36" s="195"/>
      <c r="CQ36" s="195"/>
      <c r="CR36" s="195"/>
      <c r="CS36" s="195"/>
      <c r="CT36" s="195"/>
      <c r="CU36" s="195"/>
      <c r="CV36" s="195"/>
      <c r="CW36" s="195"/>
      <c r="CX36" s="195"/>
      <c r="CY36" s="195"/>
      <c r="CZ36" s="195"/>
      <c r="DA36" s="195"/>
      <c r="DB36" s="195"/>
      <c r="DE36" s="197"/>
    </row>
    <row r="37" spans="1:109" s="196" customFormat="1" x14ac:dyDescent="0.2">
      <c r="A37" s="203" t="s">
        <v>671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>
        <f>+T34/T32</f>
        <v>0.20166833913204585</v>
      </c>
      <c r="U37" s="194">
        <f t="shared" ref="U37:AA37" si="207">+U34/U32</f>
        <v>0.19134083690840434</v>
      </c>
      <c r="V37" s="194">
        <f t="shared" si="207"/>
        <v>0.2622527905051355</v>
      </c>
      <c r="W37" s="194">
        <f t="shared" si="207"/>
        <v>0.22958431702009968</v>
      </c>
      <c r="X37" s="194">
        <f t="shared" si="207"/>
        <v>0.19093774364123711</v>
      </c>
      <c r="Y37" s="194">
        <f t="shared" si="207"/>
        <v>0.18428847181331409</v>
      </c>
      <c r="Z37" s="194">
        <f t="shared" si="207"/>
        <v>0.17777305971463547</v>
      </c>
      <c r="AA37" s="194">
        <f t="shared" si="207"/>
        <v>0.19152594887683966</v>
      </c>
      <c r="AB37" s="195"/>
      <c r="AC37" s="195"/>
      <c r="AD37" s="195"/>
      <c r="AE37" s="195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  <c r="BB37" s="194"/>
      <c r="BC37" s="194"/>
      <c r="BD37" s="194"/>
      <c r="BE37" s="194"/>
      <c r="BF37" s="194"/>
      <c r="BG37" s="194"/>
      <c r="BH37" s="194"/>
      <c r="BI37" s="194"/>
      <c r="BJ37" s="194"/>
      <c r="BK37" s="194"/>
      <c r="BL37" s="194"/>
      <c r="BM37" s="194"/>
      <c r="BN37" s="194"/>
      <c r="BO37" s="194"/>
      <c r="BP37" s="194"/>
      <c r="BQ37" s="194"/>
      <c r="BR37" s="194"/>
      <c r="BS37" s="194"/>
      <c r="BT37" s="194"/>
      <c r="BU37" s="194"/>
      <c r="BV37" s="194"/>
      <c r="BW37" s="194"/>
      <c r="BX37" s="194"/>
      <c r="BY37" s="194"/>
      <c r="BZ37" s="194"/>
      <c r="CA37" s="194"/>
      <c r="CB37" s="194"/>
      <c r="CC37" s="194"/>
      <c r="CD37" s="194"/>
      <c r="CE37" s="194">
        <f t="shared" ref="CE37:CL37" si="208">+CE34/CE32</f>
        <v>0.1769018146857349</v>
      </c>
      <c r="CF37" s="194">
        <f t="shared" si="208"/>
        <v>0.18074134266783348</v>
      </c>
      <c r="CG37" s="194">
        <f t="shared" si="208"/>
        <v>0.17264311733449184</v>
      </c>
      <c r="CH37" s="194">
        <f t="shared" si="208"/>
        <v>0.18052618484886179</v>
      </c>
      <c r="CI37" s="194">
        <f t="shared" si="208"/>
        <v>0.17681132193625149</v>
      </c>
      <c r="CJ37" s="194">
        <f t="shared" si="208"/>
        <v>0.16173997412677879</v>
      </c>
      <c r="CK37" s="194">
        <f t="shared" si="208"/>
        <v>0.18160690571049137</v>
      </c>
      <c r="CL37" s="194">
        <f t="shared" si="208"/>
        <v>0.23794123338032452</v>
      </c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5"/>
      <c r="CY37" s="195"/>
      <c r="CZ37" s="195"/>
      <c r="DA37" s="195"/>
      <c r="DB37" s="195"/>
      <c r="DE37" s="197"/>
    </row>
    <row r="38" spans="1:109" s="196" customFormat="1" x14ac:dyDescent="0.2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5"/>
      <c r="AC38" s="195"/>
      <c r="AD38" s="195"/>
      <c r="AE38" s="195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  <c r="BX38" s="194"/>
      <c r="BY38" s="194"/>
      <c r="BZ38" s="194"/>
      <c r="CA38" s="194"/>
      <c r="CB38" s="194"/>
      <c r="CC38" s="194"/>
      <c r="CD38" s="194"/>
      <c r="CE38" s="194"/>
      <c r="CF38" s="194"/>
      <c r="CG38" s="194"/>
      <c r="CH38" s="194"/>
      <c r="CI38" s="194"/>
      <c r="CJ38" s="194"/>
      <c r="CK38" s="194"/>
      <c r="CL38" s="194"/>
      <c r="CM38" s="195"/>
      <c r="CN38" s="195"/>
      <c r="CO38" s="195"/>
      <c r="CP38" s="232"/>
      <c r="CQ38" s="231"/>
      <c r="CR38" s="231"/>
      <c r="CS38" s="195"/>
      <c r="CT38" s="195"/>
      <c r="CU38" s="195"/>
      <c r="CV38" s="195"/>
      <c r="CW38" s="195"/>
      <c r="CX38" s="195"/>
      <c r="CY38" s="195"/>
      <c r="CZ38" s="195"/>
      <c r="DA38" s="195"/>
      <c r="DB38" s="195"/>
      <c r="DE38" s="197"/>
    </row>
    <row r="39" spans="1:109" s="196" customFormat="1" x14ac:dyDescent="0.2">
      <c r="A39" s="203" t="s">
        <v>672</v>
      </c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205">
        <f t="shared" ref="T39:AA39" si="209">+T57-T32</f>
        <v>-6.7803480000000036</v>
      </c>
      <c r="U39" s="205">
        <f t="shared" si="209"/>
        <v>16.717734500000006</v>
      </c>
      <c r="V39" s="205">
        <f t="shared" si="209"/>
        <v>83.675599999999804</v>
      </c>
      <c r="W39" s="205">
        <f t="shared" si="209"/>
        <v>405.58900000000017</v>
      </c>
      <c r="X39" s="205">
        <f t="shared" si="209"/>
        <v>633.15200000000004</v>
      </c>
      <c r="Y39" s="205">
        <f t="shared" si="209"/>
        <v>304.69160000000011</v>
      </c>
      <c r="Z39" s="205">
        <f t="shared" si="209"/>
        <v>127.10829999999987</v>
      </c>
      <c r="AA39" s="205">
        <f t="shared" si="209"/>
        <v>3.1110000000001037</v>
      </c>
      <c r="AB39" s="76">
        <f>+SUM(CM39:CP39)</f>
        <v>222.39599999999999</v>
      </c>
      <c r="AC39" s="76">
        <f>+SUM(CQ39:CT39)</f>
        <v>617.61599999999999</v>
      </c>
      <c r="AD39" s="76">
        <f>+SUM(CU39:CX39)</f>
        <v>955.11599999999999</v>
      </c>
      <c r="AE39" s="76">
        <f>+SUM(CY39:DB39)</f>
        <v>1225.116</v>
      </c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194"/>
      <c r="BR39" s="194"/>
      <c r="BS39" s="194"/>
      <c r="BT39" s="194"/>
      <c r="BU39" s="194"/>
      <c r="BV39" s="194"/>
      <c r="BW39" s="194"/>
      <c r="BX39" s="194"/>
      <c r="BY39" s="194"/>
      <c r="BZ39" s="194"/>
      <c r="CA39" s="194"/>
      <c r="CB39" s="194"/>
      <c r="CC39" s="194"/>
      <c r="CD39" s="194"/>
      <c r="CE39" s="205">
        <f t="shared" ref="CE39:CL39" si="210">+CE57-CE32</f>
        <v>51.906000000000006</v>
      </c>
      <c r="CF39" s="205">
        <f t="shared" si="210"/>
        <v>26.923000000000002</v>
      </c>
      <c r="CG39" s="205">
        <f t="shared" si="210"/>
        <v>13.49799999999999</v>
      </c>
      <c r="CH39" s="205">
        <f t="shared" si="210"/>
        <v>31.168000000000006</v>
      </c>
      <c r="CI39" s="205">
        <f t="shared" si="210"/>
        <v>38.961000000000013</v>
      </c>
      <c r="CJ39" s="205">
        <f t="shared" si="210"/>
        <v>31.352000000000032</v>
      </c>
      <c r="CK39" s="205">
        <f t="shared" si="210"/>
        <v>30.100999999999999</v>
      </c>
      <c r="CL39" s="205">
        <f t="shared" si="210"/>
        <v>33.01600000000002</v>
      </c>
      <c r="CM39" s="231">
        <f>+(1947*170/10^4)</f>
        <v>33.098999999999997</v>
      </c>
      <c r="CN39" s="231">
        <f t="shared" ref="CN39:CO39" si="211">+(1947*170/10^4)</f>
        <v>33.098999999999997</v>
      </c>
      <c r="CO39" s="231">
        <f t="shared" si="211"/>
        <v>33.098999999999997</v>
      </c>
      <c r="CP39" s="231">
        <f>+(1947*170/10^4)+(CP14-1947)*600/10^4</f>
        <v>123.09899999999999</v>
      </c>
      <c r="CQ39" s="231">
        <f t="shared" ref="CQ39:DB39" si="212">+(1947*170/10^4)+(CQ14-1947)*600/10^4</f>
        <v>126.279</v>
      </c>
      <c r="CR39" s="231">
        <f t="shared" si="212"/>
        <v>148.779</v>
      </c>
      <c r="CS39" s="231">
        <f t="shared" si="212"/>
        <v>171.279</v>
      </c>
      <c r="CT39" s="231">
        <f t="shared" si="212"/>
        <v>171.279</v>
      </c>
      <c r="CU39" s="231">
        <f t="shared" si="212"/>
        <v>216.279</v>
      </c>
      <c r="CV39" s="231">
        <f t="shared" si="212"/>
        <v>216.279</v>
      </c>
      <c r="CW39" s="231">
        <f t="shared" si="212"/>
        <v>216.279</v>
      </c>
      <c r="CX39" s="231">
        <f t="shared" si="212"/>
        <v>306.279</v>
      </c>
      <c r="CY39" s="231">
        <f t="shared" si="212"/>
        <v>306.279</v>
      </c>
      <c r="CZ39" s="231">
        <f t="shared" si="212"/>
        <v>306.279</v>
      </c>
      <c r="DA39" s="231">
        <f t="shared" si="212"/>
        <v>306.279</v>
      </c>
      <c r="DB39" s="231">
        <f t="shared" si="212"/>
        <v>306.279</v>
      </c>
      <c r="DE39" s="197"/>
    </row>
    <row r="40" spans="1:109" s="196" customFormat="1" x14ac:dyDescent="0.2">
      <c r="A40" s="203" t="s">
        <v>673</v>
      </c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205">
        <f t="shared" ref="T40:AA40" si="213">+T65-T33</f>
        <v>5.9658899999931236E-2</v>
      </c>
      <c r="U40" s="205">
        <f t="shared" si="213"/>
        <v>14.054960199999925</v>
      </c>
      <c r="V40" s="205">
        <f t="shared" si="213"/>
        <v>76.112099999999828</v>
      </c>
      <c r="W40" s="205">
        <f t="shared" si="213"/>
        <v>252.75710000000004</v>
      </c>
      <c r="X40" s="205">
        <f t="shared" si="213"/>
        <v>388.43140000000028</v>
      </c>
      <c r="Y40" s="205">
        <f t="shared" si="213"/>
        <v>155.9747000000001</v>
      </c>
      <c r="Z40" s="205">
        <f t="shared" si="213"/>
        <v>49.187400000000025</v>
      </c>
      <c r="AA40" s="205">
        <f t="shared" si="213"/>
        <v>0.52100000000018554</v>
      </c>
      <c r="AB40" s="76">
        <f t="shared" ref="AB40:AB41" si="214">+SUM(CM40:CP40)</f>
        <v>0</v>
      </c>
      <c r="AC40" s="76">
        <f t="shared" ref="AC40:AC41" si="215">+SUM(CQ40:CT40)</f>
        <v>0</v>
      </c>
      <c r="AD40" s="76">
        <f t="shared" ref="AD40:AD41" si="216">+SUM(CU40:CX40)</f>
        <v>0</v>
      </c>
      <c r="AE40" s="76">
        <f t="shared" ref="AE40:AE41" si="217">+SUM(CY40:DB40)</f>
        <v>0</v>
      </c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4"/>
      <c r="BZ40" s="194"/>
      <c r="CA40" s="194"/>
      <c r="CB40" s="194"/>
      <c r="CC40" s="194"/>
      <c r="CD40" s="194"/>
      <c r="CE40" s="205">
        <f t="shared" ref="CE40:CL40" si="218">+CE65-CE33</f>
        <v>21.741000000000014</v>
      </c>
      <c r="CF40" s="205">
        <f t="shared" si="218"/>
        <v>15.234000000000009</v>
      </c>
      <c r="CG40" s="205">
        <f t="shared" si="218"/>
        <v>2.0999999999986585E-2</v>
      </c>
      <c r="CH40" s="205">
        <f t="shared" si="218"/>
        <v>12.193999999999988</v>
      </c>
      <c r="CI40" s="205">
        <f t="shared" si="218"/>
        <v>7.7890000000000157</v>
      </c>
      <c r="CJ40" s="205">
        <f t="shared" si="218"/>
        <v>22.832000000000022</v>
      </c>
      <c r="CK40" s="205">
        <f t="shared" si="218"/>
        <v>14.50200000000001</v>
      </c>
      <c r="CL40" s="205">
        <f t="shared" si="218"/>
        <v>2.1300000000000239</v>
      </c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E40" s="197"/>
    </row>
    <row r="41" spans="1:109" s="196" customFormat="1" x14ac:dyDescent="0.2">
      <c r="A41" s="203" t="s">
        <v>674</v>
      </c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205">
        <f t="shared" ref="T41:AA41" si="219">+T77-T34</f>
        <v>3.9079999999387383E-3</v>
      </c>
      <c r="U41" s="205">
        <f t="shared" si="219"/>
        <v>1.6322636999999816</v>
      </c>
      <c r="V41" s="205">
        <f t="shared" si="219"/>
        <v>45.948699999999974</v>
      </c>
      <c r="W41" s="205">
        <f t="shared" si="219"/>
        <v>181.71389999999997</v>
      </c>
      <c r="X41" s="205">
        <f t="shared" si="219"/>
        <v>279.5013000000003</v>
      </c>
      <c r="Y41" s="205">
        <f t="shared" si="219"/>
        <v>77.184400000000011</v>
      </c>
      <c r="Z41" s="205">
        <f t="shared" si="219"/>
        <v>5.7401999999999873</v>
      </c>
      <c r="AA41" s="205">
        <f t="shared" si="219"/>
        <v>1.1000000002923116E-3</v>
      </c>
      <c r="AB41" s="76">
        <f t="shared" si="214"/>
        <v>48.927120000000002</v>
      </c>
      <c r="AC41" s="76">
        <f t="shared" si="215"/>
        <v>135.87551999999999</v>
      </c>
      <c r="AD41" s="76">
        <f t="shared" si="216"/>
        <v>210.12551999999999</v>
      </c>
      <c r="AE41" s="76">
        <f t="shared" si="217"/>
        <v>269.52551999999997</v>
      </c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  <c r="BT41" s="194"/>
      <c r="BU41" s="194"/>
      <c r="BV41" s="194"/>
      <c r="BW41" s="194"/>
      <c r="BX41" s="194"/>
      <c r="BY41" s="194"/>
      <c r="BZ41" s="194"/>
      <c r="CA41" s="194"/>
      <c r="CB41" s="194"/>
      <c r="CC41" s="194"/>
      <c r="CD41" s="194"/>
      <c r="CE41" s="205">
        <f t="shared" ref="CE41:CL41" si="220">+CE77-CE34</f>
        <v>7.2139999999999915</v>
      </c>
      <c r="CF41" s="205">
        <f t="shared" si="220"/>
        <v>2.8579999999999899</v>
      </c>
      <c r="CG41" s="205">
        <f t="shared" si="220"/>
        <v>-5.9559999999999746</v>
      </c>
      <c r="CH41" s="205">
        <f t="shared" si="220"/>
        <v>1.6130000000000138</v>
      </c>
      <c r="CI41" s="205">
        <f t="shared" si="220"/>
        <v>-1.7750000000000057</v>
      </c>
      <c r="CJ41" s="205">
        <f t="shared" si="220"/>
        <v>9.8040000000000092</v>
      </c>
      <c r="CK41" s="205">
        <f t="shared" si="220"/>
        <v>1.9750000000000085</v>
      </c>
      <c r="CL41" s="205">
        <f t="shared" si="220"/>
        <v>8.1690000000000254</v>
      </c>
      <c r="CM41" s="231">
        <f>+CM39*22%</f>
        <v>7.2817799999999995</v>
      </c>
      <c r="CN41" s="231">
        <f t="shared" ref="CN41:DB41" si="221">+CN39*22%</f>
        <v>7.2817799999999995</v>
      </c>
      <c r="CO41" s="231">
        <f t="shared" si="221"/>
        <v>7.2817799999999995</v>
      </c>
      <c r="CP41" s="231">
        <f t="shared" si="221"/>
        <v>27.081779999999998</v>
      </c>
      <c r="CQ41" s="231">
        <f t="shared" si="221"/>
        <v>27.781379999999999</v>
      </c>
      <c r="CR41" s="231">
        <f t="shared" si="221"/>
        <v>32.731380000000001</v>
      </c>
      <c r="CS41" s="231">
        <f t="shared" si="221"/>
        <v>37.681379999999997</v>
      </c>
      <c r="CT41" s="231">
        <f t="shared" si="221"/>
        <v>37.681379999999997</v>
      </c>
      <c r="CU41" s="231">
        <f t="shared" si="221"/>
        <v>47.581380000000003</v>
      </c>
      <c r="CV41" s="231">
        <f t="shared" si="221"/>
        <v>47.581380000000003</v>
      </c>
      <c r="CW41" s="231">
        <f t="shared" si="221"/>
        <v>47.581380000000003</v>
      </c>
      <c r="CX41" s="231">
        <f t="shared" si="221"/>
        <v>67.381379999999993</v>
      </c>
      <c r="CY41" s="231">
        <f t="shared" si="221"/>
        <v>67.381379999999993</v>
      </c>
      <c r="CZ41" s="231">
        <f t="shared" si="221"/>
        <v>67.381379999999993</v>
      </c>
      <c r="DA41" s="231">
        <f t="shared" si="221"/>
        <v>67.381379999999993</v>
      </c>
      <c r="DB41" s="231">
        <f t="shared" si="221"/>
        <v>67.381379999999993</v>
      </c>
      <c r="DE41" s="197"/>
    </row>
    <row r="42" spans="1:109" s="196" customFormat="1" x14ac:dyDescent="0.2">
      <c r="A42" s="203" t="s">
        <v>684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205"/>
      <c r="U42" s="205"/>
      <c r="V42" s="205"/>
      <c r="W42" s="205"/>
      <c r="X42" s="205"/>
      <c r="Y42" s="205"/>
      <c r="Z42" s="205"/>
      <c r="AA42" s="205"/>
      <c r="AB42" s="195"/>
      <c r="AC42" s="195"/>
      <c r="AD42" s="195"/>
      <c r="AE42" s="195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4"/>
      <c r="BY42" s="194"/>
      <c r="BZ42" s="194"/>
      <c r="CA42" s="194"/>
      <c r="CB42" s="194"/>
      <c r="CC42" s="194"/>
      <c r="CD42" s="194"/>
      <c r="CE42" s="205">
        <f>+CE41-CE43</f>
        <v>2.1749999999999972</v>
      </c>
      <c r="CF42" s="205">
        <f t="shared" ref="CF42:CL42" si="222">+CF41-CF43</f>
        <v>1.804000000000002</v>
      </c>
      <c r="CG42" s="205">
        <f t="shared" si="222"/>
        <v>-1.4030000000000058</v>
      </c>
      <c r="CH42" s="205">
        <f t="shared" si="222"/>
        <v>0.77299999999999613</v>
      </c>
      <c r="CI42" s="205">
        <f t="shared" si="222"/>
        <v>1.4969999999999999</v>
      </c>
      <c r="CJ42" s="205">
        <f t="shared" si="222"/>
        <v>4.1520000000000046</v>
      </c>
      <c r="CK42" s="205">
        <f t="shared" si="222"/>
        <v>3.6370000000000005</v>
      </c>
      <c r="CL42" s="205">
        <f t="shared" si="222"/>
        <v>5.2710000000000079</v>
      </c>
      <c r="CM42" s="232">
        <f>+CM41-CM43</f>
        <v>3.3098999999999998</v>
      </c>
      <c r="CN42" s="232">
        <f t="shared" ref="CN42:DB42" si="223">+CN41-CN43</f>
        <v>3.3098999999999998</v>
      </c>
      <c r="CO42" s="232">
        <f t="shared" si="223"/>
        <v>3.3098999999999998</v>
      </c>
      <c r="CP42" s="232">
        <f t="shared" si="223"/>
        <v>12.309900000000001</v>
      </c>
      <c r="CQ42" s="232">
        <f t="shared" si="223"/>
        <v>12.6279</v>
      </c>
      <c r="CR42" s="232">
        <f t="shared" si="223"/>
        <v>14.877900000000004</v>
      </c>
      <c r="CS42" s="232">
        <f t="shared" si="223"/>
        <v>17.127899999999997</v>
      </c>
      <c r="CT42" s="232">
        <f t="shared" si="223"/>
        <v>17.127899999999997</v>
      </c>
      <c r="CU42" s="232">
        <f t="shared" si="223"/>
        <v>21.627900000000004</v>
      </c>
      <c r="CV42" s="232">
        <f t="shared" si="223"/>
        <v>21.627900000000004</v>
      </c>
      <c r="CW42" s="232">
        <f t="shared" si="223"/>
        <v>21.627900000000004</v>
      </c>
      <c r="CX42" s="232">
        <f t="shared" si="223"/>
        <v>30.627899999999997</v>
      </c>
      <c r="CY42" s="232">
        <f t="shared" si="223"/>
        <v>30.627899999999997</v>
      </c>
      <c r="CZ42" s="232">
        <f t="shared" si="223"/>
        <v>30.627899999999997</v>
      </c>
      <c r="DA42" s="232">
        <f t="shared" si="223"/>
        <v>30.627899999999997</v>
      </c>
      <c r="DB42" s="232">
        <f t="shared" si="223"/>
        <v>30.627899999999997</v>
      </c>
      <c r="DE42" s="197"/>
    </row>
    <row r="43" spans="1:109" s="196" customFormat="1" x14ac:dyDescent="0.2">
      <c r="A43" s="203" t="s">
        <v>675</v>
      </c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205">
        <f t="shared" ref="T43:AA43" si="224">+T90-T35</f>
        <v>-0.98775210000005131</v>
      </c>
      <c r="U43" s="205">
        <f t="shared" si="224"/>
        <v>-16.282792699999987</v>
      </c>
      <c r="V43" s="205">
        <f t="shared" si="224"/>
        <v>11.784599999999955</v>
      </c>
      <c r="W43" s="205">
        <f t="shared" si="224"/>
        <v>109.9597</v>
      </c>
      <c r="X43" s="205">
        <f t="shared" si="224"/>
        <v>178.14080000000033</v>
      </c>
      <c r="Y43" s="205">
        <f t="shared" si="224"/>
        <v>60.998900000000106</v>
      </c>
      <c r="Z43" s="205">
        <f t="shared" si="224"/>
        <v>2.3786999999998955</v>
      </c>
      <c r="AA43" s="205">
        <f t="shared" si="224"/>
        <v>-1.6999999997153736E-3</v>
      </c>
      <c r="AB43" s="76">
        <f t="shared" ref="AB43:AB44" si="225">+SUM(CM43:CP43)</f>
        <v>26.687519999999999</v>
      </c>
      <c r="AC43" s="76">
        <f t="shared" ref="AC43:AC44" si="226">+SUM(CQ43:CT43)</f>
        <v>74.113919999999993</v>
      </c>
      <c r="AD43" s="76">
        <f t="shared" ref="AD43:AD44" si="227">+SUM(CU43:CX43)</f>
        <v>114.61391999999999</v>
      </c>
      <c r="AE43" s="76">
        <f t="shared" ref="AE43:AE44" si="228">+SUM(CY43:DB43)</f>
        <v>147.01391999999998</v>
      </c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  <c r="BW43" s="194"/>
      <c r="BX43" s="194"/>
      <c r="BY43" s="194"/>
      <c r="BZ43" s="194"/>
      <c r="CA43" s="194"/>
      <c r="CB43" s="194"/>
      <c r="CC43" s="194"/>
      <c r="CD43" s="194"/>
      <c r="CE43" s="205">
        <f t="shared" ref="CE43:CL43" si="229">+CE90-CE35</f>
        <v>5.0389999999999944</v>
      </c>
      <c r="CF43" s="205">
        <f t="shared" si="229"/>
        <v>1.0539999999999878</v>
      </c>
      <c r="CG43" s="205">
        <f t="shared" si="229"/>
        <v>-4.5529999999999688</v>
      </c>
      <c r="CH43" s="205">
        <f t="shared" si="229"/>
        <v>0.84000000000001762</v>
      </c>
      <c r="CI43" s="205">
        <f t="shared" si="229"/>
        <v>-3.2720000000000056</v>
      </c>
      <c r="CJ43" s="205">
        <f t="shared" si="229"/>
        <v>5.6520000000000046</v>
      </c>
      <c r="CK43" s="205">
        <f t="shared" si="229"/>
        <v>-1.6619999999999919</v>
      </c>
      <c r="CL43" s="205">
        <f t="shared" si="229"/>
        <v>2.8980000000000175</v>
      </c>
      <c r="CM43" s="231">
        <f>+CM39*12%</f>
        <v>3.9718799999999996</v>
      </c>
      <c r="CN43" s="231">
        <f t="shared" ref="CN43:DB43" si="230">+CN39*12%</f>
        <v>3.9718799999999996</v>
      </c>
      <c r="CO43" s="231">
        <f t="shared" si="230"/>
        <v>3.9718799999999996</v>
      </c>
      <c r="CP43" s="231">
        <f t="shared" si="230"/>
        <v>14.771879999999998</v>
      </c>
      <c r="CQ43" s="231">
        <f t="shared" si="230"/>
        <v>15.153479999999998</v>
      </c>
      <c r="CR43" s="231">
        <f t="shared" si="230"/>
        <v>17.853479999999998</v>
      </c>
      <c r="CS43" s="231">
        <f t="shared" si="230"/>
        <v>20.55348</v>
      </c>
      <c r="CT43" s="231">
        <f t="shared" si="230"/>
        <v>20.55348</v>
      </c>
      <c r="CU43" s="231">
        <f t="shared" si="230"/>
        <v>25.953479999999999</v>
      </c>
      <c r="CV43" s="231">
        <f t="shared" si="230"/>
        <v>25.953479999999999</v>
      </c>
      <c r="CW43" s="231">
        <f t="shared" si="230"/>
        <v>25.953479999999999</v>
      </c>
      <c r="CX43" s="231">
        <f t="shared" si="230"/>
        <v>36.753479999999996</v>
      </c>
      <c r="CY43" s="231">
        <f t="shared" si="230"/>
        <v>36.753479999999996</v>
      </c>
      <c r="CZ43" s="231">
        <f t="shared" si="230"/>
        <v>36.753479999999996</v>
      </c>
      <c r="DA43" s="231">
        <f t="shared" si="230"/>
        <v>36.753479999999996</v>
      </c>
      <c r="DB43" s="231">
        <f t="shared" si="230"/>
        <v>36.753479999999996</v>
      </c>
      <c r="DE43" s="197"/>
    </row>
    <row r="44" spans="1:109" s="196" customFormat="1" x14ac:dyDescent="0.2">
      <c r="A44" s="203" t="s">
        <v>678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205">
        <f>+T94</f>
        <v>0.44448850000000001</v>
      </c>
      <c r="U44" s="205">
        <f t="shared" ref="U44:AA44" si="231">+U94</f>
        <v>7.3272567000000004</v>
      </c>
      <c r="V44" s="205">
        <f t="shared" si="231"/>
        <v>-5.3030999999999997</v>
      </c>
      <c r="W44" s="205">
        <f t="shared" si="231"/>
        <v>-49.481900000000003</v>
      </c>
      <c r="X44" s="205">
        <f t="shared" si="231"/>
        <v>-80.162999999999997</v>
      </c>
      <c r="Y44" s="205">
        <f t="shared" si="231"/>
        <v>-27.449400000000001</v>
      </c>
      <c r="Z44" s="205">
        <f t="shared" si="231"/>
        <v>-1.0704</v>
      </c>
      <c r="AA44" s="205">
        <f t="shared" si="231"/>
        <v>0</v>
      </c>
      <c r="AB44" s="76">
        <f t="shared" si="225"/>
        <v>-12.009383999999999</v>
      </c>
      <c r="AC44" s="76">
        <f t="shared" si="226"/>
        <v>-33.351264</v>
      </c>
      <c r="AD44" s="76">
        <f t="shared" si="227"/>
        <v>-51.576264000000002</v>
      </c>
      <c r="AE44" s="76">
        <f t="shared" si="228"/>
        <v>-66.156263999999993</v>
      </c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  <c r="BP44" s="194"/>
      <c r="BQ44" s="194"/>
      <c r="BR44" s="194"/>
      <c r="BS44" s="194"/>
      <c r="BT44" s="194"/>
      <c r="BU44" s="194"/>
      <c r="BV44" s="194"/>
      <c r="BW44" s="194"/>
      <c r="BX44" s="194"/>
      <c r="BY44" s="194"/>
      <c r="BZ44" s="194"/>
      <c r="CA44" s="194"/>
      <c r="CB44" s="194"/>
      <c r="CC44" s="194"/>
      <c r="CD44" s="194"/>
      <c r="CE44" s="205">
        <f t="shared" ref="CE44:CL44" si="232">+CE94</f>
        <v>-2.266</v>
      </c>
      <c r="CF44" s="205">
        <f t="shared" si="232"/>
        <v>-0.47399999999999998</v>
      </c>
      <c r="CG44" s="205">
        <f t="shared" si="232"/>
        <v>2.0470000000000002</v>
      </c>
      <c r="CH44" s="205">
        <f t="shared" si="232"/>
        <v>-0.378</v>
      </c>
      <c r="CI44" s="205">
        <f t="shared" si="232"/>
        <v>1.4730000000000001</v>
      </c>
      <c r="CJ44" s="205">
        <f t="shared" si="232"/>
        <v>-2.5430000000000001</v>
      </c>
      <c r="CK44" s="205">
        <f t="shared" si="232"/>
        <v>0.67600000000000005</v>
      </c>
      <c r="CL44" s="205">
        <f t="shared" si="232"/>
        <v>-1.5620000000000001</v>
      </c>
      <c r="CM44" s="231">
        <f>+CM43*CM45</f>
        <v>-1.7873459999999999</v>
      </c>
      <c r="CN44" s="231">
        <f t="shared" ref="CN44:DB44" si="233">+CN43*CN45</f>
        <v>-1.7873459999999999</v>
      </c>
      <c r="CO44" s="231">
        <f t="shared" si="233"/>
        <v>-1.7873459999999999</v>
      </c>
      <c r="CP44" s="231">
        <f t="shared" si="233"/>
        <v>-6.6473459999999989</v>
      </c>
      <c r="CQ44" s="231">
        <f t="shared" si="233"/>
        <v>-6.8190659999999994</v>
      </c>
      <c r="CR44" s="231">
        <f t="shared" si="233"/>
        <v>-8.0340659999999993</v>
      </c>
      <c r="CS44" s="231">
        <f t="shared" si="233"/>
        <v>-9.2490660000000009</v>
      </c>
      <c r="CT44" s="231">
        <f t="shared" si="233"/>
        <v>-9.2490660000000009</v>
      </c>
      <c r="CU44" s="231">
        <f t="shared" si="233"/>
        <v>-11.679066000000001</v>
      </c>
      <c r="CV44" s="231">
        <f t="shared" si="233"/>
        <v>-11.679066000000001</v>
      </c>
      <c r="CW44" s="231">
        <f t="shared" si="233"/>
        <v>-11.679066000000001</v>
      </c>
      <c r="CX44" s="231">
        <f t="shared" si="233"/>
        <v>-16.539065999999998</v>
      </c>
      <c r="CY44" s="231">
        <f t="shared" si="233"/>
        <v>-16.539065999999998</v>
      </c>
      <c r="CZ44" s="231">
        <f t="shared" si="233"/>
        <v>-16.539065999999998</v>
      </c>
      <c r="DA44" s="231">
        <f t="shared" si="233"/>
        <v>-16.539065999999998</v>
      </c>
      <c r="DB44" s="231">
        <f t="shared" si="233"/>
        <v>-16.539065999999998</v>
      </c>
      <c r="DE44" s="197"/>
    </row>
    <row r="45" spans="1:109" s="196" customFormat="1" x14ac:dyDescent="0.2">
      <c r="A45" s="203" t="s">
        <v>679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236">
        <f t="shared" ref="T45:AA45" si="234">+T44/T43</f>
        <v>-0.45000005568196405</v>
      </c>
      <c r="U45" s="236">
        <f t="shared" si="234"/>
        <v>-0.44999999907878246</v>
      </c>
      <c r="V45" s="236">
        <f t="shared" si="234"/>
        <v>-0.45000254569523107</v>
      </c>
      <c r="W45" s="236">
        <f t="shared" si="234"/>
        <v>-0.45000031829843118</v>
      </c>
      <c r="X45" s="236">
        <f t="shared" si="234"/>
        <v>-0.44999797912662259</v>
      </c>
      <c r="Y45" s="236">
        <f t="shared" si="234"/>
        <v>-0.44999827865748321</v>
      </c>
      <c r="Z45" s="236">
        <f t="shared" si="234"/>
        <v>-0.44999369403457645</v>
      </c>
      <c r="AA45" s="236">
        <f t="shared" si="234"/>
        <v>0</v>
      </c>
      <c r="AB45" s="195">
        <f t="shared" ref="AB45:AE45" si="235">+AB44/AB43</f>
        <v>-0.44999999999999996</v>
      </c>
      <c r="AC45" s="195">
        <f t="shared" si="235"/>
        <v>-0.45000000000000007</v>
      </c>
      <c r="AD45" s="195">
        <f t="shared" si="235"/>
        <v>-0.45000000000000007</v>
      </c>
      <c r="AE45" s="195">
        <f t="shared" si="235"/>
        <v>-0.45</v>
      </c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  <c r="BP45" s="194"/>
      <c r="BQ45" s="194"/>
      <c r="BR45" s="194"/>
      <c r="BS45" s="194"/>
      <c r="BT45" s="194"/>
      <c r="BU45" s="194"/>
      <c r="BV45" s="194"/>
      <c r="BW45" s="194"/>
      <c r="BX45" s="194"/>
      <c r="BY45" s="194"/>
      <c r="BZ45" s="194"/>
      <c r="CA45" s="194"/>
      <c r="CB45" s="194"/>
      <c r="CC45" s="194"/>
      <c r="CD45" s="194"/>
      <c r="CE45" s="236">
        <f t="shared" ref="CE45:CL45" si="236">+CE44/CE43</f>
        <v>-0.44969239928557303</v>
      </c>
      <c r="CF45" s="236">
        <f t="shared" si="236"/>
        <v>-0.44971537001898049</v>
      </c>
      <c r="CG45" s="236">
        <f t="shared" si="236"/>
        <v>-0.44959367450033255</v>
      </c>
      <c r="CH45" s="236">
        <f t="shared" si="236"/>
        <v>-0.44999999999999057</v>
      </c>
      <c r="CI45" s="236">
        <f t="shared" si="236"/>
        <v>-0.45018337408312886</v>
      </c>
      <c r="CJ45" s="236">
        <f t="shared" si="236"/>
        <v>-0.44992922859164863</v>
      </c>
      <c r="CK45" s="236">
        <f t="shared" si="236"/>
        <v>-0.40673886883273364</v>
      </c>
      <c r="CL45" s="236">
        <f t="shared" si="236"/>
        <v>-0.53899240855762276</v>
      </c>
      <c r="CM45" s="195">
        <v>-0.45</v>
      </c>
      <c r="CN45" s="195">
        <v>-0.45</v>
      </c>
      <c r="CO45" s="195">
        <v>-0.45</v>
      </c>
      <c r="CP45" s="195">
        <v>-0.45</v>
      </c>
      <c r="CQ45" s="195">
        <v>-0.45</v>
      </c>
      <c r="CR45" s="195">
        <v>-0.45</v>
      </c>
      <c r="CS45" s="195">
        <v>-0.45</v>
      </c>
      <c r="CT45" s="195">
        <v>-0.45</v>
      </c>
      <c r="CU45" s="195">
        <v>-0.45</v>
      </c>
      <c r="CV45" s="195">
        <v>-0.45</v>
      </c>
      <c r="CW45" s="195">
        <v>-0.45</v>
      </c>
      <c r="CX45" s="195">
        <v>-0.45</v>
      </c>
      <c r="CY45" s="195">
        <v>-0.45</v>
      </c>
      <c r="CZ45" s="195">
        <v>-0.45</v>
      </c>
      <c r="DA45" s="195">
        <v>-0.45</v>
      </c>
      <c r="DB45" s="195">
        <v>-0.45</v>
      </c>
      <c r="DE45" s="197"/>
    </row>
    <row r="46" spans="1:109" s="196" customFormat="1" x14ac:dyDescent="0.2">
      <c r="A46" s="203" t="s">
        <v>676</v>
      </c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236">
        <f t="shared" ref="T46:AA46" si="237">+T40/T39</f>
        <v>-8.7987961679741513E-3</v>
      </c>
      <c r="U46" s="236">
        <f t="shared" si="237"/>
        <v>0.84072158222155757</v>
      </c>
      <c r="V46" s="236">
        <f t="shared" si="237"/>
        <v>0.90960925287658534</v>
      </c>
      <c r="W46" s="236">
        <f t="shared" si="237"/>
        <v>0.62318529348675611</v>
      </c>
      <c r="X46" s="236">
        <f t="shared" si="237"/>
        <v>0.61348838825432161</v>
      </c>
      <c r="Y46" s="236">
        <f t="shared" si="237"/>
        <v>0.51191007563057211</v>
      </c>
      <c r="Z46" s="236">
        <f t="shared" si="237"/>
        <v>0.38697236923159284</v>
      </c>
      <c r="AA46" s="236">
        <f t="shared" si="237"/>
        <v>0.16747026679529675</v>
      </c>
      <c r="AB46" s="195">
        <f t="shared" ref="AB46:AE46" si="238">+AB40/AB39</f>
        <v>0</v>
      </c>
      <c r="AC46" s="195">
        <f t="shared" si="238"/>
        <v>0</v>
      </c>
      <c r="AD46" s="195">
        <f t="shared" si="238"/>
        <v>0</v>
      </c>
      <c r="AE46" s="195">
        <f t="shared" si="238"/>
        <v>0</v>
      </c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  <c r="BP46" s="194"/>
      <c r="BQ46" s="194"/>
      <c r="BR46" s="194"/>
      <c r="BS46" s="194"/>
      <c r="BT46" s="194"/>
      <c r="BU46" s="194"/>
      <c r="BV46" s="194"/>
      <c r="BW46" s="194"/>
      <c r="BX46" s="194"/>
      <c r="BY46" s="194"/>
      <c r="BZ46" s="194"/>
      <c r="CA46" s="194"/>
      <c r="CB46" s="194"/>
      <c r="CC46" s="194"/>
      <c r="CD46" s="194"/>
      <c r="CE46" s="236">
        <f t="shared" ref="CE46:CL46" si="239">+CE40/CE39</f>
        <v>0.4188533117558666</v>
      </c>
      <c r="CF46" s="236">
        <f t="shared" si="239"/>
        <v>0.56583590238829284</v>
      </c>
      <c r="CG46" s="236">
        <f t="shared" si="239"/>
        <v>1.5557860423756557E-3</v>
      </c>
      <c r="CH46" s="236">
        <f t="shared" si="239"/>
        <v>0.39123459958932194</v>
      </c>
      <c r="CI46" s="236">
        <f t="shared" si="239"/>
        <v>0.19991786658453359</v>
      </c>
      <c r="CJ46" s="236">
        <f t="shared" si="239"/>
        <v>0.72824700178616986</v>
      </c>
      <c r="CK46" s="236">
        <f t="shared" si="239"/>
        <v>0.48177801401946813</v>
      </c>
      <c r="CL46" s="236">
        <f t="shared" si="239"/>
        <v>6.4514174945481659E-2</v>
      </c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5"/>
      <c r="CZ46" s="195"/>
      <c r="DA46" s="195"/>
      <c r="DB46" s="195"/>
      <c r="DE46" s="197"/>
    </row>
    <row r="47" spans="1:109" s="196" customFormat="1" x14ac:dyDescent="0.2">
      <c r="A47" s="203" t="s">
        <v>677</v>
      </c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236">
        <f t="shared" ref="T47:AA47" si="240">+T41/T39</f>
        <v>-5.7637159625711486E-4</v>
      </c>
      <c r="U47" s="236">
        <f t="shared" si="240"/>
        <v>9.7636656450069886E-2</v>
      </c>
      <c r="V47" s="236">
        <f t="shared" si="240"/>
        <v>0.54912901730014585</v>
      </c>
      <c r="W47" s="236">
        <f t="shared" si="240"/>
        <v>0.44802472453641468</v>
      </c>
      <c r="X47" s="236">
        <f t="shared" si="240"/>
        <v>0.44144423455979021</v>
      </c>
      <c r="Y47" s="236">
        <f t="shared" si="240"/>
        <v>0.25331975019987418</v>
      </c>
      <c r="Z47" s="236">
        <f t="shared" si="240"/>
        <v>4.5159914812801315E-2</v>
      </c>
      <c r="AA47" s="236">
        <f t="shared" si="240"/>
        <v>3.5358405666739793E-4</v>
      </c>
      <c r="AB47" s="195">
        <f t="shared" ref="AB47:AE47" si="241">+AB41/AB39</f>
        <v>0.22000000000000003</v>
      </c>
      <c r="AC47" s="195">
        <f t="shared" si="241"/>
        <v>0.22</v>
      </c>
      <c r="AD47" s="195">
        <f t="shared" si="241"/>
        <v>0.22</v>
      </c>
      <c r="AE47" s="195">
        <f t="shared" si="241"/>
        <v>0.21999999999999997</v>
      </c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  <c r="BW47" s="194"/>
      <c r="BX47" s="194"/>
      <c r="BY47" s="194"/>
      <c r="BZ47" s="194"/>
      <c r="CA47" s="194"/>
      <c r="CB47" s="194"/>
      <c r="CC47" s="194"/>
      <c r="CD47" s="194"/>
      <c r="CE47" s="236">
        <f t="shared" ref="CE47:CL47" si="242">+CE41/CE39</f>
        <v>0.13898200593380322</v>
      </c>
      <c r="CF47" s="236">
        <f t="shared" si="242"/>
        <v>0.10615458901311109</v>
      </c>
      <c r="CG47" s="236">
        <f t="shared" si="242"/>
        <v>-0.44125055563787069</v>
      </c>
      <c r="CH47" s="236">
        <f t="shared" si="242"/>
        <v>5.1751796714579489E-2</v>
      </c>
      <c r="CI47" s="236">
        <f t="shared" si="242"/>
        <v>-4.5558378891712353E-2</v>
      </c>
      <c r="CJ47" s="236">
        <f t="shared" si="242"/>
        <v>0.31270732329675932</v>
      </c>
      <c r="CK47" s="236">
        <f t="shared" si="242"/>
        <v>6.5612438124979522E-2</v>
      </c>
      <c r="CL47" s="236">
        <f t="shared" si="242"/>
        <v>0.24742549067119035</v>
      </c>
      <c r="CM47" s="195">
        <f t="shared" ref="CM47:DB47" si="243">+CM41/CM39</f>
        <v>0.22</v>
      </c>
      <c r="CN47" s="195">
        <f t="shared" si="243"/>
        <v>0.22</v>
      </c>
      <c r="CO47" s="195">
        <f t="shared" si="243"/>
        <v>0.22</v>
      </c>
      <c r="CP47" s="195">
        <f t="shared" si="243"/>
        <v>0.22</v>
      </c>
      <c r="CQ47" s="195">
        <f t="shared" si="243"/>
        <v>0.22</v>
      </c>
      <c r="CR47" s="195">
        <f t="shared" si="243"/>
        <v>0.22000000000000003</v>
      </c>
      <c r="CS47" s="195">
        <f t="shared" si="243"/>
        <v>0.22</v>
      </c>
      <c r="CT47" s="195">
        <f t="shared" si="243"/>
        <v>0.22</v>
      </c>
      <c r="CU47" s="195">
        <f t="shared" si="243"/>
        <v>0.22000000000000003</v>
      </c>
      <c r="CV47" s="195">
        <f t="shared" si="243"/>
        <v>0.22000000000000003</v>
      </c>
      <c r="CW47" s="195">
        <f t="shared" si="243"/>
        <v>0.22000000000000003</v>
      </c>
      <c r="CX47" s="195">
        <f t="shared" si="243"/>
        <v>0.21999999999999997</v>
      </c>
      <c r="CY47" s="195">
        <f t="shared" si="243"/>
        <v>0.21999999999999997</v>
      </c>
      <c r="CZ47" s="195">
        <f t="shared" si="243"/>
        <v>0.21999999999999997</v>
      </c>
      <c r="DA47" s="195">
        <f t="shared" si="243"/>
        <v>0.21999999999999997</v>
      </c>
      <c r="DB47" s="195">
        <f t="shared" si="243"/>
        <v>0.21999999999999997</v>
      </c>
      <c r="DE47" s="197"/>
    </row>
    <row r="48" spans="1:109" s="196" customFormat="1" x14ac:dyDescent="0.2">
      <c r="A48" s="203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236"/>
      <c r="U48" s="236"/>
      <c r="V48" s="236"/>
      <c r="W48" s="236"/>
      <c r="X48" s="236"/>
      <c r="Y48" s="236"/>
      <c r="Z48" s="236"/>
      <c r="AA48" s="236"/>
      <c r="AB48" s="195"/>
      <c r="AC48" s="195"/>
      <c r="AD48" s="195"/>
      <c r="AE48" s="195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  <c r="BO48" s="194"/>
      <c r="BP48" s="194"/>
      <c r="BQ48" s="194"/>
      <c r="BR48" s="194"/>
      <c r="BS48" s="194"/>
      <c r="BT48" s="194"/>
      <c r="BU48" s="194"/>
      <c r="BV48" s="194"/>
      <c r="BW48" s="194"/>
      <c r="BX48" s="194"/>
      <c r="BY48" s="194"/>
      <c r="BZ48" s="194"/>
      <c r="CA48" s="194"/>
      <c r="CB48" s="194"/>
      <c r="CC48" s="194"/>
      <c r="CD48" s="194"/>
      <c r="CE48" s="236"/>
      <c r="CF48" s="236"/>
      <c r="CG48" s="236"/>
      <c r="CH48" s="236"/>
      <c r="CI48" s="236"/>
      <c r="CJ48" s="236"/>
      <c r="CK48" s="236"/>
      <c r="CL48" s="236"/>
      <c r="CM48" s="195"/>
      <c r="CN48" s="195"/>
      <c r="CO48" s="195"/>
      <c r="CP48" s="195"/>
      <c r="CQ48" s="195"/>
      <c r="CR48" s="195"/>
      <c r="CS48" s="195"/>
      <c r="CT48" s="195"/>
      <c r="CU48" s="195"/>
      <c r="CV48" s="195"/>
      <c r="CW48" s="195"/>
      <c r="CX48" s="195"/>
      <c r="CY48" s="195"/>
      <c r="CZ48" s="195"/>
      <c r="DA48" s="195"/>
      <c r="DB48" s="195"/>
      <c r="DE48" s="197"/>
    </row>
    <row r="49" spans="1:110" s="196" customFormat="1" x14ac:dyDescent="0.2">
      <c r="A49" s="203" t="s">
        <v>680</v>
      </c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205"/>
      <c r="U49" s="205"/>
      <c r="V49" s="205">
        <f t="shared" ref="V49:AA49" si="244">+V39*10^7/V14/1000</f>
        <v>73.593315743183638</v>
      </c>
      <c r="W49" s="205">
        <f t="shared" si="244"/>
        <v>236.21956901572523</v>
      </c>
      <c r="X49" s="205">
        <f t="shared" si="244"/>
        <v>297.61774936542258</v>
      </c>
      <c r="Y49" s="205">
        <f t="shared" si="244"/>
        <v>239.46211883055651</v>
      </c>
      <c r="Z49" s="205">
        <f t="shared" si="244"/>
        <v>201.72718616092664</v>
      </c>
      <c r="AA49" s="205">
        <f t="shared" si="244"/>
        <v>3.7261947538628619</v>
      </c>
      <c r="AB49" s="195">
        <f t="shared" ref="AB49:AE49" si="245">+AB39*10^7/AB14/1000</f>
        <v>239.44444444444443</v>
      </c>
      <c r="AC49" s="195">
        <f t="shared" si="245"/>
        <v>389.04944881889764</v>
      </c>
      <c r="AD49" s="195">
        <f t="shared" si="245"/>
        <v>444.24</v>
      </c>
      <c r="AE49" s="195">
        <f t="shared" si="245"/>
        <v>471.19846153846157</v>
      </c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  <c r="BW49" s="194"/>
      <c r="BX49" s="194"/>
      <c r="BY49" s="194"/>
      <c r="BZ49" s="194"/>
      <c r="CA49" s="194"/>
      <c r="CB49" s="194"/>
      <c r="CC49" s="194"/>
      <c r="CD49" s="194"/>
      <c r="CE49" s="205">
        <f t="shared" ref="CE49:CL49" si="246">+CE39*10^7/CE14/1000</f>
        <v>115.93924503015414</v>
      </c>
      <c r="CF49" s="205">
        <f t="shared" si="246"/>
        <v>205.99081866870696</v>
      </c>
      <c r="CG49" s="205">
        <f t="shared" si="246"/>
        <v>207.66153846153833</v>
      </c>
      <c r="CH49" s="205">
        <f t="shared" si="246"/>
        <v>170.78356164383564</v>
      </c>
      <c r="CI49" s="205">
        <f t="shared" si="246"/>
        <v>60.8480399812588</v>
      </c>
      <c r="CJ49" s="205">
        <f t="shared" si="246"/>
        <v>190.82166768107138</v>
      </c>
      <c r="CK49" s="205">
        <f t="shared" si="246"/>
        <v>147.69872423945046</v>
      </c>
      <c r="CL49" s="205">
        <f t="shared" si="246"/>
        <v>169.57370313302528</v>
      </c>
      <c r="CM49" s="231">
        <f t="shared" ref="CM49:DB49" si="247">+CM39*10^7/CM14/1000</f>
        <v>169.99999999999997</v>
      </c>
      <c r="CN49" s="231">
        <f t="shared" si="247"/>
        <v>169.99999999999997</v>
      </c>
      <c r="CO49" s="231">
        <f t="shared" si="247"/>
        <v>169.99999999999997</v>
      </c>
      <c r="CP49" s="231">
        <f t="shared" si="247"/>
        <v>357.1192341166232</v>
      </c>
      <c r="CQ49" s="231">
        <f t="shared" si="247"/>
        <v>360.79714285714283</v>
      </c>
      <c r="CR49" s="231">
        <f t="shared" si="247"/>
        <v>383.9458064516129</v>
      </c>
      <c r="CS49" s="231">
        <f t="shared" si="247"/>
        <v>403.00941176470593</v>
      </c>
      <c r="CT49" s="231">
        <f t="shared" si="247"/>
        <v>403.00941176470593</v>
      </c>
      <c r="CU49" s="231">
        <f t="shared" si="247"/>
        <v>432.55799999999999</v>
      </c>
      <c r="CV49" s="231">
        <f t="shared" si="247"/>
        <v>432.55799999999999</v>
      </c>
      <c r="CW49" s="231">
        <f t="shared" si="247"/>
        <v>432.55799999999999</v>
      </c>
      <c r="CX49" s="231">
        <f t="shared" si="247"/>
        <v>471.19846153846157</v>
      </c>
      <c r="CY49" s="231">
        <f t="shared" si="247"/>
        <v>471.19846153846157</v>
      </c>
      <c r="CZ49" s="231">
        <f t="shared" si="247"/>
        <v>471.19846153846157</v>
      </c>
      <c r="DA49" s="231">
        <f t="shared" si="247"/>
        <v>471.19846153846157</v>
      </c>
      <c r="DB49" s="231">
        <f t="shared" si="247"/>
        <v>471.19846153846157</v>
      </c>
      <c r="DE49" s="197"/>
    </row>
    <row r="50" spans="1:110" s="196" customFormat="1" x14ac:dyDescent="0.2">
      <c r="A50" s="203" t="s">
        <v>681</v>
      </c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205"/>
      <c r="U50" s="205"/>
      <c r="V50" s="205">
        <f t="shared" ref="V50:AA50" si="248">+V40*10^7/V14/1000</f>
        <v>66.941160949867935</v>
      </c>
      <c r="W50" s="205">
        <f t="shared" si="248"/>
        <v>147.20856144437977</v>
      </c>
      <c r="X50" s="205">
        <f t="shared" si="248"/>
        <v>182.58503337407177</v>
      </c>
      <c r="Y50" s="205">
        <f t="shared" si="248"/>
        <v>122.58307136120725</v>
      </c>
      <c r="Z50" s="205">
        <f t="shared" si="248"/>
        <v>78.062847167116374</v>
      </c>
      <c r="AA50" s="205">
        <f t="shared" si="248"/>
        <v>0.62402682956064859</v>
      </c>
      <c r="AB50" s="195">
        <f t="shared" ref="AB50:AE50" si="249">+AB40*10^7/AB14/1000</f>
        <v>0</v>
      </c>
      <c r="AC50" s="195">
        <f t="shared" si="249"/>
        <v>0</v>
      </c>
      <c r="AD50" s="195">
        <f t="shared" si="249"/>
        <v>0</v>
      </c>
      <c r="AE50" s="195">
        <f t="shared" si="249"/>
        <v>0</v>
      </c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205">
        <f t="shared" ref="CE50:CL50" si="250">+CE40*10^7/CE14/1000</f>
        <v>48.561536743354964</v>
      </c>
      <c r="CF50" s="205">
        <f t="shared" si="250"/>
        <v>116.55700076511101</v>
      </c>
      <c r="CG50" s="205">
        <f t="shared" si="250"/>
        <v>0.3230769230767167</v>
      </c>
      <c r="CH50" s="205">
        <f t="shared" si="250"/>
        <v>66.816438356164312</v>
      </c>
      <c r="CI50" s="205">
        <f t="shared" si="250"/>
        <v>12.164610338903666</v>
      </c>
      <c r="CJ50" s="205">
        <f t="shared" si="250"/>
        <v>138.96530736457711</v>
      </c>
      <c r="CK50" s="205">
        <f t="shared" si="250"/>
        <v>71.157998037291506</v>
      </c>
      <c r="CL50" s="205">
        <f t="shared" si="250"/>
        <v>10.939907550077164</v>
      </c>
      <c r="CM50" s="231">
        <f t="shared" ref="CM50:DB50" si="251">+CM40*10^7/CM14/1000</f>
        <v>0</v>
      </c>
      <c r="CN50" s="231">
        <f t="shared" si="251"/>
        <v>0</v>
      </c>
      <c r="CO50" s="231">
        <f t="shared" si="251"/>
        <v>0</v>
      </c>
      <c r="CP50" s="231">
        <f t="shared" si="251"/>
        <v>0</v>
      </c>
      <c r="CQ50" s="231">
        <f t="shared" si="251"/>
        <v>0</v>
      </c>
      <c r="CR50" s="231">
        <f t="shared" si="251"/>
        <v>0</v>
      </c>
      <c r="CS50" s="231">
        <f t="shared" si="251"/>
        <v>0</v>
      </c>
      <c r="CT50" s="231">
        <f t="shared" si="251"/>
        <v>0</v>
      </c>
      <c r="CU50" s="231">
        <f t="shared" si="251"/>
        <v>0</v>
      </c>
      <c r="CV50" s="231">
        <f t="shared" si="251"/>
        <v>0</v>
      </c>
      <c r="CW50" s="231">
        <f t="shared" si="251"/>
        <v>0</v>
      </c>
      <c r="CX50" s="231">
        <f t="shared" si="251"/>
        <v>0</v>
      </c>
      <c r="CY50" s="231">
        <f t="shared" si="251"/>
        <v>0</v>
      </c>
      <c r="CZ50" s="231">
        <f t="shared" si="251"/>
        <v>0</v>
      </c>
      <c r="DA50" s="231">
        <f t="shared" si="251"/>
        <v>0</v>
      </c>
      <c r="DB50" s="231">
        <f t="shared" si="251"/>
        <v>0</v>
      </c>
      <c r="DE50" s="197"/>
    </row>
    <row r="51" spans="1:110" s="196" customFormat="1" x14ac:dyDescent="0.2">
      <c r="A51" s="203" t="s">
        <v>682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205"/>
      <c r="U51" s="205"/>
      <c r="V51" s="205">
        <f t="shared" ref="V51:AA51" si="252">+V41*10^7/V14/1000</f>
        <v>40.412225153913788</v>
      </c>
      <c r="W51" s="205">
        <f t="shared" si="252"/>
        <v>105.83220733838088</v>
      </c>
      <c r="X51" s="205">
        <f t="shared" si="252"/>
        <v>131.38163956002646</v>
      </c>
      <c r="Y51" s="205">
        <f t="shared" si="252"/>
        <v>60.660484124489166</v>
      </c>
      <c r="Z51" s="205">
        <f t="shared" si="252"/>
        <v>9.1099825424535599</v>
      </c>
      <c r="AA51" s="205">
        <f t="shared" si="252"/>
        <v>1.3175230570036073E-3</v>
      </c>
      <c r="AB51" s="195">
        <f t="shared" ref="AB51:AE51" si="253">+AB41*10^7/AB14/1000</f>
        <v>52.677777777777784</v>
      </c>
      <c r="AC51" s="195">
        <f t="shared" si="253"/>
        <v>85.590878740157478</v>
      </c>
      <c r="AD51" s="195">
        <f t="shared" si="253"/>
        <v>97.732799999999997</v>
      </c>
      <c r="AE51" s="195">
        <f t="shared" si="253"/>
        <v>103.66366153846151</v>
      </c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194"/>
      <c r="CC51" s="194"/>
      <c r="CD51" s="194"/>
      <c r="CE51" s="205">
        <f t="shared" ref="CE51:CL51" si="254">+CE41*10^7/CE14/1000</f>
        <v>16.11346884074155</v>
      </c>
      <c r="CF51" s="205">
        <f t="shared" si="254"/>
        <v>21.866870696250881</v>
      </c>
      <c r="CG51" s="205">
        <f t="shared" si="254"/>
        <v>-91.630769230768834</v>
      </c>
      <c r="CH51" s="205">
        <f t="shared" si="254"/>
        <v>8.8383561643836366</v>
      </c>
      <c r="CI51" s="205">
        <f t="shared" si="254"/>
        <v>-2.7721380602842505</v>
      </c>
      <c r="CJ51" s="205">
        <f t="shared" si="254"/>
        <v>59.671332927571576</v>
      </c>
      <c r="CK51" s="205">
        <f t="shared" si="254"/>
        <v>9.6908734052993548</v>
      </c>
      <c r="CL51" s="205">
        <f t="shared" si="254"/>
        <v>41.956856702619547</v>
      </c>
      <c r="CM51" s="231">
        <f t="shared" ref="CM51:DB51" si="255">+CM41*10^7/CM14/1000</f>
        <v>37.4</v>
      </c>
      <c r="CN51" s="231">
        <f t="shared" si="255"/>
        <v>37.4</v>
      </c>
      <c r="CO51" s="231">
        <f t="shared" si="255"/>
        <v>37.4</v>
      </c>
      <c r="CP51" s="231">
        <f t="shared" si="255"/>
        <v>78.5662315056571</v>
      </c>
      <c r="CQ51" s="231">
        <f t="shared" si="255"/>
        <v>79.375371428571427</v>
      </c>
      <c r="CR51" s="231">
        <f t="shared" si="255"/>
        <v>84.468077419354842</v>
      </c>
      <c r="CS51" s="231">
        <f t="shared" si="255"/>
        <v>88.662070588235295</v>
      </c>
      <c r="CT51" s="231">
        <f t="shared" si="255"/>
        <v>88.662070588235295</v>
      </c>
      <c r="CU51" s="231">
        <f t="shared" si="255"/>
        <v>95.162759999999992</v>
      </c>
      <c r="CV51" s="231">
        <f t="shared" si="255"/>
        <v>95.162759999999992</v>
      </c>
      <c r="CW51" s="231">
        <f t="shared" si="255"/>
        <v>95.162759999999992</v>
      </c>
      <c r="CX51" s="231">
        <f t="shared" si="255"/>
        <v>103.66366153846151</v>
      </c>
      <c r="CY51" s="231">
        <f t="shared" si="255"/>
        <v>103.66366153846151</v>
      </c>
      <c r="CZ51" s="231">
        <f t="shared" si="255"/>
        <v>103.66366153846151</v>
      </c>
      <c r="DA51" s="231">
        <f t="shared" si="255"/>
        <v>103.66366153846151</v>
      </c>
      <c r="DB51" s="231">
        <f t="shared" si="255"/>
        <v>103.66366153846151</v>
      </c>
      <c r="DE51" s="197"/>
    </row>
    <row r="52" spans="1:110" s="196" customFormat="1" x14ac:dyDescent="0.2">
      <c r="A52" s="203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236"/>
      <c r="U52" s="236"/>
      <c r="V52" s="236"/>
      <c r="W52" s="236"/>
      <c r="X52" s="236"/>
      <c r="Y52" s="236"/>
      <c r="Z52" s="236"/>
      <c r="AA52" s="236"/>
      <c r="AB52" s="195"/>
      <c r="AC52" s="195"/>
      <c r="AD52" s="195"/>
      <c r="AE52" s="195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236"/>
      <c r="CF52" s="236"/>
      <c r="CG52" s="236"/>
      <c r="CH52" s="236"/>
      <c r="CI52" s="236"/>
      <c r="CJ52" s="236"/>
      <c r="CK52" s="236"/>
      <c r="CL52" s="236"/>
      <c r="CM52" s="195"/>
      <c r="CN52" s="195"/>
      <c r="CO52" s="195"/>
      <c r="CP52" s="195"/>
      <c r="CQ52" s="195"/>
      <c r="CR52" s="195"/>
      <c r="CS52" s="195"/>
      <c r="CT52" s="195"/>
      <c r="CU52" s="195"/>
      <c r="CV52" s="195"/>
      <c r="CW52" s="195"/>
      <c r="CX52" s="195"/>
      <c r="CY52" s="195"/>
      <c r="CZ52" s="195"/>
      <c r="DA52" s="195"/>
      <c r="DB52" s="195"/>
      <c r="DE52" s="197"/>
    </row>
    <row r="53" spans="1:110" s="196" customFormat="1" x14ac:dyDescent="0.2">
      <c r="A53" s="203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236"/>
      <c r="U53" s="236"/>
      <c r="V53" s="236"/>
      <c r="W53" s="236"/>
      <c r="X53" s="236"/>
      <c r="Y53" s="236"/>
      <c r="Z53" s="236"/>
      <c r="AA53" s="236"/>
      <c r="AB53" s="195"/>
      <c r="AC53" s="195"/>
      <c r="AD53" s="195"/>
      <c r="AE53" s="195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236"/>
      <c r="CF53" s="236"/>
      <c r="CG53" s="236"/>
      <c r="CH53" s="236"/>
      <c r="CI53" s="236"/>
      <c r="CJ53" s="236"/>
      <c r="CK53" s="236"/>
      <c r="CL53" s="236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E53" s="197"/>
    </row>
    <row r="54" spans="1:110" s="196" customFormat="1" x14ac:dyDescent="0.2">
      <c r="A54" s="203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5"/>
      <c r="AC54" s="195"/>
      <c r="AD54" s="195"/>
      <c r="AE54" s="195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5"/>
      <c r="CN54" s="195"/>
      <c r="CO54" s="195"/>
      <c r="CP54" s="195"/>
      <c r="CQ54" s="195"/>
      <c r="CR54" s="195"/>
      <c r="CS54" s="195"/>
      <c r="CT54" s="195"/>
      <c r="CU54" s="195"/>
      <c r="CV54" s="195"/>
      <c r="CW54" s="195"/>
      <c r="CX54" s="195"/>
      <c r="CY54" s="195"/>
      <c r="CZ54" s="195"/>
      <c r="DA54" s="195"/>
      <c r="DB54" s="195"/>
      <c r="DE54" s="197"/>
    </row>
    <row r="55" spans="1:110" s="106" customFormat="1" x14ac:dyDescent="0.2">
      <c r="A55" s="151" t="s">
        <v>500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5"/>
      <c r="AC55" s="105"/>
      <c r="AD55" s="105"/>
      <c r="AE55" s="105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E55" s="118"/>
    </row>
    <row r="56" spans="1:110" s="106" customFormat="1" x14ac:dyDescent="0.2">
      <c r="A56" s="151" t="s">
        <v>485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05"/>
      <c r="AC56" s="105"/>
      <c r="AD56" s="105"/>
      <c r="AE56" s="105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60"/>
      <c r="CK56" s="160"/>
      <c r="CL56" s="160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E56" s="118"/>
    </row>
    <row r="57" spans="1:110" s="25" customFormat="1" outlineLevel="1" x14ac:dyDescent="0.2">
      <c r="A57" s="25" t="s">
        <v>430</v>
      </c>
      <c r="B57" s="25">
        <f>'Annual Raw'!C6</f>
        <v>29.322552999999999</v>
      </c>
      <c r="C57" s="25">
        <f>'Annual Raw'!D6</f>
        <v>41.153086399999999</v>
      </c>
      <c r="D57" s="25">
        <f>'Annual Raw'!E6</f>
        <v>50.679308300000002</v>
      </c>
      <c r="E57" s="25">
        <f>'Annual Raw'!F6</f>
        <v>81.990467899999999</v>
      </c>
      <c r="F57" s="25">
        <f>'Annual Raw'!G6</f>
        <v>99.190306399999997</v>
      </c>
      <c r="G57" s="25">
        <f>'Annual Raw'!H6</f>
        <v>145.89401380000001</v>
      </c>
      <c r="H57" s="25">
        <f>'Annual Raw'!I6</f>
        <v>197.2938441</v>
      </c>
      <c r="I57" s="25">
        <f>'Annual Raw'!J6</f>
        <v>239.67647640000001</v>
      </c>
      <c r="J57" s="25">
        <f>'Annual Raw'!K6</f>
        <v>273.5852635</v>
      </c>
      <c r="K57" s="25">
        <f>'Annual Raw'!L6</f>
        <v>277.13981710000002</v>
      </c>
      <c r="L57" s="25">
        <f>'Annual Raw'!M6</f>
        <v>374.72099259999999</v>
      </c>
      <c r="M57" s="25">
        <f>'Annual Raw'!N6</f>
        <v>485.95722690000002</v>
      </c>
      <c r="N57" s="25">
        <f>'Annual Raw'!O6</f>
        <v>556.33360849999997</v>
      </c>
      <c r="O57" s="25">
        <f>'Annual Raw'!P6</f>
        <v>667.41449999999998</v>
      </c>
      <c r="P57" s="25">
        <f>'Annual Raw'!Q6</f>
        <v>673.69466829999999</v>
      </c>
      <c r="Q57" s="25">
        <f>'Annual Raw'!R6</f>
        <v>698.2066797</v>
      </c>
      <c r="R57" s="25">
        <f>'Annual Raw'!S6</f>
        <v>730.59146350000003</v>
      </c>
      <c r="S57" s="25">
        <f>'Annual Raw'!T6</f>
        <v>874.58986470000002</v>
      </c>
      <c r="T57" s="25">
        <f>'Annual Raw'!U6</f>
        <v>943.05127170000003</v>
      </c>
      <c r="U57" s="25">
        <f>'Annual Raw'!V6</f>
        <v>935.77183890000003</v>
      </c>
      <c r="V57" s="25">
        <f>'Annual Raw'!W6</f>
        <v>1311.4550999999999</v>
      </c>
      <c r="W57" s="25">
        <f>'Annual Raw'!X6</f>
        <v>2326.2546000000002</v>
      </c>
      <c r="X57" s="25">
        <f>'Annual Raw'!Y6</f>
        <v>2359.4351000000001</v>
      </c>
      <c r="Y57" s="25">
        <f>'Annual Raw'!Z6</f>
        <v>1642.5360000000001</v>
      </c>
      <c r="Z57" s="25">
        <f>'Annual Raw'!AA6</f>
        <v>1400.7005999999999</v>
      </c>
      <c r="AA57" s="25">
        <f>'Annual Raw'!AB6</f>
        <v>1294.1110000000001</v>
      </c>
      <c r="AB57" s="17">
        <f>+SUM(CM57:CP57)</f>
        <v>1938.8986286618783</v>
      </c>
      <c r="AC57" s="17">
        <f>+SUM(CQ57:CT57)</f>
        <v>2932.1458359546518</v>
      </c>
      <c r="AD57" s="17">
        <f>+SUM(CU57:CX57)</f>
        <v>4053.6394140488819</v>
      </c>
      <c r="AE57" s="17">
        <f>+SUM(CY57:DB57)</f>
        <v>5648.3674289227565</v>
      </c>
      <c r="AI57" s="25">
        <f>'QTR Raw'!C6+'QTR Raw'!C8</f>
        <v>136.559</v>
      </c>
      <c r="AJ57" s="25">
        <f>'QTR Raw'!D6+'QTR Raw'!D8</f>
        <v>126.011</v>
      </c>
      <c r="AK57" s="25">
        <f>'QTR Raw'!E6+'QTR Raw'!E8</f>
        <v>107.746</v>
      </c>
      <c r="AL57" s="25">
        <f>'QTR Raw'!F6+'QTR Raw'!F8</f>
        <v>141.47999999999999</v>
      </c>
      <c r="AM57" s="25">
        <f>'QTR Raw'!G6+'QTR Raw'!G8</f>
        <v>140.1</v>
      </c>
      <c r="AN57" s="25">
        <f>'QTR Raw'!H6+'QTR Raw'!H8</f>
        <v>161.01400000000001</v>
      </c>
      <c r="AO57" s="25">
        <f>'QTR Raw'!I6+'QTR Raw'!I8</f>
        <v>137.51</v>
      </c>
      <c r="AP57" s="25">
        <f>'QTR Raw'!J6+'QTR Raw'!J8</f>
        <v>171.5</v>
      </c>
      <c r="AQ57" s="25">
        <f>'QTR Raw'!K6+'QTR Raw'!K8</f>
        <v>164.47</v>
      </c>
      <c r="AR57" s="25">
        <f>'QTR Raw'!L6+'QTR Raw'!L8</f>
        <v>150.44999999999999</v>
      </c>
      <c r="AS57" s="25">
        <f>'QTR Raw'!M6+'QTR Raw'!M8</f>
        <v>141.67599999999999</v>
      </c>
      <c r="AT57" s="25">
        <f>'QTR Raw'!N6+'QTR Raw'!N8</f>
        <v>148.27000000000001</v>
      </c>
      <c r="AU57" s="25">
        <f>'QTR Raw'!O6+'QTR Raw'!O8</f>
        <v>159.636</v>
      </c>
      <c r="AV57" s="25">
        <f>'QTR Raw'!P6+'QTR Raw'!P8</f>
        <v>173.18199999999999</v>
      </c>
      <c r="AW57" s="25">
        <f>'QTR Raw'!Q6+'QTR Raw'!Q8</f>
        <v>162.297</v>
      </c>
      <c r="AX57" s="25">
        <f>'QTR Raw'!R6+'QTR Raw'!R8</f>
        <v>179.935</v>
      </c>
      <c r="AY57" s="25">
        <f>'QTR Raw'!S6+'QTR Raw'!S8</f>
        <v>181.792</v>
      </c>
      <c r="AZ57" s="25">
        <f>'QTR Raw'!T6+'QTR Raw'!T8</f>
        <v>172.15100000000001</v>
      </c>
      <c r="BA57" s="25">
        <f>'QTR Raw'!U6+'QTR Raw'!U8</f>
        <v>180.22</v>
      </c>
      <c r="BB57" s="25">
        <f>'QTR Raw'!V6+'QTR Raw'!V8</f>
        <v>193.14099999999999</v>
      </c>
      <c r="BC57" s="25">
        <f>'QTR Raw'!W6+'QTR Raw'!W8</f>
        <v>200.071</v>
      </c>
      <c r="BD57" s="25">
        <f>'QTR Raw'!X6+'QTR Raw'!X8</f>
        <v>201.19200000000001</v>
      </c>
      <c r="BE57" s="25">
        <f>'QTR Raw'!Y6+'QTR Raw'!Y8</f>
        <v>218.83699999999999</v>
      </c>
      <c r="BF57" s="25">
        <f>'QTR Raw'!Z6+'QTR Raw'!Z8</f>
        <v>255.33699999999999</v>
      </c>
      <c r="BG57" s="25">
        <f>'QTR Raw'!AA6+'QTR Raw'!AA8</f>
        <v>259.887</v>
      </c>
      <c r="BH57" s="25">
        <f>'QTR Raw'!AB6+'QTR Raw'!AB8</f>
        <v>216.34100000000001</v>
      </c>
      <c r="BI57" s="25">
        <f>'QTR Raw'!AC6+'QTR Raw'!AC8</f>
        <v>238.81399999999999</v>
      </c>
      <c r="BJ57" s="25">
        <f>'QTR Raw'!AD6+'QTR Raw'!AD8</f>
        <v>226.62100000000001</v>
      </c>
      <c r="BK57" s="25">
        <f>'QTR Raw'!AE6+'QTR Raw'!AE8</f>
        <v>222.977</v>
      </c>
      <c r="BL57" s="25">
        <f>'QTR Raw'!AF6+'QTR Raw'!AF8</f>
        <v>227.25299999999999</v>
      </c>
      <c r="BM57" s="25">
        <f>'QTR Raw'!AG6+'QTR Raw'!AG8</f>
        <v>227.51499999999999</v>
      </c>
      <c r="BN57" s="25">
        <f>'QTR Raw'!AH6+'QTR Raw'!AH8</f>
        <v>258.02699999999999</v>
      </c>
      <c r="BO57" s="25">
        <f>'QTR Raw'!AI6+'QTR Raw'!AI8</f>
        <v>222.91</v>
      </c>
      <c r="BP57" s="25">
        <f>'QTR Raw'!AJ6+'QTR Raw'!AJ8</f>
        <v>282.38499999999999</v>
      </c>
      <c r="BQ57" s="25">
        <f>'QTR Raw'!AK6+'QTR Raw'!AK8</f>
        <v>392.12700000000001</v>
      </c>
      <c r="BR57" s="25">
        <f>'QTR Raw'!AL6+'QTR Raw'!AL8</f>
        <v>414.03399999999999</v>
      </c>
      <c r="BS57" s="25">
        <f>'QTR Raw'!AM6+'QTR Raw'!AM8</f>
        <v>450.68099999999998</v>
      </c>
      <c r="BT57" s="25">
        <f>'QTR Raw'!AN6+'QTR Raw'!AN8</f>
        <v>525.73299999999995</v>
      </c>
      <c r="BU57" s="25">
        <f>'QTR Raw'!AO6+'QTR Raw'!AO8</f>
        <v>564.89499999999998</v>
      </c>
      <c r="BV57" s="25">
        <f>'QTR Raw'!AP6+'QTR Raw'!AP8</f>
        <v>780.36599999999999</v>
      </c>
      <c r="BW57" s="25">
        <f>'QTR Raw'!AQ6+'QTR Raw'!AQ8</f>
        <v>670.17200000000003</v>
      </c>
      <c r="BX57" s="25">
        <f>'QTR Raw'!AR6+'QTR Raw'!AR8</f>
        <v>627.55799999999999</v>
      </c>
      <c r="BY57" s="25">
        <f>'QTR Raw'!AS6+'QTR Raw'!AS8</f>
        <v>585.94799999999998</v>
      </c>
      <c r="BZ57" s="25">
        <f>'QTR Raw'!AT6+'QTR Raw'!AT8</f>
        <v>471.39499999999998</v>
      </c>
      <c r="CA57" s="25">
        <f>'QTR Raw'!AU6+'QTR Raw'!AU8</f>
        <v>463.673</v>
      </c>
      <c r="CB57" s="25">
        <f>'QTR Raw'!AV6+'QTR Raw'!AV8</f>
        <v>380.54399999999998</v>
      </c>
      <c r="CC57" s="25">
        <f>'QTR Raw'!AW6+'QTR Raw'!AW8</f>
        <v>383.358</v>
      </c>
      <c r="CD57" s="25">
        <f>'QTR Raw'!AX6+'QTR Raw'!AX8</f>
        <v>413.93700000000001</v>
      </c>
      <c r="CE57" s="25">
        <f>'QTR Raw'!AY6+'QTR Raw'!AY8</f>
        <v>384.74599999999998</v>
      </c>
      <c r="CF57" s="25">
        <f>'QTR Raw'!AZ6+'QTR Raw'!AZ8</f>
        <v>346.88299999999998</v>
      </c>
      <c r="CG57" s="25">
        <f>'QTR Raw'!BA6+'QTR Raw'!BA8</f>
        <v>312.72800000000001</v>
      </c>
      <c r="CH57" s="25">
        <f>'QTR Raw'!BB6+'QTR Raw'!BB8</f>
        <v>352.72800000000001</v>
      </c>
      <c r="CI57" s="25">
        <f>'QTR Raw'!BC6+'QTR Raw'!BC8</f>
        <v>358.34100000000001</v>
      </c>
      <c r="CJ57" s="25">
        <f>'QTR Raw'!BD6+'QTR Raw'!BD8</f>
        <v>340.55200000000002</v>
      </c>
      <c r="CK57" s="25">
        <f>'QTR Raw'!BE6+'QTR Raw'!BE8</f>
        <v>331.30099999999999</v>
      </c>
      <c r="CL57" s="25">
        <f>'QTR Raw'!BF6+'QTR Raw'!BF8</f>
        <v>394.786</v>
      </c>
      <c r="CM57" s="17">
        <f t="shared" ref="CM57:DB57" si="256">CM12*CM21/10^7</f>
        <v>458.79084497856371</v>
      </c>
      <c r="CN57" s="17">
        <f t="shared" si="256"/>
        <v>472.72996516166017</v>
      </c>
      <c r="CO57" s="17">
        <f t="shared" si="256"/>
        <v>458.7286930760601</v>
      </c>
      <c r="CP57" s="17">
        <f t="shared" si="256"/>
        <v>548.64912544559445</v>
      </c>
      <c r="CQ57" s="17">
        <f t="shared" si="256"/>
        <v>693.70015392909272</v>
      </c>
      <c r="CR57" s="17">
        <f t="shared" si="256"/>
        <v>715.53340791429855</v>
      </c>
      <c r="CS57" s="17">
        <f t="shared" si="256"/>
        <v>691.12473628813382</v>
      </c>
      <c r="CT57" s="17">
        <f t="shared" si="256"/>
        <v>831.78753782312697</v>
      </c>
      <c r="CU57" s="17">
        <f t="shared" si="256"/>
        <v>958.87507339731451</v>
      </c>
      <c r="CV57" s="17">
        <f t="shared" si="256"/>
        <v>989.55214377415393</v>
      </c>
      <c r="CW57" s="17">
        <f t="shared" si="256"/>
        <v>953.96758169824045</v>
      </c>
      <c r="CX57" s="17">
        <f t="shared" si="256"/>
        <v>1151.2446151791733</v>
      </c>
      <c r="CY57" s="17">
        <f t="shared" si="256"/>
        <v>1335.9468039213191</v>
      </c>
      <c r="CZ57" s="17">
        <f t="shared" si="256"/>
        <v>1379.3469920743039</v>
      </c>
      <c r="DA57" s="17">
        <f t="shared" si="256"/>
        <v>1327.1489205537462</v>
      </c>
      <c r="DB57" s="17">
        <f t="shared" si="256"/>
        <v>1605.9247123733878</v>
      </c>
      <c r="DE57" s="119"/>
      <c r="DF57" s="25">
        <v>440.77366419294987</v>
      </c>
    </row>
    <row r="58" spans="1:110" s="92" customFormat="1" outlineLevel="1" x14ac:dyDescent="0.2">
      <c r="A58" s="92" t="s">
        <v>109</v>
      </c>
      <c r="B58" s="92">
        <f>'Annual Raw'!C7+'Annual Raw'!C8+'Annual Raw'!C9</f>
        <v>3.1924888999999999</v>
      </c>
      <c r="C58" s="92">
        <f>'Annual Raw'!D7+'Annual Raw'!D8+'Annual Raw'!D9</f>
        <v>4.5787399999999998</v>
      </c>
      <c r="D58" s="92">
        <f>'Annual Raw'!E7+'Annual Raw'!E8+'Annual Raw'!E9</f>
        <v>5.5724933999999999</v>
      </c>
      <c r="E58" s="92">
        <f>'Annual Raw'!F7+'Annual Raw'!F8+'Annual Raw'!F9</f>
        <v>11.084473900000001</v>
      </c>
      <c r="F58" s="92">
        <f>'Annual Raw'!G7+'Annual Raw'!G8+'Annual Raw'!G9</f>
        <v>11.4634337</v>
      </c>
      <c r="G58" s="92">
        <f>'Annual Raw'!H7+'Annual Raw'!H8+'Annual Raw'!H9</f>
        <v>17.280034799999999</v>
      </c>
      <c r="H58" s="92">
        <f>'Annual Raw'!I7+'Annual Raw'!I8+'Annual Raw'!I9</f>
        <v>21.788731200000001</v>
      </c>
      <c r="I58" s="92">
        <f>'Annual Raw'!J7+'Annual Raw'!J8+'Annual Raw'!J9</f>
        <v>21.8569584</v>
      </c>
      <c r="J58" s="92">
        <f>'Annual Raw'!K7+'Annual Raw'!K8+'Annual Raw'!K9</f>
        <v>21.898457100000002</v>
      </c>
      <c r="K58" s="92">
        <f>'Annual Raw'!L7+'Annual Raw'!L8+'Annual Raw'!L9</f>
        <v>15.243988</v>
      </c>
      <c r="L58" s="92">
        <f>'Annual Raw'!M7+'Annual Raw'!M8+'Annual Raw'!M9</f>
        <v>27.951322699999999</v>
      </c>
      <c r="M58" s="92">
        <f>'Annual Raw'!N7+'Annual Raw'!N8+'Annual Raw'!N9</f>
        <v>36.433662300000002</v>
      </c>
      <c r="N58" s="92">
        <f>'Annual Raw'!O7+'Annual Raw'!O8+'Annual Raw'!O9</f>
        <v>44.5376306</v>
      </c>
      <c r="O58" s="92">
        <f>'Annual Raw'!P7+'Annual Raw'!P8+'Annual Raw'!P9</f>
        <v>57.288200000000003</v>
      </c>
      <c r="P58" s="92">
        <f>'Annual Raw'!Q7+'Annual Raw'!Q8+'Annual Raw'!Q9</f>
        <v>54.919732400000001</v>
      </c>
      <c r="Q58" s="92">
        <f>'Annual Raw'!R7+'Annual Raw'!R8+'Annual Raw'!R9</f>
        <v>55.061539500000002</v>
      </c>
      <c r="R58" s="92">
        <f>'Annual Raw'!S7+'Annual Raw'!S8+'Annual Raw'!S9</f>
        <v>60.1068833</v>
      </c>
      <c r="S58" s="92">
        <f>'Annual Raw'!T7+'Annual Raw'!T8+'Annual Raw'!T9</f>
        <v>13.3562417</v>
      </c>
      <c r="T58" s="92">
        <f>'Annual Raw'!U7+'Annual Raw'!U8+'Annual Raw'!U9</f>
        <v>0</v>
      </c>
      <c r="U58" s="92">
        <f>'Annual Raw'!V7+'Annual Raw'!V8+'Annual Raw'!V9</f>
        <v>0</v>
      </c>
      <c r="V58" s="92">
        <f>'Annual Raw'!W7+'Annual Raw'!W8+'Annual Raw'!W9</f>
        <v>0</v>
      </c>
      <c r="W58" s="92">
        <f>'Annual Raw'!X7+'Annual Raw'!X8+'Annual Raw'!X9</f>
        <v>3.371</v>
      </c>
      <c r="X58" s="92">
        <f>'Annual Raw'!Y7+'Annual Raw'!Y8+'Annual Raw'!Y9</f>
        <v>4.0395000000000003</v>
      </c>
      <c r="Y58" s="92">
        <f>'Annual Raw'!Z7+'Annual Raw'!Z8+'Annual Raw'!Z9</f>
        <v>1.0229999999999999</v>
      </c>
      <c r="Z58" s="92">
        <f>'Annual Raw'!AA7+'Annual Raw'!AA8+'Annual Raw'!AA9</f>
        <v>3.6162000000000001</v>
      </c>
      <c r="AA58" s="92">
        <f>'Annual Raw'!AB7+'Annual Raw'!AB8+'Annual Raw'!AB9</f>
        <v>2.5663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92">
        <f>+'QTR Raw'!C20+'QTR Raw'!C19+'QTR Raw'!C13+'QTR Raw'!C7</f>
        <v>0</v>
      </c>
      <c r="AJ58" s="92">
        <f>+'QTR Raw'!D20+'QTR Raw'!D19+'QTR Raw'!D13+'QTR Raw'!D7</f>
        <v>0</v>
      </c>
      <c r="AK58" s="92">
        <f>+'QTR Raw'!E20+'QTR Raw'!E19+'QTR Raw'!E13+'QTR Raw'!E7</f>
        <v>0</v>
      </c>
      <c r="AL58" s="92">
        <f>+'QTR Raw'!F20+'QTR Raw'!F19+'QTR Raw'!F13+'QTR Raw'!F7</f>
        <v>0</v>
      </c>
      <c r="AM58" s="92">
        <f>+'QTR Raw'!G20+'QTR Raw'!G19+'QTR Raw'!G13+'QTR Raw'!G7</f>
        <v>0</v>
      </c>
      <c r="AN58" s="92">
        <f>+'QTR Raw'!H20+'QTR Raw'!H19+'QTR Raw'!H13+'QTR Raw'!H7</f>
        <v>0</v>
      </c>
      <c r="AO58" s="92">
        <f>+'QTR Raw'!I20+'QTR Raw'!I19+'QTR Raw'!I13+'QTR Raw'!I7</f>
        <v>0</v>
      </c>
      <c r="AP58" s="92">
        <f>+'QTR Raw'!J20+'QTR Raw'!J19+'QTR Raw'!J13+'QTR Raw'!J7</f>
        <v>0</v>
      </c>
      <c r="AQ58" s="92">
        <f>+'QTR Raw'!K20+'QTR Raw'!K19+'QTR Raw'!K13+'QTR Raw'!K7</f>
        <v>0</v>
      </c>
      <c r="AR58" s="92">
        <f>+'QTR Raw'!L20+'QTR Raw'!L19+'QTR Raw'!L13+'QTR Raw'!L7</f>
        <v>0</v>
      </c>
      <c r="AS58" s="92">
        <f>+'QTR Raw'!M20+'QTR Raw'!M19+'QTR Raw'!M13+'QTR Raw'!M7</f>
        <v>0</v>
      </c>
      <c r="AT58" s="92">
        <f>+'QTR Raw'!N20+'QTR Raw'!N19+'QTR Raw'!N13+'QTR Raw'!N7</f>
        <v>0</v>
      </c>
      <c r="AU58" s="92">
        <f>+'QTR Raw'!O20+'QTR Raw'!O19+'QTR Raw'!O13+'QTR Raw'!O7</f>
        <v>0</v>
      </c>
      <c r="AV58" s="92">
        <f>+'QTR Raw'!P20+'QTR Raw'!P19+'QTR Raw'!P13+'QTR Raw'!P7</f>
        <v>0</v>
      </c>
      <c r="AW58" s="92">
        <f>+'QTR Raw'!Q20+'QTR Raw'!Q19+'QTR Raw'!Q13+'QTR Raw'!Q7</f>
        <v>0</v>
      </c>
      <c r="AX58" s="92">
        <f>+'QTR Raw'!R20+'QTR Raw'!R19+'QTR Raw'!R13+'QTR Raw'!R7</f>
        <v>0</v>
      </c>
      <c r="AY58" s="92">
        <f>+'QTR Raw'!S20+'QTR Raw'!S19+'QTR Raw'!S13+'QTR Raw'!S7</f>
        <v>0</v>
      </c>
      <c r="AZ58" s="92">
        <f>+'QTR Raw'!T20+'QTR Raw'!T19+'QTR Raw'!T13+'QTR Raw'!T7</f>
        <v>0</v>
      </c>
      <c r="BA58" s="92">
        <f>+'QTR Raw'!U20+'QTR Raw'!U19+'QTR Raw'!U13+'QTR Raw'!U7</f>
        <v>0</v>
      </c>
      <c r="BB58" s="92">
        <f>+'QTR Raw'!V20+'QTR Raw'!V19+'QTR Raw'!V13+'QTR Raw'!V7</f>
        <v>0</v>
      </c>
      <c r="BC58" s="92">
        <f>+'QTR Raw'!W20+'QTR Raw'!W19+'QTR Raw'!W13+'QTR Raw'!W7</f>
        <v>0</v>
      </c>
      <c r="BD58" s="92">
        <f>+'QTR Raw'!X20+'QTR Raw'!X19+'QTR Raw'!X13+'QTR Raw'!X7</f>
        <v>0</v>
      </c>
      <c r="BE58" s="92">
        <f>+'QTR Raw'!Y20+'QTR Raw'!Y19+'QTR Raw'!Y13+'QTR Raw'!Y7</f>
        <v>0</v>
      </c>
      <c r="BF58" s="92">
        <f>+'QTR Raw'!Z20+'QTR Raw'!Z19+'QTR Raw'!Z13+'QTR Raw'!Z7</f>
        <v>0</v>
      </c>
      <c r="BG58" s="92">
        <f>+'QTR Raw'!AA20+'QTR Raw'!AA19+'QTR Raw'!AA13+'QTR Raw'!AA7</f>
        <v>0</v>
      </c>
      <c r="BH58" s="92">
        <f>+'QTR Raw'!AB20+'QTR Raw'!AB19+'QTR Raw'!AB13+'QTR Raw'!AB7</f>
        <v>0</v>
      </c>
      <c r="BI58" s="92">
        <f>+'QTR Raw'!AC20+'QTR Raw'!AC19+'QTR Raw'!AC13+'QTR Raw'!AC7</f>
        <v>0</v>
      </c>
      <c r="BJ58" s="92">
        <f>+'QTR Raw'!AD20+'QTR Raw'!AD19+'QTR Raw'!AD13+'QTR Raw'!AD7</f>
        <v>0</v>
      </c>
      <c r="BK58" s="92">
        <f>+'QTR Raw'!AE20+'QTR Raw'!AE19+'QTR Raw'!AE13+'QTR Raw'!AE7</f>
        <v>0</v>
      </c>
      <c r="BL58" s="92">
        <f>+'QTR Raw'!AF20+'QTR Raw'!AF19+'QTR Raw'!AF13+'QTR Raw'!AF7</f>
        <v>0</v>
      </c>
      <c r="BM58" s="92">
        <f>+'QTR Raw'!AG20+'QTR Raw'!AG19+'QTR Raw'!AG13+'QTR Raw'!AG7</f>
        <v>0</v>
      </c>
      <c r="BN58" s="92">
        <f>+'QTR Raw'!AH20+'QTR Raw'!AH19+'QTR Raw'!AH13+'QTR Raw'!AH7</f>
        <v>0</v>
      </c>
      <c r="BO58" s="92">
        <f>+'QTR Raw'!AI20+'QTR Raw'!AI19+'QTR Raw'!AI13+'QTR Raw'!AI7</f>
        <v>0</v>
      </c>
      <c r="BP58" s="92">
        <f>+'QTR Raw'!AJ20+'QTR Raw'!AJ19+'QTR Raw'!AJ13+'QTR Raw'!AJ7</f>
        <v>0</v>
      </c>
      <c r="BQ58" s="92">
        <f>+'QTR Raw'!AK20+'QTR Raw'!AK19+'QTR Raw'!AK13+'QTR Raw'!AK7</f>
        <v>0</v>
      </c>
      <c r="BR58" s="92">
        <f>+'QTR Raw'!AL20+'QTR Raw'!AL19+'QTR Raw'!AL13+'QTR Raw'!AL7</f>
        <v>0</v>
      </c>
      <c r="BS58" s="92">
        <f>+'QTR Raw'!AM20+'QTR Raw'!AM19+'QTR Raw'!AM13+'QTR Raw'!AM7</f>
        <v>0</v>
      </c>
      <c r="BT58" s="92">
        <f>+'QTR Raw'!AN20+'QTR Raw'!AN19+'QTR Raw'!AN13+'QTR Raw'!AN7</f>
        <v>0</v>
      </c>
      <c r="BU58" s="92">
        <f>+'QTR Raw'!AO20+'QTR Raw'!AO19+'QTR Raw'!AO13+'QTR Raw'!AO7</f>
        <v>0</v>
      </c>
      <c r="BV58" s="92">
        <f>+'QTR Raw'!AP20+'QTR Raw'!AP19+'QTR Raw'!AP13+'QTR Raw'!AP7</f>
        <v>0</v>
      </c>
      <c r="BW58" s="92">
        <f>+'QTR Raw'!AQ20+'QTR Raw'!AQ19+'QTR Raw'!AQ13+'QTR Raw'!AQ7</f>
        <v>0</v>
      </c>
      <c r="BX58" s="92">
        <f>+'QTR Raw'!AR20+'QTR Raw'!AR19+'QTR Raw'!AR13+'QTR Raw'!AR7</f>
        <v>0</v>
      </c>
      <c r="BY58" s="92">
        <f>+'QTR Raw'!AS20+'QTR Raw'!AS19+'QTR Raw'!AS13+'QTR Raw'!AS7</f>
        <v>0</v>
      </c>
      <c r="BZ58" s="92">
        <f>+'QTR Raw'!AT20+'QTR Raw'!AT19+'QTR Raw'!AT13+'QTR Raw'!AT7</f>
        <v>0</v>
      </c>
      <c r="CA58" s="92">
        <f>+'QTR Raw'!AU20+'QTR Raw'!AU19+'QTR Raw'!AU13+'QTR Raw'!AU7</f>
        <v>0</v>
      </c>
      <c r="CB58" s="92">
        <f>+'QTR Raw'!AV20+'QTR Raw'!AV19+'QTR Raw'!AV13+'QTR Raw'!AV7</f>
        <v>0</v>
      </c>
      <c r="CC58" s="92">
        <f>+'QTR Raw'!AW20+'QTR Raw'!AW19+'QTR Raw'!AW13+'QTR Raw'!AW7</f>
        <v>0</v>
      </c>
      <c r="CD58" s="92">
        <f>+'QTR Raw'!AX20+'QTR Raw'!AX19+'QTR Raw'!AX13+'QTR Raw'!AX7</f>
        <v>0</v>
      </c>
      <c r="CE58" s="92">
        <f>+'QTR Raw'!AY20+'QTR Raw'!AY19+'QTR Raw'!AY13+'QTR Raw'!AY7</f>
        <v>0</v>
      </c>
      <c r="CF58" s="92">
        <f>+'QTR Raw'!AZ20+'QTR Raw'!AZ19+'QTR Raw'!AZ13+'QTR Raw'!AZ7</f>
        <v>0</v>
      </c>
      <c r="CG58" s="92">
        <f>+'QTR Raw'!BA20+'QTR Raw'!BA19+'QTR Raw'!BA13+'QTR Raw'!BA7</f>
        <v>0</v>
      </c>
      <c r="CH58" s="92">
        <f>+'QTR Raw'!BB20+'QTR Raw'!BB19+'QTR Raw'!BB13+'QTR Raw'!BB7</f>
        <v>0</v>
      </c>
      <c r="CI58" s="92">
        <f>+'QTR Raw'!BC20+'QTR Raw'!BC19+'QTR Raw'!BC13+'QTR Raw'!BC7</f>
        <v>0</v>
      </c>
      <c r="CJ58" s="92">
        <f>+'QTR Raw'!BD20+'QTR Raw'!BD19+'QTR Raw'!BD13+'QTR Raw'!BD7</f>
        <v>0</v>
      </c>
      <c r="CK58" s="92">
        <f>+'QTR Raw'!BE20+'QTR Raw'!BE19+'QTR Raw'!BE13+'QTR Raw'!BE7</f>
        <v>0</v>
      </c>
      <c r="CL58" s="92">
        <f>+'QTR Raw'!BF20+'QTR Raw'!BF19+'QTR Raw'!BF13+'QTR Raw'!BF7</f>
        <v>0</v>
      </c>
      <c r="CM58" s="74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  <c r="CY58" s="74"/>
      <c r="CZ58" s="74"/>
      <c r="DA58" s="74"/>
      <c r="DB58" s="74"/>
      <c r="DE58" s="120"/>
      <c r="DF58" s="92">
        <v>0</v>
      </c>
    </row>
    <row r="59" spans="1:110" s="26" customFormat="1" x14ac:dyDescent="0.2">
      <c r="A59" s="26" t="s">
        <v>431</v>
      </c>
      <c r="B59" s="26">
        <f>+B57-B58</f>
        <v>26.130064099999998</v>
      </c>
      <c r="C59" s="26">
        <f>+C57-C58</f>
        <v>36.574346399999996</v>
      </c>
      <c r="D59" s="26">
        <f t="shared" ref="D59:U59" si="257">+D57-D58</f>
        <v>45.106814900000003</v>
      </c>
      <c r="E59" s="26">
        <f t="shared" si="257"/>
        <v>70.905993999999993</v>
      </c>
      <c r="F59" s="26">
        <f t="shared" si="257"/>
        <v>87.726872700000001</v>
      </c>
      <c r="G59" s="26">
        <f t="shared" si="257"/>
        <v>128.613979</v>
      </c>
      <c r="H59" s="26">
        <f t="shared" si="257"/>
        <v>175.5051129</v>
      </c>
      <c r="I59" s="26">
        <f t="shared" si="257"/>
        <v>217.81951800000002</v>
      </c>
      <c r="J59" s="26">
        <f t="shared" si="257"/>
        <v>251.68680639999999</v>
      </c>
      <c r="K59" s="26">
        <f t="shared" si="257"/>
        <v>261.89582910000001</v>
      </c>
      <c r="L59" s="26">
        <f t="shared" si="257"/>
        <v>346.7696699</v>
      </c>
      <c r="M59" s="26">
        <f t="shared" si="257"/>
        <v>449.52356460000004</v>
      </c>
      <c r="N59" s="26">
        <f t="shared" si="257"/>
        <v>511.79597789999997</v>
      </c>
      <c r="O59" s="26">
        <f t="shared" si="257"/>
        <v>610.12630000000001</v>
      </c>
      <c r="P59" s="26">
        <f t="shared" si="257"/>
        <v>618.77493589999995</v>
      </c>
      <c r="Q59" s="26">
        <f t="shared" si="257"/>
        <v>643.14514020000001</v>
      </c>
      <c r="R59" s="26">
        <f t="shared" si="257"/>
        <v>670.48458019999998</v>
      </c>
      <c r="S59" s="26">
        <f t="shared" si="257"/>
        <v>861.23362299999997</v>
      </c>
      <c r="T59" s="26">
        <f t="shared" si="257"/>
        <v>943.05127170000003</v>
      </c>
      <c r="U59" s="26">
        <f t="shared" si="257"/>
        <v>935.77183890000003</v>
      </c>
      <c r="V59" s="26">
        <f>+V57-V58</f>
        <v>1311.4550999999999</v>
      </c>
      <c r="W59" s="26">
        <f>+W57-W58</f>
        <v>2322.8836000000001</v>
      </c>
      <c r="X59" s="26">
        <f>+X57-X58</f>
        <v>2355.3956000000003</v>
      </c>
      <c r="Y59" s="26">
        <f>+Y57-Y58</f>
        <v>1641.5130000000001</v>
      </c>
      <c r="Z59" s="26">
        <f>+Z57-Z58</f>
        <v>1397.0844</v>
      </c>
      <c r="AA59" s="26">
        <f>+AA57-AA58</f>
        <v>1291.5447000000001</v>
      </c>
      <c r="AB59" s="27">
        <f t="shared" ref="AB59:AD59" si="258">+AB57-AB58</f>
        <v>1938.8986286618783</v>
      </c>
      <c r="AC59" s="27">
        <f t="shared" si="258"/>
        <v>2932.1458359546518</v>
      </c>
      <c r="AD59" s="27">
        <f t="shared" si="258"/>
        <v>4053.6394140488819</v>
      </c>
      <c r="AE59" s="27">
        <f t="shared" ref="AE59" si="259">+AE57-AE58</f>
        <v>5648.3674289227565</v>
      </c>
      <c r="AI59" s="26">
        <f t="shared" ref="AI59" si="260">+AI57-AI58</f>
        <v>136.559</v>
      </c>
      <c r="AJ59" s="26">
        <f t="shared" ref="AJ59" si="261">+AJ57-AJ58</f>
        <v>126.011</v>
      </c>
      <c r="AK59" s="26">
        <f t="shared" ref="AK59:AM59" si="262">+AK57-AK58</f>
        <v>107.746</v>
      </c>
      <c r="AL59" s="26">
        <f t="shared" si="262"/>
        <v>141.47999999999999</v>
      </c>
      <c r="AM59" s="26">
        <f t="shared" si="262"/>
        <v>140.1</v>
      </c>
      <c r="AN59" s="26">
        <f t="shared" ref="AN59:AO59" si="263">+AN57-AN58</f>
        <v>161.01400000000001</v>
      </c>
      <c r="AO59" s="26">
        <f t="shared" si="263"/>
        <v>137.51</v>
      </c>
      <c r="AP59" s="26">
        <f t="shared" ref="AP59:AW59" si="264">+AP57-AP58</f>
        <v>171.5</v>
      </c>
      <c r="AQ59" s="26">
        <f t="shared" si="264"/>
        <v>164.47</v>
      </c>
      <c r="AR59" s="26">
        <f t="shared" si="264"/>
        <v>150.44999999999999</v>
      </c>
      <c r="AS59" s="26">
        <f t="shared" si="264"/>
        <v>141.67599999999999</v>
      </c>
      <c r="AT59" s="26">
        <f t="shared" si="264"/>
        <v>148.27000000000001</v>
      </c>
      <c r="AU59" s="26">
        <f t="shared" si="264"/>
        <v>159.636</v>
      </c>
      <c r="AV59" s="26">
        <f t="shared" si="264"/>
        <v>173.18199999999999</v>
      </c>
      <c r="AW59" s="26">
        <f t="shared" si="264"/>
        <v>162.297</v>
      </c>
      <c r="AX59" s="26">
        <f t="shared" ref="AX59:CF59" si="265">+AX57-AX58</f>
        <v>179.935</v>
      </c>
      <c r="AY59" s="26">
        <f t="shared" si="265"/>
        <v>181.792</v>
      </c>
      <c r="AZ59" s="26">
        <f t="shared" si="265"/>
        <v>172.15100000000001</v>
      </c>
      <c r="BA59" s="26">
        <f t="shared" si="265"/>
        <v>180.22</v>
      </c>
      <c r="BB59" s="26">
        <f t="shared" si="265"/>
        <v>193.14099999999999</v>
      </c>
      <c r="BC59" s="26">
        <f t="shared" si="265"/>
        <v>200.071</v>
      </c>
      <c r="BD59" s="26">
        <f t="shared" si="265"/>
        <v>201.19200000000001</v>
      </c>
      <c r="BE59" s="26">
        <f t="shared" si="265"/>
        <v>218.83699999999999</v>
      </c>
      <c r="BF59" s="26">
        <f t="shared" si="265"/>
        <v>255.33699999999999</v>
      </c>
      <c r="BG59" s="26">
        <f t="shared" si="265"/>
        <v>259.887</v>
      </c>
      <c r="BH59" s="26">
        <f t="shared" si="265"/>
        <v>216.34100000000001</v>
      </c>
      <c r="BI59" s="26">
        <f t="shared" si="265"/>
        <v>238.81399999999999</v>
      </c>
      <c r="BJ59" s="26">
        <f t="shared" si="265"/>
        <v>226.62100000000001</v>
      </c>
      <c r="BK59" s="26">
        <f t="shared" si="265"/>
        <v>222.977</v>
      </c>
      <c r="BL59" s="26">
        <f t="shared" si="265"/>
        <v>227.25299999999999</v>
      </c>
      <c r="BM59" s="26">
        <f t="shared" si="265"/>
        <v>227.51499999999999</v>
      </c>
      <c r="BN59" s="26">
        <f t="shared" si="265"/>
        <v>258.02699999999999</v>
      </c>
      <c r="BO59" s="26">
        <f t="shared" si="265"/>
        <v>222.91</v>
      </c>
      <c r="BP59" s="26">
        <f t="shared" si="265"/>
        <v>282.38499999999999</v>
      </c>
      <c r="BQ59" s="26">
        <f t="shared" si="265"/>
        <v>392.12700000000001</v>
      </c>
      <c r="BR59" s="26">
        <f t="shared" si="265"/>
        <v>414.03399999999999</v>
      </c>
      <c r="BS59" s="26">
        <f t="shared" si="265"/>
        <v>450.68099999999998</v>
      </c>
      <c r="BT59" s="26">
        <f t="shared" si="265"/>
        <v>525.73299999999995</v>
      </c>
      <c r="BU59" s="26">
        <f t="shared" si="265"/>
        <v>564.89499999999998</v>
      </c>
      <c r="BV59" s="26">
        <f t="shared" si="265"/>
        <v>780.36599999999999</v>
      </c>
      <c r="BW59" s="26">
        <f t="shared" si="265"/>
        <v>670.17200000000003</v>
      </c>
      <c r="BX59" s="26">
        <f t="shared" si="265"/>
        <v>627.55799999999999</v>
      </c>
      <c r="BY59" s="26">
        <f t="shared" si="265"/>
        <v>585.94799999999998</v>
      </c>
      <c r="BZ59" s="26">
        <f t="shared" si="265"/>
        <v>471.39499999999998</v>
      </c>
      <c r="CA59" s="26">
        <f t="shared" si="265"/>
        <v>463.673</v>
      </c>
      <c r="CB59" s="26">
        <f t="shared" si="265"/>
        <v>380.54399999999998</v>
      </c>
      <c r="CC59" s="26">
        <f t="shared" si="265"/>
        <v>383.358</v>
      </c>
      <c r="CD59" s="26">
        <f t="shared" si="265"/>
        <v>413.93700000000001</v>
      </c>
      <c r="CE59" s="26">
        <f t="shared" si="265"/>
        <v>384.74599999999998</v>
      </c>
      <c r="CF59" s="26">
        <f t="shared" si="265"/>
        <v>346.88299999999998</v>
      </c>
      <c r="CG59" s="26">
        <f t="shared" ref="CG59:CH59" si="266">+CG57-CG58</f>
        <v>312.72800000000001</v>
      </c>
      <c r="CH59" s="26">
        <f t="shared" si="266"/>
        <v>352.72800000000001</v>
      </c>
      <c r="CI59" s="26">
        <f t="shared" ref="CI59:CJ59" si="267">+CI57-CI58</f>
        <v>358.34100000000001</v>
      </c>
      <c r="CJ59" s="26">
        <f t="shared" si="267"/>
        <v>340.55200000000002</v>
      </c>
      <c r="CK59" s="26">
        <f t="shared" ref="CK59:CL59" si="268">+CK57-CK58</f>
        <v>331.30099999999999</v>
      </c>
      <c r="CL59" s="26">
        <f t="shared" si="268"/>
        <v>394.786</v>
      </c>
      <c r="CM59" s="27">
        <f t="shared" ref="CM59:DB59" si="269">+CM57-CM58</f>
        <v>458.79084497856371</v>
      </c>
      <c r="CN59" s="27">
        <f t="shared" si="269"/>
        <v>472.72996516166017</v>
      </c>
      <c r="CO59" s="27">
        <f t="shared" si="269"/>
        <v>458.7286930760601</v>
      </c>
      <c r="CP59" s="27">
        <f t="shared" si="269"/>
        <v>548.64912544559445</v>
      </c>
      <c r="CQ59" s="27">
        <f t="shared" si="269"/>
        <v>693.70015392909272</v>
      </c>
      <c r="CR59" s="27">
        <f t="shared" si="269"/>
        <v>715.53340791429855</v>
      </c>
      <c r="CS59" s="27">
        <f t="shared" si="269"/>
        <v>691.12473628813382</v>
      </c>
      <c r="CT59" s="27">
        <f t="shared" si="269"/>
        <v>831.78753782312697</v>
      </c>
      <c r="CU59" s="27">
        <f t="shared" si="269"/>
        <v>958.87507339731451</v>
      </c>
      <c r="CV59" s="27">
        <f t="shared" si="269"/>
        <v>989.55214377415393</v>
      </c>
      <c r="CW59" s="27">
        <f t="shared" si="269"/>
        <v>953.96758169824045</v>
      </c>
      <c r="CX59" s="27">
        <f t="shared" si="269"/>
        <v>1151.2446151791733</v>
      </c>
      <c r="CY59" s="27">
        <f t="shared" si="269"/>
        <v>1335.9468039213191</v>
      </c>
      <c r="CZ59" s="27">
        <f t="shared" si="269"/>
        <v>1379.3469920743039</v>
      </c>
      <c r="DA59" s="27">
        <f t="shared" si="269"/>
        <v>1327.1489205537462</v>
      </c>
      <c r="DB59" s="27">
        <f t="shared" si="269"/>
        <v>1605.9247123733878</v>
      </c>
      <c r="DE59" s="121"/>
      <c r="DF59" s="26">
        <v>440.77366419294987</v>
      </c>
    </row>
    <row r="60" spans="1:110" s="39" customFormat="1" x14ac:dyDescent="0.2">
      <c r="A60" s="39" t="s">
        <v>484</v>
      </c>
      <c r="C60" s="39">
        <f t="shared" ref="C60" si="270">C59/B59-1</f>
        <v>0.39970366165309179</v>
      </c>
      <c r="D60" s="39">
        <f t="shared" ref="D60" si="271">D59/C59-1</f>
        <v>0.23329107256445769</v>
      </c>
      <c r="E60" s="39">
        <f t="shared" ref="E60" si="272">E59/D59-1</f>
        <v>0.57195745603398795</v>
      </c>
      <c r="F60" s="39">
        <f t="shared" ref="F60:R60" si="273">F59/E59-1</f>
        <v>0.23722788090383462</v>
      </c>
      <c r="G60" s="39">
        <f t="shared" si="273"/>
        <v>0.46607276700517786</v>
      </c>
      <c r="H60" s="39">
        <f t="shared" si="273"/>
        <v>0.36458815958100477</v>
      </c>
      <c r="I60" s="39">
        <f t="shared" si="273"/>
        <v>0.24110069730054007</v>
      </c>
      <c r="J60" s="39">
        <f t="shared" si="273"/>
        <v>0.15548325839193144</v>
      </c>
      <c r="K60" s="39">
        <f>K59/J59-1</f>
        <v>4.0562407088494901E-2</v>
      </c>
      <c r="L60" s="39">
        <f t="shared" si="273"/>
        <v>0.3240748090248986</v>
      </c>
      <c r="M60" s="39">
        <f t="shared" si="273"/>
        <v>0.29631742225215896</v>
      </c>
      <c r="N60" s="39">
        <f t="shared" si="273"/>
        <v>0.1385298084548956</v>
      </c>
      <c r="O60" s="39">
        <f t="shared" si="273"/>
        <v>0.19212796963248668</v>
      </c>
      <c r="P60" s="39">
        <f t="shared" si="273"/>
        <v>1.417515668477165E-2</v>
      </c>
      <c r="Q60" s="39">
        <f t="shared" si="273"/>
        <v>3.9384601550730203E-2</v>
      </c>
      <c r="R60" s="39">
        <f t="shared" si="273"/>
        <v>4.2508973933159444E-2</v>
      </c>
      <c r="S60" s="39">
        <f t="shared" ref="S60:AA60" si="274">S59/R59-1</f>
        <v>0.28449430223003946</v>
      </c>
      <c r="T60" s="39">
        <f t="shared" si="274"/>
        <v>9.5000527748787311E-2</v>
      </c>
      <c r="U60" s="39">
        <f t="shared" si="274"/>
        <v>-7.7190212435402916E-3</v>
      </c>
      <c r="V60" s="39">
        <f t="shared" si="274"/>
        <v>0.40146886824636185</v>
      </c>
      <c r="W60" s="39">
        <f t="shared" si="274"/>
        <v>0.77122617465134735</v>
      </c>
      <c r="X60" s="39">
        <f t="shared" si="274"/>
        <v>1.3996396547808043E-2</v>
      </c>
      <c r="Y60" s="39">
        <f t="shared" si="274"/>
        <v>-0.30308394904023772</v>
      </c>
      <c r="Z60" s="39">
        <f t="shared" si="274"/>
        <v>-0.14890445582825118</v>
      </c>
      <c r="AA60" s="39">
        <f t="shared" si="274"/>
        <v>-7.5542823325491115E-2</v>
      </c>
      <c r="AB60" s="40">
        <f t="shared" ref="AB60" si="275">AB59/AA59-1</f>
        <v>0.50122456362670076</v>
      </c>
      <c r="AC60" s="40">
        <f t="shared" ref="AC60" si="276">AC59/AB59-1</f>
        <v>0.51227392325211873</v>
      </c>
      <c r="AD60" s="40">
        <f t="shared" ref="AD60" si="277">AD59/AC59-1</f>
        <v>0.38248219592020827</v>
      </c>
      <c r="AE60" s="40">
        <f t="shared" ref="AE60" si="278">AE59/AD59-1</f>
        <v>0.39340648044494375</v>
      </c>
      <c r="AM60" s="39">
        <f t="shared" ref="AM60:CI60" si="279">+IF(AI59&lt;0,1-AM59/AI59,AM59/AI59-1)</f>
        <v>2.5930184023023051E-2</v>
      </c>
      <c r="AN60" s="39">
        <f t="shared" si="279"/>
        <v>0.27777733689915962</v>
      </c>
      <c r="AO60" s="39">
        <f t="shared" si="279"/>
        <v>0.2762422734950718</v>
      </c>
      <c r="AP60" s="39">
        <f t="shared" si="279"/>
        <v>0.21218546791065873</v>
      </c>
      <c r="AQ60" s="39">
        <f t="shared" si="279"/>
        <v>0.17394718058529635</v>
      </c>
      <c r="AR60" s="39">
        <f t="shared" si="279"/>
        <v>-6.5609201684325713E-2</v>
      </c>
      <c r="AS60" s="39">
        <f t="shared" si="279"/>
        <v>3.0295978474292662E-2</v>
      </c>
      <c r="AT60" s="39">
        <f t="shared" si="279"/>
        <v>-0.13545189504373167</v>
      </c>
      <c r="AU60" s="39">
        <f t="shared" si="279"/>
        <v>-2.9391378366875442E-2</v>
      </c>
      <c r="AV60" s="39">
        <f t="shared" si="279"/>
        <v>0.15109338650714532</v>
      </c>
      <c r="AW60" s="39">
        <f t="shared" si="279"/>
        <v>0.14555041079646536</v>
      </c>
      <c r="AX60" s="39">
        <f t="shared" si="279"/>
        <v>0.21356309435489296</v>
      </c>
      <c r="AY60" s="39">
        <f t="shared" si="279"/>
        <v>0.13879074895387</v>
      </c>
      <c r="AZ60" s="39">
        <f t="shared" si="279"/>
        <v>-5.9532745897378225E-3</v>
      </c>
      <c r="BA60" s="39">
        <f t="shared" si="279"/>
        <v>0.1104333413433396</v>
      </c>
      <c r="BB60" s="39">
        <f t="shared" si="279"/>
        <v>7.3393169755745058E-2</v>
      </c>
      <c r="BC60" s="39">
        <f t="shared" si="279"/>
        <v>0.10054897905298366</v>
      </c>
      <c r="BD60" s="39">
        <f t="shared" si="279"/>
        <v>0.16869492480438675</v>
      </c>
      <c r="BE60" s="39">
        <f t="shared" si="279"/>
        <v>0.21427699478415274</v>
      </c>
      <c r="BF60" s="39">
        <f t="shared" si="279"/>
        <v>0.32202380644192585</v>
      </c>
      <c r="BG60" s="39">
        <f t="shared" si="279"/>
        <v>0.29897386427818118</v>
      </c>
      <c r="BH60" s="39">
        <f t="shared" si="279"/>
        <v>7.5296234442721488E-2</v>
      </c>
      <c r="BI60" s="39">
        <f t="shared" si="279"/>
        <v>9.1287122378756802E-2</v>
      </c>
      <c r="BJ60" s="39">
        <f t="shared" si="279"/>
        <v>-0.11246313695234134</v>
      </c>
      <c r="BK60" s="39">
        <f t="shared" si="279"/>
        <v>-0.14202326395702747</v>
      </c>
      <c r="BL60" s="39">
        <f t="shared" si="279"/>
        <v>5.0438890455345886E-2</v>
      </c>
      <c r="BM60" s="39">
        <f t="shared" si="279"/>
        <v>-4.7312971601329967E-2</v>
      </c>
      <c r="BN60" s="39">
        <f t="shared" si="279"/>
        <v>0.1385838029132338</v>
      </c>
      <c r="BO60" s="39">
        <f t="shared" si="279"/>
        <v>-3.0047942164446173E-4</v>
      </c>
      <c r="BP60" s="39">
        <f t="shared" si="279"/>
        <v>0.24260185784126076</v>
      </c>
      <c r="BQ60" s="39">
        <f t="shared" si="279"/>
        <v>0.7235215260532275</v>
      </c>
      <c r="BR60" s="39">
        <f t="shared" si="279"/>
        <v>0.6046150209086647</v>
      </c>
      <c r="BS60" s="39">
        <f t="shared" si="279"/>
        <v>1.021807007312368</v>
      </c>
      <c r="BT60" s="39">
        <f t="shared" si="279"/>
        <v>0.86175965437257629</v>
      </c>
      <c r="BU60" s="39">
        <f t="shared" si="279"/>
        <v>0.44059195107707438</v>
      </c>
      <c r="BV60" s="39">
        <f t="shared" si="279"/>
        <v>0.88478723969529072</v>
      </c>
      <c r="BW60" s="39">
        <f t="shared" si="279"/>
        <v>0.48702075303818004</v>
      </c>
      <c r="BX60" s="39">
        <f t="shared" si="279"/>
        <v>0.19368196403878035</v>
      </c>
      <c r="BY60" s="39">
        <f t="shared" si="279"/>
        <v>3.7268872976393919E-2</v>
      </c>
      <c r="BZ60" s="39">
        <f t="shared" si="279"/>
        <v>-0.39593088371353957</v>
      </c>
      <c r="CA60" s="39">
        <f t="shared" si="279"/>
        <v>-0.30812836107745478</v>
      </c>
      <c r="CB60" s="39">
        <f t="shared" si="279"/>
        <v>-0.39361142715095654</v>
      </c>
      <c r="CC60" s="39">
        <f t="shared" si="279"/>
        <v>-0.34574740420651662</v>
      </c>
      <c r="CD60" s="39">
        <f t="shared" si="279"/>
        <v>-0.12188928605521898</v>
      </c>
      <c r="CE60" s="39">
        <f t="shared" si="279"/>
        <v>-0.1702212550655311</v>
      </c>
      <c r="CF60" s="39">
        <f t="shared" si="279"/>
        <v>-8.8454948705011804E-2</v>
      </c>
      <c r="CG60" s="39">
        <f t="shared" si="279"/>
        <v>-0.18424031844907374</v>
      </c>
      <c r="CH60" s="39">
        <f t="shared" si="279"/>
        <v>-0.1478703280934055</v>
      </c>
      <c r="CI60" s="39">
        <f t="shared" si="279"/>
        <v>-6.8629693356136223E-2</v>
      </c>
      <c r="CJ60" s="39">
        <f>+IF(CF59&lt;0,1-CJ59/CF59,CJ59/CF59-1)</f>
        <v>-1.8251110605016607E-2</v>
      </c>
      <c r="CK60" s="39">
        <f>+IF(CG59&lt;0,1-CK59/CG59,CK59/CG59-1)</f>
        <v>5.9390268859839779E-2</v>
      </c>
      <c r="CL60" s="39">
        <f>+IF(CH59&lt;0,1-CL59/CH59,CL59/CH59-1)</f>
        <v>0.11923635208999572</v>
      </c>
      <c r="CM60" s="40">
        <f t="shared" ref="CM60:DB60" si="280">+IF(CI59&lt;0,1-CM59/CI59,CM59/CI59-1)</f>
        <v>0.28031915125136031</v>
      </c>
      <c r="CN60" s="40">
        <f t="shared" si="280"/>
        <v>0.38812858289383168</v>
      </c>
      <c r="CO60" s="40">
        <f t="shared" si="280"/>
        <v>0.38462815710203135</v>
      </c>
      <c r="CP60" s="40">
        <f t="shared" si="280"/>
        <v>0.38973804908379339</v>
      </c>
      <c r="CQ60" s="40">
        <f t="shared" si="280"/>
        <v>0.51201830097874934</v>
      </c>
      <c r="CR60" s="40">
        <f t="shared" si="280"/>
        <v>0.51361974202250216</v>
      </c>
      <c r="CS60" s="40">
        <f t="shared" si="280"/>
        <v>0.50660891005904651</v>
      </c>
      <c r="CT60" s="40">
        <f t="shared" si="280"/>
        <v>0.51606463811926617</v>
      </c>
      <c r="CU60" s="40">
        <f t="shared" si="280"/>
        <v>0.38226158372069063</v>
      </c>
      <c r="CV60" s="40">
        <f t="shared" si="280"/>
        <v>0.3829572914821544</v>
      </c>
      <c r="CW60" s="40">
        <f t="shared" si="280"/>
        <v>0.38031173189050205</v>
      </c>
      <c r="CX60" s="40">
        <f t="shared" si="280"/>
        <v>0.38406090838064033</v>
      </c>
      <c r="CY60" s="40">
        <f t="shared" si="280"/>
        <v>0.39324385520632155</v>
      </c>
      <c r="CZ60" s="40">
        <f t="shared" si="280"/>
        <v>0.3939103671823414</v>
      </c>
      <c r="DA60" s="40">
        <f t="shared" si="280"/>
        <v>0.39118870076399581</v>
      </c>
      <c r="DB60" s="40">
        <f t="shared" si="280"/>
        <v>0.39494655714281079</v>
      </c>
      <c r="DE60" s="122"/>
      <c r="DF60" s="39">
        <v>0.24961348175633868</v>
      </c>
    </row>
    <row r="61" spans="1:110" s="39" customFormat="1" x14ac:dyDescent="0.2">
      <c r="A61" s="39" t="s">
        <v>446</v>
      </c>
      <c r="AB61" s="40"/>
      <c r="AC61" s="40"/>
      <c r="AD61" s="40"/>
      <c r="AE61" s="40"/>
      <c r="AJ61" s="39">
        <f t="shared" ref="AJ61:AL61" si="281">+IF(AI59&lt;0,1-AJ59/AI59,AJ59/AI59-1)</f>
        <v>-7.7241338908457191E-2</v>
      </c>
      <c r="AK61" s="39">
        <f t="shared" si="281"/>
        <v>-0.14494766329923581</v>
      </c>
      <c r="AL61" s="39">
        <f t="shared" si="281"/>
        <v>0.31308818888868251</v>
      </c>
      <c r="AM61" s="39">
        <f t="shared" ref="AM61:CI61" si="282">+IF(AL59&lt;0,1-AM59/AL59,AM59/AL59-1)</f>
        <v>-9.754028837998252E-3</v>
      </c>
      <c r="AN61" s="39">
        <f t="shared" si="282"/>
        <v>0.14927908636688092</v>
      </c>
      <c r="AO61" s="39">
        <f t="shared" si="282"/>
        <v>-0.14597488417156279</v>
      </c>
      <c r="AP61" s="39">
        <f t="shared" si="282"/>
        <v>0.24718202312559101</v>
      </c>
      <c r="AQ61" s="39">
        <f t="shared" si="282"/>
        <v>-4.0991253644314884E-2</v>
      </c>
      <c r="AR61" s="39">
        <f t="shared" si="282"/>
        <v>-8.5243509454611899E-2</v>
      </c>
      <c r="AS61" s="39">
        <f t="shared" si="282"/>
        <v>-5.8318378198737086E-2</v>
      </c>
      <c r="AT61" s="39">
        <f t="shared" si="282"/>
        <v>4.6542816002710596E-2</v>
      </c>
      <c r="AU61" s="39">
        <f t="shared" si="282"/>
        <v>7.6657449247993448E-2</v>
      </c>
      <c r="AV61" s="39">
        <f t="shared" si="282"/>
        <v>8.48555463679872E-2</v>
      </c>
      <c r="AW61" s="39">
        <f t="shared" si="282"/>
        <v>-6.2852952385351823E-2</v>
      </c>
      <c r="AX61" s="39">
        <f t="shared" si="282"/>
        <v>0.10867730149047738</v>
      </c>
      <c r="AY61" s="39">
        <f t="shared" si="282"/>
        <v>1.0320393475421685E-2</v>
      </c>
      <c r="AZ61" s="39">
        <f t="shared" si="282"/>
        <v>-5.3033136771695077E-2</v>
      </c>
      <c r="BA61" s="39">
        <f t="shared" si="282"/>
        <v>4.6871641756365046E-2</v>
      </c>
      <c r="BB61" s="39">
        <f t="shared" si="282"/>
        <v>7.1695705249139818E-2</v>
      </c>
      <c r="BC61" s="39">
        <f t="shared" si="282"/>
        <v>3.5880522519817104E-2</v>
      </c>
      <c r="BD61" s="39">
        <f t="shared" si="282"/>
        <v>5.6030109311195897E-3</v>
      </c>
      <c r="BE61" s="39">
        <f t="shared" si="282"/>
        <v>8.7702294325818109E-2</v>
      </c>
      <c r="BF61" s="39">
        <f t="shared" si="282"/>
        <v>0.16679080777016675</v>
      </c>
      <c r="BG61" s="39">
        <f t="shared" si="282"/>
        <v>1.7819587447177598E-2</v>
      </c>
      <c r="BH61" s="39">
        <f t="shared" si="282"/>
        <v>-0.16755743842516169</v>
      </c>
      <c r="BI61" s="39">
        <f t="shared" si="282"/>
        <v>0.103877674597048</v>
      </c>
      <c r="BJ61" s="39">
        <f t="shared" si="282"/>
        <v>-5.105647072617181E-2</v>
      </c>
      <c r="BK61" s="39">
        <f t="shared" si="282"/>
        <v>-1.607971017690335E-2</v>
      </c>
      <c r="BL61" s="39">
        <f t="shared" si="282"/>
        <v>1.9176865775393903E-2</v>
      </c>
      <c r="BM61" s="39">
        <f t="shared" si="282"/>
        <v>1.1529000717263038E-3</v>
      </c>
      <c r="BN61" s="39">
        <f t="shared" si="282"/>
        <v>0.13410983891172013</v>
      </c>
      <c r="BO61" s="39">
        <f t="shared" si="282"/>
        <v>-0.13609816027004917</v>
      </c>
      <c r="BP61" s="39">
        <f t="shared" si="282"/>
        <v>0.26681171773361445</v>
      </c>
      <c r="BQ61" s="39">
        <f t="shared" si="282"/>
        <v>0.38862545815110594</v>
      </c>
      <c r="BR61" s="39">
        <f t="shared" si="282"/>
        <v>5.5867104279990976E-2</v>
      </c>
      <c r="BS61" s="39">
        <f t="shared" si="282"/>
        <v>8.85120545655671E-2</v>
      </c>
      <c r="BT61" s="39">
        <f t="shared" si="282"/>
        <v>0.16653020650970407</v>
      </c>
      <c r="BU61" s="39">
        <f t="shared" si="282"/>
        <v>7.4490283090466125E-2</v>
      </c>
      <c r="BV61" s="39">
        <f t="shared" si="282"/>
        <v>0.38143548801104621</v>
      </c>
      <c r="BW61" s="39">
        <f t="shared" si="282"/>
        <v>-0.14120809978907334</v>
      </c>
      <c r="BX61" s="39">
        <f t="shared" si="282"/>
        <v>-6.3586661334702144E-2</v>
      </c>
      <c r="BY61" s="39">
        <f t="shared" si="282"/>
        <v>-6.6304628416815725E-2</v>
      </c>
      <c r="BZ61" s="39">
        <f t="shared" si="282"/>
        <v>-0.19550028330158986</v>
      </c>
      <c r="CA61" s="39">
        <f t="shared" si="282"/>
        <v>-1.6381166537617009E-2</v>
      </c>
      <c r="CB61" s="39">
        <f t="shared" si="282"/>
        <v>-0.17928367621146801</v>
      </c>
      <c r="CC61" s="39">
        <f t="shared" si="282"/>
        <v>7.3946770938446704E-3</v>
      </c>
      <c r="CD61" s="39">
        <f t="shared" si="282"/>
        <v>7.9766171568090405E-2</v>
      </c>
      <c r="CE61" s="39">
        <f t="shared" si="282"/>
        <v>-7.0520393199931419E-2</v>
      </c>
      <c r="CF61" s="39">
        <f t="shared" si="282"/>
        <v>-9.8410379835007999E-2</v>
      </c>
      <c r="CG61" s="39">
        <f t="shared" si="282"/>
        <v>-9.8462594015849669E-2</v>
      </c>
      <c r="CH61" s="39">
        <f t="shared" si="282"/>
        <v>0.12790667928679245</v>
      </c>
      <c r="CI61" s="39">
        <f t="shared" si="282"/>
        <v>1.5913111519357592E-2</v>
      </c>
      <c r="CJ61" s="39">
        <f>+IF(CI59&lt;0,1-CJ59/CI59,CJ59/CI59-1)</f>
        <v>-4.9642658808230156E-2</v>
      </c>
      <c r="CK61" s="39">
        <f>+IF(CJ59&lt;0,1-CK59/CJ59,CK59/CJ59-1)</f>
        <v>-2.7164720806220566E-2</v>
      </c>
      <c r="CL61" s="39">
        <f>+IF(CK59&lt;0,1-CL59/CK59,CL59/CK59-1)</f>
        <v>0.19162332742732446</v>
      </c>
      <c r="CM61" s="40">
        <f t="shared" ref="CM61:DB61" si="283">+IF(CL59&lt;0,1-CM59/CL59,CM59/CL59-1)</f>
        <v>0.16212541726039853</v>
      </c>
      <c r="CN61" s="40">
        <f t="shared" si="283"/>
        <v>3.0382298024599352E-2</v>
      </c>
      <c r="CO61" s="40">
        <f t="shared" si="283"/>
        <v>-2.96179068758885E-2</v>
      </c>
      <c r="CP61" s="40">
        <f t="shared" si="283"/>
        <v>0.19602094599001885</v>
      </c>
      <c r="CQ61" s="40">
        <f t="shared" si="283"/>
        <v>0.26437849211131548</v>
      </c>
      <c r="CR61" s="40">
        <f t="shared" si="283"/>
        <v>3.1473618481332455E-2</v>
      </c>
      <c r="CS61" s="40">
        <f t="shared" si="283"/>
        <v>-3.4112553454790251E-2</v>
      </c>
      <c r="CT61" s="40">
        <f t="shared" si="283"/>
        <v>0.20352737233868878</v>
      </c>
      <c r="CU61" s="40">
        <f t="shared" si="283"/>
        <v>0.15278845834452937</v>
      </c>
      <c r="CV61" s="40">
        <f t="shared" si="283"/>
        <v>3.1992770724709629E-2</v>
      </c>
      <c r="CW61" s="40">
        <f t="shared" si="283"/>
        <v>-3.5960269804675371E-2</v>
      </c>
      <c r="CX61" s="40">
        <f t="shared" si="283"/>
        <v>0.20679637051160893</v>
      </c>
      <c r="CY61" s="40">
        <f t="shared" si="283"/>
        <v>0.16043696214240266</v>
      </c>
      <c r="CZ61" s="40">
        <f t="shared" si="283"/>
        <v>3.2486464300520712E-2</v>
      </c>
      <c r="DA61" s="40">
        <f t="shared" si="283"/>
        <v>-3.7842596402853368E-2</v>
      </c>
      <c r="DB61" s="40">
        <f t="shared" si="283"/>
        <v>0.21005614931542405</v>
      </c>
      <c r="DE61" s="122"/>
      <c r="DF61" s="39">
        <v>0.33043264038729103</v>
      </c>
    </row>
    <row r="62" spans="1:110" s="23" customFormat="1" outlineLevel="1" x14ac:dyDescent="0.2">
      <c r="A62" s="23" t="s">
        <v>2</v>
      </c>
      <c r="B62" s="23">
        <f>'Annual Raw'!C11</f>
        <v>-0.45941769999999998</v>
      </c>
      <c r="C62" s="23">
        <f>'Annual Raw'!D11</f>
        <v>0.65281990000000001</v>
      </c>
      <c r="D62" s="23">
        <f>'Annual Raw'!E11</f>
        <v>7.0696099999999998E-2</v>
      </c>
      <c r="E62" s="23">
        <f>'Annual Raw'!F11</f>
        <v>-2.8792667000000001</v>
      </c>
      <c r="F62" s="23">
        <f>'Annual Raw'!G11</f>
        <v>-4.1421282000000001</v>
      </c>
      <c r="G62" s="23">
        <f>'Annual Raw'!H11</f>
        <v>-0.97283240000000004</v>
      </c>
      <c r="H62" s="23">
        <f>'Annual Raw'!I11</f>
        <v>-8.9860900000000008</v>
      </c>
      <c r="I62" s="23">
        <f>'Annual Raw'!J11</f>
        <v>9.3914083000000002</v>
      </c>
      <c r="J62" s="23">
        <f>'Annual Raw'!K11</f>
        <v>-0.46374729999999997</v>
      </c>
      <c r="K62" s="23">
        <f>'Annual Raw'!L11</f>
        <v>-2.7195811000000001</v>
      </c>
      <c r="L62" s="23">
        <f>'Annual Raw'!M11</f>
        <v>-22.4158206</v>
      </c>
      <c r="M62" s="23">
        <f>'Annual Raw'!N11</f>
        <v>-18.437705900000001</v>
      </c>
      <c r="N62" s="23">
        <f>'Annual Raw'!O11</f>
        <v>25.030586100000001</v>
      </c>
      <c r="O62" s="23">
        <f>'Annual Raw'!P11</f>
        <v>-22.450600000000001</v>
      </c>
      <c r="P62" s="23">
        <f>'Annual Raw'!Q11</f>
        <v>2.8768742</v>
      </c>
      <c r="Q62" s="23">
        <f>'Annual Raw'!R11</f>
        <v>25.693215299999999</v>
      </c>
      <c r="R62" s="23">
        <f>'Annual Raw'!S11</f>
        <v>-4.9581327999999996</v>
      </c>
      <c r="S62" s="23">
        <f>'Annual Raw'!T11</f>
        <v>3.1161998</v>
      </c>
      <c r="T62" s="23">
        <f>'Annual Raw'!U11</f>
        <v>-25.6556462</v>
      </c>
      <c r="U62" s="23">
        <f>'Annual Raw'!V11</f>
        <v>15.859391499999999</v>
      </c>
      <c r="V62" s="23">
        <f>'Annual Raw'!W11</f>
        <v>14.453900000000001</v>
      </c>
      <c r="W62" s="23">
        <f>'Annual Raw'!X11</f>
        <v>-53.884</v>
      </c>
      <c r="X62" s="23">
        <f>'Annual Raw'!Y11</f>
        <v>-15.4108</v>
      </c>
      <c r="Y62" s="23">
        <f>'Annual Raw'!Z11</f>
        <v>-13.0511</v>
      </c>
      <c r="Z62" s="23">
        <f>'Annual Raw'!AA11</f>
        <v>16.469100000000001</v>
      </c>
      <c r="AA62" s="23">
        <f>'Annual Raw'!AB11</f>
        <v>-16.734200000000001</v>
      </c>
      <c r="AB62" s="76">
        <f>+SUM(CM62:CP62)</f>
        <v>0</v>
      </c>
      <c r="AC62" s="76">
        <f>+SUM(CQ62:CT62)</f>
        <v>0</v>
      </c>
      <c r="AD62" s="76">
        <f>+SUM(CU62:CX62)</f>
        <v>0</v>
      </c>
      <c r="AE62" s="76">
        <f>+SUM(CY62:DB62)</f>
        <v>0</v>
      </c>
      <c r="AI62" s="23">
        <f>'QTR Raw'!C10</f>
        <v>9.2420000000000009</v>
      </c>
      <c r="AJ62" s="23">
        <f>'QTR Raw'!D10</f>
        <v>-4.7290000000000001</v>
      </c>
      <c r="AK62" s="23">
        <f>'QTR Raw'!E10</f>
        <v>5.0270000000000001</v>
      </c>
      <c r="AL62" s="23">
        <f>'QTR Raw'!F10</f>
        <v>15.49</v>
      </c>
      <c r="AM62" s="23">
        <f>'QTR Raw'!G10</f>
        <v>2.69</v>
      </c>
      <c r="AN62" s="23">
        <f>'QTR Raw'!H10</f>
        <v>-15.333</v>
      </c>
      <c r="AO62" s="23">
        <f>'QTR Raw'!I10</f>
        <v>-14.51</v>
      </c>
      <c r="AP62" s="23">
        <f>'QTR Raw'!J10</f>
        <v>4.7</v>
      </c>
      <c r="AQ62" s="23">
        <f>'QTR Raw'!K10</f>
        <v>-2.08</v>
      </c>
      <c r="AR62" s="23">
        <f>'QTR Raw'!L10</f>
        <v>4.91</v>
      </c>
      <c r="AS62" s="23">
        <f>'QTR Raw'!M10</f>
        <v>-5.4960000000000004</v>
      </c>
      <c r="AT62" s="23">
        <f>'QTR Raw'!N10</f>
        <v>4.04</v>
      </c>
      <c r="AU62" s="23">
        <f>'QTR Raw'!O10</f>
        <v>12.324999999999999</v>
      </c>
      <c r="AV62" s="23">
        <f>'QTR Raw'!P10</f>
        <v>4.4589999999999996</v>
      </c>
      <c r="AW62" s="23">
        <f>'QTR Raw'!Q10</f>
        <v>1.8859999999999999</v>
      </c>
      <c r="AX62" s="23">
        <f>'QTR Raw'!R10</f>
        <v>3.4159999999999999</v>
      </c>
      <c r="AY62" s="23">
        <f>'QTR Raw'!S10</f>
        <v>-8.1539999999999999</v>
      </c>
      <c r="AZ62" s="23">
        <f>'QTR Raw'!T10</f>
        <v>5.9059999999999997</v>
      </c>
      <c r="BA62" s="23">
        <f>'QTR Raw'!U10</f>
        <v>-1.35</v>
      </c>
      <c r="BB62" s="23">
        <f>'QTR Raw'!V10</f>
        <v>-1.2549999999999999</v>
      </c>
      <c r="BC62" s="23">
        <f>'QTR Raw'!W10</f>
        <v>8.9489999999999998</v>
      </c>
      <c r="BD62" s="23">
        <f>'QTR Raw'!X10</f>
        <v>0.53300000000000003</v>
      </c>
      <c r="BE62" s="23">
        <f>'QTR Raw'!Y10</f>
        <v>1.175</v>
      </c>
      <c r="BF62" s="23">
        <f>'QTR Raw'!Z10</f>
        <v>-7.5419999999999998</v>
      </c>
      <c r="BG62" s="23">
        <f>'QTR Raw'!AA10</f>
        <v>-8.8979999999999997</v>
      </c>
      <c r="BH62" s="23">
        <f>'QTR Raw'!AB10</f>
        <v>-3.7309999999999999</v>
      </c>
      <c r="BI62" s="23">
        <f>'QTR Raw'!AC10</f>
        <v>-2.613</v>
      </c>
      <c r="BJ62" s="23">
        <f>'QTR Raw'!AD10</f>
        <v>-10.414</v>
      </c>
      <c r="BK62" s="23">
        <f>'QTR Raw'!AE10</f>
        <v>-11.510999999999999</v>
      </c>
      <c r="BL62" s="23">
        <f>'QTR Raw'!AF10</f>
        <v>22.946999999999999</v>
      </c>
      <c r="BM62" s="23">
        <f>'QTR Raw'!AG10</f>
        <v>10.319000000000001</v>
      </c>
      <c r="BN62" s="23">
        <f>'QTR Raw'!AH10</f>
        <v>-5.8959999999999999</v>
      </c>
      <c r="BO62" s="23">
        <f>'QTR Raw'!AI10</f>
        <v>5.5880000000000001</v>
      </c>
      <c r="BP62" s="23">
        <f>'QTR Raw'!AJ10</f>
        <v>-9.266</v>
      </c>
      <c r="BQ62" s="23">
        <f>'QTR Raw'!AK10</f>
        <v>24.300999999999998</v>
      </c>
      <c r="BR62" s="23">
        <f>'QTR Raw'!AL10</f>
        <v>-6.17</v>
      </c>
      <c r="BS62" s="23">
        <f>'QTR Raw'!AM10</f>
        <v>-49.356000000000002</v>
      </c>
      <c r="BT62" s="23">
        <f>'QTR Raw'!AN10</f>
        <v>-11.723000000000001</v>
      </c>
      <c r="BU62" s="23">
        <f>'QTR Raw'!AO10</f>
        <v>-9.4420000000000002</v>
      </c>
      <c r="BV62" s="23">
        <f>'QTR Raw'!AP10</f>
        <v>16.637</v>
      </c>
      <c r="BW62" s="23">
        <f>'QTR Raw'!AQ10</f>
        <v>-73.004999999999995</v>
      </c>
      <c r="BX62" s="23">
        <f>'QTR Raw'!AR10</f>
        <v>38.234000000000002</v>
      </c>
      <c r="BY62" s="23">
        <f>'QTR Raw'!AS10</f>
        <v>-16.201000000000001</v>
      </c>
      <c r="BZ62" s="23">
        <f>'QTR Raw'!AT10</f>
        <v>35.561999999999998</v>
      </c>
      <c r="CA62" s="23">
        <f>'QTR Raw'!AU10</f>
        <v>-24.027999999999999</v>
      </c>
      <c r="CB62" s="23">
        <f>'QTR Raw'!AV10</f>
        <v>31.032</v>
      </c>
      <c r="CC62" s="23">
        <f>'QTR Raw'!AW10</f>
        <v>10.388</v>
      </c>
      <c r="CD62" s="23">
        <f>'QTR Raw'!AX10</f>
        <v>-30.442</v>
      </c>
      <c r="CE62" s="23">
        <f>'QTR Raw'!AY10</f>
        <v>23.885000000000002</v>
      </c>
      <c r="CF62" s="23">
        <f>'QTR Raw'!AZ10</f>
        <v>-33.869999999999997</v>
      </c>
      <c r="CG62" s="23">
        <f>'QTR Raw'!BA10</f>
        <v>9.0939999999999994</v>
      </c>
      <c r="CH62" s="23">
        <f>'QTR Raw'!BB10</f>
        <v>17.361000000000001</v>
      </c>
      <c r="CI62" s="23">
        <f>'QTR Raw'!BC10</f>
        <v>45.764000000000003</v>
      </c>
      <c r="CJ62" s="23">
        <f>'QTR Raw'!BD10</f>
        <v>9.9990000000000006</v>
      </c>
      <c r="CK62" s="23">
        <f>'QTR Raw'!BE10</f>
        <v>-60.709000000000003</v>
      </c>
      <c r="CL62" s="23">
        <f>'QTR Raw'!BF10</f>
        <v>-10.212999999999999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  <c r="DF62" s="23">
        <v>-15.158999999999997</v>
      </c>
    </row>
    <row r="63" spans="1:110" s="23" customFormat="1" outlineLevel="1" x14ac:dyDescent="0.2">
      <c r="A63" s="23" t="s">
        <v>3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23">
        <f>'QTR Raw'!C12</f>
        <v>0</v>
      </c>
      <c r="AJ63" s="23">
        <f>'QTR Raw'!D12</f>
        <v>0</v>
      </c>
      <c r="AK63" s="23">
        <f>'QTR Raw'!E12</f>
        <v>0</v>
      </c>
      <c r="AL63" s="23">
        <f>'QTR Raw'!F12</f>
        <v>0</v>
      </c>
      <c r="AM63" s="23">
        <f>'QTR Raw'!G12</f>
        <v>0</v>
      </c>
      <c r="AN63" s="23">
        <f>'QTR Raw'!H12</f>
        <v>0</v>
      </c>
      <c r="AO63" s="23">
        <f>'QTR Raw'!I12</f>
        <v>0</v>
      </c>
      <c r="AP63" s="23">
        <f>'QTR Raw'!J12</f>
        <v>0</v>
      </c>
      <c r="AQ63" s="23">
        <f>'QTR Raw'!K12</f>
        <v>0</v>
      </c>
      <c r="AR63" s="23">
        <f>'QTR Raw'!L12</f>
        <v>0</v>
      </c>
      <c r="AS63" s="23">
        <f>'QTR Raw'!M12</f>
        <v>0</v>
      </c>
      <c r="AT63" s="23">
        <f>'QTR Raw'!N12</f>
        <v>0</v>
      </c>
      <c r="AU63" s="23">
        <f>'QTR Raw'!O12</f>
        <v>0</v>
      </c>
      <c r="AV63" s="23">
        <f>'QTR Raw'!P12</f>
        <v>0</v>
      </c>
      <c r="AW63" s="23">
        <f>'QTR Raw'!Q12</f>
        <v>0</v>
      </c>
      <c r="AX63" s="23">
        <f>'QTR Raw'!R12</f>
        <v>0</v>
      </c>
      <c r="AY63" s="23">
        <f>'QTR Raw'!S12</f>
        <v>0</v>
      </c>
      <c r="AZ63" s="23">
        <f>'QTR Raw'!T12</f>
        <v>0</v>
      </c>
      <c r="BA63" s="23">
        <f>'QTR Raw'!U12</f>
        <v>0</v>
      </c>
      <c r="BB63" s="23">
        <f>'QTR Raw'!V12</f>
        <v>0</v>
      </c>
      <c r="BC63" s="23">
        <f>'QTR Raw'!W12</f>
        <v>0</v>
      </c>
      <c r="BD63" s="23">
        <f>'QTR Raw'!X12</f>
        <v>0</v>
      </c>
      <c r="BE63" s="23">
        <f>'QTR Raw'!Y12</f>
        <v>0</v>
      </c>
      <c r="BF63" s="23">
        <f>'QTR Raw'!Z12</f>
        <v>0</v>
      </c>
      <c r="BG63" s="23">
        <f>'QTR Raw'!AA12</f>
        <v>0</v>
      </c>
      <c r="BH63" s="23">
        <f>'QTR Raw'!AB12</f>
        <v>0</v>
      </c>
      <c r="BI63" s="23">
        <f>'QTR Raw'!AC12</f>
        <v>0</v>
      </c>
      <c r="BJ63" s="23">
        <f>'QTR Raw'!AD12</f>
        <v>0</v>
      </c>
      <c r="BK63" s="23">
        <f>'QTR Raw'!AE12</f>
        <v>0</v>
      </c>
      <c r="BL63" s="23">
        <f>'QTR Raw'!AF12</f>
        <v>0</v>
      </c>
      <c r="BM63" s="23">
        <f>'QTR Raw'!AG12</f>
        <v>0</v>
      </c>
      <c r="BN63" s="23">
        <f>'QTR Raw'!AH12</f>
        <v>0</v>
      </c>
      <c r="BO63" s="23">
        <f>'QTR Raw'!AI12</f>
        <v>0</v>
      </c>
      <c r="BP63" s="23">
        <f>'QTR Raw'!AJ12</f>
        <v>0</v>
      </c>
      <c r="BQ63" s="23">
        <f>'QTR Raw'!AK12</f>
        <v>0</v>
      </c>
      <c r="BR63" s="23">
        <f>'QTR Raw'!AL12</f>
        <v>0</v>
      </c>
      <c r="BS63" s="23">
        <f>'QTR Raw'!AM12</f>
        <v>0</v>
      </c>
      <c r="BT63" s="23">
        <f>'QTR Raw'!AN12</f>
        <v>0</v>
      </c>
      <c r="BU63" s="23">
        <f>'QTR Raw'!AO12</f>
        <v>0</v>
      </c>
      <c r="BV63" s="23">
        <f>'QTR Raw'!AP12</f>
        <v>0</v>
      </c>
      <c r="BW63" s="23">
        <f>'QTR Raw'!AQ12</f>
        <v>0</v>
      </c>
      <c r="BX63" s="23">
        <f>'QTR Raw'!AR12</f>
        <v>0</v>
      </c>
      <c r="BY63" s="23">
        <f>'QTR Raw'!AS12</f>
        <v>0</v>
      </c>
      <c r="BZ63" s="23">
        <f>'QTR Raw'!AT12</f>
        <v>0</v>
      </c>
      <c r="CA63" s="23">
        <f>'QTR Raw'!AU12</f>
        <v>0</v>
      </c>
      <c r="CB63" s="23">
        <f>'QTR Raw'!AV12</f>
        <v>0</v>
      </c>
      <c r="CC63" s="23">
        <f>'QTR Raw'!AW12</f>
        <v>0</v>
      </c>
      <c r="CD63" s="23">
        <f>'QTR Raw'!AX12</f>
        <v>0</v>
      </c>
      <c r="CE63" s="23">
        <f>'QTR Raw'!AY12</f>
        <v>0</v>
      </c>
      <c r="CF63" s="23">
        <f>'QTR Raw'!AZ12</f>
        <v>0</v>
      </c>
      <c r="CG63" s="23">
        <f>'QTR Raw'!BA12</f>
        <v>0</v>
      </c>
      <c r="CH63" s="23">
        <f>'QTR Raw'!BB12</f>
        <v>0</v>
      </c>
      <c r="CI63" s="23">
        <f>'QTR Raw'!BC12</f>
        <v>0</v>
      </c>
      <c r="CJ63" s="23">
        <f>'QTR Raw'!BD12</f>
        <v>0</v>
      </c>
      <c r="CK63" s="23">
        <f>'QTR Raw'!BE12</f>
        <v>0</v>
      </c>
      <c r="CL63" s="23">
        <f>'QTR Raw'!BF12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0</v>
      </c>
    </row>
    <row r="64" spans="1:110" s="23" customFormat="1" outlineLevel="1" x14ac:dyDescent="0.2">
      <c r="A64" s="23" t="s">
        <v>4</v>
      </c>
      <c r="B64" s="23">
        <f>'Annual Raw'!C12</f>
        <v>13.941151899999999</v>
      </c>
      <c r="C64" s="23">
        <f>'Annual Raw'!D12</f>
        <v>16.707094699999999</v>
      </c>
      <c r="D64" s="23">
        <f>'Annual Raw'!E12</f>
        <v>22.226832999999999</v>
      </c>
      <c r="E64" s="23">
        <f>'Annual Raw'!F12</f>
        <v>42.588877600000004</v>
      </c>
      <c r="F64" s="23">
        <f>'Annual Raw'!G12</f>
        <v>56.728602299999999</v>
      </c>
      <c r="G64" s="23">
        <f>'Annual Raw'!H12</f>
        <v>77.3040278</v>
      </c>
      <c r="H64" s="23">
        <f>'Annual Raw'!I12</f>
        <v>113.9076187</v>
      </c>
      <c r="I64" s="23">
        <f>'Annual Raw'!J12</f>
        <v>125.69362630000001</v>
      </c>
      <c r="J64" s="23">
        <f>'Annual Raw'!K12</f>
        <v>156.23600149999999</v>
      </c>
      <c r="K64" s="23">
        <f>'Annual Raw'!L12</f>
        <v>146.4185167</v>
      </c>
      <c r="L64" s="23">
        <f>'Annual Raw'!M12</f>
        <v>214.1118846</v>
      </c>
      <c r="M64" s="23">
        <f>'Annual Raw'!N12</f>
        <v>281.08797049999998</v>
      </c>
      <c r="N64" s="23">
        <f>'Annual Raw'!O12</f>
        <v>287.17201679999999</v>
      </c>
      <c r="O64" s="23">
        <f>'Annual Raw'!P12</f>
        <v>403.42259999999999</v>
      </c>
      <c r="P64" s="23">
        <f>'Annual Raw'!Q12</f>
        <v>356.66738290000001</v>
      </c>
      <c r="Q64" s="23">
        <f>'Annual Raw'!R12</f>
        <v>330.53016300000002</v>
      </c>
      <c r="R64" s="23">
        <f>'Annual Raw'!S12</f>
        <v>347.32578330000001</v>
      </c>
      <c r="S64" s="23">
        <f>'Annual Raw'!T12</f>
        <v>460.96928880000002</v>
      </c>
      <c r="T64" s="23">
        <f>'Annual Raw'!U12</f>
        <v>541.01227270000004</v>
      </c>
      <c r="U64" s="23">
        <f>'Annual Raw'!V12</f>
        <v>497.97119989999999</v>
      </c>
      <c r="V64" s="23">
        <f>'Annual Raw'!W12</f>
        <v>615.80219999999997</v>
      </c>
      <c r="W64" s="23">
        <f>'Annual Raw'!X12</f>
        <v>1276.4100000000001</v>
      </c>
      <c r="X64" s="23">
        <f>'Annual Raw'!Y12</f>
        <v>1261.1993</v>
      </c>
      <c r="Y64" s="23">
        <f>'Annual Raw'!Z12</f>
        <v>916.24969999999996</v>
      </c>
      <c r="Z64" s="23">
        <f>'Annual Raw'!AA12</f>
        <v>764.18409999999994</v>
      </c>
      <c r="AA64" s="23">
        <f>'Annual Raw'!AB12</f>
        <v>726.55790000000002</v>
      </c>
      <c r="AB64" s="24">
        <f>+SUM(CM64:CP64)</f>
        <v>1071.317406582446</v>
      </c>
      <c r="AC64" s="24">
        <f>+SUM(CQ64:CT64)</f>
        <v>1607.5490386364108</v>
      </c>
      <c r="AD64" s="24">
        <f>+SUM(CU64:CX64)</f>
        <v>2225.7315190275654</v>
      </c>
      <c r="AE64" s="24">
        <f>+SUM(CY64:DB64)</f>
        <v>3101.9719785808493</v>
      </c>
      <c r="AI64" s="23">
        <f>'QTR Raw'!C11</f>
        <v>74.989000000000004</v>
      </c>
      <c r="AJ64" s="23">
        <f>'QTR Raw'!D11</f>
        <v>78.647000000000006</v>
      </c>
      <c r="AK64" s="23">
        <f>'QTR Raw'!E11</f>
        <v>60.731000000000002</v>
      </c>
      <c r="AL64" s="23">
        <f>'QTR Raw'!F11</f>
        <v>72.8</v>
      </c>
      <c r="AM64" s="23">
        <f>'QTR Raw'!G11</f>
        <v>87.46</v>
      </c>
      <c r="AN64" s="23">
        <f>'QTR Raw'!H11</f>
        <v>111.35899999999999</v>
      </c>
      <c r="AO64" s="23">
        <f>'QTR Raw'!I11</f>
        <v>100.15</v>
      </c>
      <c r="AP64" s="23">
        <f>'QTR Raw'!J11</f>
        <v>104.45</v>
      </c>
      <c r="AQ64" s="23">
        <f>'QTR Raw'!K11</f>
        <v>103.28</v>
      </c>
      <c r="AR64" s="23">
        <f>'QTR Raw'!L11</f>
        <v>80.41</v>
      </c>
      <c r="AS64" s="23">
        <f>'QTR Raw'!M11</f>
        <v>89.991</v>
      </c>
      <c r="AT64" s="23">
        <f>'QTR Raw'!N11</f>
        <v>75.661000000000001</v>
      </c>
      <c r="AU64" s="23">
        <f>'QTR Raw'!O11</f>
        <v>82.483999999999995</v>
      </c>
      <c r="AV64" s="23">
        <f>'QTR Raw'!P11</f>
        <v>87.474999999999994</v>
      </c>
      <c r="AW64" s="23">
        <f>'QTR Raw'!Q11</f>
        <v>77.134</v>
      </c>
      <c r="AX64" s="23">
        <f>'QTR Raw'!R11</f>
        <v>79.677999999999997</v>
      </c>
      <c r="AY64" s="23">
        <f>'QTR Raw'!S11</f>
        <v>94.486999999999995</v>
      </c>
      <c r="AZ64" s="23">
        <f>'QTR Raw'!T11</f>
        <v>74.167000000000002</v>
      </c>
      <c r="BA64" s="23">
        <f>'QTR Raw'!U11</f>
        <v>84.438000000000002</v>
      </c>
      <c r="BB64" s="23">
        <f>'QTR Raw'!V11</f>
        <v>92.850999999999999</v>
      </c>
      <c r="BC64" s="23">
        <f>'QTR Raw'!W11</f>
        <v>91.456000000000003</v>
      </c>
      <c r="BD64" s="23">
        <f>'QTR Raw'!X11</f>
        <v>99.957999999999998</v>
      </c>
      <c r="BE64" s="23">
        <f>'QTR Raw'!Y11</f>
        <v>115.69499999999999</v>
      </c>
      <c r="BF64" s="23">
        <f>'QTR Raw'!Z11</f>
        <v>153.86000000000001</v>
      </c>
      <c r="BG64" s="23">
        <f>'QTR Raw'!AA11</f>
        <v>150.12899999999999</v>
      </c>
      <c r="BH64" s="23">
        <f>'QTR Raw'!AB11</f>
        <v>117.55200000000001</v>
      </c>
      <c r="BI64" s="23">
        <f>'QTR Raw'!AC11</f>
        <v>142.06700000000001</v>
      </c>
      <c r="BJ64" s="23">
        <f>'QTR Raw'!AD11</f>
        <v>131.26499999999999</v>
      </c>
      <c r="BK64" s="23">
        <f>'QTR Raw'!AE11</f>
        <v>141.73400000000001</v>
      </c>
      <c r="BL64" s="23">
        <f>'QTR Raw'!AF11</f>
        <v>101.621</v>
      </c>
      <c r="BM64" s="23">
        <f>'QTR Raw'!AG11</f>
        <v>111.48399999999999</v>
      </c>
      <c r="BN64" s="23">
        <f>'QTR Raw'!AH11</f>
        <v>143.13200000000001</v>
      </c>
      <c r="BO64" s="23">
        <f>'QTR Raw'!AI11</f>
        <v>112.761</v>
      </c>
      <c r="BP64" s="23">
        <f>'QTR Raw'!AJ11</f>
        <v>146.74700000000001</v>
      </c>
      <c r="BQ64" s="23">
        <f>'QTR Raw'!AK11</f>
        <v>162.22900000000001</v>
      </c>
      <c r="BR64" s="23">
        <f>'QTR Raw'!AL11</f>
        <v>194.066</v>
      </c>
      <c r="BS64" s="23">
        <f>'QTR Raw'!AM11</f>
        <v>269.024</v>
      </c>
      <c r="BT64" s="23">
        <f>'QTR Raw'!AN11</f>
        <v>291.04599999999999</v>
      </c>
      <c r="BU64" s="23">
        <f>'QTR Raw'!AO11</f>
        <v>296.10000000000002</v>
      </c>
      <c r="BV64" s="23">
        <f>'QTR Raw'!AP11</f>
        <v>420.24</v>
      </c>
      <c r="BW64" s="23">
        <f>'QTR Raw'!AQ11</f>
        <v>392.23899999999998</v>
      </c>
      <c r="BX64" s="23">
        <f>'QTR Raw'!AR11</f>
        <v>287.16899999999998</v>
      </c>
      <c r="BY64" s="23">
        <f>'QTR Raw'!AS11</f>
        <v>355.01900000000001</v>
      </c>
      <c r="BZ64" s="23">
        <f>'QTR Raw'!AT11</f>
        <v>226.77199999999999</v>
      </c>
      <c r="CA64" s="23">
        <f>'QTR Raw'!AU11</f>
        <v>280.09300000000002</v>
      </c>
      <c r="CB64" s="23">
        <f>'QTR Raw'!AV11</f>
        <v>191.27199999999999</v>
      </c>
      <c r="CC64" s="23">
        <f>'QTR Raw'!AW11</f>
        <v>201.28399999999999</v>
      </c>
      <c r="CD64" s="23">
        <f>'QTR Raw'!AX11</f>
        <v>243.6</v>
      </c>
      <c r="CE64" s="23">
        <f>'QTR Raw'!AY11</f>
        <v>193.16</v>
      </c>
      <c r="CF64" s="23">
        <f>'QTR Raw'!AZ11</f>
        <v>221.87899999999999</v>
      </c>
      <c r="CG64" s="23">
        <f>'QTR Raw'!BA11</f>
        <v>168.50299999999999</v>
      </c>
      <c r="CH64" s="23">
        <f>'QTR Raw'!BB11</f>
        <v>180.643</v>
      </c>
      <c r="CI64" s="23">
        <f>'QTR Raw'!BC11</f>
        <v>166.24799999999999</v>
      </c>
      <c r="CJ64" s="23">
        <f>'QTR Raw'!BD11</f>
        <v>175.05099999999999</v>
      </c>
      <c r="CK64" s="23">
        <f>'QTR Raw'!BE11</f>
        <v>244.46799999999999</v>
      </c>
      <c r="CL64" s="23">
        <f>'QTR Raw'!BF11</f>
        <v>231.249</v>
      </c>
      <c r="CM64" s="24">
        <f t="shared" ref="CM64:DB64" si="284">+CM59-CM65</f>
        <v>252.2836452797838</v>
      </c>
      <c r="CN64" s="24">
        <f t="shared" si="284"/>
        <v>260.92537798180501</v>
      </c>
      <c r="CO64" s="24">
        <f t="shared" si="284"/>
        <v>254.18035606451349</v>
      </c>
      <c r="CP64" s="24">
        <f t="shared" si="284"/>
        <v>303.92802725634374</v>
      </c>
      <c r="CQ64" s="24">
        <f t="shared" si="284"/>
        <v>376.31445191664864</v>
      </c>
      <c r="CR64" s="24">
        <f t="shared" si="284"/>
        <v>393.98753679403018</v>
      </c>
      <c r="CS64" s="24">
        <f t="shared" si="284"/>
        <v>380.31718737301082</v>
      </c>
      <c r="CT64" s="24">
        <f t="shared" si="284"/>
        <v>456.9298625527212</v>
      </c>
      <c r="CU64" s="24">
        <f t="shared" si="284"/>
        <v>525.63544841683529</v>
      </c>
      <c r="CV64" s="24">
        <f t="shared" si="284"/>
        <v>543.86334595444373</v>
      </c>
      <c r="CW64" s="24">
        <f t="shared" si="284"/>
        <v>524.06375693418431</v>
      </c>
      <c r="CX64" s="24">
        <f t="shared" si="284"/>
        <v>632.16896772210202</v>
      </c>
      <c r="CY64" s="24">
        <f t="shared" si="284"/>
        <v>733.51976923305472</v>
      </c>
      <c r="CZ64" s="24">
        <f t="shared" si="284"/>
        <v>757.65418065559788</v>
      </c>
      <c r="DA64" s="24">
        <f t="shared" si="284"/>
        <v>728.87612243637864</v>
      </c>
      <c r="DB64" s="24">
        <f t="shared" si="284"/>
        <v>881.92190625581782</v>
      </c>
      <c r="DE64" s="123"/>
      <c r="DF64" s="23">
        <v>243.6420934415427</v>
      </c>
    </row>
    <row r="65" spans="1:110" s="31" customFormat="1" x14ac:dyDescent="0.2">
      <c r="A65" s="31" t="s">
        <v>5</v>
      </c>
      <c r="B65" s="31">
        <f t="shared" ref="B65:T65" si="285">B59-B62-B64-B63</f>
        <v>12.648329899999998</v>
      </c>
      <c r="C65" s="31">
        <f t="shared" si="285"/>
        <v>19.2144318</v>
      </c>
      <c r="D65" s="31">
        <f t="shared" si="285"/>
        <v>22.809285800000005</v>
      </c>
      <c r="E65" s="31">
        <f t="shared" si="285"/>
        <v>31.196383099999991</v>
      </c>
      <c r="F65" s="31">
        <f t="shared" si="285"/>
        <v>35.140398600000005</v>
      </c>
      <c r="G65" s="31">
        <f t="shared" si="285"/>
        <v>52.282783599999988</v>
      </c>
      <c r="H65" s="31">
        <f t="shared" si="285"/>
        <v>70.58358419999999</v>
      </c>
      <c r="I65" s="31">
        <f t="shared" si="285"/>
        <v>82.734483400000016</v>
      </c>
      <c r="J65" s="31">
        <f t="shared" si="285"/>
        <v>95.914552200000003</v>
      </c>
      <c r="K65" s="31">
        <f t="shared" si="285"/>
        <v>118.19689350000004</v>
      </c>
      <c r="L65" s="31">
        <f t="shared" si="285"/>
        <v>155.07360590000002</v>
      </c>
      <c r="M65" s="31">
        <f t="shared" si="285"/>
        <v>186.87330000000009</v>
      </c>
      <c r="N65" s="31">
        <f t="shared" si="285"/>
        <v>199.59337499999998</v>
      </c>
      <c r="O65" s="31">
        <f t="shared" si="285"/>
        <v>229.15430000000003</v>
      </c>
      <c r="P65" s="31">
        <f t="shared" si="285"/>
        <v>259.23067879999996</v>
      </c>
      <c r="Q65" s="31">
        <f t="shared" si="285"/>
        <v>286.92176189999998</v>
      </c>
      <c r="R65" s="31">
        <f t="shared" si="285"/>
        <v>328.11692970000001</v>
      </c>
      <c r="S65" s="31">
        <f t="shared" si="285"/>
        <v>397.14813439999995</v>
      </c>
      <c r="T65" s="31">
        <f t="shared" si="285"/>
        <v>427.69464519999997</v>
      </c>
      <c r="U65" s="31">
        <f t="shared" ref="U65:Z65" si="286">U59-U62-U64-U63</f>
        <v>421.94124750000003</v>
      </c>
      <c r="V65" s="31">
        <f t="shared" si="286"/>
        <v>681.19899999999996</v>
      </c>
      <c r="W65" s="31">
        <f t="shared" si="286"/>
        <v>1100.3576</v>
      </c>
      <c r="X65" s="31">
        <f t="shared" si="286"/>
        <v>1109.6071000000004</v>
      </c>
      <c r="Y65" s="31">
        <f t="shared" si="286"/>
        <v>738.31440000000009</v>
      </c>
      <c r="Z65" s="31">
        <f t="shared" si="286"/>
        <v>616.43119999999999</v>
      </c>
      <c r="AA65" s="31">
        <f t="shared" ref="AA65" si="287">AA59-AA62-AA64-AA63</f>
        <v>581.72100000000023</v>
      </c>
      <c r="AB65" s="32">
        <f t="shared" ref="AA65:AD65" si="288">AB59-AB62-AB64-AB63</f>
        <v>867.58122207943234</v>
      </c>
      <c r="AC65" s="32">
        <f t="shared" si="288"/>
        <v>1324.596797318241</v>
      </c>
      <c r="AD65" s="32">
        <f t="shared" si="288"/>
        <v>1827.9078950213166</v>
      </c>
      <c r="AE65" s="32">
        <f t="shared" ref="AE65" si="289">AE59-AE62-AE64-AE63</f>
        <v>2546.3954503419072</v>
      </c>
      <c r="AI65" s="31">
        <f t="shared" ref="AI65" si="290">AI59-AI62-AI64-AI63</f>
        <v>52.327999999999989</v>
      </c>
      <c r="AJ65" s="31">
        <f t="shared" ref="AJ65" si="291">AJ59-AJ62-AJ64-AJ63</f>
        <v>52.093000000000004</v>
      </c>
      <c r="AK65" s="31">
        <f t="shared" ref="AK65:AM65" si="292">AK59-AK62-AK64-AK63</f>
        <v>41.987999999999992</v>
      </c>
      <c r="AL65" s="31">
        <f t="shared" si="292"/>
        <v>53.19</v>
      </c>
      <c r="AM65" s="31">
        <f t="shared" si="292"/>
        <v>49.95</v>
      </c>
      <c r="AN65" s="31">
        <f t="shared" ref="AN65:AO65" si="293">AN59-AN62-AN64-AN63</f>
        <v>64.988000000000014</v>
      </c>
      <c r="AO65" s="31">
        <f t="shared" si="293"/>
        <v>51.869999999999976</v>
      </c>
      <c r="AP65" s="31">
        <f t="shared" ref="AP65:CD65" si="294">AP59-AP62-AP64-AP63</f>
        <v>62.350000000000009</v>
      </c>
      <c r="AQ65" s="31">
        <f t="shared" si="294"/>
        <v>63.27000000000001</v>
      </c>
      <c r="AR65" s="31">
        <f t="shared" si="294"/>
        <v>65.13</v>
      </c>
      <c r="AS65" s="31">
        <f t="shared" si="294"/>
        <v>57.180999999999997</v>
      </c>
      <c r="AT65" s="31">
        <f t="shared" si="294"/>
        <v>68.569000000000017</v>
      </c>
      <c r="AU65" s="31">
        <f t="shared" si="294"/>
        <v>64.827000000000012</v>
      </c>
      <c r="AV65" s="31">
        <f t="shared" si="294"/>
        <v>81.24799999999999</v>
      </c>
      <c r="AW65" s="31">
        <f t="shared" si="294"/>
        <v>83.277000000000001</v>
      </c>
      <c r="AX65" s="31">
        <f t="shared" si="294"/>
        <v>96.841000000000008</v>
      </c>
      <c r="AY65" s="31">
        <f t="shared" si="294"/>
        <v>95.459000000000003</v>
      </c>
      <c r="AZ65" s="31">
        <f t="shared" si="294"/>
        <v>92.078000000000003</v>
      </c>
      <c r="BA65" s="31">
        <f t="shared" si="294"/>
        <v>97.131999999999991</v>
      </c>
      <c r="BB65" s="31">
        <f t="shared" si="294"/>
        <v>101.54499999999999</v>
      </c>
      <c r="BC65" s="31">
        <f t="shared" si="294"/>
        <v>99.665999999999983</v>
      </c>
      <c r="BD65" s="31">
        <f t="shared" si="294"/>
        <v>100.70100000000002</v>
      </c>
      <c r="BE65" s="31">
        <f t="shared" si="294"/>
        <v>101.96699999999998</v>
      </c>
      <c r="BF65" s="31">
        <f t="shared" si="294"/>
        <v>109.01899999999995</v>
      </c>
      <c r="BG65" s="31">
        <f t="shared" si="294"/>
        <v>118.65600000000003</v>
      </c>
      <c r="BH65" s="31">
        <f t="shared" si="294"/>
        <v>102.52</v>
      </c>
      <c r="BI65" s="31">
        <f t="shared" si="294"/>
        <v>99.359999999999985</v>
      </c>
      <c r="BJ65" s="31">
        <f t="shared" si="294"/>
        <v>105.77000000000001</v>
      </c>
      <c r="BK65" s="31">
        <f t="shared" si="294"/>
        <v>92.753999999999991</v>
      </c>
      <c r="BL65" s="31">
        <f t="shared" si="294"/>
        <v>102.68499999999999</v>
      </c>
      <c r="BM65" s="31">
        <f t="shared" si="294"/>
        <v>105.712</v>
      </c>
      <c r="BN65" s="31">
        <f t="shared" si="294"/>
        <v>120.791</v>
      </c>
      <c r="BO65" s="31">
        <f t="shared" si="294"/>
        <v>104.56100000000001</v>
      </c>
      <c r="BP65" s="31">
        <f t="shared" si="294"/>
        <v>144.904</v>
      </c>
      <c r="BQ65" s="31">
        <f t="shared" si="294"/>
        <v>205.59700000000001</v>
      </c>
      <c r="BR65" s="31">
        <f t="shared" si="294"/>
        <v>226.13800000000001</v>
      </c>
      <c r="BS65" s="31">
        <f t="shared" si="294"/>
        <v>231.01299999999998</v>
      </c>
      <c r="BT65" s="31">
        <f t="shared" si="294"/>
        <v>246.40999999999991</v>
      </c>
      <c r="BU65" s="31">
        <f t="shared" si="294"/>
        <v>278.23699999999997</v>
      </c>
      <c r="BV65" s="31">
        <f t="shared" si="294"/>
        <v>343.48900000000003</v>
      </c>
      <c r="BW65" s="31">
        <f t="shared" si="294"/>
        <v>350.93800000000005</v>
      </c>
      <c r="BX65" s="31">
        <f t="shared" si="294"/>
        <v>302.15499999999997</v>
      </c>
      <c r="BY65" s="31">
        <f t="shared" si="294"/>
        <v>247.13</v>
      </c>
      <c r="BZ65" s="31">
        <f t="shared" si="294"/>
        <v>209.06099999999998</v>
      </c>
      <c r="CA65" s="31">
        <f t="shared" si="294"/>
        <v>207.608</v>
      </c>
      <c r="CB65" s="31">
        <f t="shared" si="294"/>
        <v>158.24</v>
      </c>
      <c r="CC65" s="31">
        <f t="shared" si="294"/>
        <v>171.68600000000004</v>
      </c>
      <c r="CD65" s="31">
        <f t="shared" si="294"/>
        <v>200.77900000000002</v>
      </c>
      <c r="CE65" s="31">
        <f t="shared" ref="CE65:CF65" si="295">CE59-CE62-CE64-CE63</f>
        <v>167.70099999999999</v>
      </c>
      <c r="CF65" s="31">
        <f t="shared" si="295"/>
        <v>158.874</v>
      </c>
      <c r="CG65" s="31">
        <f t="shared" ref="CG65:CH65" si="296">CG59-CG62-CG64-CG63</f>
        <v>135.13100000000003</v>
      </c>
      <c r="CH65" s="31">
        <f t="shared" si="296"/>
        <v>154.72400000000002</v>
      </c>
      <c r="CI65" s="31">
        <f t="shared" ref="CI65:CJ65" si="297">CI59-CI62-CI64-CI63</f>
        <v>146.32900000000001</v>
      </c>
      <c r="CJ65" s="31">
        <f t="shared" si="297"/>
        <v>155.50200000000001</v>
      </c>
      <c r="CK65" s="31">
        <f t="shared" ref="CK65:CL65" si="298">CK59-CK62-CK64-CK63</f>
        <v>147.542</v>
      </c>
      <c r="CL65" s="31">
        <f t="shared" si="298"/>
        <v>173.75000000000003</v>
      </c>
      <c r="CM65" s="32">
        <f t="shared" ref="CM65:DB65" si="299">+CM66*CM59</f>
        <v>206.50719969877991</v>
      </c>
      <c r="CN65" s="32">
        <f t="shared" si="299"/>
        <v>211.80458717985513</v>
      </c>
      <c r="CO65" s="32">
        <f t="shared" si="299"/>
        <v>204.54833701154661</v>
      </c>
      <c r="CP65" s="32">
        <f t="shared" si="299"/>
        <v>244.72109818925071</v>
      </c>
      <c r="CQ65" s="32">
        <f t="shared" si="299"/>
        <v>317.38570201244409</v>
      </c>
      <c r="CR65" s="32">
        <f t="shared" si="299"/>
        <v>321.54587112026837</v>
      </c>
      <c r="CS65" s="32">
        <f t="shared" si="299"/>
        <v>310.80754891512299</v>
      </c>
      <c r="CT65" s="32">
        <f t="shared" si="299"/>
        <v>374.85767527040576</v>
      </c>
      <c r="CU65" s="32">
        <f t="shared" si="299"/>
        <v>433.23962498047922</v>
      </c>
      <c r="CV65" s="32">
        <f t="shared" si="299"/>
        <v>445.68879781971015</v>
      </c>
      <c r="CW65" s="32">
        <f t="shared" si="299"/>
        <v>429.90382476405608</v>
      </c>
      <c r="CX65" s="32">
        <f t="shared" si="299"/>
        <v>519.07564745707123</v>
      </c>
      <c r="CY65" s="32">
        <f t="shared" si="299"/>
        <v>602.42703468826437</v>
      </c>
      <c r="CZ65" s="32">
        <f t="shared" si="299"/>
        <v>621.69281141870601</v>
      </c>
      <c r="DA65" s="32">
        <f t="shared" si="299"/>
        <v>598.27279811736753</v>
      </c>
      <c r="DB65" s="32">
        <f t="shared" si="299"/>
        <v>724.00280611757</v>
      </c>
      <c r="DE65" s="124"/>
      <c r="DF65" s="31">
        <v>197.13157075140717</v>
      </c>
    </row>
    <row r="66" spans="1:110" s="41" customFormat="1" x14ac:dyDescent="0.2">
      <c r="A66" s="41" t="s">
        <v>6</v>
      </c>
      <c r="B66" s="41">
        <f>B65/B59</f>
        <v>0.48405276969833377</v>
      </c>
      <c r="C66" s="41">
        <f t="shared" ref="C66:U66" si="300">C65/C59</f>
        <v>0.52535270459405947</v>
      </c>
      <c r="D66" s="41">
        <f t="shared" si="300"/>
        <v>0.50567272042078948</v>
      </c>
      <c r="E66" s="41">
        <f t="shared" si="300"/>
        <v>0.43996820776534062</v>
      </c>
      <c r="F66" s="41">
        <f t="shared" si="300"/>
        <v>0.4005659556584194</v>
      </c>
      <c r="G66" s="41">
        <f t="shared" si="300"/>
        <v>0.40650933908202924</v>
      </c>
      <c r="H66" s="41">
        <f t="shared" si="300"/>
        <v>0.40217394828957137</v>
      </c>
      <c r="I66" s="41">
        <f t="shared" si="300"/>
        <v>0.37983044017203277</v>
      </c>
      <c r="J66" s="41">
        <f t="shared" si="300"/>
        <v>0.38108692931470245</v>
      </c>
      <c r="K66" s="41">
        <f t="shared" si="300"/>
        <v>0.45131262267971733</v>
      </c>
      <c r="L66" s="41">
        <f t="shared" si="300"/>
        <v>0.4471948366900701</v>
      </c>
      <c r="M66" s="41">
        <f t="shared" si="300"/>
        <v>0.4157141354008565</v>
      </c>
      <c r="N66" s="41">
        <f t="shared" si="300"/>
        <v>0.38998621251181192</v>
      </c>
      <c r="O66" s="41">
        <f t="shared" si="300"/>
        <v>0.37558502231423235</v>
      </c>
      <c r="P66" s="41">
        <f t="shared" si="300"/>
        <v>0.41894178926777692</v>
      </c>
      <c r="Q66" s="41">
        <f t="shared" si="300"/>
        <v>0.44612287952727964</v>
      </c>
      <c r="R66" s="41">
        <f t="shared" si="300"/>
        <v>0.48937281988218945</v>
      </c>
      <c r="S66" s="41">
        <f t="shared" si="300"/>
        <v>0.46113867804717601</v>
      </c>
      <c r="T66" s="41">
        <f t="shared" si="300"/>
        <v>0.45352215519418398</v>
      </c>
      <c r="U66" s="41">
        <f t="shared" si="300"/>
        <v>0.45090184376139386</v>
      </c>
      <c r="V66" s="41">
        <f>V65/V59</f>
        <v>0.51942228140330537</v>
      </c>
      <c r="W66" s="41">
        <f>W65/W59</f>
        <v>0.47370328844716969</v>
      </c>
      <c r="X66" s="41">
        <f>X65/X59</f>
        <v>0.47109160771124831</v>
      </c>
      <c r="Y66" s="41">
        <f>Y65/Y59</f>
        <v>0.44977676082979545</v>
      </c>
      <c r="Z66" s="41">
        <f>Z65/Z59</f>
        <v>0.44122688650735775</v>
      </c>
      <c r="AA66" s="41">
        <f>AA65/AA59</f>
        <v>0.45040717522204238</v>
      </c>
      <c r="AB66" s="42">
        <f t="shared" ref="AA66:AD66" si="301">AB65/AB59</f>
        <v>0.44746084671697839</v>
      </c>
      <c r="AC66" s="42">
        <f t="shared" si="301"/>
        <v>0.45174997132670824</v>
      </c>
      <c r="AD66" s="42">
        <f t="shared" si="301"/>
        <v>0.45093006760449716</v>
      </c>
      <c r="AE66" s="42">
        <f t="shared" ref="AE66" si="302">AE65/AE59</f>
        <v>0.45081972488244271</v>
      </c>
      <c r="AI66" s="41">
        <f t="shared" ref="AI66" si="303">AI65/AI59</f>
        <v>0.383189683579991</v>
      </c>
      <c r="AJ66" s="41">
        <f t="shared" ref="AJ66" si="304">AJ65/AJ59</f>
        <v>0.41340041742387573</v>
      </c>
      <c r="AK66" s="41">
        <f t="shared" ref="AK66:AM66" si="305">AK65/AK59</f>
        <v>0.38969428099419001</v>
      </c>
      <c r="AL66" s="41">
        <f t="shared" si="305"/>
        <v>0.37595419847328243</v>
      </c>
      <c r="AM66" s="41">
        <f t="shared" si="305"/>
        <v>0.35653104925053536</v>
      </c>
      <c r="AN66" s="41">
        <f t="shared" ref="AN66:AO66" si="306">AN65/AN59</f>
        <v>0.40361707677593262</v>
      </c>
      <c r="AO66" s="41">
        <f t="shared" si="306"/>
        <v>0.37720893025961733</v>
      </c>
      <c r="AP66" s="41">
        <f t="shared" ref="AP66:CD66" si="307">AP65/AP59</f>
        <v>0.36355685131195342</v>
      </c>
      <c r="AQ66" s="41">
        <f t="shared" si="307"/>
        <v>0.38469021706086221</v>
      </c>
      <c r="AR66" s="41">
        <f t="shared" si="307"/>
        <v>0.432901296111665</v>
      </c>
      <c r="AS66" s="41">
        <f t="shared" si="307"/>
        <v>0.40360399785425904</v>
      </c>
      <c r="AT66" s="41">
        <f t="shared" si="307"/>
        <v>0.46246037634046006</v>
      </c>
      <c r="AU66" s="41">
        <f t="shared" si="307"/>
        <v>0.40609261068931829</v>
      </c>
      <c r="AV66" s="41">
        <f t="shared" si="307"/>
        <v>0.46914806388654706</v>
      </c>
      <c r="AW66" s="41">
        <f t="shared" si="307"/>
        <v>0.51311484500637716</v>
      </c>
      <c r="AX66" s="41">
        <f t="shared" si="307"/>
        <v>0.53819990552143837</v>
      </c>
      <c r="AY66" s="41">
        <f t="shared" si="307"/>
        <v>0.52510011441647597</v>
      </c>
      <c r="AZ66" s="41">
        <f t="shared" si="307"/>
        <v>0.53486764526491282</v>
      </c>
      <c r="BA66" s="41">
        <f t="shared" si="307"/>
        <v>0.53896348906891567</v>
      </c>
      <c r="BB66" s="41">
        <f t="shared" si="307"/>
        <v>0.52575579498915292</v>
      </c>
      <c r="BC66" s="41">
        <f t="shared" si="307"/>
        <v>0.49815315562975138</v>
      </c>
      <c r="BD66" s="41">
        <f t="shared" si="307"/>
        <v>0.50052188953835153</v>
      </c>
      <c r="BE66" s="41">
        <f t="shared" si="307"/>
        <v>0.4659495423534411</v>
      </c>
      <c r="BF66" s="41">
        <f t="shared" si="307"/>
        <v>0.42696123162722188</v>
      </c>
      <c r="BG66" s="41">
        <f t="shared" si="307"/>
        <v>0.45656766209929711</v>
      </c>
      <c r="BH66" s="41">
        <f t="shared" si="307"/>
        <v>0.4738815111328874</v>
      </c>
      <c r="BI66" s="41">
        <f t="shared" si="307"/>
        <v>0.41605601011665977</v>
      </c>
      <c r="BJ66" s="41">
        <f t="shared" si="307"/>
        <v>0.46672638458042287</v>
      </c>
      <c r="BK66" s="41">
        <f t="shared" si="307"/>
        <v>0.41598012351049657</v>
      </c>
      <c r="BL66" s="41">
        <f t="shared" si="307"/>
        <v>0.45185322085957058</v>
      </c>
      <c r="BM66" s="41">
        <f t="shared" si="307"/>
        <v>0.46463749642880692</v>
      </c>
      <c r="BN66" s="41">
        <f t="shared" si="307"/>
        <v>0.46813317986102232</v>
      </c>
      <c r="BO66" s="41">
        <f t="shared" si="307"/>
        <v>0.4690727199318111</v>
      </c>
      <c r="BP66" s="41">
        <f t="shared" si="307"/>
        <v>0.51314340350939325</v>
      </c>
      <c r="BQ66" s="41">
        <f t="shared" si="307"/>
        <v>0.52431227637984634</v>
      </c>
      <c r="BR66" s="41">
        <f t="shared" si="307"/>
        <v>0.5461821975972988</v>
      </c>
      <c r="BS66" s="41">
        <f t="shared" si="307"/>
        <v>0.51258650797348893</v>
      </c>
      <c r="BT66" s="41">
        <f t="shared" si="307"/>
        <v>0.46869798928353351</v>
      </c>
      <c r="BU66" s="41">
        <f t="shared" si="307"/>
        <v>0.4925464024287699</v>
      </c>
      <c r="BV66" s="41">
        <f t="shared" si="307"/>
        <v>0.44016397434024551</v>
      </c>
      <c r="BW66" s="41">
        <f t="shared" si="307"/>
        <v>0.52365362921757408</v>
      </c>
      <c r="BX66" s="41">
        <f t="shared" si="307"/>
        <v>0.48147740925938315</v>
      </c>
      <c r="BY66" s="41">
        <f t="shared" si="307"/>
        <v>0.42176097537665458</v>
      </c>
      <c r="BZ66" s="41">
        <f t="shared" si="307"/>
        <v>0.44349430944324819</v>
      </c>
      <c r="CA66" s="41">
        <f t="shared" si="307"/>
        <v>0.44774658002514706</v>
      </c>
      <c r="CB66" s="41">
        <f t="shared" si="307"/>
        <v>0.41582576522031622</v>
      </c>
      <c r="CC66" s="41">
        <f t="shared" si="307"/>
        <v>0.44784770371297855</v>
      </c>
      <c r="CD66" s="41">
        <f t="shared" si="307"/>
        <v>0.48504724148843908</v>
      </c>
      <c r="CE66" s="41">
        <f t="shared" ref="CE66:CF66" si="308">CE65/CE59</f>
        <v>0.43587457699365295</v>
      </c>
      <c r="CF66" s="41">
        <f t="shared" si="308"/>
        <v>0.45800457214680457</v>
      </c>
      <c r="CG66" s="41">
        <f t="shared" ref="CG66:CH66" si="309">CG65/CG59</f>
        <v>0.43210393696758853</v>
      </c>
      <c r="CH66" s="41">
        <f t="shared" si="309"/>
        <v>0.43864961103172989</v>
      </c>
      <c r="CI66" s="41">
        <f t="shared" ref="CI66:CJ66" si="310">CI65/CI59</f>
        <v>0.4083512631822761</v>
      </c>
      <c r="CJ66" s="41">
        <f t="shared" si="310"/>
        <v>0.45661749160186993</v>
      </c>
      <c r="CK66" s="41">
        <f t="shared" ref="CK66:CL66" si="311">CK65/CK59</f>
        <v>0.4453412455742663</v>
      </c>
      <c r="CL66" s="41">
        <f t="shared" si="311"/>
        <v>0.44011185806994174</v>
      </c>
      <c r="CM66" s="42">
        <f>CL66+1%</f>
        <v>0.45011185806994175</v>
      </c>
      <c r="CN66" s="42">
        <f>AVERAGE(CJ66:CM66)</f>
        <v>0.44804561332900489</v>
      </c>
      <c r="CO66" s="42">
        <f t="shared" ref="CO66:DB66" si="312">AVERAGE(CK66:CN66)</f>
        <v>0.4459026437607887</v>
      </c>
      <c r="CP66" s="42">
        <f t="shared" si="312"/>
        <v>0.44604299330741926</v>
      </c>
      <c r="CQ66" s="42">
        <f>AVERAGE(CM66:CP66)+1%</f>
        <v>0.45752577711678866</v>
      </c>
      <c r="CR66" s="42">
        <f t="shared" si="312"/>
        <v>0.44937925687850039</v>
      </c>
      <c r="CS66" s="42">
        <f t="shared" si="312"/>
        <v>0.44971266776587426</v>
      </c>
      <c r="CT66" s="42">
        <f t="shared" si="312"/>
        <v>0.45066517376714565</v>
      </c>
      <c r="CU66" s="42">
        <f t="shared" si="312"/>
        <v>0.45182071888207725</v>
      </c>
      <c r="CV66" s="42">
        <f t="shared" si="312"/>
        <v>0.45039445432339942</v>
      </c>
      <c r="CW66" s="42">
        <f t="shared" si="312"/>
        <v>0.45064825368462413</v>
      </c>
      <c r="CX66" s="42">
        <f t="shared" si="312"/>
        <v>0.45088215016431166</v>
      </c>
      <c r="CY66" s="42">
        <f t="shared" si="312"/>
        <v>0.4509363942636031</v>
      </c>
      <c r="CZ66" s="42">
        <f t="shared" si="312"/>
        <v>0.45071531310898461</v>
      </c>
      <c r="DA66" s="42">
        <f t="shared" si="312"/>
        <v>0.4507955278053809</v>
      </c>
      <c r="DB66" s="42">
        <f t="shared" si="312"/>
        <v>0.45083234633557012</v>
      </c>
      <c r="DE66" s="125"/>
      <c r="DF66" s="41">
        <v>0.44723990284753556</v>
      </c>
    </row>
    <row r="67" spans="1:110" s="39" customFormat="1" x14ac:dyDescent="0.2">
      <c r="A67" s="39" t="s">
        <v>447</v>
      </c>
      <c r="C67" s="39">
        <f t="shared" ref="C67:AE67" si="313">+IF(B65&lt;0,1-C65/B65,C65/B65-1)</f>
        <v>0.51912797593933746</v>
      </c>
      <c r="D67" s="39">
        <f t="shared" si="313"/>
        <v>0.18709135078352945</v>
      </c>
      <c r="E67" s="39">
        <f t="shared" si="313"/>
        <v>0.3677053886535977</v>
      </c>
      <c r="F67" s="39">
        <f t="shared" si="313"/>
        <v>0.1264254092327779</v>
      </c>
      <c r="G67" s="39">
        <f t="shared" si="313"/>
        <v>0.48782557065246213</v>
      </c>
      <c r="H67" s="39">
        <f t="shared" si="313"/>
        <v>0.35003493195798407</v>
      </c>
      <c r="I67" s="39">
        <f t="shared" si="313"/>
        <v>0.17214908165573184</v>
      </c>
      <c r="J67" s="39">
        <f t="shared" si="313"/>
        <v>0.15930562757342348</v>
      </c>
      <c r="K67" s="39">
        <f t="shared" si="313"/>
        <v>0.23231450065613757</v>
      </c>
      <c r="L67" s="39">
        <f t="shared" si="313"/>
        <v>0.31199392224297307</v>
      </c>
      <c r="M67" s="39">
        <f t="shared" si="313"/>
        <v>0.20506193762274583</v>
      </c>
      <c r="N67" s="39">
        <f t="shared" si="313"/>
        <v>6.8067910182995073E-2</v>
      </c>
      <c r="O67" s="39">
        <f t="shared" si="313"/>
        <v>0.14810574248769548</v>
      </c>
      <c r="P67" s="39">
        <f t="shared" si="313"/>
        <v>0.13124946291647133</v>
      </c>
      <c r="Q67" s="39">
        <f t="shared" si="313"/>
        <v>0.10682023913290006</v>
      </c>
      <c r="R67" s="39">
        <f t="shared" si="313"/>
        <v>0.14357630988742387</v>
      </c>
      <c r="S67" s="39">
        <f t="shared" si="313"/>
        <v>0.21038598880928117</v>
      </c>
      <c r="T67" s="39">
        <f t="shared" si="313"/>
        <v>7.6914652629928248E-2</v>
      </c>
      <c r="U67" s="39">
        <f t="shared" si="313"/>
        <v>-1.3452115345773175E-2</v>
      </c>
      <c r="V67" s="39">
        <f t="shared" si="313"/>
        <v>0.61444040855474769</v>
      </c>
      <c r="W67" s="39">
        <f t="shared" si="313"/>
        <v>0.61532474357713407</v>
      </c>
      <c r="X67" s="39">
        <f t="shared" si="313"/>
        <v>8.4059036807673237E-3</v>
      </c>
      <c r="Y67" s="39">
        <f t="shared" si="313"/>
        <v>-0.33461637006468337</v>
      </c>
      <c r="Z67" s="39">
        <f t="shared" si="313"/>
        <v>-0.16508305946626545</v>
      </c>
      <c r="AA67" s="39">
        <f t="shared" si="313"/>
        <v>-5.6308311454708604E-2</v>
      </c>
      <c r="AB67" s="40">
        <f t="shared" si="313"/>
        <v>0.49140433657961813</v>
      </c>
      <c r="AC67" s="40">
        <f t="shared" si="313"/>
        <v>0.52676978662980578</v>
      </c>
      <c r="AD67" s="40">
        <f t="shared" si="313"/>
        <v>0.37997305951673122</v>
      </c>
      <c r="AE67" s="40">
        <f t="shared" si="313"/>
        <v>0.39306551346352814</v>
      </c>
      <c r="AM67" s="39">
        <f>+IF(AI65&lt;0,1-AM65/AI65,AM65/AI65-1)</f>
        <v>-4.5444121693930306E-2</v>
      </c>
      <c r="AN67" s="39">
        <f t="shared" ref="AN67" si="314">+IF(AJ65&lt;0,1-AN65/AJ65,AN65/AJ65-1)</f>
        <v>0.24753805693663278</v>
      </c>
      <c r="AO67" s="39">
        <f t="shared" ref="AO67" si="315">+IF(AK65&lt;0,1-AO65/AK65,AO65/AK65-1)</f>
        <v>0.23535295798799627</v>
      </c>
      <c r="AP67" s="39">
        <f t="shared" ref="AP67" si="316">+IF(AL65&lt;0,1-AP65/AL65,AP65/AL65-1)</f>
        <v>0.17221282195901511</v>
      </c>
      <c r="AQ67" s="39">
        <f t="shared" ref="AQ67" si="317">+IF(AM65&lt;0,1-AQ65/AM65,AQ65/AM65-1)</f>
        <v>0.26666666666666683</v>
      </c>
      <c r="AR67" s="39">
        <f t="shared" ref="AR67" si="318">+IF(AN65&lt;0,1-AR65/AN65,AR65/AN65-1)</f>
        <v>2.1850187726961678E-3</v>
      </c>
      <c r="AS67" s="39">
        <f t="shared" ref="AS67" si="319">+IF(AO65&lt;0,1-AS65/AO65,AS65/AO65-1)</f>
        <v>0.10239059186427646</v>
      </c>
      <c r="AT67" s="39">
        <f t="shared" ref="AT67" si="320">+IF(AP65&lt;0,1-AT65/AP65,AT65/AP65-1)</f>
        <v>9.9743384121892653E-2</v>
      </c>
      <c r="AU67" s="39">
        <f t="shared" ref="AU67" si="321">+IF(AQ65&lt;0,1-AU65/AQ65,AU65/AQ65-1)</f>
        <v>2.4608819345661503E-2</v>
      </c>
      <c r="AV67" s="39">
        <f t="shared" ref="AV67" si="322">+IF(AR65&lt;0,1-AV65/AR65,AV65/AR65-1)</f>
        <v>0.24747428220482104</v>
      </c>
      <c r="AW67" s="39">
        <f t="shared" ref="AW67" si="323">+IF(AS65&lt;0,1-AW65/AS65,AW65/AS65-1)</f>
        <v>0.45637536944089829</v>
      </c>
      <c r="AX67" s="39">
        <f t="shared" ref="AX67" si="324">+IF(AT65&lt;0,1-AX65/AT65,AX65/AT65-1)</f>
        <v>0.41231460280884935</v>
      </c>
      <c r="AY67" s="39">
        <f t="shared" ref="AY67" si="325">+IF(AU65&lt;0,1-AY65/AU65,AY65/AU65-1)</f>
        <v>0.47251916639671721</v>
      </c>
      <c r="AZ67" s="39">
        <f t="shared" ref="AZ67" si="326">+IF(AV65&lt;0,1-AZ65/AV65,AZ65/AV65-1)</f>
        <v>0.13329558881449399</v>
      </c>
      <c r="BA67" s="39">
        <f t="shared" ref="BA67" si="327">+IF(AW65&lt;0,1-BA65/AW65,BA65/AW65-1)</f>
        <v>0.16637246778822479</v>
      </c>
      <c r="BB67" s="39">
        <f t="shared" ref="BB67" si="328">+IF(AX65&lt;0,1-BB65/AX65,BB65/AX65-1)</f>
        <v>4.85744674259867E-2</v>
      </c>
      <c r="BC67" s="39">
        <f t="shared" ref="BC67" si="329">+IF(AY65&lt;0,1-BC65/AY65,BC65/AY65-1)</f>
        <v>4.4071276673754989E-2</v>
      </c>
      <c r="BD67" s="39">
        <f t="shared" ref="BD67" si="330">+IF(AZ65&lt;0,1-BD65/AZ65,BD65/AZ65-1)</f>
        <v>9.3648862920567622E-2</v>
      </c>
      <c r="BE67" s="39">
        <f t="shared" ref="BE67" si="331">+IF(BA65&lt;0,1-BE65/BA65,BE65/BA65-1)</f>
        <v>4.9777622204834504E-2</v>
      </c>
      <c r="BF67" s="39">
        <f t="shared" ref="BF67" si="332">+IF(BB65&lt;0,1-BF65/BB65,BF65/BB65-1)</f>
        <v>7.3602836181003051E-2</v>
      </c>
      <c r="BG67" s="39">
        <f t="shared" ref="BG67" si="333">+IF(BC65&lt;0,1-BG65/BC65,BG65/BC65-1)</f>
        <v>0.19053639154777002</v>
      </c>
      <c r="BH67" s="39">
        <f t="shared" ref="BH67" si="334">+IF(BD65&lt;0,1-BH65/BD65,BH65/BD65-1)</f>
        <v>1.8063375736089737E-2</v>
      </c>
      <c r="BI67" s="39">
        <f t="shared" ref="BI67" si="335">+IF(BE65&lt;0,1-BI65/BE65,BI65/BE65-1)</f>
        <v>-2.5567095236694204E-2</v>
      </c>
      <c r="BJ67" s="39">
        <f t="shared" ref="BJ67" si="336">+IF(BF65&lt;0,1-BJ65/BF65,BJ65/BF65-1)</f>
        <v>-2.9802144580301948E-2</v>
      </c>
      <c r="BK67" s="39">
        <f t="shared" ref="BK67" si="337">+IF(BG65&lt;0,1-BK65/BG65,BK65/BG65-1)</f>
        <v>-0.21829490291262166</v>
      </c>
      <c r="BL67" s="39">
        <f t="shared" ref="BL67" si="338">+IF(BH65&lt;0,1-BL65/BH65,BL65/BH65-1)</f>
        <v>1.6094420600858417E-3</v>
      </c>
      <c r="BM67" s="39">
        <f t="shared" ref="BM67" si="339">+IF(BI65&lt;0,1-BM65/BI65,BM65/BI65-1)</f>
        <v>6.392914653784243E-2</v>
      </c>
      <c r="BN67" s="39">
        <f t="shared" ref="BN67" si="340">+IF(BJ65&lt;0,1-BN65/BJ65,BN65/BJ65-1)</f>
        <v>0.14201569443131312</v>
      </c>
      <c r="BO67" s="39">
        <f t="shared" ref="BO67" si="341">+IF(BK65&lt;0,1-BO65/BK65,BO65/BK65-1)</f>
        <v>0.1272937016193374</v>
      </c>
      <c r="BP67" s="39">
        <f t="shared" ref="BP67" si="342">+IF(BL65&lt;0,1-BP65/BL65,BP65/BL65-1)</f>
        <v>0.41115060622291488</v>
      </c>
      <c r="BQ67" s="39">
        <f t="shared" ref="BQ67" si="343">+IF(BM65&lt;0,1-BQ65/BM65,BQ65/BM65-1)</f>
        <v>0.94487853791433341</v>
      </c>
      <c r="BR67" s="39">
        <f t="shared" ref="BR67" si="344">+IF(BN65&lt;0,1-BR65/BN65,BR65/BN65-1)</f>
        <v>0.87214279209543766</v>
      </c>
      <c r="BS67" s="39">
        <f t="shared" ref="BS67" si="345">+IF(BO65&lt;0,1-BS65/BO65,BS65/BO65-1)</f>
        <v>1.2093610428362389</v>
      </c>
      <c r="BT67" s="39">
        <f t="shared" ref="BT67" si="346">+IF(BP65&lt;0,1-BT65/BP65,BT65/BP65-1)</f>
        <v>0.70050516203831448</v>
      </c>
      <c r="BU67" s="39">
        <f t="shared" ref="BU67" si="347">+IF(BQ65&lt;0,1-BU65/BQ65,BU65/BQ65-1)</f>
        <v>0.35331254833484893</v>
      </c>
      <c r="BV67" s="39">
        <f t="shared" ref="BV67" si="348">+IF(BR65&lt;0,1-BV65/BR65,BV65/BR65-1)</f>
        <v>0.51893534036738642</v>
      </c>
      <c r="BW67" s="39">
        <f t="shared" ref="BW67" si="349">+IF(BS65&lt;0,1-BW65/BS65,BW65/BS65-1)</f>
        <v>0.51912662923731601</v>
      </c>
      <c r="BX67" s="39">
        <f t="shared" ref="BX67" si="350">+IF(BT65&lt;0,1-BX65/BT65,BX65/BT65-1)</f>
        <v>0.2262286433180476</v>
      </c>
      <c r="BY67" s="39">
        <f t="shared" ref="BY67" si="351">+IF(BU65&lt;0,1-BY65/BU65,BY65/BU65-1)</f>
        <v>-0.11180037162562839</v>
      </c>
      <c r="BZ67" s="39">
        <f t="shared" ref="BZ67" si="352">+IF(BV65&lt;0,1-BZ65/BV65,BZ65/BV65-1)</f>
        <v>-0.3913604220222483</v>
      </c>
      <c r="CA67" s="39">
        <f t="shared" ref="CA67" si="353">+IF(BW65&lt;0,1-CA65/BW65,CA65/BW65-1)</f>
        <v>-0.40841972086237466</v>
      </c>
      <c r="CB67" s="39">
        <f t="shared" ref="CB67" si="354">+IF(BX65&lt;0,1-CB65/BX65,CB65/BX65-1)</f>
        <v>-0.4762952789131405</v>
      </c>
      <c r="CC67" s="39">
        <f t="shared" ref="CC67" si="355">+IF(BY65&lt;0,1-CC65/BY65,CC65/BY65-1)</f>
        <v>-0.30528062153522417</v>
      </c>
      <c r="CD67" s="39">
        <f t="shared" ref="CD67" si="356">+IF(BZ65&lt;0,1-CD65/BZ65,CD65/BZ65-1)</f>
        <v>-3.9615231917956795E-2</v>
      </c>
      <c r="CE67" s="39">
        <f t="shared" ref="CE67" si="357">+IF(CA65&lt;0,1-CE65/CA65,CE65/CA65-1)</f>
        <v>-0.19222284305036419</v>
      </c>
      <c r="CF67" s="39">
        <f t="shared" ref="CF67" si="358">+IF(CB65&lt;0,1-CF65/CB65,CF65/CB65-1)</f>
        <v>4.0065722952475902E-3</v>
      </c>
      <c r="CG67" s="39">
        <f t="shared" ref="CG67" si="359">+IF(CC65&lt;0,1-CG65/CC65,CG65/CC65-1)</f>
        <v>-0.21291776848432609</v>
      </c>
      <c r="CH67" s="39">
        <f t="shared" ref="CH67:CL67" si="360">+IF(CD65&lt;0,1-CH65/CD65,CH65/CD65-1)</f>
        <v>-0.22938155882836353</v>
      </c>
      <c r="CI67" s="39">
        <f t="shared" si="360"/>
        <v>-0.12744110053011004</v>
      </c>
      <c r="CJ67" s="39">
        <f t="shared" si="360"/>
        <v>-2.1224366479096535E-2</v>
      </c>
      <c r="CK67" s="39">
        <f t="shared" si="360"/>
        <v>9.1844210432838969E-2</v>
      </c>
      <c r="CL67" s="39">
        <f t="shared" si="360"/>
        <v>0.12296734831054001</v>
      </c>
      <c r="CM67" s="40">
        <f t="shared" ref="CM67" si="361">+CM65/CI65-1</f>
        <v>0.41125272296523518</v>
      </c>
      <c r="CN67" s="40">
        <f t="shared" ref="CN67" si="362">+CN65/CJ65-1</f>
        <v>0.36206985877901965</v>
      </c>
      <c r="CO67" s="40">
        <f t="shared" ref="CO67" si="363">+CO65/CK65-1</f>
        <v>0.38637362250441631</v>
      </c>
      <c r="CP67" s="40">
        <f t="shared" ref="CP67" si="364">+CP65/CL65-1</f>
        <v>0.40846675216834916</v>
      </c>
      <c r="CQ67" s="40">
        <f t="shared" ref="CQ67" si="365">+CQ65/CM65-1</f>
        <v>0.53692317979903947</v>
      </c>
      <c r="CR67" s="40">
        <f t="shared" ref="CR67" si="366">+CR65/CN65-1</f>
        <v>0.5181251520639909</v>
      </c>
      <c r="CS67" s="40">
        <f t="shared" ref="CS67" si="367">+CS65/CO65-1</f>
        <v>0.51948215984556323</v>
      </c>
      <c r="CT67" s="40">
        <f t="shared" ref="CT67" si="368">+CT65/CP65-1</f>
        <v>0.53177506166843136</v>
      </c>
      <c r="CU67" s="40">
        <f t="shared" ref="CU67" si="369">+CU65/CQ65-1</f>
        <v>0.36502565248982988</v>
      </c>
      <c r="CV67" s="40">
        <f t="shared" ref="CV67" si="370">+CV65/CR65-1</f>
        <v>0.38608154496565872</v>
      </c>
      <c r="CW67" s="40">
        <f t="shared" ref="CW67" si="371">+CW65/CS65-1</f>
        <v>0.3831833437271388</v>
      </c>
      <c r="CX67" s="40">
        <f t="shared" ref="CX67" si="372">+CX65/CT65-1</f>
        <v>0.38472727571239673</v>
      </c>
      <c r="CY67" s="40">
        <f t="shared" ref="CY67" si="373">+CY65/CU65-1</f>
        <v>0.390516933245449</v>
      </c>
      <c r="CZ67" s="40">
        <f t="shared" ref="CZ67" si="374">+CZ65/CV65-1</f>
        <v>0.3949033820459471</v>
      </c>
      <c r="DA67" s="40">
        <f t="shared" ref="DA67" si="375">+DA65/CW65-1</f>
        <v>0.39164334824356883</v>
      </c>
      <c r="DB67" s="40">
        <f t="shared" ref="DB67" si="376">+DB65/CX65-1</f>
        <v>0.39479247324436795</v>
      </c>
      <c r="DE67" s="122"/>
      <c r="DF67" s="39">
        <v>0.27408527928057147</v>
      </c>
    </row>
    <row r="68" spans="1:110" s="39" customFormat="1" x14ac:dyDescent="0.2">
      <c r="A68" s="39" t="s">
        <v>448</v>
      </c>
      <c r="AB68" s="40"/>
      <c r="AC68" s="40"/>
      <c r="AD68" s="40"/>
      <c r="AE68" s="40"/>
      <c r="AJ68" s="39">
        <f>+IF(AI65&lt;0,1-AJ65/AI65,AJ65/AI65-1)</f>
        <v>-4.4909035315697787E-3</v>
      </c>
      <c r="AK68" s="39">
        <f t="shared" ref="AK68" si="377">+IF(AJ65&lt;0,1-AK65/AJ65,AK65/AJ65-1)</f>
        <v>-0.19397999731249904</v>
      </c>
      <c r="AL68" s="39">
        <f t="shared" ref="AL68" si="378">+IF(AK65&lt;0,1-AL65/AK65,AL65/AK65-1)</f>
        <v>0.26679051157473577</v>
      </c>
      <c r="AM68" s="39">
        <f t="shared" ref="AM68" si="379">+IF(AL65&lt;0,1-AM65/AL65,AM65/AL65-1)</f>
        <v>-6.0913705583756306E-2</v>
      </c>
      <c r="AN68" s="39">
        <f t="shared" ref="AN68" si="380">+IF(AM65&lt;0,1-AN65/AM65,AN65/AM65-1)</f>
        <v>0.30106106106106134</v>
      </c>
      <c r="AO68" s="39">
        <f t="shared" ref="AO68" si="381">+IF(AN65&lt;0,1-AO65/AN65,AO65/AN65-1)</f>
        <v>-0.20185264971994887</v>
      </c>
      <c r="AP68" s="39">
        <f t="shared" ref="AP68" si="382">+IF(AO65&lt;0,1-AP65/AO65,AP65/AO65-1)</f>
        <v>0.20204357046462373</v>
      </c>
      <c r="AQ68" s="39">
        <f t="shared" ref="AQ68" si="383">+IF(AP65&lt;0,1-AQ65/AP65,AQ65/AP65-1)</f>
        <v>1.4755412991178884E-2</v>
      </c>
      <c r="AR68" s="39">
        <f t="shared" ref="AR68" si="384">+IF(AQ65&lt;0,1-AR65/AQ65,AR65/AQ65-1)</f>
        <v>2.9397818871502945E-2</v>
      </c>
      <c r="AS68" s="39">
        <f t="shared" ref="AS68" si="385">+IF(AR65&lt;0,1-AS65/AR65,AS65/AR65-1)</f>
        <v>-0.12204821126976817</v>
      </c>
      <c r="AT68" s="39">
        <f t="shared" ref="AT68" si="386">+IF(AS65&lt;0,1-AT65/AS65,AT65/AS65-1)</f>
        <v>0.19915706266067446</v>
      </c>
      <c r="AU68" s="39">
        <f t="shared" ref="AU68" si="387">+IF(AT65&lt;0,1-AU65/AT65,AU65/AT65-1)</f>
        <v>-5.4572766118800131E-2</v>
      </c>
      <c r="AV68" s="39">
        <f t="shared" ref="AV68" si="388">+IF(AU65&lt;0,1-AV65/AU65,AV65/AU65-1)</f>
        <v>0.25330495009795273</v>
      </c>
      <c r="AW68" s="39">
        <f t="shared" ref="AW68" si="389">+IF(AV65&lt;0,1-AW65/AV65,AW65/AV65-1)</f>
        <v>2.4972922410397835E-2</v>
      </c>
      <c r="AX68" s="39">
        <f t="shared" ref="AX68" si="390">+IF(AW65&lt;0,1-AX65/AW65,AX65/AW65-1)</f>
        <v>0.16287810559938531</v>
      </c>
      <c r="AY68" s="39">
        <f t="shared" ref="AY68" si="391">+IF(AX65&lt;0,1-AY65/AX65,AY65/AX65-1)</f>
        <v>-1.4270815047345731E-2</v>
      </c>
      <c r="AZ68" s="39">
        <f t="shared" ref="AZ68" si="392">+IF(AY65&lt;0,1-AZ65/AY65,AZ65/AY65-1)</f>
        <v>-3.5418347143799989E-2</v>
      </c>
      <c r="BA68" s="39">
        <f t="shared" ref="BA68" si="393">+IF(AZ65&lt;0,1-BA65/AZ65,BA65/AZ65-1)</f>
        <v>5.4888246921088513E-2</v>
      </c>
      <c r="BB68" s="39">
        <f t="shared" ref="BB68" si="394">+IF(BA65&lt;0,1-BB65/BA65,BB65/BA65-1)</f>
        <v>4.5433018984474716E-2</v>
      </c>
      <c r="BC68" s="39">
        <f t="shared" ref="BC68" si="395">+IF(BB65&lt;0,1-BC65/BB65,BC65/BB65-1)</f>
        <v>-1.850411147767006E-2</v>
      </c>
      <c r="BD68" s="39">
        <f t="shared" ref="BD68" si="396">+IF(BC65&lt;0,1-BD65/BC65,BD65/BC65-1)</f>
        <v>1.0384684847390746E-2</v>
      </c>
      <c r="BE68" s="39">
        <f t="shared" ref="BE68" si="397">+IF(BD65&lt;0,1-BE65/BD65,BE65/BD65-1)</f>
        <v>1.2571871183006733E-2</v>
      </c>
      <c r="BF68" s="39">
        <f t="shared" ref="BF68" si="398">+IF(BE65&lt;0,1-BF65/BE65,BF65/BE65-1)</f>
        <v>6.9159630076397027E-2</v>
      </c>
      <c r="BG68" s="39">
        <f t="shared" ref="BG68" si="399">+IF(BF65&lt;0,1-BG65/BF65,BG65/BF65-1)</f>
        <v>8.8397435309442329E-2</v>
      </c>
      <c r="BH68" s="39">
        <f t="shared" ref="BH68" si="400">+IF(BG65&lt;0,1-BH65/BG65,BH65/BG65-1)</f>
        <v>-0.13598975188781037</v>
      </c>
      <c r="BI68" s="39">
        <f t="shared" ref="BI68" si="401">+IF(BH65&lt;0,1-BI65/BH65,BI65/BH65-1)</f>
        <v>-3.0823253999219813E-2</v>
      </c>
      <c r="BJ68" s="39">
        <f t="shared" ref="BJ68" si="402">+IF(BI65&lt;0,1-BJ65/BI65,BJ65/BI65-1)</f>
        <v>6.4512882447665287E-2</v>
      </c>
      <c r="BK68" s="39">
        <f t="shared" ref="BK68" si="403">+IF(BJ65&lt;0,1-BK65/BJ65,BK65/BJ65-1)</f>
        <v>-0.12305946865840989</v>
      </c>
      <c r="BL68" s="39">
        <f t="shared" ref="BL68" si="404">+IF(BK65&lt;0,1-BL65/BK65,BL65/BK65-1)</f>
        <v>0.10706815878560483</v>
      </c>
      <c r="BM68" s="39">
        <f t="shared" ref="BM68" si="405">+IF(BL65&lt;0,1-BM65/BL65,BM65/BL65-1)</f>
        <v>2.9478502215513513E-2</v>
      </c>
      <c r="BN68" s="39">
        <f t="shared" ref="BN68" si="406">+IF(BM65&lt;0,1-BN65/BM65,BN65/BM65-1)</f>
        <v>0.14264227334645074</v>
      </c>
      <c r="BO68" s="39">
        <f t="shared" ref="BO68" si="407">+IF(BN65&lt;0,1-BO65/BN65,BO65/BN65-1)</f>
        <v>-0.13436431522216052</v>
      </c>
      <c r="BP68" s="39">
        <f t="shared" ref="BP68" si="408">+IF(BO65&lt;0,1-BP65/BO65,BP65/BO65-1)</f>
        <v>0.38583219364772714</v>
      </c>
      <c r="BQ68" s="39">
        <f t="shared" ref="BQ68" si="409">+IF(BP65&lt;0,1-BQ65/BP65,BQ65/BP65-1)</f>
        <v>0.41884972119472219</v>
      </c>
      <c r="BR68" s="39">
        <f t="shared" ref="BR68" si="410">+IF(BQ65&lt;0,1-BR65/BQ65,BR65/BQ65-1)</f>
        <v>9.9909045365447868E-2</v>
      </c>
      <c r="BS68" s="39">
        <f t="shared" ref="BS68" si="411">+IF(BR65&lt;0,1-BS65/BR65,BS65/BR65-1)</f>
        <v>2.1557632949791516E-2</v>
      </c>
      <c r="BT68" s="39">
        <f t="shared" ref="BT68" si="412">+IF(BS65&lt;0,1-BT65/BS65,BT65/BS65-1)</f>
        <v>6.6649928791885804E-2</v>
      </c>
      <c r="BU68" s="39">
        <f t="shared" ref="BU68" si="413">+IF(BT65&lt;0,1-BU65/BT65,BU65/BT65-1)</f>
        <v>0.12916277748468019</v>
      </c>
      <c r="BV68" s="39">
        <f t="shared" ref="BV68" si="414">+IF(BU65&lt;0,1-BV65/BU65,BV65/BU65-1)</f>
        <v>0.23451949237520564</v>
      </c>
      <c r="BW68" s="39">
        <f t="shared" ref="BW68" si="415">+IF(BV65&lt;0,1-BW65/BV65,BW65/BV65-1)</f>
        <v>2.1686283985804522E-2</v>
      </c>
      <c r="BX68" s="39">
        <f t="shared" ref="BX68" si="416">+IF(BW65&lt;0,1-BX65/BW65,BX65/BW65-1)</f>
        <v>-0.13900746000718089</v>
      </c>
      <c r="BY68" s="39">
        <f t="shared" ref="BY68" si="417">+IF(BX65&lt;0,1-BY65/BX65,BY65/BX65-1)</f>
        <v>-0.18210852046135251</v>
      </c>
      <c r="BZ68" s="39">
        <f t="shared" ref="BZ68" si="418">+IF(BY65&lt;0,1-BZ65/BY65,BZ65/BY65-1)</f>
        <v>-0.15404443005705504</v>
      </c>
      <c r="CA68" s="39">
        <f t="shared" ref="CA68" si="419">+IF(BZ65&lt;0,1-CA65/BZ65,CA65/BZ65-1)</f>
        <v>-6.9501246047802834E-3</v>
      </c>
      <c r="CB68" s="39">
        <f t="shared" ref="CB68" si="420">+IF(CA65&lt;0,1-CB65/CA65,CB65/CA65-1)</f>
        <v>-0.2377943046510731</v>
      </c>
      <c r="CC68" s="39">
        <f t="shared" ref="CC68" si="421">+IF(CB65&lt;0,1-CC65/CB65,CC65/CB65-1)</f>
        <v>8.497219413549062E-2</v>
      </c>
      <c r="CD68" s="39">
        <f t="shared" ref="CD68" si="422">+IF(CC65&lt;0,1-CD65/CC65,CD65/CC65-1)</f>
        <v>0.1694547021888797</v>
      </c>
      <c r="CE68" s="39">
        <f t="shared" ref="CE68" si="423">+IF(CD65&lt;0,1-CE65/CD65,CE65/CD65-1)</f>
        <v>-0.16474830535065932</v>
      </c>
      <c r="CF68" s="39">
        <f t="shared" ref="CF68" si="424">+IF(CE65&lt;0,1-CF65/CE65,CF65/CE65-1)</f>
        <v>-5.2635345048628213E-2</v>
      </c>
      <c r="CG68" s="39">
        <f t="shared" ref="CG68" si="425">+IF(CF65&lt;0,1-CG65/CF65,CG65/CF65-1)</f>
        <v>-0.14944547251280871</v>
      </c>
      <c r="CH68" s="39">
        <f t="shared" ref="CH68:CL68" si="426">+IF(CG65&lt;0,1-CH65/CG65,CH65/CG65-1)</f>
        <v>0.14499263677468521</v>
      </c>
      <c r="CI68" s="39">
        <f t="shared" si="426"/>
        <v>-5.4257904397507883E-2</v>
      </c>
      <c r="CJ68" s="39">
        <f t="shared" si="426"/>
        <v>6.26875055525562E-2</v>
      </c>
      <c r="CK68" s="39">
        <f t="shared" si="426"/>
        <v>-5.1189052230839471E-2</v>
      </c>
      <c r="CL68" s="39">
        <f t="shared" si="426"/>
        <v>0.17763077632131896</v>
      </c>
      <c r="CM68" s="40">
        <f t="shared" ref="CM68" si="427">+CM65/CL65-1</f>
        <v>0.1885306457483733</v>
      </c>
      <c r="CN68" s="40">
        <f t="shared" ref="CN68" si="428">+CN65/CM65-1</f>
        <v>2.5652313763404822E-2</v>
      </c>
      <c r="CO68" s="40">
        <f t="shared" ref="CO68" si="429">+CO65/CN65-1</f>
        <v>-3.4259173821135636E-2</v>
      </c>
      <c r="CP68" s="40">
        <f t="shared" ref="CP68" si="430">+CP65/CO65-1</f>
        <v>0.19639739811444357</v>
      </c>
      <c r="CQ68" s="40">
        <f t="shared" ref="CQ68" si="431">+CQ65/CP65-1</f>
        <v>0.29692823528848122</v>
      </c>
      <c r="CR68" s="40">
        <f t="shared" ref="CR68" si="432">+CR65/CQ65-1</f>
        <v>1.3107613485566549E-2</v>
      </c>
      <c r="CS68" s="40">
        <f t="shared" ref="CS68" si="433">+CS65/CR65-1</f>
        <v>-3.33959262724568E-2</v>
      </c>
      <c r="CT68" s="40">
        <f t="shared" ref="CT68" si="434">+CT65/CS65-1</f>
        <v>0.2060764823082657</v>
      </c>
      <c r="CU68" s="40">
        <f t="shared" ref="CU68" si="435">+CU65/CT65-1</f>
        <v>0.1557443092714037</v>
      </c>
      <c r="CV68" s="40">
        <f t="shared" ref="CV68" si="436">+CV65/CU65-1</f>
        <v>2.8735074359349966E-2</v>
      </c>
      <c r="CW68" s="40">
        <f t="shared" ref="CW68" si="437">+CW65/CV65-1</f>
        <v>-3.5417028951307383E-2</v>
      </c>
      <c r="CX68" s="40">
        <f t="shared" ref="CX68" si="438">+CX65/CW65-1</f>
        <v>0.20742272470349676</v>
      </c>
      <c r="CY68" s="40">
        <f t="shared" ref="CY68" si="439">+CY65/CX65-1</f>
        <v>0.16057657036990269</v>
      </c>
      <c r="CZ68" s="40">
        <f t="shared" ref="CZ68" si="440">+CZ65/CY65-1</f>
        <v>3.1980265859766766E-2</v>
      </c>
      <c r="DA68" s="40">
        <f t="shared" ref="DA68" si="441">+DA65/CZ65-1</f>
        <v>-3.7671359345291311E-2</v>
      </c>
      <c r="DB68" s="40">
        <f t="shared" ref="DB68" si="442">+DB65/DA65-1</f>
        <v>0.21015498012921041</v>
      </c>
      <c r="DE68" s="122"/>
      <c r="DF68" s="39">
        <v>0.33610477525997462</v>
      </c>
    </row>
    <row r="69" spans="1:110" s="23" customFormat="1" outlineLevel="1" x14ac:dyDescent="0.2">
      <c r="A69" s="23" t="s">
        <v>8</v>
      </c>
      <c r="B69" s="23">
        <f>'Annual Raw'!C14</f>
        <v>0.87712840000000003</v>
      </c>
      <c r="C69" s="23">
        <f>'Annual Raw'!D14</f>
        <v>0.99919579999999997</v>
      </c>
      <c r="D69" s="23">
        <f>'Annual Raw'!E14</f>
        <v>1.1901778000000001</v>
      </c>
      <c r="E69" s="23">
        <f>'Annual Raw'!F14</f>
        <v>1.6467426999999999</v>
      </c>
      <c r="F69" s="23">
        <f>'Annual Raw'!G14</f>
        <v>2.2550053000000001</v>
      </c>
      <c r="G69" s="23">
        <f>'Annual Raw'!H14</f>
        <v>2.9508445000000001</v>
      </c>
      <c r="H69" s="23">
        <f>'Annual Raw'!I14</f>
        <v>3.4899673999999998</v>
      </c>
      <c r="I69" s="23">
        <f>'Annual Raw'!J14</f>
        <v>4.0490098999999997</v>
      </c>
      <c r="J69" s="23">
        <f>'Annual Raw'!K14</f>
        <v>5.4576675999999997</v>
      </c>
      <c r="K69" s="23">
        <f>'Annual Raw'!L14</f>
        <v>6.8088090000000001</v>
      </c>
      <c r="L69" s="23">
        <f>'Annual Raw'!M14</f>
        <v>8.6727746000000003</v>
      </c>
      <c r="M69" s="23">
        <f>'Annual Raw'!N14</f>
        <v>11.8963266</v>
      </c>
      <c r="N69" s="23">
        <f>'Annual Raw'!O14</f>
        <v>12.900621599999999</v>
      </c>
      <c r="O69" s="23">
        <f>'Annual Raw'!P14</f>
        <v>15.844799999999999</v>
      </c>
      <c r="P69" s="23">
        <f>'Annual Raw'!Q14</f>
        <v>20.900010699999999</v>
      </c>
      <c r="Q69" s="23">
        <f>'Annual Raw'!R14</f>
        <v>21.625794800000001</v>
      </c>
      <c r="R69" s="23">
        <f>'Annual Raw'!S14</f>
        <v>24.4719309</v>
      </c>
      <c r="S69" s="23">
        <f>'Annual Raw'!T14</f>
        <v>26.894887300000001</v>
      </c>
      <c r="T69" s="23">
        <f>'Annual Raw'!U14</f>
        <v>29.4692972</v>
      </c>
      <c r="U69" s="23">
        <f>'Annual Raw'!V14</f>
        <v>34.070705699999998</v>
      </c>
      <c r="V69" s="23">
        <f>'Annual Raw'!W14</f>
        <v>33.564700000000002</v>
      </c>
      <c r="W69" s="23">
        <f>'Annual Raw'!X14</f>
        <v>96.635599999999997</v>
      </c>
      <c r="X69" s="23">
        <f>'Annual Raw'!Y14</f>
        <v>85.205699999999993</v>
      </c>
      <c r="Y69" s="23">
        <f>'Annual Raw'!Z14</f>
        <v>82.268100000000004</v>
      </c>
      <c r="Z69" s="23">
        <f>'Annual Raw'!AA14</f>
        <v>79.860399999999998</v>
      </c>
      <c r="AA69" s="23">
        <f>'Annual Raw'!AB14</f>
        <v>77.143000000000001</v>
      </c>
      <c r="AB69" s="76">
        <f t="shared" ref="AB69:AB74" si="443">+SUM(CM69:CP69)</f>
        <v>89.997700000000009</v>
      </c>
      <c r="AC69" s="76">
        <f t="shared" ref="AC69:AC74" si="444">+SUM(CQ69:CT69)</f>
        <v>96.297539000000015</v>
      </c>
      <c r="AD69" s="76">
        <f t="shared" ref="AD69:AD74" si="445">+SUM(CU69:CX69)</f>
        <v>103.03836673000002</v>
      </c>
      <c r="AE69" s="76">
        <f t="shared" ref="AE69:AE74" si="446">+SUM(CY69:DB69)</f>
        <v>110.25105240110003</v>
      </c>
      <c r="AI69" s="23">
        <f>'QTR Raw'!C16</f>
        <v>4.5819999999999999</v>
      </c>
      <c r="AJ69" s="23">
        <f>'QTR Raw'!D16</f>
        <v>4.2990000000000004</v>
      </c>
      <c r="AK69" s="23">
        <f>'QTR Raw'!E16</f>
        <v>4.5810000000000004</v>
      </c>
      <c r="AL69" s="23">
        <f>'QTR Raw'!F16</f>
        <v>4.54</v>
      </c>
      <c r="AM69" s="23">
        <f>'QTR Raw'!G16</f>
        <v>4.5199999999999996</v>
      </c>
      <c r="AN69" s="23">
        <f>'QTR Raw'!H16</f>
        <v>4.6980000000000004</v>
      </c>
      <c r="AO69" s="23">
        <f>'QTR Raw'!I16</f>
        <v>5.29</v>
      </c>
      <c r="AP69" s="23">
        <f>'QTR Raw'!J16</f>
        <v>6.27</v>
      </c>
      <c r="AQ69" s="23">
        <f>'QTR Raw'!K16</f>
        <v>5.71</v>
      </c>
      <c r="AR69" s="23">
        <f>'QTR Raw'!L16</f>
        <v>5.5389999999999997</v>
      </c>
      <c r="AS69" s="23">
        <f>'QTR Raw'!M16</f>
        <v>6.1539999999999999</v>
      </c>
      <c r="AT69" s="23">
        <f>'QTR Raw'!N16</f>
        <v>7.0579999999999998</v>
      </c>
      <c r="AU69" s="23">
        <f>'QTR Raw'!O16</f>
        <v>6.548</v>
      </c>
      <c r="AV69" s="23">
        <f>'QTR Raw'!P16</f>
        <v>6.8780000000000001</v>
      </c>
      <c r="AW69" s="23">
        <f>'QTR Raw'!Q16</f>
        <v>7.66</v>
      </c>
      <c r="AX69" s="23">
        <f>'QTR Raw'!R16</f>
        <v>10.436999999999999</v>
      </c>
      <c r="AY69" s="23">
        <f>'QTR Raw'!S16</f>
        <v>8.0730000000000004</v>
      </c>
      <c r="AZ69" s="23">
        <f>'QTR Raw'!T16</f>
        <v>8.4890000000000008</v>
      </c>
      <c r="BA69" s="23">
        <f>'QTR Raw'!U16</f>
        <v>9.6750000000000007</v>
      </c>
      <c r="BB69" s="23">
        <f>'QTR Raw'!V16</f>
        <v>12.497</v>
      </c>
      <c r="BC69" s="23">
        <f>'QTR Raw'!W16</f>
        <v>9.2859999999999996</v>
      </c>
      <c r="BD69" s="23">
        <f>'QTR Raw'!X16</f>
        <v>11.794</v>
      </c>
      <c r="BE69" s="23">
        <f>'QTR Raw'!Y16</f>
        <v>12.871</v>
      </c>
      <c r="BF69" s="23">
        <f>'QTR Raw'!Z16</f>
        <v>11.138</v>
      </c>
      <c r="BG69" s="23">
        <f>'QTR Raw'!AA16</f>
        <v>12.598000000000001</v>
      </c>
      <c r="BH69" s="23">
        <f>'QTR Raw'!AB16</f>
        <v>12.827999999999999</v>
      </c>
      <c r="BI69" s="23">
        <f>'QTR Raw'!AC16</f>
        <v>12.058</v>
      </c>
      <c r="BJ69" s="23">
        <f>'QTR Raw'!AD16</f>
        <v>10.797000000000001</v>
      </c>
      <c r="BK69" s="23">
        <f>'QTR Raw'!AE16</f>
        <v>10.781000000000001</v>
      </c>
      <c r="BL69" s="23">
        <f>'QTR Raw'!AF16</f>
        <v>11.881</v>
      </c>
      <c r="BM69" s="23">
        <f>'QTR Raw'!AG16</f>
        <v>14.438000000000001</v>
      </c>
      <c r="BN69" s="23">
        <f>'QTR Raw'!AH16</f>
        <v>13.888</v>
      </c>
      <c r="BO69" s="23">
        <f>'QTR Raw'!AI16</f>
        <v>11.221</v>
      </c>
      <c r="BP69" s="23">
        <f>'QTR Raw'!AJ16</f>
        <v>15.611000000000001</v>
      </c>
      <c r="BQ69" s="23">
        <f>'QTR Raw'!AK16</f>
        <v>19.22</v>
      </c>
      <c r="BR69" s="23">
        <f>'QTR Raw'!AL16</f>
        <v>21.771999999999998</v>
      </c>
      <c r="BS69" s="23">
        <f>'QTR Raw'!AM16</f>
        <v>18.664000000000001</v>
      </c>
      <c r="BT69" s="23">
        <f>'QTR Raw'!AN16</f>
        <v>19.649999999999999</v>
      </c>
      <c r="BU69" s="23">
        <f>'QTR Raw'!AO16</f>
        <v>23.856999999999999</v>
      </c>
      <c r="BV69" s="23">
        <f>'QTR Raw'!AP16</f>
        <v>34.465000000000003</v>
      </c>
      <c r="BW69" s="23">
        <f>'QTR Raw'!AQ16</f>
        <v>26.222999999999999</v>
      </c>
      <c r="BX69" s="23">
        <f>'QTR Raw'!AR16</f>
        <v>21.268000000000001</v>
      </c>
      <c r="BY69" s="23">
        <f>'QTR Raw'!AS16</f>
        <v>19.585000000000001</v>
      </c>
      <c r="BZ69" s="23">
        <f>'QTR Raw'!AT16</f>
        <v>18.056999999999999</v>
      </c>
      <c r="CA69" s="23">
        <f>'QTR Raw'!AU16</f>
        <v>17.86</v>
      </c>
      <c r="CB69" s="23">
        <f>'QTR Raw'!AV16</f>
        <v>19.32</v>
      </c>
      <c r="CC69" s="23">
        <f>'QTR Raw'!AW16</f>
        <v>20.55</v>
      </c>
      <c r="CD69" s="23">
        <f>'QTR Raw'!AX16</f>
        <v>24.539000000000001</v>
      </c>
      <c r="CE69" s="23">
        <f>'QTR Raw'!AY16</f>
        <v>19.184000000000001</v>
      </c>
      <c r="CF69" s="23">
        <f>'QTR Raw'!AZ16</f>
        <v>19.262</v>
      </c>
      <c r="CG69" s="23">
        <f>'QTR Raw'!BA16</f>
        <v>18.533000000000001</v>
      </c>
      <c r="CH69" s="23">
        <f>'QTR Raw'!BB16</f>
        <v>22.882000000000001</v>
      </c>
      <c r="CI69" s="23">
        <f>'QTR Raw'!BC16</f>
        <v>20.478000000000002</v>
      </c>
      <c r="CJ69" s="23">
        <f>'QTR Raw'!BD16</f>
        <v>19.399000000000001</v>
      </c>
      <c r="CK69" s="23">
        <f>'QTR Raw'!BE16</f>
        <v>18.192</v>
      </c>
      <c r="CL69" s="23">
        <f>'QTR Raw'!BF16</f>
        <v>26.041</v>
      </c>
      <c r="CM69" s="24">
        <f t="shared" ref="CM69:DB69" si="447">CI69*107%</f>
        <v>21.911460000000002</v>
      </c>
      <c r="CN69" s="24">
        <f t="shared" si="447"/>
        <v>20.756930000000001</v>
      </c>
      <c r="CO69" s="24">
        <f t="shared" si="447"/>
        <v>19.465440000000001</v>
      </c>
      <c r="CP69" s="24">
        <f t="shared" si="447"/>
        <v>27.863870000000002</v>
      </c>
      <c r="CQ69" s="24">
        <f t="shared" si="447"/>
        <v>23.445262200000002</v>
      </c>
      <c r="CR69" s="24">
        <f t="shared" si="447"/>
        <v>22.209915100000003</v>
      </c>
      <c r="CS69" s="24">
        <f t="shared" si="447"/>
        <v>20.828020800000001</v>
      </c>
      <c r="CT69" s="24">
        <f t="shared" si="447"/>
        <v>29.814340900000005</v>
      </c>
      <c r="CU69" s="24">
        <f t="shared" si="447"/>
        <v>25.086430554000003</v>
      </c>
      <c r="CV69" s="24">
        <f t="shared" si="447"/>
        <v>23.764609157000006</v>
      </c>
      <c r="CW69" s="24">
        <f t="shared" si="447"/>
        <v>22.285982256</v>
      </c>
      <c r="CX69" s="24">
        <f t="shared" si="447"/>
        <v>31.901344763000008</v>
      </c>
      <c r="CY69" s="24">
        <f t="shared" si="447"/>
        <v>26.842480692780004</v>
      </c>
      <c r="CZ69" s="24">
        <f t="shared" si="447"/>
        <v>25.428131797990009</v>
      </c>
      <c r="DA69" s="24">
        <f t="shared" si="447"/>
        <v>23.846001013920002</v>
      </c>
      <c r="DB69" s="24">
        <f t="shared" si="447"/>
        <v>34.13443889641001</v>
      </c>
      <c r="DE69" s="123"/>
      <c r="DF69" s="23">
        <v>24.483740000000004</v>
      </c>
    </row>
    <row r="70" spans="1:110" s="23" customFormat="1" outlineLevel="1" x14ac:dyDescent="0.2">
      <c r="A70" s="23" t="s">
        <v>10</v>
      </c>
      <c r="B70" s="23">
        <f>'Annual Raw'!C17</f>
        <v>1.1723648</v>
      </c>
      <c r="C70" s="23">
        <f>'Annual Raw'!D17</f>
        <v>1.5864259000000001</v>
      </c>
      <c r="D70" s="23">
        <f>'Annual Raw'!E17</f>
        <v>2.0068644999999998</v>
      </c>
      <c r="E70" s="23">
        <f>'Annual Raw'!F17</f>
        <v>1.1453089000000001</v>
      </c>
      <c r="F70" s="23">
        <f>'Annual Raw'!G17</f>
        <v>1.5265568</v>
      </c>
      <c r="G70" s="23">
        <f>'Annual Raw'!H17</f>
        <v>2.3651086000000001</v>
      </c>
      <c r="H70" s="23">
        <f>'Annual Raw'!I17</f>
        <v>2.8069500999999999</v>
      </c>
      <c r="I70" s="23">
        <f>'Annual Raw'!J17</f>
        <v>3.0533717</v>
      </c>
      <c r="J70" s="23">
        <f>'Annual Raw'!K17</f>
        <v>3.9064112999999998</v>
      </c>
      <c r="K70" s="23">
        <f>'Annual Raw'!L17</f>
        <v>4.1112662000000002</v>
      </c>
      <c r="L70" s="23">
        <f>'Annual Raw'!M17</f>
        <v>15.8381516</v>
      </c>
      <c r="M70" s="23">
        <f>'Annual Raw'!N17</f>
        <v>10.335189099999999</v>
      </c>
      <c r="N70" s="23">
        <f>'Annual Raw'!O17</f>
        <v>11.0306148</v>
      </c>
      <c r="O70" s="23">
        <f>'Annual Raw'!P17</f>
        <v>13.0649</v>
      </c>
      <c r="P70" s="23">
        <f>'Annual Raw'!Q17</f>
        <v>17.074104800000001</v>
      </c>
      <c r="Q70" s="23">
        <f>'Annual Raw'!R17</f>
        <v>22.491335100000001</v>
      </c>
      <c r="R70" s="23">
        <f>'Annual Raw'!S17</f>
        <v>27.8027561</v>
      </c>
      <c r="S70" s="23">
        <f>'Annual Raw'!T17</f>
        <v>29.262159499999999</v>
      </c>
      <c r="T70" s="23">
        <f>'Annual Raw'!U17</f>
        <v>30.0767153</v>
      </c>
      <c r="U70" s="23">
        <f>'Annual Raw'!V17</f>
        <v>28.8194853</v>
      </c>
      <c r="V70" s="23">
        <f>'Annual Raw'!W17</f>
        <v>48.363300000000002</v>
      </c>
      <c r="W70" s="23">
        <f>'Annual Raw'!X17</f>
        <v>10.6525</v>
      </c>
      <c r="X70" s="23">
        <f>'Annual Raw'!Y17</f>
        <v>14.159700000000001</v>
      </c>
      <c r="Y70" s="23">
        <f>'Annual Raw'!Z17</f>
        <v>19.3247</v>
      </c>
      <c r="Z70" s="23">
        <f>'Annual Raw'!AA17</f>
        <v>14.661</v>
      </c>
      <c r="AA70" s="23">
        <f>'Annual Raw'!AB17</f>
        <v>16.979600000000001</v>
      </c>
      <c r="AB70" s="76">
        <f t="shared" si="443"/>
        <v>0</v>
      </c>
      <c r="AC70" s="76">
        <f t="shared" si="444"/>
        <v>0</v>
      </c>
      <c r="AD70" s="76">
        <f t="shared" si="445"/>
        <v>0</v>
      </c>
      <c r="AE70" s="76">
        <f t="shared" si="446"/>
        <v>0</v>
      </c>
      <c r="AI70" s="23">
        <f>'QTR Raw'!C17</f>
        <v>0</v>
      </c>
      <c r="AJ70" s="23">
        <f>'QTR Raw'!D17</f>
        <v>0</v>
      </c>
      <c r="AK70" s="23">
        <f>'QTR Raw'!E17</f>
        <v>0</v>
      </c>
      <c r="AL70" s="23">
        <f>'QTR Raw'!F17</f>
        <v>0</v>
      </c>
      <c r="AM70" s="23">
        <f>'QTR Raw'!G17</f>
        <v>0</v>
      </c>
      <c r="AN70" s="23">
        <f>'QTR Raw'!H17</f>
        <v>0</v>
      </c>
      <c r="AO70" s="23">
        <f>'QTR Raw'!I17</f>
        <v>0</v>
      </c>
      <c r="AP70" s="23">
        <f>'QTR Raw'!J17</f>
        <v>0</v>
      </c>
      <c r="AQ70" s="23">
        <f>'QTR Raw'!K17</f>
        <v>0</v>
      </c>
      <c r="AR70" s="23">
        <f>'QTR Raw'!L17</f>
        <v>0</v>
      </c>
      <c r="AS70" s="23">
        <f>'QTR Raw'!M17</f>
        <v>0</v>
      </c>
      <c r="AT70" s="23">
        <f>'QTR Raw'!N17</f>
        <v>0</v>
      </c>
      <c r="AU70" s="23">
        <f>'QTR Raw'!O17</f>
        <v>0</v>
      </c>
      <c r="AV70" s="23">
        <f>'QTR Raw'!P17</f>
        <v>0</v>
      </c>
      <c r="AW70" s="23">
        <f>'QTR Raw'!Q17</f>
        <v>0</v>
      </c>
      <c r="AX70" s="23">
        <f>'QTR Raw'!R17</f>
        <v>0</v>
      </c>
      <c r="AY70" s="23">
        <f>'QTR Raw'!S17</f>
        <v>0</v>
      </c>
      <c r="AZ70" s="23">
        <f>'QTR Raw'!T17</f>
        <v>0</v>
      </c>
      <c r="BA70" s="23">
        <f>'QTR Raw'!U17</f>
        <v>0</v>
      </c>
      <c r="BB70" s="23">
        <f>'QTR Raw'!V17</f>
        <v>0</v>
      </c>
      <c r="BC70" s="23">
        <f>'QTR Raw'!W17</f>
        <v>0</v>
      </c>
      <c r="BD70" s="23">
        <f>'QTR Raw'!X17</f>
        <v>0</v>
      </c>
      <c r="BE70" s="23">
        <f>'QTR Raw'!Y17</f>
        <v>0</v>
      </c>
      <c r="BF70" s="23">
        <f>'QTR Raw'!Z17</f>
        <v>0</v>
      </c>
      <c r="BG70" s="23">
        <f>'QTR Raw'!AA17</f>
        <v>0</v>
      </c>
      <c r="BH70" s="23">
        <f>'QTR Raw'!AB17</f>
        <v>0</v>
      </c>
      <c r="BI70" s="23">
        <f>'QTR Raw'!AC17</f>
        <v>0</v>
      </c>
      <c r="BJ70" s="23">
        <f>'QTR Raw'!AD17</f>
        <v>0</v>
      </c>
      <c r="BK70" s="23">
        <f>'QTR Raw'!AE17</f>
        <v>0</v>
      </c>
      <c r="BL70" s="23">
        <f>'QTR Raw'!AF17</f>
        <v>0</v>
      </c>
      <c r="BM70" s="23">
        <f>'QTR Raw'!AG17</f>
        <v>0</v>
      </c>
      <c r="BN70" s="23">
        <f>'QTR Raw'!AH17</f>
        <v>0</v>
      </c>
      <c r="BO70" s="23">
        <f>'QTR Raw'!AI17</f>
        <v>0</v>
      </c>
      <c r="BP70" s="23">
        <f>'QTR Raw'!AJ17</f>
        <v>0</v>
      </c>
      <c r="BQ70" s="23">
        <f>'QTR Raw'!AK17</f>
        <v>0</v>
      </c>
      <c r="BR70" s="23">
        <f>'QTR Raw'!AL17</f>
        <v>0</v>
      </c>
      <c r="BS70" s="23">
        <f>'QTR Raw'!AM17</f>
        <v>0</v>
      </c>
      <c r="BT70" s="23">
        <f>'QTR Raw'!AN17</f>
        <v>0</v>
      </c>
      <c r="BU70" s="23">
        <f>'QTR Raw'!AO17</f>
        <v>0</v>
      </c>
      <c r="BV70" s="23">
        <f>'QTR Raw'!AP17</f>
        <v>0</v>
      </c>
      <c r="BW70" s="23">
        <f>'QTR Raw'!AQ17</f>
        <v>0</v>
      </c>
      <c r="BX70" s="23">
        <f>'QTR Raw'!AR17</f>
        <v>0</v>
      </c>
      <c r="BY70" s="23">
        <f>'QTR Raw'!AS17</f>
        <v>0</v>
      </c>
      <c r="BZ70" s="23">
        <f>'QTR Raw'!AT17</f>
        <v>0</v>
      </c>
      <c r="CA70" s="23">
        <f>'QTR Raw'!AU17</f>
        <v>0</v>
      </c>
      <c r="CB70" s="23">
        <f>'QTR Raw'!AV17</f>
        <v>0</v>
      </c>
      <c r="CC70" s="23">
        <f>'QTR Raw'!AW17</f>
        <v>0</v>
      </c>
      <c r="CD70" s="23">
        <f>'QTR Raw'!AX17</f>
        <v>0</v>
      </c>
      <c r="CE70" s="23">
        <f>'QTR Raw'!AY17</f>
        <v>0</v>
      </c>
      <c r="CF70" s="23">
        <f>'QTR Raw'!AZ17</f>
        <v>0</v>
      </c>
      <c r="CG70" s="23">
        <f>'QTR Raw'!BA17</f>
        <v>0</v>
      </c>
      <c r="CH70" s="23">
        <f>'QTR Raw'!BB17</f>
        <v>0</v>
      </c>
      <c r="CI70" s="23">
        <f>'QTR Raw'!BC17</f>
        <v>0</v>
      </c>
      <c r="CJ70" s="23">
        <f>'QTR Raw'!BD17</f>
        <v>0</v>
      </c>
      <c r="CK70" s="23">
        <f>'QTR Raw'!BE17</f>
        <v>0</v>
      </c>
      <c r="CL70" s="23">
        <f>'QTR Raw'!BF17</f>
        <v>0</v>
      </c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E70" s="123"/>
      <c r="DF70" s="23">
        <v>0</v>
      </c>
    </row>
    <row r="71" spans="1:110" s="23" customFormat="1" outlineLevel="1" x14ac:dyDescent="0.2">
      <c r="A71" s="23" t="s">
        <v>12</v>
      </c>
      <c r="B71" s="23">
        <f>'Annual Raw'!C19-'Annual Raw'!C20</f>
        <v>3.6686099999999999E-2</v>
      </c>
      <c r="C71" s="23">
        <f>'Annual Raw'!D19-'Annual Raw'!D20</f>
        <v>0.25680249999999999</v>
      </c>
      <c r="D71" s="23">
        <f>'Annual Raw'!E19-'Annual Raw'!E20</f>
        <v>0</v>
      </c>
      <c r="E71" s="23">
        <f>'Annual Raw'!F19-'Annual Raw'!F20</f>
        <v>3.8689000000000001E-2</v>
      </c>
      <c r="F71" s="23">
        <f>'Annual Raw'!G19-'Annual Raw'!G20</f>
        <v>0.01</v>
      </c>
      <c r="G71" s="23">
        <f>'Annual Raw'!H19-'Annual Raw'!H20</f>
        <v>0.41273110000000002</v>
      </c>
      <c r="H71" s="23">
        <f>'Annual Raw'!I19-'Annual Raw'!I20</f>
        <v>0.23073879999999999</v>
      </c>
      <c r="I71" s="23">
        <f>'Annual Raw'!J19-'Annual Raw'!J20</f>
        <v>0.23073879999999999</v>
      </c>
      <c r="J71" s="23">
        <f>'Annual Raw'!K19-'Annual Raw'!K20</f>
        <v>0.23073879999999999</v>
      </c>
      <c r="K71" s="23">
        <f>'Annual Raw'!L19-'Annual Raw'!L20</f>
        <v>0.2042505</v>
      </c>
      <c r="L71" s="23">
        <f>'Annual Raw'!M19-'Annual Raw'!M20</f>
        <v>0.2273617</v>
      </c>
      <c r="M71" s="23">
        <f>'Annual Raw'!N19-'Annual Raw'!N20</f>
        <v>0</v>
      </c>
      <c r="N71" s="23">
        <f>'Annual Raw'!O19-'Annual Raw'!O20</f>
        <v>0</v>
      </c>
      <c r="O71" s="23">
        <f>'Annual Raw'!P19-'Annual Raw'!P20</f>
        <v>2.1299999999999999E-2</v>
      </c>
      <c r="P71" s="23">
        <f>'Annual Raw'!Q19-'Annual Raw'!Q20</f>
        <v>2.0633715000000001</v>
      </c>
      <c r="Q71" s="23">
        <f>'Annual Raw'!R19-'Annual Raw'!R20</f>
        <v>1.0276803999999999</v>
      </c>
      <c r="R71" s="23">
        <f>'Annual Raw'!S19-'Annual Raw'!S20</f>
        <v>1.3496117000000001</v>
      </c>
      <c r="S71" s="23">
        <f>'Annual Raw'!T19-'Annual Raw'!T20</f>
        <v>1.8903798000000001</v>
      </c>
      <c r="T71" s="23">
        <f>'Annual Raw'!U19-'Annual Raw'!U20</f>
        <v>2.6302460000000001</v>
      </c>
      <c r="U71" s="23">
        <f>'Annual Raw'!V19-'Annual Raw'!V20</f>
        <v>2.7938749999999999</v>
      </c>
      <c r="V71" s="23">
        <f>'Annual Raw'!W19-'Annual Raw'!W20</f>
        <v>3.8494000000000002</v>
      </c>
      <c r="W71" s="23">
        <f>'Annual Raw'!X19-'Annual Raw'!X20</f>
        <v>6.1620999999999997</v>
      </c>
      <c r="X71" s="23">
        <f>'Annual Raw'!Y19-'Annual Raw'!Y20</f>
        <v>14.313800000000001</v>
      </c>
      <c r="Y71" s="23">
        <f>'Annual Raw'!Z19-'Annual Raw'!Z20</f>
        <v>17.150700000000001</v>
      </c>
      <c r="Z71" s="23">
        <f>'Annual Raw'!AA19-'Annual Raw'!AA20</f>
        <v>13.8148</v>
      </c>
      <c r="AA71" s="23">
        <f>'Annual Raw'!AB19-'Annual Raw'!AB20</f>
        <v>9.5472000000000001</v>
      </c>
      <c r="AB71" s="76">
        <f t="shared" si="443"/>
        <v>0</v>
      </c>
      <c r="AC71" s="76">
        <f t="shared" si="444"/>
        <v>0</v>
      </c>
      <c r="AD71" s="76">
        <f t="shared" si="445"/>
        <v>0</v>
      </c>
      <c r="AE71" s="76">
        <f t="shared" si="446"/>
        <v>0</v>
      </c>
      <c r="AI71" s="23">
        <f>+'QTR Raw'!C21</f>
        <v>0</v>
      </c>
      <c r="AJ71" s="23">
        <f>+'QTR Raw'!D21</f>
        <v>0</v>
      </c>
      <c r="AK71" s="23">
        <f>+'QTR Raw'!E21</f>
        <v>0</v>
      </c>
      <c r="AL71" s="23">
        <f>+'QTR Raw'!F21</f>
        <v>0</v>
      </c>
      <c r="AM71" s="23">
        <f>+'QTR Raw'!G21</f>
        <v>0</v>
      </c>
      <c r="AN71" s="23">
        <f>+'QTR Raw'!H21</f>
        <v>0</v>
      </c>
      <c r="AO71" s="23">
        <f>+'QTR Raw'!I21</f>
        <v>0</v>
      </c>
      <c r="AP71" s="23">
        <f>+'QTR Raw'!J21</f>
        <v>0</v>
      </c>
      <c r="AQ71" s="23">
        <f>+'QTR Raw'!K21</f>
        <v>0</v>
      </c>
      <c r="AR71" s="23">
        <f>+'QTR Raw'!L21</f>
        <v>0</v>
      </c>
      <c r="AS71" s="23">
        <f>+'QTR Raw'!M21</f>
        <v>0</v>
      </c>
      <c r="AT71" s="23">
        <f>+'QTR Raw'!N21</f>
        <v>0</v>
      </c>
      <c r="AU71" s="23">
        <f>+'QTR Raw'!O21</f>
        <v>0</v>
      </c>
      <c r="AV71" s="23">
        <f>+'QTR Raw'!P21</f>
        <v>0</v>
      </c>
      <c r="AW71" s="23">
        <f>+'QTR Raw'!Q21</f>
        <v>0</v>
      </c>
      <c r="AX71" s="23">
        <f>+'QTR Raw'!R21</f>
        <v>0</v>
      </c>
      <c r="AY71" s="23">
        <f>+'QTR Raw'!S21</f>
        <v>0</v>
      </c>
      <c r="AZ71" s="23">
        <f>+'QTR Raw'!T21</f>
        <v>0</v>
      </c>
      <c r="BA71" s="23">
        <f>+'QTR Raw'!U21</f>
        <v>0</v>
      </c>
      <c r="BB71" s="23">
        <f>+'QTR Raw'!V21</f>
        <v>0</v>
      </c>
      <c r="BC71" s="23">
        <f>+'QTR Raw'!W21</f>
        <v>0</v>
      </c>
      <c r="BD71" s="23">
        <f>+'QTR Raw'!X21</f>
        <v>0</v>
      </c>
      <c r="BE71" s="23">
        <f>+'QTR Raw'!Y21</f>
        <v>0</v>
      </c>
      <c r="BF71" s="23">
        <f>+'QTR Raw'!Z21</f>
        <v>0</v>
      </c>
      <c r="BG71" s="23">
        <f>+'QTR Raw'!AA21</f>
        <v>0</v>
      </c>
      <c r="BH71" s="23">
        <f>+'QTR Raw'!AB21</f>
        <v>0</v>
      </c>
      <c r="BI71" s="23">
        <f>+'QTR Raw'!AC21</f>
        <v>0</v>
      </c>
      <c r="BJ71" s="23">
        <f>+'QTR Raw'!AD21</f>
        <v>0</v>
      </c>
      <c r="BK71" s="23">
        <f>+'QTR Raw'!AE21</f>
        <v>0</v>
      </c>
      <c r="BL71" s="23">
        <f>+'QTR Raw'!AF21</f>
        <v>0</v>
      </c>
      <c r="BM71" s="23">
        <f>+'QTR Raw'!AG21</f>
        <v>0</v>
      </c>
      <c r="BN71" s="23">
        <f>+'QTR Raw'!AH21</f>
        <v>0</v>
      </c>
      <c r="BO71" s="23">
        <f>+'QTR Raw'!AI21</f>
        <v>0</v>
      </c>
      <c r="BP71" s="23">
        <f>+'QTR Raw'!AJ21</f>
        <v>0</v>
      </c>
      <c r="BQ71" s="23">
        <f>+'QTR Raw'!AK21</f>
        <v>0</v>
      </c>
      <c r="BR71" s="23">
        <f>+'QTR Raw'!AL21</f>
        <v>0</v>
      </c>
      <c r="BS71" s="23">
        <f>+'QTR Raw'!AM21</f>
        <v>0</v>
      </c>
      <c r="BT71" s="23">
        <f>+'QTR Raw'!AN21</f>
        <v>0</v>
      </c>
      <c r="BU71" s="23">
        <f>+'QTR Raw'!AO21</f>
        <v>0</v>
      </c>
      <c r="BV71" s="23">
        <f>+'QTR Raw'!AP21</f>
        <v>0</v>
      </c>
      <c r="BW71" s="23">
        <f>+'QTR Raw'!AQ21</f>
        <v>0</v>
      </c>
      <c r="BX71" s="23">
        <f>+'QTR Raw'!AR21</f>
        <v>0</v>
      </c>
      <c r="BY71" s="23">
        <f>+'QTR Raw'!AS21</f>
        <v>0</v>
      </c>
      <c r="BZ71" s="23">
        <f>+'QTR Raw'!AT21</f>
        <v>0</v>
      </c>
      <c r="CA71" s="23">
        <f>+'QTR Raw'!AU21</f>
        <v>0</v>
      </c>
      <c r="CB71" s="23">
        <f>+'QTR Raw'!AV21</f>
        <v>0</v>
      </c>
      <c r="CC71" s="23">
        <f>+'QTR Raw'!AW21</f>
        <v>0</v>
      </c>
      <c r="CD71" s="23">
        <f>+'QTR Raw'!AX21</f>
        <v>0</v>
      </c>
      <c r="CE71" s="23">
        <f>+'QTR Raw'!AY21</f>
        <v>0</v>
      </c>
      <c r="CF71" s="23">
        <f>+'QTR Raw'!AZ21</f>
        <v>0</v>
      </c>
      <c r="CG71" s="23">
        <f>+'QTR Raw'!BA21</f>
        <v>0</v>
      </c>
      <c r="CH71" s="23">
        <f>+'QTR Raw'!BB21</f>
        <v>0</v>
      </c>
      <c r="CI71" s="23">
        <f>+'QTR Raw'!BC21</f>
        <v>0</v>
      </c>
      <c r="CJ71" s="23">
        <f>+'QTR Raw'!BD21</f>
        <v>0</v>
      </c>
      <c r="CK71" s="23">
        <f>+'QTR Raw'!BE21</f>
        <v>0</v>
      </c>
      <c r="CL71" s="23">
        <f>+'QTR Raw'!BF21</f>
        <v>0</v>
      </c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E71" s="123"/>
      <c r="DF71" s="23">
        <v>0</v>
      </c>
    </row>
    <row r="72" spans="1:110" s="23" customFormat="1" outlineLevel="1" x14ac:dyDescent="0.2">
      <c r="A72" s="23" t="s">
        <v>9</v>
      </c>
      <c r="B72" s="23">
        <f>'Annual Raw'!C15+'Annual Raw'!C16</f>
        <v>1.6168982000000001</v>
      </c>
      <c r="C72" s="23">
        <f>'Annual Raw'!D15+'Annual Raw'!D16</f>
        <v>2.4421327000000002</v>
      </c>
      <c r="D72" s="23">
        <f>'Annual Raw'!E15+'Annual Raw'!E16</f>
        <v>3.6772315999999998</v>
      </c>
      <c r="E72" s="23">
        <f>'Annual Raw'!F15+'Annual Raw'!F16</f>
        <v>4.4617804000000003</v>
      </c>
      <c r="F72" s="23">
        <f>'Annual Raw'!G15+'Annual Raw'!G16</f>
        <v>6.3403451000000004</v>
      </c>
      <c r="G72" s="23">
        <f>'Annual Raw'!H15+'Annual Raw'!H16</f>
        <v>9.6007268000000003</v>
      </c>
      <c r="H72" s="23">
        <f>'Annual Raw'!I15+'Annual Raw'!I16</f>
        <v>13.7043476</v>
      </c>
      <c r="I72" s="23">
        <f>'Annual Raw'!J15+'Annual Raw'!J16</f>
        <v>16.888919699999999</v>
      </c>
      <c r="J72" s="23">
        <f>'Annual Raw'!K15+'Annual Raw'!K16</f>
        <v>14.207914000000001</v>
      </c>
      <c r="K72" s="23">
        <f>'Annual Raw'!L15+'Annual Raw'!L16</f>
        <v>18.726176500000001</v>
      </c>
      <c r="L72" s="23">
        <f>'Annual Raw'!M15+'Annual Raw'!M16</f>
        <v>17.557192799999999</v>
      </c>
      <c r="M72" s="23">
        <f>'Annual Raw'!N15+'Annual Raw'!N16</f>
        <v>19.005962400000001</v>
      </c>
      <c r="N72" s="23">
        <f>'Annual Raw'!O15+'Annual Raw'!O16</f>
        <v>22.354117500000001</v>
      </c>
      <c r="O72" s="23">
        <f>'Annual Raw'!P15+'Annual Raw'!P16</f>
        <v>24.570599999999999</v>
      </c>
      <c r="P72" s="23">
        <f>'Annual Raw'!Q15+'Annual Raw'!Q16</f>
        <v>26.576192299999999</v>
      </c>
      <c r="Q72" s="23">
        <f>'Annual Raw'!R15+'Annual Raw'!R16</f>
        <v>9.5089488000000006</v>
      </c>
      <c r="R72" s="23">
        <f>'Annual Raw'!S15+'Annual Raw'!S16</f>
        <v>18.091172700000001</v>
      </c>
      <c r="S72" s="23">
        <f>'Annual Raw'!T15+'Annual Raw'!T16</f>
        <v>16.035813399999999</v>
      </c>
      <c r="T72" s="23">
        <f>'Annual Raw'!U15+'Annual Raw'!U16</f>
        <v>19.257876100000001</v>
      </c>
      <c r="U72" s="23">
        <f>'Annual Raw'!V15+'Annual Raw'!V16</f>
        <v>15.0490605</v>
      </c>
      <c r="V72" s="23">
        <f>'Annual Raw'!W15+'Annual Raw'!W16</f>
        <v>18.131</v>
      </c>
      <c r="W72" s="23">
        <f>'Annual Raw'!X15+'Annual Raw'!X16</f>
        <v>79.340199999999996</v>
      </c>
      <c r="X72" s="23">
        <f>'Annual Raw'!Y15+'Annual Raw'!Y16</f>
        <v>77.000100000000003</v>
      </c>
      <c r="Y72" s="23">
        <f>'Annual Raw'!Z15+'Annual Raw'!Z16</f>
        <v>69.813900000000004</v>
      </c>
      <c r="Z72" s="23">
        <f>'Annual Raw'!AA15+'Annual Raw'!AA16</f>
        <v>65.324299999999994</v>
      </c>
      <c r="AA72" s="23">
        <f>'Annual Raw'!AB15+'Annual Raw'!AB16</f>
        <v>65.093199999999996</v>
      </c>
      <c r="AB72" s="76">
        <f t="shared" si="443"/>
        <v>371.63814651405693</v>
      </c>
      <c r="AC72" s="76">
        <f t="shared" si="444"/>
        <v>598.53224921471758</v>
      </c>
      <c r="AD72" s="76">
        <f t="shared" si="445"/>
        <v>856.36302084661656</v>
      </c>
      <c r="AE72" s="76">
        <f t="shared" si="446"/>
        <v>1226.2313354894072</v>
      </c>
      <c r="AI72" s="23">
        <f>'QTR Raw'!C14</f>
        <v>24.745999999999999</v>
      </c>
      <c r="AJ72" s="23">
        <f>'QTR Raw'!D14</f>
        <v>24.727</v>
      </c>
      <c r="AK72" s="23">
        <f>'QTR Raw'!E14</f>
        <v>20.888999999999999</v>
      </c>
      <c r="AL72" s="23">
        <f>'QTR Raw'!F14</f>
        <v>31.01</v>
      </c>
      <c r="AM72" s="23">
        <f>'QTR Raw'!G14</f>
        <v>22.73</v>
      </c>
      <c r="AN72" s="23">
        <f>'QTR Raw'!H14</f>
        <v>32.530999999999999</v>
      </c>
      <c r="AO72" s="23">
        <f>'QTR Raw'!I14</f>
        <v>27.14</v>
      </c>
      <c r="AP72" s="23">
        <f>'QTR Raw'!J14</f>
        <v>34.950000000000003</v>
      </c>
      <c r="AQ72" s="23">
        <f>'QTR Raw'!K14</f>
        <v>32.6</v>
      </c>
      <c r="AR72" s="23">
        <f>'QTR Raw'!L14</f>
        <v>32.677</v>
      </c>
      <c r="AS72" s="23">
        <f>'QTR Raw'!M14</f>
        <v>29.443000000000001</v>
      </c>
      <c r="AT72" s="23">
        <f>'QTR Raw'!N14</f>
        <v>32.609000000000002</v>
      </c>
      <c r="AU72" s="23">
        <f>'QTR Raw'!O14</f>
        <v>29.295000000000002</v>
      </c>
      <c r="AV72" s="23">
        <f>'QTR Raw'!P14</f>
        <v>46.420999999999999</v>
      </c>
      <c r="AW72" s="23">
        <f>'QTR Raw'!Q14</f>
        <v>44.527000000000001</v>
      </c>
      <c r="AX72" s="23">
        <f>'QTR Raw'!R14</f>
        <v>45.533999999999999</v>
      </c>
      <c r="AY72" s="23">
        <f>'QTR Raw'!S14</f>
        <v>47.061999999999998</v>
      </c>
      <c r="AZ72" s="23">
        <f>'QTR Raw'!T14</f>
        <v>43.920999999999999</v>
      </c>
      <c r="BA72" s="23">
        <f>'QTR Raw'!U14</f>
        <v>50.87</v>
      </c>
      <c r="BB72" s="23">
        <f>'QTR Raw'!V14</f>
        <v>50.871000000000002</v>
      </c>
      <c r="BC72" s="23">
        <f>'QTR Raw'!W14</f>
        <v>49.805</v>
      </c>
      <c r="BD72" s="23">
        <f>'QTR Raw'!X14</f>
        <v>37.387</v>
      </c>
      <c r="BE72" s="23">
        <f>'QTR Raw'!Y14</f>
        <v>38.524000000000001</v>
      </c>
      <c r="BF72" s="23">
        <f>'QTR Raw'!Z14</f>
        <v>51.023000000000003</v>
      </c>
      <c r="BG72" s="23">
        <f>'QTR Raw'!AA14</f>
        <v>47.386000000000003</v>
      </c>
      <c r="BH72" s="23">
        <f>'QTR Raw'!AB14</f>
        <v>44.9</v>
      </c>
      <c r="BI72" s="23">
        <f>'QTR Raw'!AC14</f>
        <v>44.71</v>
      </c>
      <c r="BJ72" s="23">
        <f>'QTR Raw'!AD14</f>
        <v>47.622</v>
      </c>
      <c r="BK72" s="23">
        <f>'QTR Raw'!AE14</f>
        <v>44.460999999999999</v>
      </c>
      <c r="BL72" s="23">
        <f>'QTR Raw'!AF14</f>
        <v>46.037999999999997</v>
      </c>
      <c r="BM72" s="23">
        <f>'QTR Raw'!AG14</f>
        <v>48.436999999999998</v>
      </c>
      <c r="BN72" s="23">
        <f>'QTR Raw'!AH14</f>
        <v>51.271000000000001</v>
      </c>
      <c r="BO72" s="23">
        <f>'QTR Raw'!AI14</f>
        <v>40.110999999999997</v>
      </c>
      <c r="BP72" s="23">
        <f>'QTR Raw'!AJ14</f>
        <v>55.591999999999999</v>
      </c>
      <c r="BQ72" s="23">
        <f>'QTR Raw'!AK14</f>
        <v>69.006</v>
      </c>
      <c r="BR72" s="23">
        <f>'QTR Raw'!AL14</f>
        <v>75.441000000000003</v>
      </c>
      <c r="BS72" s="23">
        <f>'QTR Raw'!AM14</f>
        <v>70.727999999999994</v>
      </c>
      <c r="BT72" s="23">
        <f>'QTR Raw'!AN14</f>
        <v>96.763999999999996</v>
      </c>
      <c r="BU72" s="23">
        <f>'QTR Raw'!AO14</f>
        <v>99.203000000000003</v>
      </c>
      <c r="BV72" s="23">
        <f>'QTR Raw'!AP14</f>
        <v>112.908</v>
      </c>
      <c r="BW72" s="23">
        <f>'QTR Raw'!AQ14</f>
        <v>109.92</v>
      </c>
      <c r="BX72" s="23">
        <f>'QTR Raw'!AR14</f>
        <v>107.783</v>
      </c>
      <c r="BY72" s="23">
        <f>'QTR Raw'!AS14</f>
        <v>99.766999999999996</v>
      </c>
      <c r="BZ72" s="23">
        <f>'QTR Raw'!AT14</f>
        <v>97.875</v>
      </c>
      <c r="CA72" s="23">
        <f>'QTR Raw'!AU14</f>
        <v>91.706000000000003</v>
      </c>
      <c r="CB72" s="23">
        <f>'QTR Raw'!AV14</f>
        <v>85.135999999999996</v>
      </c>
      <c r="CC72" s="23">
        <f>'QTR Raw'!AW14</f>
        <v>76.94</v>
      </c>
      <c r="CD72" s="23">
        <f>'QTR Raw'!AX14</f>
        <v>78.531000000000006</v>
      </c>
      <c r="CE72" s="23">
        <f>'QTR Raw'!AY14</f>
        <v>82.423000000000002</v>
      </c>
      <c r="CF72" s="23">
        <f>'QTR Raw'!AZ14</f>
        <v>78.924000000000007</v>
      </c>
      <c r="CG72" s="23">
        <f>'QTR Raw'!BA14</f>
        <v>70.894000000000005</v>
      </c>
      <c r="CH72" s="23">
        <f>'QTR Raw'!BB14</f>
        <v>72.179000000000002</v>
      </c>
      <c r="CI72" s="23">
        <f>'QTR Raw'!BC14</f>
        <v>71.156000000000006</v>
      </c>
      <c r="CJ72" s="23">
        <f>'QTR Raw'!BD14</f>
        <v>76.289000000000001</v>
      </c>
      <c r="CK72" s="23">
        <f>'QTR Raw'!BE14</f>
        <v>72.674999999999997</v>
      </c>
      <c r="CL72" s="23">
        <f>'QTR Raw'!BF14</f>
        <v>53.46</v>
      </c>
      <c r="CM72" s="24">
        <f t="shared" ref="CM72:DB72" si="448">CM75-CM69-CM70-CM71-CM73-CM74</f>
        <v>89.614530907258128</v>
      </c>
      <c r="CN72" s="24">
        <f t="shared" si="448"/>
        <v>92.664768611692836</v>
      </c>
      <c r="CO72" s="24">
        <f t="shared" si="448"/>
        <v>90.476532865683652</v>
      </c>
      <c r="CP72" s="24">
        <f t="shared" si="448"/>
        <v>98.88231412942234</v>
      </c>
      <c r="CQ72" s="24">
        <f t="shared" si="448"/>
        <v>141.94978135806352</v>
      </c>
      <c r="CR72" s="24">
        <f t="shared" si="448"/>
        <v>147.55668627813463</v>
      </c>
      <c r="CS72" s="24">
        <f t="shared" si="448"/>
        <v>142.68602300170079</v>
      </c>
      <c r="CT72" s="24">
        <f t="shared" si="448"/>
        <v>166.33975857681861</v>
      </c>
      <c r="CU72" s="24">
        <f t="shared" si="448"/>
        <v>202.19016279037569</v>
      </c>
      <c r="CV72" s="24">
        <f t="shared" si="448"/>
        <v>210.43679820791411</v>
      </c>
      <c r="CW72" s="24">
        <f t="shared" si="448"/>
        <v>203.3540425664122</v>
      </c>
      <c r="CX72" s="24">
        <f t="shared" si="448"/>
        <v>240.38201728191456</v>
      </c>
      <c r="CY72" s="24">
        <f t="shared" si="448"/>
        <v>289.35558442565059</v>
      </c>
      <c r="CZ72" s="24">
        <f t="shared" si="448"/>
        <v>300.92499308979114</v>
      </c>
      <c r="DA72" s="24">
        <f t="shared" si="448"/>
        <v>290.13238415908421</v>
      </c>
      <c r="DB72" s="24">
        <f t="shared" si="448"/>
        <v>345.81837381488117</v>
      </c>
      <c r="DE72" s="123"/>
      <c r="DF72" s="23">
        <v>94.577156121962588</v>
      </c>
    </row>
    <row r="73" spans="1:110" s="23" customFormat="1" outlineLevel="1" x14ac:dyDescent="0.2">
      <c r="A73" s="23" t="s">
        <v>7</v>
      </c>
      <c r="B73" s="23">
        <f>'Annual Raw'!C13</f>
        <v>3.7361171999999998</v>
      </c>
      <c r="C73" s="23">
        <f>'Annual Raw'!D13</f>
        <v>3.9301357000000001</v>
      </c>
      <c r="D73" s="23">
        <f>'Annual Raw'!E13</f>
        <v>4.7636878999999999</v>
      </c>
      <c r="E73" s="23">
        <f>'Annual Raw'!F13</f>
        <v>7.1645532999999997</v>
      </c>
      <c r="F73" s="23">
        <f>'Annual Raw'!G13</f>
        <v>9.0957375000000003</v>
      </c>
      <c r="G73" s="23">
        <f>'Annual Raw'!H13</f>
        <v>11.449297100000001</v>
      </c>
      <c r="H73" s="23">
        <f>'Annual Raw'!I13</f>
        <v>15.1320465</v>
      </c>
      <c r="I73" s="23">
        <f>'Annual Raw'!J13</f>
        <v>17.365087200000001</v>
      </c>
      <c r="J73" s="23">
        <f>'Annual Raw'!K13</f>
        <v>23.074569199999999</v>
      </c>
      <c r="K73" s="23">
        <f>'Annual Raw'!L13</f>
        <v>28.4872625</v>
      </c>
      <c r="L73" s="23">
        <f>'Annual Raw'!M13</f>
        <v>39.581493000000002</v>
      </c>
      <c r="M73" s="23">
        <f>'Annual Raw'!N13</f>
        <v>49.989398199999997</v>
      </c>
      <c r="N73" s="23">
        <f>'Annual Raw'!O13</f>
        <v>54.343789200000003</v>
      </c>
      <c r="O73" s="23">
        <f>'Annual Raw'!P13</f>
        <v>63.809399999999997</v>
      </c>
      <c r="P73" s="23">
        <f>'Annual Raw'!Q13</f>
        <v>64.576120399999994</v>
      </c>
      <c r="Q73" s="23">
        <f>'Annual Raw'!R13</f>
        <v>62.423136399999997</v>
      </c>
      <c r="R73" s="23">
        <f>'Annual Raw'!S13</f>
        <v>57.940365</v>
      </c>
      <c r="S73" s="23">
        <f>'Annual Raw'!T13</f>
        <v>76.517341400000007</v>
      </c>
      <c r="T73" s="23">
        <f>'Annual Raw'!U13</f>
        <v>84.700332099999997</v>
      </c>
      <c r="U73" s="23">
        <f>'Annual Raw'!V13</f>
        <v>95.030401800000007</v>
      </c>
      <c r="V73" s="23">
        <f>'Annual Raw'!W13</f>
        <v>125.0226</v>
      </c>
      <c r="W73" s="23">
        <f>'Annual Raw'!X13</f>
        <v>209.9179</v>
      </c>
      <c r="X73" s="23">
        <f>'Annual Raw'!Y13</f>
        <v>237.5692</v>
      </c>
      <c r="Y73" s="23">
        <f>'Annual Raw'!Z13</f>
        <v>169.8792</v>
      </c>
      <c r="Z73" s="23">
        <f>'Annual Raw'!AA13</f>
        <v>149.6147</v>
      </c>
      <c r="AA73" s="23">
        <f>'Annual Raw'!AB13</f>
        <v>118.685</v>
      </c>
      <c r="AB73" s="76">
        <f t="shared" si="443"/>
        <v>0</v>
      </c>
      <c r="AC73" s="76">
        <f t="shared" si="444"/>
        <v>0</v>
      </c>
      <c r="AD73" s="76">
        <f t="shared" si="445"/>
        <v>0</v>
      </c>
      <c r="AE73" s="76">
        <f t="shared" si="446"/>
        <v>0</v>
      </c>
      <c r="AI73" s="23">
        <f>'QTR Raw'!C15</f>
        <v>0</v>
      </c>
      <c r="AJ73" s="23">
        <f>'QTR Raw'!D15</f>
        <v>0</v>
      </c>
      <c r="AK73" s="23">
        <f>'QTR Raw'!E15</f>
        <v>0</v>
      </c>
      <c r="AL73" s="23">
        <f>'QTR Raw'!F15</f>
        <v>0</v>
      </c>
      <c r="AM73" s="23">
        <f>'QTR Raw'!G15</f>
        <v>0</v>
      </c>
      <c r="AN73" s="23">
        <f>'QTR Raw'!H15</f>
        <v>0</v>
      </c>
      <c r="AO73" s="23">
        <f>'QTR Raw'!I15</f>
        <v>0</v>
      </c>
      <c r="AP73" s="23">
        <f>'QTR Raw'!J15</f>
        <v>0</v>
      </c>
      <c r="AQ73" s="23">
        <f>'QTR Raw'!K15</f>
        <v>0</v>
      </c>
      <c r="AR73" s="23">
        <f>'QTR Raw'!L15</f>
        <v>0</v>
      </c>
      <c r="AS73" s="23">
        <f>'QTR Raw'!M15</f>
        <v>0</v>
      </c>
      <c r="AT73" s="23">
        <f>'QTR Raw'!N15</f>
        <v>0</v>
      </c>
      <c r="AU73" s="23">
        <f>'QTR Raw'!O15</f>
        <v>0</v>
      </c>
      <c r="AV73" s="23">
        <f>'QTR Raw'!P15</f>
        <v>0</v>
      </c>
      <c r="AW73" s="23">
        <f>'QTR Raw'!Q15</f>
        <v>0</v>
      </c>
      <c r="AX73" s="23">
        <f>'QTR Raw'!R15</f>
        <v>0</v>
      </c>
      <c r="AY73" s="23">
        <f>'QTR Raw'!S15</f>
        <v>0</v>
      </c>
      <c r="AZ73" s="23">
        <f>'QTR Raw'!T15</f>
        <v>0</v>
      </c>
      <c r="BA73" s="23">
        <f>'QTR Raw'!U15</f>
        <v>0</v>
      </c>
      <c r="BB73" s="23">
        <f>'QTR Raw'!V15</f>
        <v>0</v>
      </c>
      <c r="BC73" s="23">
        <f>'QTR Raw'!W15</f>
        <v>0</v>
      </c>
      <c r="BD73" s="23">
        <f>'QTR Raw'!X15</f>
        <v>0</v>
      </c>
      <c r="BE73" s="23">
        <f>'QTR Raw'!Y15</f>
        <v>0</v>
      </c>
      <c r="BF73" s="23">
        <f>'QTR Raw'!Z15</f>
        <v>0</v>
      </c>
      <c r="BG73" s="23">
        <f>'QTR Raw'!AA15</f>
        <v>0</v>
      </c>
      <c r="BH73" s="23">
        <f>'QTR Raw'!AB15</f>
        <v>0</v>
      </c>
      <c r="BI73" s="23">
        <f>'QTR Raw'!AC15</f>
        <v>0</v>
      </c>
      <c r="BJ73" s="23">
        <f>'QTR Raw'!AD15</f>
        <v>0</v>
      </c>
      <c r="BK73" s="23">
        <f>'QTR Raw'!AE15</f>
        <v>0</v>
      </c>
      <c r="BL73" s="23">
        <f>'QTR Raw'!AF15</f>
        <v>0</v>
      </c>
      <c r="BM73" s="23">
        <f>'QTR Raw'!AG15</f>
        <v>0</v>
      </c>
      <c r="BN73" s="23">
        <f>'QTR Raw'!AH15</f>
        <v>0</v>
      </c>
      <c r="BO73" s="23">
        <f>'QTR Raw'!AI15</f>
        <v>0</v>
      </c>
      <c r="BP73" s="23">
        <f>'QTR Raw'!AJ15</f>
        <v>0</v>
      </c>
      <c r="BQ73" s="23">
        <f>'QTR Raw'!AK15</f>
        <v>0</v>
      </c>
      <c r="BR73" s="23">
        <f>'QTR Raw'!AL15</f>
        <v>0</v>
      </c>
      <c r="BS73" s="23">
        <f>'QTR Raw'!AM15</f>
        <v>0</v>
      </c>
      <c r="BT73" s="23">
        <f>'QTR Raw'!AN15</f>
        <v>0</v>
      </c>
      <c r="BU73" s="23">
        <f>'QTR Raw'!AO15</f>
        <v>0</v>
      </c>
      <c r="BV73" s="23">
        <f>'QTR Raw'!AP15</f>
        <v>0</v>
      </c>
      <c r="BW73" s="23">
        <f>'QTR Raw'!AQ15</f>
        <v>0</v>
      </c>
      <c r="BX73" s="23">
        <f>'QTR Raw'!AR15</f>
        <v>0</v>
      </c>
      <c r="BY73" s="23">
        <f>'QTR Raw'!AS15</f>
        <v>0</v>
      </c>
      <c r="BZ73" s="23">
        <f>'QTR Raw'!AT15</f>
        <v>0</v>
      </c>
      <c r="CA73" s="23">
        <f>'QTR Raw'!AU15</f>
        <v>0</v>
      </c>
      <c r="CB73" s="23">
        <f>'QTR Raw'!AV15</f>
        <v>0</v>
      </c>
      <c r="CC73" s="23">
        <f>'QTR Raw'!AW15</f>
        <v>0</v>
      </c>
      <c r="CD73" s="23">
        <f>'QTR Raw'!AX15</f>
        <v>0</v>
      </c>
      <c r="CE73" s="23">
        <f>'QTR Raw'!AY15</f>
        <v>0</v>
      </c>
      <c r="CF73" s="23">
        <f>'QTR Raw'!AZ15</f>
        <v>0</v>
      </c>
      <c r="CG73" s="23">
        <f>'QTR Raw'!BA15</f>
        <v>0</v>
      </c>
      <c r="CH73" s="23">
        <f>'QTR Raw'!BB15</f>
        <v>0</v>
      </c>
      <c r="CI73" s="23">
        <f>'QTR Raw'!BC15</f>
        <v>0</v>
      </c>
      <c r="CJ73" s="23">
        <f>'QTR Raw'!BD15</f>
        <v>0</v>
      </c>
      <c r="CK73" s="23">
        <f>'QTR Raw'!BE15</f>
        <v>0</v>
      </c>
      <c r="CL73" s="23">
        <f>'QTR Raw'!BF15</f>
        <v>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3"/>
      <c r="DF73" s="23">
        <v>0</v>
      </c>
    </row>
    <row r="74" spans="1:110" s="23" customFormat="1" outlineLevel="1" x14ac:dyDescent="0.2">
      <c r="A74" s="23" t="s">
        <v>11</v>
      </c>
      <c r="B74" s="23">
        <f>'Annual Raw'!C18</f>
        <v>0.88932449999999996</v>
      </c>
      <c r="C74" s="23">
        <f>'Annual Raw'!D18</f>
        <v>1.1137668000000001</v>
      </c>
      <c r="D74" s="23">
        <f>'Annual Raw'!E18</f>
        <v>1.8791209</v>
      </c>
      <c r="E74" s="23">
        <f>'Annual Raw'!F18</f>
        <v>2.3340399000000001</v>
      </c>
      <c r="F74" s="23">
        <f>'Annual Raw'!G18</f>
        <v>3.2671532000000001</v>
      </c>
      <c r="G74" s="23">
        <f>'Annual Raw'!H18</f>
        <v>6.7559614999999997</v>
      </c>
      <c r="H74" s="23">
        <f>'Annual Raw'!I18</f>
        <v>10.2509137</v>
      </c>
      <c r="I74" s="23">
        <f>'Annual Raw'!J18</f>
        <v>11.569645100000001</v>
      </c>
      <c r="J74" s="23">
        <f>'Annual Raw'!K18</f>
        <v>12.222967300000001</v>
      </c>
      <c r="K74" s="23">
        <f>'Annual Raw'!L18</f>
        <v>13.766982</v>
      </c>
      <c r="L74" s="23">
        <f>'Annual Raw'!M18</f>
        <v>10.1321406</v>
      </c>
      <c r="M74" s="23">
        <f>'Annual Raw'!N18</f>
        <v>16.3520699</v>
      </c>
      <c r="N74" s="23">
        <f>'Annual Raw'!O18</f>
        <v>19.624292199999999</v>
      </c>
      <c r="O74" s="23">
        <f>'Annual Raw'!P18</f>
        <v>24.4878</v>
      </c>
      <c r="P74" s="23">
        <f>'Annual Raw'!Q18</f>
        <v>26.281848799999999</v>
      </c>
      <c r="Q74" s="23">
        <f>'Annual Raw'!R18</f>
        <v>46.563833899999999</v>
      </c>
      <c r="R74" s="23">
        <f>'Annual Raw'!S18</f>
        <v>49.378404000000003</v>
      </c>
      <c r="S74" s="23">
        <f>'Annual Raw'!T18</f>
        <v>64.512717800000004</v>
      </c>
      <c r="T74" s="23">
        <f>'Annual Raw'!U18</f>
        <v>70.005305300000003</v>
      </c>
      <c r="U74" s="23">
        <f>'Annual Raw'!V18</f>
        <v>68.692874000000003</v>
      </c>
      <c r="V74" s="23">
        <f>'Annual Raw'!W18</f>
        <v>84.330699999999993</v>
      </c>
      <c r="W74" s="23">
        <f>'Annual Raw'!X18</f>
        <v>74.980699999999999</v>
      </c>
      <c r="X74" s="23">
        <f>'Annual Raw'!Y18</f>
        <v>72.244699999999995</v>
      </c>
      <c r="Y74" s="23">
        <f>'Annual Raw'!Z18</f>
        <v>56.144100000000002</v>
      </c>
      <c r="Z74" s="23">
        <f>'Annual Raw'!AA18</f>
        <v>61.005400000000002</v>
      </c>
      <c r="AA74" s="23">
        <f>'Annual Raw'!AB18</f>
        <v>47.011899999999997</v>
      </c>
      <c r="AB74" s="76">
        <f t="shared" si="443"/>
        <v>0</v>
      </c>
      <c r="AC74" s="76">
        <f t="shared" si="444"/>
        <v>0</v>
      </c>
      <c r="AD74" s="76">
        <f t="shared" si="445"/>
        <v>0</v>
      </c>
      <c r="AE74" s="76">
        <f t="shared" si="446"/>
        <v>0</v>
      </c>
      <c r="AI74" s="23">
        <f>'QTR Raw'!C18</f>
        <v>0</v>
      </c>
      <c r="AJ74" s="23">
        <f>'QTR Raw'!D18</f>
        <v>0</v>
      </c>
      <c r="AK74" s="23">
        <f>'QTR Raw'!E18</f>
        <v>0</v>
      </c>
      <c r="AL74" s="23">
        <f>'QTR Raw'!F18</f>
        <v>0</v>
      </c>
      <c r="AM74" s="23">
        <f>'QTR Raw'!G18</f>
        <v>0</v>
      </c>
      <c r="AN74" s="23">
        <f>'QTR Raw'!H18</f>
        <v>0</v>
      </c>
      <c r="AO74" s="23">
        <f>'QTR Raw'!I18</f>
        <v>0</v>
      </c>
      <c r="AP74" s="23">
        <f>'QTR Raw'!J18</f>
        <v>0</v>
      </c>
      <c r="AQ74" s="23">
        <f>'QTR Raw'!K18</f>
        <v>0</v>
      </c>
      <c r="AR74" s="23">
        <f>'QTR Raw'!L18</f>
        <v>0</v>
      </c>
      <c r="AS74" s="23">
        <f>'QTR Raw'!M18</f>
        <v>0</v>
      </c>
      <c r="AT74" s="23">
        <f>'QTR Raw'!N18</f>
        <v>0</v>
      </c>
      <c r="AU74" s="23">
        <f>'QTR Raw'!O18</f>
        <v>0</v>
      </c>
      <c r="AV74" s="23">
        <f>'QTR Raw'!P18</f>
        <v>0</v>
      </c>
      <c r="AW74" s="23">
        <f>'QTR Raw'!Q18</f>
        <v>0</v>
      </c>
      <c r="AX74" s="23">
        <f>'QTR Raw'!R18</f>
        <v>0</v>
      </c>
      <c r="AY74" s="23">
        <f>'QTR Raw'!S18</f>
        <v>0</v>
      </c>
      <c r="AZ74" s="23">
        <f>'QTR Raw'!T18</f>
        <v>0</v>
      </c>
      <c r="BA74" s="23">
        <f>'QTR Raw'!U18</f>
        <v>0</v>
      </c>
      <c r="BB74" s="23">
        <f>'QTR Raw'!V18</f>
        <v>0</v>
      </c>
      <c r="BC74" s="23">
        <f>'QTR Raw'!W18</f>
        <v>0</v>
      </c>
      <c r="BD74" s="23">
        <f>'QTR Raw'!X18</f>
        <v>0</v>
      </c>
      <c r="BE74" s="23">
        <f>'QTR Raw'!Y18</f>
        <v>0</v>
      </c>
      <c r="BF74" s="23">
        <f>'QTR Raw'!Z18</f>
        <v>0</v>
      </c>
      <c r="BG74" s="23">
        <f>'QTR Raw'!AA18</f>
        <v>0</v>
      </c>
      <c r="BH74" s="23">
        <f>'QTR Raw'!AB18</f>
        <v>0</v>
      </c>
      <c r="BI74" s="23">
        <f>'QTR Raw'!AC18</f>
        <v>0</v>
      </c>
      <c r="BJ74" s="23">
        <f>'QTR Raw'!AD18</f>
        <v>0</v>
      </c>
      <c r="BK74" s="23">
        <f>'QTR Raw'!AE18</f>
        <v>0</v>
      </c>
      <c r="BL74" s="23">
        <f>'QTR Raw'!AF18</f>
        <v>0</v>
      </c>
      <c r="BM74" s="23">
        <f>'QTR Raw'!AG18</f>
        <v>0</v>
      </c>
      <c r="BN74" s="23">
        <f>'QTR Raw'!AH18</f>
        <v>0</v>
      </c>
      <c r="BO74" s="23">
        <f>'QTR Raw'!AI18</f>
        <v>0</v>
      </c>
      <c r="BP74" s="23">
        <f>'QTR Raw'!AJ18</f>
        <v>0</v>
      </c>
      <c r="BQ74" s="23">
        <f>'QTR Raw'!AK18</f>
        <v>0</v>
      </c>
      <c r="BR74" s="23">
        <f>'QTR Raw'!AL18</f>
        <v>0</v>
      </c>
      <c r="BS74" s="23">
        <f>'QTR Raw'!AM18</f>
        <v>0</v>
      </c>
      <c r="BT74" s="23">
        <f>'QTR Raw'!AN18</f>
        <v>0</v>
      </c>
      <c r="BU74" s="23">
        <f>'QTR Raw'!AO18</f>
        <v>0</v>
      </c>
      <c r="BV74" s="23">
        <f>'QTR Raw'!AP18</f>
        <v>0</v>
      </c>
      <c r="BW74" s="23">
        <f>'QTR Raw'!AQ18</f>
        <v>0</v>
      </c>
      <c r="BX74" s="23">
        <f>'QTR Raw'!AR18</f>
        <v>0</v>
      </c>
      <c r="BY74" s="23">
        <f>'QTR Raw'!AS18</f>
        <v>0</v>
      </c>
      <c r="BZ74" s="23">
        <f>'QTR Raw'!AT18</f>
        <v>0</v>
      </c>
      <c r="CA74" s="23">
        <f>'QTR Raw'!AU18</f>
        <v>0</v>
      </c>
      <c r="CB74" s="23">
        <f>'QTR Raw'!AV18</f>
        <v>0</v>
      </c>
      <c r="CC74" s="23">
        <f>'QTR Raw'!AW18</f>
        <v>0</v>
      </c>
      <c r="CD74" s="23">
        <f>'QTR Raw'!AX18</f>
        <v>0</v>
      </c>
      <c r="CE74" s="23">
        <f>'QTR Raw'!AY18</f>
        <v>0</v>
      </c>
      <c r="CF74" s="23">
        <f>'QTR Raw'!AZ18</f>
        <v>0</v>
      </c>
      <c r="CG74" s="23">
        <f>'QTR Raw'!BA18</f>
        <v>0</v>
      </c>
      <c r="CH74" s="23">
        <f>'QTR Raw'!BB18</f>
        <v>0</v>
      </c>
      <c r="CI74" s="23">
        <f>'QTR Raw'!BC18</f>
        <v>0</v>
      </c>
      <c r="CJ74" s="23">
        <f>'QTR Raw'!BD18</f>
        <v>0</v>
      </c>
      <c r="CK74" s="23">
        <f>'QTR Raw'!BE18</f>
        <v>0</v>
      </c>
      <c r="CL74" s="23">
        <f>'QTR Raw'!BF18</f>
        <v>0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E74" s="123"/>
      <c r="DF74" s="23">
        <v>0</v>
      </c>
    </row>
    <row r="75" spans="1:110" s="22" customFormat="1" x14ac:dyDescent="0.2">
      <c r="A75" s="33" t="s">
        <v>348</v>
      </c>
      <c r="B75" s="22">
        <f t="shared" ref="B75:E75" si="449">+SUM(B69:B74)</f>
        <v>8.3285192000000006</v>
      </c>
      <c r="C75" s="22">
        <f t="shared" si="449"/>
        <v>10.3284594</v>
      </c>
      <c r="D75" s="22">
        <f t="shared" si="449"/>
        <v>13.5170827</v>
      </c>
      <c r="E75" s="22">
        <f t="shared" si="449"/>
        <v>16.791114199999999</v>
      </c>
      <c r="F75" s="22">
        <f t="shared" ref="F75:AE75" si="450">+SUM(F69:F74)</f>
        <v>22.494797899999998</v>
      </c>
      <c r="G75" s="22">
        <f t="shared" si="450"/>
        <v>33.534669600000001</v>
      </c>
      <c r="H75" s="22">
        <f t="shared" si="450"/>
        <v>45.614964099999995</v>
      </c>
      <c r="I75" s="22">
        <f t="shared" si="450"/>
        <v>53.156772400000001</v>
      </c>
      <c r="J75" s="22">
        <f t="shared" si="450"/>
        <v>59.100268199999995</v>
      </c>
      <c r="K75" s="22">
        <f t="shared" si="450"/>
        <v>72.104746700000007</v>
      </c>
      <c r="L75" s="22">
        <f t="shared" si="450"/>
        <v>92.009114300000007</v>
      </c>
      <c r="M75" s="22">
        <f t="shared" si="450"/>
        <v>107.5789462</v>
      </c>
      <c r="N75" s="22">
        <f t="shared" si="450"/>
        <v>120.25343530000001</v>
      </c>
      <c r="O75" s="22">
        <f t="shared" si="450"/>
        <v>141.7988</v>
      </c>
      <c r="P75" s="22">
        <f t="shared" si="450"/>
        <v>157.47164849999999</v>
      </c>
      <c r="Q75" s="22">
        <f t="shared" si="450"/>
        <v>163.6407294</v>
      </c>
      <c r="R75" s="22">
        <f t="shared" si="450"/>
        <v>179.03424039999999</v>
      </c>
      <c r="S75" s="22">
        <f t="shared" si="450"/>
        <v>215.11329920000003</v>
      </c>
      <c r="T75" s="22">
        <f t="shared" si="450"/>
        <v>236.13977200000002</v>
      </c>
      <c r="U75" s="22">
        <f t="shared" si="450"/>
        <v>244.45640230000004</v>
      </c>
      <c r="V75" s="22">
        <f t="shared" si="450"/>
        <v>313.26169999999996</v>
      </c>
      <c r="W75" s="22">
        <f t="shared" si="450"/>
        <v>477.68900000000002</v>
      </c>
      <c r="X75" s="22">
        <f t="shared" si="450"/>
        <v>500.4932</v>
      </c>
      <c r="Y75" s="22">
        <f t="shared" si="450"/>
        <v>414.58069999999998</v>
      </c>
      <c r="Z75" s="22">
        <f t="shared" ref="Z75:AA75" si="451">+SUM(Z69:Z74)</f>
        <v>384.28060000000005</v>
      </c>
      <c r="AA75" s="22">
        <f t="shared" si="451"/>
        <v>334.45989999999995</v>
      </c>
      <c r="AB75" s="21">
        <f t="shared" si="450"/>
        <v>461.63584651405694</v>
      </c>
      <c r="AC75" s="21">
        <f t="shared" si="450"/>
        <v>694.82978821471761</v>
      </c>
      <c r="AD75" s="21">
        <f t="shared" si="450"/>
        <v>959.40138757661657</v>
      </c>
      <c r="AE75" s="21">
        <f t="shared" si="450"/>
        <v>1336.4823878905072</v>
      </c>
      <c r="AI75" s="22">
        <f t="shared" ref="AI75:BN75" si="452">+SUM(AI69:AI74)</f>
        <v>29.327999999999999</v>
      </c>
      <c r="AJ75" s="22">
        <f t="shared" si="452"/>
        <v>29.026</v>
      </c>
      <c r="AK75" s="22">
        <f t="shared" si="452"/>
        <v>25.47</v>
      </c>
      <c r="AL75" s="22">
        <f t="shared" si="452"/>
        <v>35.550000000000004</v>
      </c>
      <c r="AM75" s="22">
        <f t="shared" si="452"/>
        <v>27.25</v>
      </c>
      <c r="AN75" s="22">
        <f t="shared" si="452"/>
        <v>37.228999999999999</v>
      </c>
      <c r="AO75" s="22">
        <f t="shared" si="452"/>
        <v>32.43</v>
      </c>
      <c r="AP75" s="22">
        <f t="shared" si="452"/>
        <v>41.22</v>
      </c>
      <c r="AQ75" s="22">
        <f t="shared" si="452"/>
        <v>38.31</v>
      </c>
      <c r="AR75" s="22">
        <f t="shared" si="452"/>
        <v>38.216000000000001</v>
      </c>
      <c r="AS75" s="22">
        <f t="shared" si="452"/>
        <v>35.597000000000001</v>
      </c>
      <c r="AT75" s="22">
        <f t="shared" si="452"/>
        <v>39.667000000000002</v>
      </c>
      <c r="AU75" s="22">
        <f t="shared" si="452"/>
        <v>35.843000000000004</v>
      </c>
      <c r="AV75" s="22">
        <f t="shared" si="452"/>
        <v>53.298999999999999</v>
      </c>
      <c r="AW75" s="22">
        <f t="shared" si="452"/>
        <v>52.186999999999998</v>
      </c>
      <c r="AX75" s="22">
        <f t="shared" si="452"/>
        <v>55.970999999999997</v>
      </c>
      <c r="AY75" s="22">
        <f t="shared" si="452"/>
        <v>55.134999999999998</v>
      </c>
      <c r="AZ75" s="22">
        <f t="shared" si="452"/>
        <v>52.41</v>
      </c>
      <c r="BA75" s="22">
        <f t="shared" si="452"/>
        <v>60.545000000000002</v>
      </c>
      <c r="BB75" s="22">
        <f t="shared" si="452"/>
        <v>63.368000000000002</v>
      </c>
      <c r="BC75" s="22">
        <f t="shared" si="452"/>
        <v>59.091000000000001</v>
      </c>
      <c r="BD75" s="22">
        <f t="shared" si="452"/>
        <v>49.180999999999997</v>
      </c>
      <c r="BE75" s="22">
        <f t="shared" si="452"/>
        <v>51.395000000000003</v>
      </c>
      <c r="BF75" s="22">
        <f t="shared" si="452"/>
        <v>62.161000000000001</v>
      </c>
      <c r="BG75" s="22">
        <f t="shared" si="452"/>
        <v>59.984000000000002</v>
      </c>
      <c r="BH75" s="22">
        <f t="shared" si="452"/>
        <v>57.727999999999994</v>
      </c>
      <c r="BI75" s="22">
        <f t="shared" si="452"/>
        <v>56.768000000000001</v>
      </c>
      <c r="BJ75" s="22">
        <f t="shared" si="452"/>
        <v>58.418999999999997</v>
      </c>
      <c r="BK75" s="22">
        <f t="shared" si="452"/>
        <v>55.241999999999997</v>
      </c>
      <c r="BL75" s="22">
        <f t="shared" si="452"/>
        <v>57.918999999999997</v>
      </c>
      <c r="BM75" s="22">
        <f t="shared" si="452"/>
        <v>62.875</v>
      </c>
      <c r="BN75" s="22">
        <f t="shared" si="452"/>
        <v>65.159000000000006</v>
      </c>
      <c r="BO75" s="22">
        <f t="shared" ref="BO75:CH75" si="453">+SUM(BO69:BO74)</f>
        <v>51.331999999999994</v>
      </c>
      <c r="BP75" s="22">
        <f t="shared" si="453"/>
        <v>71.203000000000003</v>
      </c>
      <c r="BQ75" s="22">
        <f t="shared" si="453"/>
        <v>88.225999999999999</v>
      </c>
      <c r="BR75" s="22">
        <f t="shared" si="453"/>
        <v>97.212999999999994</v>
      </c>
      <c r="BS75" s="22">
        <f t="shared" si="453"/>
        <v>89.391999999999996</v>
      </c>
      <c r="BT75" s="22">
        <f t="shared" si="453"/>
        <v>116.41399999999999</v>
      </c>
      <c r="BU75" s="22">
        <f t="shared" si="453"/>
        <v>123.06</v>
      </c>
      <c r="BV75" s="22">
        <f t="shared" si="453"/>
        <v>147.37299999999999</v>
      </c>
      <c r="BW75" s="22">
        <f t="shared" si="453"/>
        <v>136.143</v>
      </c>
      <c r="BX75" s="22">
        <f t="shared" si="453"/>
        <v>129.05099999999999</v>
      </c>
      <c r="BY75" s="22">
        <f t="shared" si="453"/>
        <v>119.352</v>
      </c>
      <c r="BZ75" s="22">
        <f t="shared" si="453"/>
        <v>115.932</v>
      </c>
      <c r="CA75" s="22">
        <f t="shared" si="453"/>
        <v>109.566</v>
      </c>
      <c r="CB75" s="22">
        <f t="shared" si="453"/>
        <v>104.45599999999999</v>
      </c>
      <c r="CC75" s="22">
        <f t="shared" si="453"/>
        <v>97.49</v>
      </c>
      <c r="CD75" s="22">
        <f t="shared" si="453"/>
        <v>103.07000000000001</v>
      </c>
      <c r="CE75" s="22">
        <f t="shared" si="453"/>
        <v>101.607</v>
      </c>
      <c r="CF75" s="22">
        <f t="shared" si="453"/>
        <v>98.186000000000007</v>
      </c>
      <c r="CG75" s="22">
        <f t="shared" si="453"/>
        <v>89.427000000000007</v>
      </c>
      <c r="CH75" s="22">
        <f t="shared" si="453"/>
        <v>95.061000000000007</v>
      </c>
      <c r="CI75" s="22">
        <f t="shared" ref="CI75:CJ75" si="454">+SUM(CI69:CI74)</f>
        <v>91.634000000000015</v>
      </c>
      <c r="CJ75" s="22">
        <f t="shared" si="454"/>
        <v>95.688000000000002</v>
      </c>
      <c r="CK75" s="22">
        <f t="shared" ref="CK75:CL75" si="455">+SUM(CK69:CK74)</f>
        <v>90.86699999999999</v>
      </c>
      <c r="CL75" s="22">
        <f t="shared" si="455"/>
        <v>79.501000000000005</v>
      </c>
      <c r="CM75" s="21">
        <f t="shared" ref="CM75:DB75" si="456">CM76*CM59</f>
        <v>111.52599090725813</v>
      </c>
      <c r="CN75" s="21">
        <f t="shared" si="456"/>
        <v>113.42169861169283</v>
      </c>
      <c r="CO75" s="21">
        <f t="shared" si="456"/>
        <v>109.94197286568365</v>
      </c>
      <c r="CP75" s="21">
        <f t="shared" si="456"/>
        <v>126.74618412942235</v>
      </c>
      <c r="CQ75" s="21">
        <f t="shared" si="456"/>
        <v>165.39504355806352</v>
      </c>
      <c r="CR75" s="21">
        <f t="shared" si="456"/>
        <v>169.76660137813462</v>
      </c>
      <c r="CS75" s="21">
        <f t="shared" si="456"/>
        <v>163.51404380170078</v>
      </c>
      <c r="CT75" s="21">
        <f t="shared" si="456"/>
        <v>196.15409947681863</v>
      </c>
      <c r="CU75" s="21">
        <f t="shared" si="456"/>
        <v>227.2765933443757</v>
      </c>
      <c r="CV75" s="21">
        <f t="shared" si="456"/>
        <v>234.2014073649141</v>
      </c>
      <c r="CW75" s="21">
        <f t="shared" si="456"/>
        <v>225.64002482241222</v>
      </c>
      <c r="CX75" s="21">
        <f t="shared" si="456"/>
        <v>272.28336204491455</v>
      </c>
      <c r="CY75" s="21">
        <f t="shared" si="456"/>
        <v>316.19806511843058</v>
      </c>
      <c r="CZ75" s="21">
        <f t="shared" si="456"/>
        <v>326.35312488778118</v>
      </c>
      <c r="DA75" s="21">
        <f t="shared" si="456"/>
        <v>313.9783851730042</v>
      </c>
      <c r="DB75" s="21">
        <f t="shared" si="456"/>
        <v>379.95281271129119</v>
      </c>
      <c r="DE75" s="126"/>
      <c r="DF75" s="22">
        <v>119.0608961219626</v>
      </c>
    </row>
    <row r="76" spans="1:110" s="44" customFormat="1" x14ac:dyDescent="0.2">
      <c r="A76" s="43" t="s">
        <v>349</v>
      </c>
      <c r="B76" s="44">
        <f t="shared" ref="B76:E76" si="457">B75/B59</f>
        <v>0.31873320969005969</v>
      </c>
      <c r="C76" s="44">
        <f t="shared" si="457"/>
        <v>0.28239628090797547</v>
      </c>
      <c r="D76" s="44">
        <f t="shared" si="457"/>
        <v>0.29966830355827229</v>
      </c>
      <c r="E76" s="44">
        <f t="shared" si="457"/>
        <v>0.23680810680123884</v>
      </c>
      <c r="F76" s="44">
        <f t="shared" ref="F76:AE76" si="458">F75/F59</f>
        <v>0.25641855463063828</v>
      </c>
      <c r="G76" s="44">
        <f t="shared" si="458"/>
        <v>0.26073891703482716</v>
      </c>
      <c r="H76" s="44">
        <f t="shared" si="458"/>
        <v>0.25990675340604275</v>
      </c>
      <c r="I76" s="44">
        <f t="shared" si="458"/>
        <v>0.24404044636624345</v>
      </c>
      <c r="J76" s="44">
        <f t="shared" si="458"/>
        <v>0.23481671147304126</v>
      </c>
      <c r="K76" s="44">
        <f t="shared" si="458"/>
        <v>0.27531842316002736</v>
      </c>
      <c r="L76" s="44">
        <f t="shared" si="458"/>
        <v>0.26533206991987857</v>
      </c>
      <c r="M76" s="44">
        <f t="shared" si="458"/>
        <v>0.23931770138841793</v>
      </c>
      <c r="N76" s="44">
        <f t="shared" si="458"/>
        <v>0.2349636192793535</v>
      </c>
      <c r="O76" s="44">
        <f t="shared" si="458"/>
        <v>0.23240892910205641</v>
      </c>
      <c r="P76" s="44">
        <f t="shared" si="458"/>
        <v>0.25448937790435799</v>
      </c>
      <c r="Q76" s="44">
        <f t="shared" si="458"/>
        <v>0.25443825844522799</v>
      </c>
      <c r="R76" s="44">
        <f t="shared" si="458"/>
        <v>0.26702215932631224</v>
      </c>
      <c r="S76" s="44">
        <f t="shared" si="458"/>
        <v>0.24977345688232616</v>
      </c>
      <c r="T76" s="44">
        <f t="shared" si="458"/>
        <v>0.25039971747699413</v>
      </c>
      <c r="U76" s="44">
        <f t="shared" si="458"/>
        <v>0.26123504911983519</v>
      </c>
      <c r="V76" s="44">
        <f t="shared" si="458"/>
        <v>0.23886574538464944</v>
      </c>
      <c r="W76" s="44">
        <f t="shared" si="458"/>
        <v>0.20564482869481707</v>
      </c>
      <c r="X76" s="44">
        <f t="shared" si="458"/>
        <v>0.21248795743695875</v>
      </c>
      <c r="Y76" s="44">
        <f t="shared" si="458"/>
        <v>0.25256010765677761</v>
      </c>
      <c r="Z76" s="44">
        <f t="shared" ref="Z76:AA76" si="459">Z75/Z59</f>
        <v>0.27505897281509983</v>
      </c>
      <c r="AA76" s="44">
        <f t="shared" si="459"/>
        <v>0.25896114938956422</v>
      </c>
      <c r="AB76" s="52">
        <f t="shared" si="458"/>
        <v>0.23809179071556347</v>
      </c>
      <c r="AC76" s="52">
        <f t="shared" si="458"/>
        <v>0.23696972357055154</v>
      </c>
      <c r="AD76" s="52">
        <f t="shared" si="458"/>
        <v>0.23667654904172672</v>
      </c>
      <c r="AE76" s="52">
        <f t="shared" si="458"/>
        <v>0.23661392512232476</v>
      </c>
      <c r="AI76" s="44">
        <f t="shared" ref="AI76:BN76" si="460">AI75/AI59</f>
        <v>0.21476431432567608</v>
      </c>
      <c r="AJ76" s="44">
        <f t="shared" si="460"/>
        <v>0.23034496988358161</v>
      </c>
      <c r="AK76" s="44">
        <f t="shared" si="460"/>
        <v>0.23638928591316616</v>
      </c>
      <c r="AL76" s="44">
        <f t="shared" si="460"/>
        <v>0.2512722646310433</v>
      </c>
      <c r="AM76" s="44">
        <f t="shared" si="460"/>
        <v>0.19450392576730907</v>
      </c>
      <c r="AN76" s="44">
        <f t="shared" si="460"/>
        <v>0.23121591911262374</v>
      </c>
      <c r="AO76" s="44">
        <f t="shared" si="460"/>
        <v>0.23583739364409861</v>
      </c>
      <c r="AP76" s="44">
        <f t="shared" si="460"/>
        <v>0.24034985422740524</v>
      </c>
      <c r="AQ76" s="44">
        <f t="shared" si="460"/>
        <v>0.23293001763239499</v>
      </c>
      <c r="AR76" s="44">
        <f t="shared" si="460"/>
        <v>0.25401129943502826</v>
      </c>
      <c r="AS76" s="44">
        <f t="shared" si="460"/>
        <v>0.25125638781444992</v>
      </c>
      <c r="AT76" s="44">
        <f t="shared" si="460"/>
        <v>0.26753220476158357</v>
      </c>
      <c r="AU76" s="44">
        <f t="shared" si="460"/>
        <v>0.22452955473702677</v>
      </c>
      <c r="AV76" s="44">
        <f t="shared" si="460"/>
        <v>0.30776293148248662</v>
      </c>
      <c r="AW76" s="44">
        <f t="shared" si="460"/>
        <v>0.32155246246079716</v>
      </c>
      <c r="AX76" s="44">
        <f t="shared" si="460"/>
        <v>0.31106232806291156</v>
      </c>
      <c r="AY76" s="44">
        <f t="shared" si="460"/>
        <v>0.30328617320894208</v>
      </c>
      <c r="AZ76" s="44">
        <f t="shared" si="460"/>
        <v>0.30444203054295355</v>
      </c>
      <c r="BA76" s="44">
        <f t="shared" si="460"/>
        <v>0.33595050493840861</v>
      </c>
      <c r="BB76" s="44">
        <f t="shared" si="460"/>
        <v>0.32809191212637401</v>
      </c>
      <c r="BC76" s="44">
        <f t="shared" si="460"/>
        <v>0.29535015069650272</v>
      </c>
      <c r="BD76" s="44">
        <f t="shared" si="460"/>
        <v>0.24444808938725196</v>
      </c>
      <c r="BE76" s="44">
        <f t="shared" si="460"/>
        <v>0.23485516617391028</v>
      </c>
      <c r="BF76" s="44">
        <f t="shared" si="460"/>
        <v>0.243446895671211</v>
      </c>
      <c r="BG76" s="44">
        <f t="shared" si="460"/>
        <v>0.23080800501756532</v>
      </c>
      <c r="BH76" s="44">
        <f t="shared" si="460"/>
        <v>0.2668380011186044</v>
      </c>
      <c r="BI76" s="44">
        <f t="shared" si="460"/>
        <v>0.23770800706826234</v>
      </c>
      <c r="BJ76" s="44">
        <f t="shared" si="460"/>
        <v>0.25778281800892239</v>
      </c>
      <c r="BK76" s="44">
        <f t="shared" si="460"/>
        <v>0.24774752552953891</v>
      </c>
      <c r="BL76" s="44">
        <f t="shared" si="460"/>
        <v>0.25486572234469951</v>
      </c>
      <c r="BM76" s="44">
        <f t="shared" si="460"/>
        <v>0.27635540513812279</v>
      </c>
      <c r="BN76" s="44">
        <f t="shared" si="460"/>
        <v>0.25252783623419256</v>
      </c>
      <c r="BO76" s="44">
        <f t="shared" ref="BO76:CH76" si="461">BO75/BO59</f>
        <v>0.23028127944013277</v>
      </c>
      <c r="BP76" s="44">
        <f t="shared" si="461"/>
        <v>0.25214866228730282</v>
      </c>
      <c r="BQ76" s="44">
        <f t="shared" si="461"/>
        <v>0.22499343324994198</v>
      </c>
      <c r="BR76" s="44">
        <f t="shared" si="461"/>
        <v>0.23479472700309637</v>
      </c>
      <c r="BS76" s="44">
        <f t="shared" si="461"/>
        <v>0.19834872115753716</v>
      </c>
      <c r="BT76" s="44">
        <f t="shared" si="461"/>
        <v>0.2214317914226423</v>
      </c>
      <c r="BU76" s="44">
        <f t="shared" si="461"/>
        <v>0.21784579435116261</v>
      </c>
      <c r="BV76" s="44">
        <f t="shared" si="461"/>
        <v>0.18885112882929292</v>
      </c>
      <c r="BW76" s="44">
        <f t="shared" si="461"/>
        <v>0.20314635645774518</v>
      </c>
      <c r="BX76" s="44">
        <f t="shared" si="461"/>
        <v>0.20563995678487088</v>
      </c>
      <c r="BY76" s="44">
        <f t="shared" si="461"/>
        <v>0.20369042986749678</v>
      </c>
      <c r="BZ76" s="44">
        <f t="shared" si="461"/>
        <v>0.24593387710943054</v>
      </c>
      <c r="CA76" s="44">
        <f t="shared" si="461"/>
        <v>0.23630015118413192</v>
      </c>
      <c r="CB76" s="44">
        <f t="shared" si="461"/>
        <v>0.27449125462495794</v>
      </c>
      <c r="CC76" s="44">
        <f t="shared" si="461"/>
        <v>0.25430537513238277</v>
      </c>
      <c r="CD76" s="44">
        <f t="shared" si="461"/>
        <v>0.2489992438462858</v>
      </c>
      <c r="CE76" s="44">
        <f t="shared" si="461"/>
        <v>0.26408851554012258</v>
      </c>
      <c r="CF76" s="44">
        <f t="shared" si="461"/>
        <v>0.28305221068775355</v>
      </c>
      <c r="CG76" s="44">
        <f t="shared" si="461"/>
        <v>0.2859577652144995</v>
      </c>
      <c r="CH76" s="44">
        <f t="shared" si="461"/>
        <v>0.26950227937674359</v>
      </c>
      <c r="CI76" s="44">
        <f t="shared" ref="CI76:CJ76" si="462">CI75/CI59</f>
        <v>0.25571731953641924</v>
      </c>
      <c r="CJ76" s="44">
        <f t="shared" si="462"/>
        <v>0.28097911625831001</v>
      </c>
      <c r="CK76" s="44">
        <f t="shared" ref="CK76:CL76" si="463">CK75/CK59</f>
        <v>0.2742732439684758</v>
      </c>
      <c r="CL76" s="44">
        <f t="shared" si="463"/>
        <v>0.20137745512758812</v>
      </c>
      <c r="CM76" s="52">
        <f>AVERAGE(CI76:CL76)-1%</f>
        <v>0.24308678372269832</v>
      </c>
      <c r="CN76" s="52">
        <f>AVERAGE(CJ76:CM76)-1%</f>
        <v>0.23992914976926805</v>
      </c>
      <c r="CO76" s="52">
        <f t="shared" ref="CO76:DB76" si="464">AVERAGE(CK76:CN76)</f>
        <v>0.23966665814700758</v>
      </c>
      <c r="CP76" s="52">
        <f t="shared" si="464"/>
        <v>0.23101501169164051</v>
      </c>
      <c r="CQ76" s="52">
        <f t="shared" si="464"/>
        <v>0.23842440083265362</v>
      </c>
      <c r="CR76" s="52">
        <f t="shared" si="464"/>
        <v>0.23725880511014244</v>
      </c>
      <c r="CS76" s="52">
        <f t="shared" si="464"/>
        <v>0.23659121894536103</v>
      </c>
      <c r="CT76" s="52">
        <f t="shared" si="464"/>
        <v>0.23582235914494939</v>
      </c>
      <c r="CU76" s="52">
        <f t="shared" si="464"/>
        <v>0.23702419600827662</v>
      </c>
      <c r="CV76" s="52">
        <f t="shared" si="464"/>
        <v>0.23667414480218238</v>
      </c>
      <c r="CW76" s="52">
        <f t="shared" si="464"/>
        <v>0.23652797972519238</v>
      </c>
      <c r="CX76" s="52">
        <f t="shared" si="464"/>
        <v>0.2365121699201502</v>
      </c>
      <c r="CY76" s="52">
        <f t="shared" si="464"/>
        <v>0.2366846226139504</v>
      </c>
      <c r="CZ76" s="52">
        <f t="shared" si="464"/>
        <v>0.23659972926536885</v>
      </c>
      <c r="DA76" s="52">
        <f t="shared" si="464"/>
        <v>0.23658112538116546</v>
      </c>
      <c r="DB76" s="52">
        <f t="shared" si="464"/>
        <v>0.23659441179515875</v>
      </c>
      <c r="DE76" s="128"/>
      <c r="DF76" s="44">
        <v>0.27011798978498719</v>
      </c>
    </row>
    <row r="77" spans="1:110" s="26" customFormat="1" x14ac:dyDescent="0.2">
      <c r="A77" s="34" t="s">
        <v>13</v>
      </c>
      <c r="B77" s="26">
        <f t="shared" ref="B77:E77" si="465">B65-B75</f>
        <v>4.3198106999999979</v>
      </c>
      <c r="C77" s="26">
        <f t="shared" si="465"/>
        <v>8.8859724</v>
      </c>
      <c r="D77" s="26">
        <f t="shared" si="465"/>
        <v>9.2922031000000054</v>
      </c>
      <c r="E77" s="26">
        <f t="shared" si="465"/>
        <v>14.405268899999992</v>
      </c>
      <c r="F77" s="26">
        <f t="shared" ref="F77:AE77" si="466">F65-F75</f>
        <v>12.645600700000006</v>
      </c>
      <c r="G77" s="26">
        <f t="shared" si="466"/>
        <v>18.748113999999987</v>
      </c>
      <c r="H77" s="26">
        <f t="shared" si="466"/>
        <v>24.968620099999995</v>
      </c>
      <c r="I77" s="26">
        <f t="shared" si="466"/>
        <v>29.577711000000015</v>
      </c>
      <c r="J77" s="26">
        <f t="shared" si="466"/>
        <v>36.814284000000008</v>
      </c>
      <c r="K77" s="26">
        <f t="shared" si="466"/>
        <v>46.092146800000037</v>
      </c>
      <c r="L77" s="26">
        <f t="shared" si="466"/>
        <v>63.064491600000011</v>
      </c>
      <c r="M77" s="26">
        <f t="shared" si="466"/>
        <v>79.294353800000081</v>
      </c>
      <c r="N77" s="26">
        <f t="shared" si="466"/>
        <v>79.339939699999974</v>
      </c>
      <c r="O77" s="26">
        <f t="shared" si="466"/>
        <v>87.355500000000035</v>
      </c>
      <c r="P77" s="26">
        <f t="shared" si="466"/>
        <v>101.75903029999998</v>
      </c>
      <c r="Q77" s="26">
        <f t="shared" si="466"/>
        <v>123.28103249999998</v>
      </c>
      <c r="R77" s="26">
        <f t="shared" si="466"/>
        <v>149.08268930000003</v>
      </c>
      <c r="S77" s="26">
        <f t="shared" si="466"/>
        <v>182.03483519999992</v>
      </c>
      <c r="T77" s="26">
        <f t="shared" si="466"/>
        <v>191.55487319999995</v>
      </c>
      <c r="U77" s="26">
        <f t="shared" si="466"/>
        <v>177.4848452</v>
      </c>
      <c r="V77" s="26">
        <f t="shared" si="466"/>
        <v>367.93729999999999</v>
      </c>
      <c r="W77" s="26">
        <f t="shared" si="466"/>
        <v>622.66859999999997</v>
      </c>
      <c r="X77" s="26">
        <f t="shared" si="466"/>
        <v>609.1139000000004</v>
      </c>
      <c r="Y77" s="26">
        <f t="shared" si="466"/>
        <v>323.73370000000011</v>
      </c>
      <c r="Z77" s="26">
        <f t="shared" ref="Z77:AA77" si="467">Z65-Z75</f>
        <v>232.15059999999994</v>
      </c>
      <c r="AA77" s="26">
        <f t="shared" si="467"/>
        <v>247.26110000000028</v>
      </c>
      <c r="AB77" s="27">
        <f t="shared" si="466"/>
        <v>405.9453755653754</v>
      </c>
      <c r="AC77" s="27">
        <f t="shared" si="466"/>
        <v>629.76700910352338</v>
      </c>
      <c r="AD77" s="27">
        <f t="shared" si="466"/>
        <v>868.50650744469999</v>
      </c>
      <c r="AE77" s="27">
        <f t="shared" si="466"/>
        <v>1209.9130624514</v>
      </c>
      <c r="AI77" s="26">
        <f t="shared" ref="AI77:BN77" si="468">AI65-AI75</f>
        <v>22.999999999999989</v>
      </c>
      <c r="AJ77" s="26">
        <f t="shared" si="468"/>
        <v>23.067000000000004</v>
      </c>
      <c r="AK77" s="26">
        <f t="shared" si="468"/>
        <v>16.517999999999994</v>
      </c>
      <c r="AL77" s="26">
        <f t="shared" si="468"/>
        <v>17.639999999999993</v>
      </c>
      <c r="AM77" s="26">
        <f t="shared" si="468"/>
        <v>22.700000000000003</v>
      </c>
      <c r="AN77" s="26">
        <f t="shared" si="468"/>
        <v>27.759000000000015</v>
      </c>
      <c r="AO77" s="26">
        <f t="shared" si="468"/>
        <v>19.439999999999976</v>
      </c>
      <c r="AP77" s="26">
        <f t="shared" si="468"/>
        <v>21.13000000000001</v>
      </c>
      <c r="AQ77" s="26">
        <f t="shared" si="468"/>
        <v>24.960000000000008</v>
      </c>
      <c r="AR77" s="26">
        <f t="shared" si="468"/>
        <v>26.913999999999994</v>
      </c>
      <c r="AS77" s="26">
        <f t="shared" si="468"/>
        <v>21.583999999999996</v>
      </c>
      <c r="AT77" s="26">
        <f t="shared" si="468"/>
        <v>28.902000000000015</v>
      </c>
      <c r="AU77" s="26">
        <f t="shared" si="468"/>
        <v>28.984000000000009</v>
      </c>
      <c r="AV77" s="26">
        <f t="shared" si="468"/>
        <v>27.948999999999991</v>
      </c>
      <c r="AW77" s="26">
        <f t="shared" si="468"/>
        <v>31.090000000000003</v>
      </c>
      <c r="AX77" s="26">
        <f t="shared" si="468"/>
        <v>40.870000000000012</v>
      </c>
      <c r="AY77" s="26">
        <f t="shared" si="468"/>
        <v>40.324000000000005</v>
      </c>
      <c r="AZ77" s="26">
        <f t="shared" si="468"/>
        <v>39.668000000000006</v>
      </c>
      <c r="BA77" s="26">
        <f t="shared" si="468"/>
        <v>36.586999999999989</v>
      </c>
      <c r="BB77" s="26">
        <f t="shared" si="468"/>
        <v>38.176999999999985</v>
      </c>
      <c r="BC77" s="26">
        <f t="shared" si="468"/>
        <v>40.574999999999982</v>
      </c>
      <c r="BD77" s="26">
        <f t="shared" si="468"/>
        <v>51.520000000000024</v>
      </c>
      <c r="BE77" s="26">
        <f t="shared" si="468"/>
        <v>50.571999999999981</v>
      </c>
      <c r="BF77" s="26">
        <f t="shared" si="468"/>
        <v>46.857999999999947</v>
      </c>
      <c r="BG77" s="26">
        <f t="shared" si="468"/>
        <v>58.672000000000033</v>
      </c>
      <c r="BH77" s="26">
        <f t="shared" si="468"/>
        <v>44.792000000000002</v>
      </c>
      <c r="BI77" s="26">
        <f t="shared" si="468"/>
        <v>42.591999999999985</v>
      </c>
      <c r="BJ77" s="26">
        <f t="shared" si="468"/>
        <v>47.351000000000013</v>
      </c>
      <c r="BK77" s="26">
        <f t="shared" si="468"/>
        <v>37.511999999999993</v>
      </c>
      <c r="BL77" s="26">
        <f t="shared" si="468"/>
        <v>44.765999999999991</v>
      </c>
      <c r="BM77" s="26">
        <f t="shared" si="468"/>
        <v>42.837000000000003</v>
      </c>
      <c r="BN77" s="26">
        <f t="shared" si="468"/>
        <v>55.631999999999991</v>
      </c>
      <c r="BO77" s="26">
        <f t="shared" ref="BO77:CT77" si="469">BO65-BO75</f>
        <v>53.229000000000013</v>
      </c>
      <c r="BP77" s="26">
        <f t="shared" si="469"/>
        <v>73.700999999999993</v>
      </c>
      <c r="BQ77" s="26">
        <f t="shared" si="469"/>
        <v>117.37100000000001</v>
      </c>
      <c r="BR77" s="26">
        <f t="shared" si="469"/>
        <v>128.92500000000001</v>
      </c>
      <c r="BS77" s="26">
        <f t="shared" si="469"/>
        <v>141.62099999999998</v>
      </c>
      <c r="BT77" s="26">
        <f t="shared" si="469"/>
        <v>129.99599999999992</v>
      </c>
      <c r="BU77" s="26">
        <f t="shared" si="469"/>
        <v>155.17699999999996</v>
      </c>
      <c r="BV77" s="26">
        <f t="shared" si="469"/>
        <v>196.11600000000004</v>
      </c>
      <c r="BW77" s="26">
        <f t="shared" si="469"/>
        <v>214.79500000000004</v>
      </c>
      <c r="BX77" s="26">
        <f t="shared" si="469"/>
        <v>173.10399999999998</v>
      </c>
      <c r="BY77" s="26">
        <f t="shared" si="469"/>
        <v>127.77799999999999</v>
      </c>
      <c r="BZ77" s="26">
        <f t="shared" si="469"/>
        <v>93.128999999999976</v>
      </c>
      <c r="CA77" s="26">
        <f t="shared" si="469"/>
        <v>98.042000000000002</v>
      </c>
      <c r="CB77" s="26">
        <f t="shared" si="469"/>
        <v>53.78400000000002</v>
      </c>
      <c r="CC77" s="26">
        <f t="shared" si="469"/>
        <v>74.196000000000041</v>
      </c>
      <c r="CD77" s="26">
        <f t="shared" si="469"/>
        <v>97.709000000000017</v>
      </c>
      <c r="CE77" s="26">
        <f t="shared" si="469"/>
        <v>66.093999999999994</v>
      </c>
      <c r="CF77" s="26">
        <f t="shared" si="469"/>
        <v>60.687999999999988</v>
      </c>
      <c r="CG77" s="26">
        <f t="shared" si="469"/>
        <v>45.704000000000022</v>
      </c>
      <c r="CH77" s="26">
        <f t="shared" si="469"/>
        <v>59.663000000000011</v>
      </c>
      <c r="CI77" s="26">
        <f t="shared" ref="CI77:CJ77" si="470">CI65-CI75</f>
        <v>54.694999999999993</v>
      </c>
      <c r="CJ77" s="26">
        <f t="shared" si="470"/>
        <v>59.814000000000007</v>
      </c>
      <c r="CK77" s="26">
        <f t="shared" ref="CK77:CL77" si="471">CK65-CK75</f>
        <v>56.675000000000011</v>
      </c>
      <c r="CL77" s="26">
        <f t="shared" si="471"/>
        <v>94.249000000000024</v>
      </c>
      <c r="CM77" s="27">
        <f t="shared" si="469"/>
        <v>94.98120879152178</v>
      </c>
      <c r="CN77" s="27">
        <f t="shared" si="469"/>
        <v>98.382888568162301</v>
      </c>
      <c r="CO77" s="27">
        <f t="shared" si="469"/>
        <v>94.606364145862955</v>
      </c>
      <c r="CP77" s="27">
        <f t="shared" si="469"/>
        <v>117.97491405982836</v>
      </c>
      <c r="CQ77" s="27">
        <f t="shared" si="469"/>
        <v>151.99065845438056</v>
      </c>
      <c r="CR77" s="27">
        <f t="shared" si="469"/>
        <v>151.77926974213375</v>
      </c>
      <c r="CS77" s="27">
        <f t="shared" si="469"/>
        <v>147.29350511342221</v>
      </c>
      <c r="CT77" s="27">
        <f t="shared" si="469"/>
        <v>178.70357579358713</v>
      </c>
      <c r="CU77" s="27">
        <f t="shared" ref="CU77:DB77" si="472">CU65-CU75</f>
        <v>205.96303163610352</v>
      </c>
      <c r="CV77" s="27">
        <f t="shared" si="472"/>
        <v>211.48739045479604</v>
      </c>
      <c r="CW77" s="27">
        <f t="shared" si="472"/>
        <v>204.26379994164387</v>
      </c>
      <c r="CX77" s="27">
        <f t="shared" si="472"/>
        <v>246.79228541215667</v>
      </c>
      <c r="CY77" s="27">
        <f t="shared" si="472"/>
        <v>286.22896956983379</v>
      </c>
      <c r="CZ77" s="27">
        <f t="shared" si="472"/>
        <v>295.33968653092484</v>
      </c>
      <c r="DA77" s="27">
        <f t="shared" si="472"/>
        <v>284.29441294436333</v>
      </c>
      <c r="DB77" s="27">
        <f t="shared" si="472"/>
        <v>344.04999340627882</v>
      </c>
      <c r="DE77" s="121"/>
      <c r="DF77" s="26">
        <v>78.070674629444568</v>
      </c>
    </row>
    <row r="78" spans="1:110" s="167" customFormat="1" x14ac:dyDescent="0.2">
      <c r="A78" s="164" t="s">
        <v>14</v>
      </c>
      <c r="B78" s="165">
        <f t="shared" ref="B78:E78" si="473">B77/B59</f>
        <v>0.16531956000827408</v>
      </c>
      <c r="C78" s="165">
        <f t="shared" si="473"/>
        <v>0.242956423686084</v>
      </c>
      <c r="D78" s="165">
        <f t="shared" si="473"/>
        <v>0.20600441686251725</v>
      </c>
      <c r="E78" s="165">
        <f t="shared" si="473"/>
        <v>0.20316010096410175</v>
      </c>
      <c r="F78" s="165">
        <f t="shared" ref="F78:AE78" si="474">F77/F59</f>
        <v>0.14414740102778115</v>
      </c>
      <c r="G78" s="165">
        <f t="shared" si="474"/>
        <v>0.14577042204720209</v>
      </c>
      <c r="H78" s="165">
        <f t="shared" si="474"/>
        <v>0.14226719488352862</v>
      </c>
      <c r="I78" s="165">
        <f t="shared" si="474"/>
        <v>0.13578999380578932</v>
      </c>
      <c r="J78" s="165">
        <f t="shared" si="474"/>
        <v>0.14627021784166119</v>
      </c>
      <c r="K78" s="165">
        <f t="shared" si="474"/>
        <v>0.17599419951969</v>
      </c>
      <c r="L78" s="165">
        <f t="shared" si="474"/>
        <v>0.18186276677019156</v>
      </c>
      <c r="M78" s="165">
        <f t="shared" si="474"/>
        <v>0.1763964340124386</v>
      </c>
      <c r="N78" s="165">
        <f t="shared" si="474"/>
        <v>0.15502259323245843</v>
      </c>
      <c r="O78" s="165">
        <f t="shared" si="474"/>
        <v>0.14317609321217595</v>
      </c>
      <c r="P78" s="165">
        <f t="shared" si="474"/>
        <v>0.16445241136341895</v>
      </c>
      <c r="Q78" s="165">
        <f t="shared" si="474"/>
        <v>0.19168462108205164</v>
      </c>
      <c r="R78" s="165">
        <f t="shared" si="474"/>
        <v>0.22235066055587721</v>
      </c>
      <c r="S78" s="165">
        <f t="shared" si="474"/>
        <v>0.21136522116484985</v>
      </c>
      <c r="T78" s="165">
        <f t="shared" si="474"/>
        <v>0.20312243771718985</v>
      </c>
      <c r="U78" s="165">
        <f t="shared" si="474"/>
        <v>0.18966679464155864</v>
      </c>
      <c r="V78" s="165">
        <f t="shared" si="474"/>
        <v>0.28055653601865593</v>
      </c>
      <c r="W78" s="165">
        <f t="shared" si="474"/>
        <v>0.2680584597523526</v>
      </c>
      <c r="X78" s="165">
        <f t="shared" si="474"/>
        <v>0.2586036502742895</v>
      </c>
      <c r="Y78" s="165">
        <f t="shared" si="474"/>
        <v>0.19721665317301787</v>
      </c>
      <c r="Z78" s="165">
        <f t="shared" ref="Z78:AA78" si="475">Z77/Z59</f>
        <v>0.16616791369225792</v>
      </c>
      <c r="AA78" s="165">
        <f t="shared" si="475"/>
        <v>0.19144602583247816</v>
      </c>
      <c r="AB78" s="166">
        <f t="shared" si="474"/>
        <v>0.20936905600141492</v>
      </c>
      <c r="AC78" s="166">
        <f t="shared" si="474"/>
        <v>0.21478024775615673</v>
      </c>
      <c r="AD78" s="166">
        <f t="shared" si="474"/>
        <v>0.21425351856277045</v>
      </c>
      <c r="AE78" s="166">
        <f t="shared" si="474"/>
        <v>0.21420579976011792</v>
      </c>
      <c r="AI78" s="165">
        <f t="shared" ref="AI78:BN78" si="476">AI77/AI59</f>
        <v>0.16842536925431492</v>
      </c>
      <c r="AJ78" s="165">
        <f t="shared" si="476"/>
        <v>0.18305544754029413</v>
      </c>
      <c r="AK78" s="165">
        <f t="shared" si="476"/>
        <v>0.15330499508102383</v>
      </c>
      <c r="AL78" s="165">
        <f t="shared" si="476"/>
        <v>0.12468193384223915</v>
      </c>
      <c r="AM78" s="165">
        <f t="shared" si="476"/>
        <v>0.16202712348322629</v>
      </c>
      <c r="AN78" s="165">
        <f t="shared" si="476"/>
        <v>0.17240115766330885</v>
      </c>
      <c r="AO78" s="165">
        <f t="shared" si="476"/>
        <v>0.14137153661551871</v>
      </c>
      <c r="AP78" s="165">
        <f t="shared" si="476"/>
        <v>0.12320699708454816</v>
      </c>
      <c r="AQ78" s="165">
        <f t="shared" si="476"/>
        <v>0.15176019942846725</v>
      </c>
      <c r="AR78" s="165">
        <f t="shared" si="476"/>
        <v>0.17888999667663674</v>
      </c>
      <c r="AS78" s="165">
        <f t="shared" si="476"/>
        <v>0.15234761003980912</v>
      </c>
      <c r="AT78" s="165">
        <f t="shared" si="476"/>
        <v>0.19492817157887646</v>
      </c>
      <c r="AU78" s="165">
        <f t="shared" si="476"/>
        <v>0.18156305595229152</v>
      </c>
      <c r="AV78" s="165">
        <f t="shared" si="476"/>
        <v>0.16138513240406044</v>
      </c>
      <c r="AW78" s="165">
        <f t="shared" si="476"/>
        <v>0.19156238254558003</v>
      </c>
      <c r="AX78" s="165">
        <f t="shared" si="476"/>
        <v>0.22713757745852675</v>
      </c>
      <c r="AY78" s="165">
        <f t="shared" si="476"/>
        <v>0.22181394120753392</v>
      </c>
      <c r="AZ78" s="165">
        <f t="shared" si="476"/>
        <v>0.23042561472195924</v>
      </c>
      <c r="BA78" s="165">
        <f t="shared" si="476"/>
        <v>0.20301298413050708</v>
      </c>
      <c r="BB78" s="165">
        <f t="shared" si="476"/>
        <v>0.19766388286277894</v>
      </c>
      <c r="BC78" s="165">
        <f t="shared" si="476"/>
        <v>0.2028030049332486</v>
      </c>
      <c r="BD78" s="165">
        <f t="shared" si="476"/>
        <v>0.25607380015109954</v>
      </c>
      <c r="BE78" s="165">
        <f t="shared" si="476"/>
        <v>0.2310943761795308</v>
      </c>
      <c r="BF78" s="165">
        <f t="shared" si="476"/>
        <v>0.18351433595601088</v>
      </c>
      <c r="BG78" s="165">
        <f t="shared" si="476"/>
        <v>0.22575965708173179</v>
      </c>
      <c r="BH78" s="165">
        <f t="shared" si="476"/>
        <v>0.20704351001428301</v>
      </c>
      <c r="BI78" s="165">
        <f t="shared" si="476"/>
        <v>0.17834800304839743</v>
      </c>
      <c r="BJ78" s="165">
        <f t="shared" si="476"/>
        <v>0.20894356657150048</v>
      </c>
      <c r="BK78" s="165">
        <f t="shared" si="476"/>
        <v>0.16823259798095763</v>
      </c>
      <c r="BL78" s="165">
        <f t="shared" si="476"/>
        <v>0.19698749851487107</v>
      </c>
      <c r="BM78" s="165">
        <f t="shared" si="476"/>
        <v>0.18828209129068416</v>
      </c>
      <c r="BN78" s="165">
        <f t="shared" si="476"/>
        <v>0.21560534362682973</v>
      </c>
      <c r="BO78" s="165">
        <f t="shared" ref="BO78:CT78" si="477">BO77/BO59</f>
        <v>0.23879144049167833</v>
      </c>
      <c r="BP78" s="165">
        <f t="shared" si="477"/>
        <v>0.26099474122209038</v>
      </c>
      <c r="BQ78" s="165">
        <f t="shared" si="477"/>
        <v>0.29931884312990437</v>
      </c>
      <c r="BR78" s="165">
        <f t="shared" si="477"/>
        <v>0.31138747059420246</v>
      </c>
      <c r="BS78" s="165">
        <f t="shared" si="477"/>
        <v>0.31423778681595183</v>
      </c>
      <c r="BT78" s="165">
        <f t="shared" si="477"/>
        <v>0.24726619786089124</v>
      </c>
      <c r="BU78" s="165">
        <f t="shared" si="477"/>
        <v>0.27470060807760727</v>
      </c>
      <c r="BV78" s="165">
        <f t="shared" si="477"/>
        <v>0.25131284551095262</v>
      </c>
      <c r="BW78" s="165">
        <f t="shared" si="477"/>
        <v>0.32050727275982888</v>
      </c>
      <c r="BX78" s="165">
        <f t="shared" si="477"/>
        <v>0.2758374524745123</v>
      </c>
      <c r="BY78" s="165">
        <f t="shared" si="477"/>
        <v>0.2180705455091578</v>
      </c>
      <c r="BZ78" s="165">
        <f t="shared" si="477"/>
        <v>0.19756043233381768</v>
      </c>
      <c r="CA78" s="165">
        <f t="shared" si="477"/>
        <v>0.21144642884101511</v>
      </c>
      <c r="CB78" s="165">
        <f t="shared" si="477"/>
        <v>0.14133451059535829</v>
      </c>
      <c r="CC78" s="165">
        <f t="shared" si="477"/>
        <v>0.19354232858059578</v>
      </c>
      <c r="CD78" s="165">
        <f t="shared" si="477"/>
        <v>0.23604799764215331</v>
      </c>
      <c r="CE78" s="165">
        <f t="shared" si="477"/>
        <v>0.17178606145353037</v>
      </c>
      <c r="CF78" s="165">
        <f t="shared" si="477"/>
        <v>0.17495236145905102</v>
      </c>
      <c r="CG78" s="165">
        <f t="shared" si="477"/>
        <v>0.146146171753089</v>
      </c>
      <c r="CH78" s="165">
        <f t="shared" si="477"/>
        <v>0.1691473316549863</v>
      </c>
      <c r="CI78" s="165">
        <f t="shared" ref="CI78:CJ78" si="478">CI77/CI59</f>
        <v>0.15263394364585686</v>
      </c>
      <c r="CJ78" s="165">
        <f t="shared" si="478"/>
        <v>0.17563837534355989</v>
      </c>
      <c r="CK78" s="165">
        <f t="shared" ref="CK78:CL78" si="479">CK77/CK59</f>
        <v>0.17106800160579055</v>
      </c>
      <c r="CL78" s="165">
        <f t="shared" si="479"/>
        <v>0.23873440294235365</v>
      </c>
      <c r="CM78" s="166">
        <f t="shared" si="477"/>
        <v>0.2070250743472434</v>
      </c>
      <c r="CN78" s="166">
        <f t="shared" si="477"/>
        <v>0.20811646355973681</v>
      </c>
      <c r="CO78" s="166">
        <f t="shared" si="477"/>
        <v>0.20623598561378115</v>
      </c>
      <c r="CP78" s="166">
        <f t="shared" si="477"/>
        <v>0.21502798161577874</v>
      </c>
      <c r="CQ78" s="166">
        <f t="shared" si="477"/>
        <v>0.21910137628413506</v>
      </c>
      <c r="CR78" s="166">
        <f t="shared" si="477"/>
        <v>0.21212045176835795</v>
      </c>
      <c r="CS78" s="166">
        <f t="shared" si="477"/>
        <v>0.21312144882051323</v>
      </c>
      <c r="CT78" s="166">
        <f t="shared" si="477"/>
        <v>0.21484281462219626</v>
      </c>
      <c r="CU78" s="166">
        <f t="shared" ref="CU78:DB78" si="480">CU77/CU59</f>
        <v>0.21479652287380063</v>
      </c>
      <c r="CV78" s="166">
        <f t="shared" si="480"/>
        <v>0.21372030952121704</v>
      </c>
      <c r="CW78" s="166">
        <f t="shared" si="480"/>
        <v>0.21412027395943178</v>
      </c>
      <c r="CX78" s="166">
        <f t="shared" si="480"/>
        <v>0.21436998024416148</v>
      </c>
      <c r="CY78" s="166">
        <f t="shared" si="480"/>
        <v>0.2142517716496527</v>
      </c>
      <c r="CZ78" s="166">
        <f t="shared" si="480"/>
        <v>0.21411558384361576</v>
      </c>
      <c r="DA78" s="166">
        <f t="shared" si="480"/>
        <v>0.21421440242421547</v>
      </c>
      <c r="DB78" s="166">
        <f t="shared" si="480"/>
        <v>0.21423793454041137</v>
      </c>
      <c r="DE78" s="168"/>
      <c r="DF78" s="167">
        <v>0.1771219130625484</v>
      </c>
    </row>
    <row r="79" spans="1:110" s="38" customFormat="1" x14ac:dyDescent="0.2">
      <c r="A79" s="39" t="s">
        <v>449</v>
      </c>
      <c r="B79" s="39"/>
      <c r="C79" s="39">
        <f t="shared" ref="C79:E79" si="481">+IF(B77&lt;0,1-C77/B77,C77/B77-1)</f>
        <v>1.0570281933881973</v>
      </c>
      <c r="D79" s="39">
        <f t="shared" si="481"/>
        <v>4.5715953382885255E-2</v>
      </c>
      <c r="E79" s="39">
        <f t="shared" si="481"/>
        <v>0.55025334088963085</v>
      </c>
      <c r="F79" s="39">
        <f t="shared" ref="F79:Y79" si="482">+IF(E77&lt;0,1-F77/E77,F77/E77-1)</f>
        <v>-0.12215448473856583</v>
      </c>
      <c r="G79" s="39">
        <f t="shared" si="482"/>
        <v>0.48257994576722463</v>
      </c>
      <c r="H79" s="39">
        <f t="shared" si="482"/>
        <v>0.33179369935557324</v>
      </c>
      <c r="I79" s="39">
        <f t="shared" si="482"/>
        <v>0.18459533933154848</v>
      </c>
      <c r="J79" s="39">
        <f t="shared" si="482"/>
        <v>0.24466305049772075</v>
      </c>
      <c r="K79" s="39">
        <f t="shared" si="482"/>
        <v>0.25201801561589598</v>
      </c>
      <c r="L79" s="39">
        <f t="shared" si="482"/>
        <v>0.3682263894898461</v>
      </c>
      <c r="M79" s="39">
        <f t="shared" si="482"/>
        <v>0.25735341375526244</v>
      </c>
      <c r="N79" s="39">
        <f t="shared" si="482"/>
        <v>5.7489465283833141E-4</v>
      </c>
      <c r="O79" s="39">
        <f t="shared" si="482"/>
        <v>0.10102806140650578</v>
      </c>
      <c r="P79" s="39">
        <f t="shared" si="482"/>
        <v>0.16488406911986009</v>
      </c>
      <c r="Q79" s="39">
        <f t="shared" si="482"/>
        <v>0.21149967856955887</v>
      </c>
      <c r="R79" s="39">
        <f t="shared" si="482"/>
        <v>0.20929137497286976</v>
      </c>
      <c r="S79" s="39">
        <f t="shared" si="482"/>
        <v>0.22103267693065343</v>
      </c>
      <c r="T79" s="39">
        <f t="shared" si="482"/>
        <v>5.2297891167591315E-2</v>
      </c>
      <c r="U79" s="39">
        <f t="shared" si="482"/>
        <v>-7.3451683921972655E-2</v>
      </c>
      <c r="V79" s="39">
        <f t="shared" si="482"/>
        <v>1.0730631935666808</v>
      </c>
      <c r="W79" s="39">
        <f t="shared" si="482"/>
        <v>0.69232257778703055</v>
      </c>
      <c r="X79" s="39">
        <f t="shared" si="482"/>
        <v>-2.1768722559640241E-2</v>
      </c>
      <c r="Y79" s="39">
        <f t="shared" si="482"/>
        <v>-0.46851697194892461</v>
      </c>
      <c r="Z79" s="39">
        <f t="shared" ref="Z79:AE79" si="483">+IF(Y77&lt;0,1-Z77/Y77,Z77/Y77-1)</f>
        <v>-0.28289640528619708</v>
      </c>
      <c r="AA79" s="39">
        <f t="shared" si="483"/>
        <v>6.5089213639768051E-2</v>
      </c>
      <c r="AB79" s="40">
        <f t="shared" si="483"/>
        <v>0.64176805637997614</v>
      </c>
      <c r="AC79" s="40">
        <f t="shared" si="483"/>
        <v>0.55135899313158365</v>
      </c>
      <c r="AD79" s="40">
        <f t="shared" si="483"/>
        <v>0.3790917829770466</v>
      </c>
      <c r="AE79" s="40">
        <f t="shared" si="483"/>
        <v>0.39309613926921361</v>
      </c>
      <c r="AI79" s="39"/>
      <c r="AJ79" s="39"/>
      <c r="AK79" s="39"/>
      <c r="AL79" s="39"/>
      <c r="AM79" s="39">
        <f>+IF(AI77&lt;0,1-AM77/AI77,AM77/AI77-1)</f>
        <v>-1.3043478260868935E-2</v>
      </c>
      <c r="AN79" s="39">
        <f t="shared" ref="AN79" si="484">+IF(AJ77&lt;0,1-AN77/AJ77,AN77/AJ77-1)</f>
        <v>0.20340746521004083</v>
      </c>
      <c r="AO79" s="39">
        <f t="shared" ref="AO79" si="485">+IF(AK77&lt;0,1-AO77/AK77,AO77/AK77-1)</f>
        <v>0.17689792953141925</v>
      </c>
      <c r="AP79" s="39">
        <f t="shared" ref="AP79" si="486">+IF(AL77&lt;0,1-AP77/AL77,AP77/AL77-1)</f>
        <v>0.19784580498866311</v>
      </c>
      <c r="AQ79" s="39">
        <f t="shared" ref="AQ79" si="487">+IF(AM77&lt;0,1-AQ77/AM77,AQ77/AM77-1)</f>
        <v>9.9559471365638919E-2</v>
      </c>
      <c r="AR79" s="39">
        <f t="shared" ref="AR79" si="488">+IF(AN77&lt;0,1-AR77/AN77,AR77/AN77-1)</f>
        <v>-3.0440577830614157E-2</v>
      </c>
      <c r="AS79" s="39">
        <f t="shared" ref="AS79" si="489">+IF(AO77&lt;0,1-AS77/AO77,AS77/AO77-1)</f>
        <v>0.1102880658436225</v>
      </c>
      <c r="AT79" s="39">
        <f t="shared" ref="AT79" si="490">+IF(AP77&lt;0,1-AT77/AP77,AT77/AP77-1)</f>
        <v>0.36781826786559413</v>
      </c>
      <c r="AU79" s="39">
        <f t="shared" ref="AU79" si="491">+IF(AQ77&lt;0,1-AU77/AQ77,AU77/AQ77-1)</f>
        <v>0.16121794871794881</v>
      </c>
      <c r="AV79" s="39">
        <f t="shared" ref="AV79" si="492">+IF(AR77&lt;0,1-AV77/AR77,AV77/AR77-1)</f>
        <v>3.8455822248643745E-2</v>
      </c>
      <c r="AW79" s="39">
        <f t="shared" ref="AW79" si="493">+IF(AS77&lt;0,1-AW77/AS77,AW77/AS77-1)</f>
        <v>0.4404188287620463</v>
      </c>
      <c r="AX79" s="39">
        <f t="shared" ref="AX79" si="494">+IF(AT77&lt;0,1-AX77/AT77,AX77/AT77-1)</f>
        <v>0.4140889903812881</v>
      </c>
      <c r="AY79" s="39">
        <f t="shared" ref="AY79" si="495">+IF(AU77&lt;0,1-AY77/AU77,AY77/AU77-1)</f>
        <v>0.39125034501794076</v>
      </c>
      <c r="AZ79" s="39">
        <f t="shared" ref="AZ79" si="496">+IF(AV77&lt;0,1-AZ77/AV77,AZ77/AV77-1)</f>
        <v>0.41929943826255034</v>
      </c>
      <c r="BA79" s="39">
        <f t="shared" ref="BA79" si="497">+IF(AW77&lt;0,1-BA77/AW77,BA77/AW77-1)</f>
        <v>0.1768092634287548</v>
      </c>
      <c r="BB79" s="39">
        <f t="shared" ref="BB79" si="498">+IF(AX77&lt;0,1-BB77/AX77,BB77/AX77-1)</f>
        <v>-6.5891852214338797E-2</v>
      </c>
      <c r="BC79" s="39">
        <f t="shared" ref="BC79" si="499">+IF(AY77&lt;0,1-BC77/AY77,BC77/AY77-1)</f>
        <v>6.2245808947518633E-3</v>
      </c>
      <c r="BD79" s="39">
        <f t="shared" ref="BD79" si="500">+IF(AZ77&lt;0,1-BD77/AZ77,BD77/AZ77-1)</f>
        <v>0.29877987294544761</v>
      </c>
      <c r="BE79" s="39">
        <f t="shared" ref="BE79" si="501">+IF(BA77&lt;0,1-BE77/BA77,BE77/BA77-1)</f>
        <v>0.38223959329816593</v>
      </c>
      <c r="BF79" s="39">
        <f t="shared" ref="BF79" si="502">+IF(BB77&lt;0,1-BF77/BB77,BF77/BB77-1)</f>
        <v>0.22738821803703702</v>
      </c>
      <c r="BG79" s="39">
        <f t="shared" ref="BG79" si="503">+IF(BC77&lt;0,1-BG77/BC77,BG77/BC77-1)</f>
        <v>0.44601355514479502</v>
      </c>
      <c r="BH79" s="39">
        <f t="shared" ref="BH79" si="504">+IF(BD77&lt;0,1-BH77/BD77,BH77/BD77-1)</f>
        <v>-0.13059006211180157</v>
      </c>
      <c r="BI79" s="39">
        <f t="shared" ref="BI79" si="505">+IF(BE77&lt;0,1-BI77/BE77,BI77/BE77-1)</f>
        <v>-0.15779482717709403</v>
      </c>
      <c r="BJ79" s="39">
        <f t="shared" ref="BJ79" si="506">+IF(BF77&lt;0,1-BJ77/BF77,BJ77/BF77-1)</f>
        <v>1.052114900337342E-2</v>
      </c>
      <c r="BK79" s="39">
        <f t="shared" ref="BK79" si="507">+IF(BG77&lt;0,1-BK77/BG77,BK77/BG77-1)</f>
        <v>-0.3606490319061908</v>
      </c>
      <c r="BL79" s="39">
        <f t="shared" ref="BL79" si="508">+IF(BH77&lt;0,1-BL77/BH77,BL77/BH77-1)</f>
        <v>-5.8046079657103622E-4</v>
      </c>
      <c r="BM79" s="39">
        <f t="shared" ref="BM79" si="509">+IF(BI77&lt;0,1-BM77/BI77,BM77/BI77-1)</f>
        <v>5.7522539444030407E-3</v>
      </c>
      <c r="BN79" s="39">
        <f t="shared" ref="BN79" si="510">+IF(BJ77&lt;0,1-BN77/BJ77,BN77/BJ77-1)</f>
        <v>0.17488543008595325</v>
      </c>
      <c r="BO79" s="39">
        <f t="shared" ref="BO79" si="511">+IF(BK77&lt;0,1-BO77/BK77,BO77/BK77-1)</f>
        <v>0.41898592450415917</v>
      </c>
      <c r="BP79" s="39">
        <f t="shared" ref="BP79" si="512">+IF(BL77&lt;0,1-BP77/BL77,BP77/BL77-1)</f>
        <v>0.64636107760353867</v>
      </c>
      <c r="BQ79" s="39">
        <f t="shared" ref="BQ79" si="513">+IF(BM77&lt;0,1-BQ77/BM77,BQ77/BM77-1)</f>
        <v>1.7399444405537268</v>
      </c>
      <c r="BR79" s="39">
        <f t="shared" ref="BR79" si="514">+IF(BN77&lt;0,1-BR77/BN77,BR77/BN77-1)</f>
        <v>1.3174611734253672</v>
      </c>
      <c r="BS79" s="39">
        <f t="shared" ref="BS79" si="515">+IF(BO77&lt;0,1-BS77/BO77,BS77/BO77-1)</f>
        <v>1.6605985459054264</v>
      </c>
      <c r="BT79" s="39">
        <f t="shared" ref="BT79" si="516">+IF(BP77&lt;0,1-BT77/BP77,BT77/BP77-1)</f>
        <v>0.76382952741482391</v>
      </c>
      <c r="BU79" s="39">
        <f t="shared" ref="BU79" si="517">+IF(BQ77&lt;0,1-BU77/BQ77,BU77/BQ77-1)</f>
        <v>0.32210682366172172</v>
      </c>
      <c r="BV79" s="39">
        <f t="shared" ref="BV79" si="518">+IF(BR77&lt;0,1-BV77/BR77,BV77/BR77-1)</f>
        <v>0.52116346713205375</v>
      </c>
      <c r="BW79" s="39">
        <f t="shared" ref="BW79" si="519">+IF(BS77&lt;0,1-BW77/BS77,BW77/BS77-1)</f>
        <v>0.51668890913070853</v>
      </c>
      <c r="BX79" s="39">
        <f t="shared" ref="BX79" si="520">+IF(BT77&lt;0,1-BX77/BT77,BX77/BT77-1)</f>
        <v>0.33161020339087433</v>
      </c>
      <c r="BY79" s="39">
        <f t="shared" ref="BY79" si="521">+IF(BU77&lt;0,1-BY77/BU77,BY77/BU77-1)</f>
        <v>-0.17656611482371731</v>
      </c>
      <c r="BZ79" s="39">
        <f t="shared" ref="BZ79" si="522">+IF(BV77&lt;0,1-BZ77/BV77,BZ77/BV77-1)</f>
        <v>-0.52513308450100982</v>
      </c>
      <c r="CA79" s="39">
        <f t="shared" ref="CA79" si="523">+IF(BW77&lt;0,1-CA77/BW77,CA77/BW77-1)</f>
        <v>-0.5435554831350824</v>
      </c>
      <c r="CB79" s="39">
        <f t="shared" ref="CB79" si="524">+IF(BX77&lt;0,1-CB77/BX77,CB77/BX77-1)</f>
        <v>-0.68929660781957658</v>
      </c>
      <c r="CC79" s="39">
        <f t="shared" ref="CC79" si="525">+IF(BY77&lt;0,1-CC77/BY77,CC77/BY77-1)</f>
        <v>-0.41933666202319608</v>
      </c>
      <c r="CD79" s="39">
        <f t="shared" ref="CD79" si="526">+IF(BZ77&lt;0,1-CD77/BZ77,CD77/BZ77-1)</f>
        <v>4.9179095663005601E-2</v>
      </c>
      <c r="CE79" s="39">
        <f t="shared" ref="CE79" si="527">+IF(CA77&lt;0,1-CE77/CA77,CE77/CA77-1)</f>
        <v>-0.32586034556618604</v>
      </c>
      <c r="CF79" s="39">
        <f t="shared" ref="CF79" si="528">+IF(CB77&lt;0,1-CF77/CB77,CF77/CB77-1)</f>
        <v>0.12836531310426835</v>
      </c>
      <c r="CG79" s="39">
        <f t="shared" ref="CG79" si="529">+IF(CC77&lt;0,1-CG77/CC77,CG77/CC77-1)</f>
        <v>-0.38400991967221954</v>
      </c>
      <c r="CH79" s="39">
        <f t="shared" ref="CH79:CL79" si="530">+IF(CD77&lt;0,1-CH77/CD77,CH77/CD77-1)</f>
        <v>-0.38938071211454417</v>
      </c>
      <c r="CI79" s="39">
        <f t="shared" si="530"/>
        <v>-0.1724664871243986</v>
      </c>
      <c r="CJ79" s="39">
        <f t="shared" si="530"/>
        <v>-1.440152913261239E-2</v>
      </c>
      <c r="CK79" s="39">
        <f t="shared" si="530"/>
        <v>0.2400446350428842</v>
      </c>
      <c r="CL79" s="39">
        <f t="shared" si="530"/>
        <v>0.57968925464693366</v>
      </c>
      <c r="CM79" s="40">
        <f t="shared" ref="CM79" si="531">+CM77/CI77-1</f>
        <v>0.7365610895241208</v>
      </c>
      <c r="CN79" s="40">
        <f t="shared" ref="CN79" si="532">+CN77/CJ77-1</f>
        <v>0.64481373203869152</v>
      </c>
      <c r="CO79" s="40">
        <f t="shared" ref="CO79" si="533">+CO77/CK77-1</f>
        <v>0.6692785910165493</v>
      </c>
      <c r="CP79" s="40">
        <f t="shared" ref="CP79" si="534">+CP77/CL77-1</f>
        <v>0.25173650712292273</v>
      </c>
      <c r="CQ79" s="40">
        <f t="shared" ref="CQ79" si="535">+CQ77/CM77-1</f>
        <v>0.60021819461143311</v>
      </c>
      <c r="CR79" s="40">
        <f t="shared" ref="CR79" si="536">+CR77/CN77-1</f>
        <v>0.54274053091028129</v>
      </c>
      <c r="CS79" s="40">
        <f t="shared" ref="CS79" si="537">+CS77/CO77-1</f>
        <v>0.55690905620605879</v>
      </c>
      <c r="CT79" s="40">
        <f t="shared" ref="CT79" si="538">+CT77/CP77-1</f>
        <v>0.51475910974566652</v>
      </c>
      <c r="CU79" s="40">
        <f t="shared" ref="CU79" si="539">+CU77/CQ77-1</f>
        <v>0.35510322628099256</v>
      </c>
      <c r="CV79" s="40">
        <f t="shared" ref="CV79" si="540">+CV77/CR77-1</f>
        <v>0.39338785075263405</v>
      </c>
      <c r="CW79" s="40">
        <f t="shared" ref="CW79" si="541">+CW77/CS77-1</f>
        <v>0.38678076663565131</v>
      </c>
      <c r="CX79" s="40">
        <f t="shared" ref="CX79" si="542">+CX77/CT77-1</f>
        <v>0.38101481358837441</v>
      </c>
      <c r="CY79" s="40">
        <f t="shared" ref="CY79" si="543">+CY77/CU77-1</f>
        <v>0.38971041208766288</v>
      </c>
      <c r="CZ79" s="40">
        <f t="shared" ref="CZ79" si="544">+CZ77/CV77-1</f>
        <v>0.39648839534029645</v>
      </c>
      <c r="DA79" s="40">
        <f t="shared" ref="DA79" si="545">+DA77/CW77-1</f>
        <v>0.39180027506383119</v>
      </c>
      <c r="DB79" s="40">
        <f t="shared" ref="DB79" si="546">+DB77/CX77-1</f>
        <v>0.39408731043475043</v>
      </c>
      <c r="DE79" s="122"/>
      <c r="DF79" s="38">
        <v>0.30852747313149775</v>
      </c>
    </row>
    <row r="80" spans="1:110" s="38" customFormat="1" x14ac:dyDescent="0.2">
      <c r="A80" s="39" t="s">
        <v>450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40"/>
      <c r="AC80" s="40"/>
      <c r="AD80" s="40"/>
      <c r="AE80" s="40"/>
      <c r="AI80" s="39"/>
      <c r="AJ80" s="39">
        <f>+IF(AI77&lt;0,1-AJ77/AI77,AJ77/AI77-1)</f>
        <v>2.913043478261601E-3</v>
      </c>
      <c r="AK80" s="39">
        <f t="shared" ref="AK80:AM80" si="547">+IF(AJ77&lt;0,1-AK77/AJ77,AK77/AJ77-1)</f>
        <v>-0.28391208219534436</v>
      </c>
      <c r="AL80" s="39">
        <f t="shared" si="547"/>
        <v>6.7925899019251723E-2</v>
      </c>
      <c r="AM80" s="39">
        <f t="shared" si="547"/>
        <v>0.286848072562359</v>
      </c>
      <c r="AN80" s="39">
        <f t="shared" ref="AN80" si="548">+IF(AM77&lt;0,1-AN77/AM77,AN77/AM77-1)</f>
        <v>0.22286343612334858</v>
      </c>
      <c r="AO80" s="39">
        <f t="shared" ref="AO80" si="549">+IF(AN77&lt;0,1-AO77/AN77,AO77/AN77-1)</f>
        <v>-0.29968658813357951</v>
      </c>
      <c r="AP80" s="39">
        <f t="shared" ref="AP80" si="550">+IF(AO77&lt;0,1-AP77/AO77,AP77/AO77-1)</f>
        <v>8.6934156378602578E-2</v>
      </c>
      <c r="AQ80" s="39">
        <f t="shared" ref="AQ80" si="551">+IF(AP77&lt;0,1-AQ77/AP77,AQ77/AP77-1)</f>
        <v>0.18125887363937521</v>
      </c>
      <c r="AR80" s="39">
        <f t="shared" ref="AR80" si="552">+IF(AQ77&lt;0,1-AR77/AQ77,AR77/AQ77-1)</f>
        <v>7.8285256410255855E-2</v>
      </c>
      <c r="AS80" s="39">
        <f t="shared" ref="AS80" si="553">+IF(AR77&lt;0,1-AS77/AR77,AS77/AR77-1)</f>
        <v>-0.19803819573456194</v>
      </c>
      <c r="AT80" s="39">
        <f t="shared" ref="AT80" si="554">+IF(AS77&lt;0,1-AT77/AS77,AT77/AS77-1)</f>
        <v>0.33904744255003805</v>
      </c>
      <c r="AU80" s="39">
        <f t="shared" ref="AU80" si="555">+IF(AT77&lt;0,1-AU77/AT77,AU77/AT77-1)</f>
        <v>2.8371738979999783E-3</v>
      </c>
      <c r="AV80" s="39">
        <f t="shared" ref="AV80" si="556">+IF(AU77&lt;0,1-AV77/AU77,AV77/AU77-1)</f>
        <v>-3.5709356886558741E-2</v>
      </c>
      <c r="AW80" s="39">
        <f t="shared" ref="AW80" si="557">+IF(AV77&lt;0,1-AW77/AV77,AW77/AV77-1)</f>
        <v>0.11238326952663824</v>
      </c>
      <c r="AX80" s="39">
        <f t="shared" ref="AX80" si="558">+IF(AW77&lt;0,1-AX77/AW77,AX77/AW77-1)</f>
        <v>0.31457060147957572</v>
      </c>
      <c r="AY80" s="39">
        <f t="shared" ref="AY80" si="559">+IF(AX77&lt;0,1-AY77/AX77,AY77/AX77-1)</f>
        <v>-1.3359432346464528E-2</v>
      </c>
      <c r="AZ80" s="39">
        <f t="shared" ref="AZ80" si="560">+IF(AY77&lt;0,1-AZ77/AY77,AZ77/AY77-1)</f>
        <v>-1.6268227358396947E-2</v>
      </c>
      <c r="BA80" s="39">
        <f t="shared" ref="BA80" si="561">+IF(AZ77&lt;0,1-BA77/AZ77,BA77/AZ77-1)</f>
        <v>-7.7669658162751287E-2</v>
      </c>
      <c r="BB80" s="39">
        <f t="shared" ref="BB80" si="562">+IF(BA77&lt;0,1-BB77/BA77,BB77/BA77-1)</f>
        <v>4.3458058873370176E-2</v>
      </c>
      <c r="BC80" s="39">
        <f t="shared" ref="BC80" si="563">+IF(BB77&lt;0,1-BC77/BB77,BC77/BB77-1)</f>
        <v>6.2812688267805061E-2</v>
      </c>
      <c r="BD80" s="39">
        <f t="shared" ref="BD80" si="564">+IF(BC77&lt;0,1-BD77/BC77,BD77/BC77-1)</f>
        <v>0.26974738139248422</v>
      </c>
      <c r="BE80" s="39">
        <f t="shared" ref="BE80" si="565">+IF(BD77&lt;0,1-BE77/BD77,BE77/BD77-1)</f>
        <v>-1.8400621118013216E-2</v>
      </c>
      <c r="BF80" s="39">
        <f t="shared" ref="BF80" si="566">+IF(BE77&lt;0,1-BF77/BE77,BF77/BE77-1)</f>
        <v>-7.343984813730986E-2</v>
      </c>
      <c r="BG80" s="39">
        <f t="shared" ref="BG80" si="567">+IF(BF77&lt;0,1-BG77/BF77,BG77/BF77-1)</f>
        <v>0.2521234367664027</v>
      </c>
      <c r="BH80" s="39">
        <f t="shared" ref="BH80" si="568">+IF(BG77&lt;0,1-BH77/BG77,BH77/BG77-1)</f>
        <v>-0.23656940278156569</v>
      </c>
      <c r="BI80" s="39">
        <f t="shared" ref="BI80" si="569">+IF(BH77&lt;0,1-BI77/BH77,BI77/BH77-1)</f>
        <v>-4.9115913555992541E-2</v>
      </c>
      <c r="BJ80" s="39">
        <f t="shared" ref="BJ80" si="570">+IF(BI77&lt;0,1-BJ77/BI77,BJ77/BI77-1)</f>
        <v>0.11173459804658226</v>
      </c>
      <c r="BK80" s="39">
        <f t="shared" ref="BK80" si="571">+IF(BJ77&lt;0,1-BK77/BJ77,BK77/BJ77-1)</f>
        <v>-0.20778864226732308</v>
      </c>
      <c r="BL80" s="39">
        <f t="shared" ref="BL80" si="572">+IF(BK77&lt;0,1-BL77/BK77,BL77/BK77-1)</f>
        <v>0.19337811900191926</v>
      </c>
      <c r="BM80" s="39">
        <f t="shared" ref="BM80" si="573">+IF(BL77&lt;0,1-BM77/BL77,BM77/BL77-1)</f>
        <v>-4.309073850690226E-2</v>
      </c>
      <c r="BN80" s="39">
        <f t="shared" ref="BN80" si="574">+IF(BM77&lt;0,1-BN77/BM77,BN77/BM77-1)</f>
        <v>0.29869038448070562</v>
      </c>
      <c r="BO80" s="39">
        <f t="shared" ref="BO80" si="575">+IF(BN77&lt;0,1-BO77/BN77,BO77/BN77-1)</f>
        <v>-4.3194564279550929E-2</v>
      </c>
      <c r="BP80" s="39">
        <f t="shared" ref="BP80" si="576">+IF(BO77&lt;0,1-BP77/BO77,BP77/BO77-1)</f>
        <v>0.38460237840274991</v>
      </c>
      <c r="BQ80" s="39">
        <f t="shared" ref="BQ80" si="577">+IF(BP77&lt;0,1-BQ77/BP77,BQ77/BP77-1)</f>
        <v>0.59252927368692454</v>
      </c>
      <c r="BR80" s="39">
        <f t="shared" ref="BR80" si="578">+IF(BQ77&lt;0,1-BR77/BQ77,BR77/BQ77-1)</f>
        <v>9.8439989435209707E-2</v>
      </c>
      <c r="BS80" s="39">
        <f t="shared" ref="BS80" si="579">+IF(BR77&lt;0,1-BS77/BR77,BS77/BR77-1)</f>
        <v>9.8475858057009535E-2</v>
      </c>
      <c r="BT80" s="39">
        <f t="shared" ref="BT80" si="580">+IF(BS77&lt;0,1-BT77/BS77,BT77/BS77-1)</f>
        <v>-8.2085283962124667E-2</v>
      </c>
      <c r="BU80" s="39">
        <f t="shared" ref="BU80" si="581">+IF(BT77&lt;0,1-BU77/BT77,BU77/BT77-1)</f>
        <v>0.19370596018339059</v>
      </c>
      <c r="BV80" s="39">
        <f t="shared" ref="BV80" si="582">+IF(BU77&lt;0,1-BV77/BU77,BV77/BU77-1)</f>
        <v>0.26382131372561712</v>
      </c>
      <c r="BW80" s="39">
        <f t="shared" ref="BW80" si="583">+IF(BV77&lt;0,1-BW77/BV77,BW77/BV77-1)</f>
        <v>9.5244651124844371E-2</v>
      </c>
      <c r="BX80" s="39">
        <f t="shared" ref="BX80" si="584">+IF(BW77&lt;0,1-BX77/BW77,BX77/BW77-1)</f>
        <v>-0.19409669685048558</v>
      </c>
      <c r="BY80" s="39">
        <f t="shared" ref="BY80" si="585">+IF(BX77&lt;0,1-BY77/BX77,BY77/BX77-1)</f>
        <v>-0.26184259173675939</v>
      </c>
      <c r="BZ80" s="39">
        <f t="shared" ref="BZ80" si="586">+IF(BY77&lt;0,1-BZ77/BY77,BZ77/BY77-1)</f>
        <v>-0.27116561536414729</v>
      </c>
      <c r="CA80" s="39">
        <f t="shared" ref="CA80" si="587">+IF(BZ77&lt;0,1-CA77/BZ77,CA77/BZ77-1)</f>
        <v>5.2754781002695372E-2</v>
      </c>
      <c r="CB80" s="39">
        <f t="shared" ref="CB80" si="588">+IF(CA77&lt;0,1-CB77/CA77,CB77/CA77-1)</f>
        <v>-0.45141877970665611</v>
      </c>
      <c r="CC80" s="39">
        <f t="shared" ref="CC80" si="589">+IF(CB77&lt;0,1-CC77/CB77,CC77/CB77-1)</f>
        <v>0.3795180722891569</v>
      </c>
      <c r="CD80" s="39">
        <f t="shared" ref="CD80" si="590">+IF(CC77&lt;0,1-CD77/CC77,CD77/CC77-1)</f>
        <v>0.31690387621974181</v>
      </c>
      <c r="CE80" s="39">
        <f t="shared" ref="CE80" si="591">+IF(CD77&lt;0,1-CE77/CD77,CE77/CD77-1)</f>
        <v>-0.32356282430482364</v>
      </c>
      <c r="CF80" s="39">
        <f t="shared" ref="CF80" si="592">+IF(CE77&lt;0,1-CF77/CE77,CF77/CE77-1)</f>
        <v>-8.1792598420431628E-2</v>
      </c>
      <c r="CG80" s="39">
        <f t="shared" ref="CG80" si="593">+IF(CF77&lt;0,1-CG77/CF77,CG77/CF77-1)</f>
        <v>-0.24690218824149701</v>
      </c>
      <c r="CH80" s="39">
        <f t="shared" ref="CH80:CI80" si="594">+IF(CG77&lt;0,1-CH77/CG77,CH77/CG77-1)</f>
        <v>0.3054218449151056</v>
      </c>
      <c r="CI80" s="39">
        <f t="shared" si="594"/>
        <v>-8.3267686841091093E-2</v>
      </c>
      <c r="CJ80" s="39">
        <f>+IF(CI77&gt;1,CJ77/CI77-1,1-CJ77/CI77)</f>
        <v>9.3591735990492975E-2</v>
      </c>
      <c r="CK80" s="39">
        <f>+IF(CJ77&gt;1,CK77/CJ77-1,1-CK77/CJ77)</f>
        <v>-5.2479352659912326E-2</v>
      </c>
      <c r="CL80" s="39">
        <f>+IF(CK77&gt;1,CL77/CK77-1,1-CL77/CK77)</f>
        <v>0.6629730921923247</v>
      </c>
      <c r="CM80" s="40">
        <f t="shared" ref="CM80" si="595">+CM77/CL77-1</f>
        <v>7.7688759723897327E-3</v>
      </c>
      <c r="CN80" s="40">
        <f t="shared" ref="CN80" si="596">+CN77/CM77-1</f>
        <v>3.5814239678787496E-2</v>
      </c>
      <c r="CO80" s="40">
        <f t="shared" ref="CO80" si="597">+CO77/CN77-1</f>
        <v>-3.8385988430120865E-2</v>
      </c>
      <c r="CP80" s="40">
        <f t="shared" ref="CP80" si="598">+CP77/CO77-1</f>
        <v>0.24700822323048022</v>
      </c>
      <c r="CQ80" s="40">
        <f t="shared" ref="CQ80" si="599">+CQ77/CP77-1</f>
        <v>0.28833031721728464</v>
      </c>
      <c r="CR80" s="40">
        <f t="shared" ref="CR80" si="600">+CR77/CQ77-1</f>
        <v>-1.39080068733477E-3</v>
      </c>
      <c r="CS80" s="40">
        <f t="shared" ref="CS80" si="601">+CS77/CR77-1</f>
        <v>-2.9554527679126696E-2</v>
      </c>
      <c r="CT80" s="40">
        <f t="shared" ref="CT80" si="602">+CT77/CS77-1</f>
        <v>0.21324817177768862</v>
      </c>
      <c r="CU80" s="40">
        <f t="shared" ref="CU80" si="603">+CU77/CT77-1</f>
        <v>0.15254006933807873</v>
      </c>
      <c r="CV80" s="40">
        <f t="shared" ref="CV80" si="604">+CV77/CU77-1</f>
        <v>2.6822089259459947E-2</v>
      </c>
      <c r="CW80" s="40">
        <f t="shared" ref="CW80" si="605">+CW77/CV77-1</f>
        <v>-3.4156128635461913E-2</v>
      </c>
      <c r="CX80" s="40">
        <f t="shared" ref="CX80" si="606">+CX77/CW77-1</f>
        <v>0.2082037320497454</v>
      </c>
      <c r="CY80" s="40">
        <f t="shared" ref="CY80" si="607">+CY77/CX77-1</f>
        <v>0.15979707020345346</v>
      </c>
      <c r="CZ80" s="40">
        <f t="shared" ref="CZ80" si="608">+CZ77/CY77-1</f>
        <v>3.1830170701391047E-2</v>
      </c>
      <c r="DA80" s="40">
        <f t="shared" ref="DA80" si="609">+DA77/CZ77-1</f>
        <v>-3.7398541714118605E-2</v>
      </c>
      <c r="DB80" s="40">
        <f t="shared" ref="DB80" si="610">+DB77/DA77-1</f>
        <v>0.21018907773474149</v>
      </c>
      <c r="DE80" s="122"/>
      <c r="DF80" s="38">
        <v>0.37751521181199044</v>
      </c>
    </row>
    <row r="81" spans="1:110" s="23" customFormat="1" x14ac:dyDescent="0.2">
      <c r="A81" s="23" t="s">
        <v>15</v>
      </c>
      <c r="B81" s="23">
        <f>'Annual Raw'!C27</f>
        <v>1.1695918999999999</v>
      </c>
      <c r="C81" s="23">
        <f>'Annual Raw'!D27</f>
        <v>1.2016112000000001</v>
      </c>
      <c r="D81" s="23">
        <f>'Annual Raw'!E27</f>
        <v>1.5107849</v>
      </c>
      <c r="E81" s="23">
        <f>'Annual Raw'!F27</f>
        <v>2.3293642000000001</v>
      </c>
      <c r="F81" s="23">
        <f>'Annual Raw'!G27</f>
        <v>2.8293366999999998</v>
      </c>
      <c r="G81" s="23">
        <f>'Annual Raw'!H27</f>
        <v>3.2621327</v>
      </c>
      <c r="H81" s="23">
        <f>'Annual Raw'!I27</f>
        <v>3.7871950999999999</v>
      </c>
      <c r="I81" s="23">
        <f>'Annual Raw'!J27</f>
        <v>4.4501645999999999</v>
      </c>
      <c r="J81" s="23">
        <f>'Annual Raw'!K27</f>
        <v>4.8592373000000002</v>
      </c>
      <c r="K81" s="23">
        <f>'Annual Raw'!L27</f>
        <v>6.8745602999999997</v>
      </c>
      <c r="L81" s="23">
        <f>'Annual Raw'!M27</f>
        <v>8.2951923000000001</v>
      </c>
      <c r="M81" s="23">
        <f>'Annual Raw'!N27</f>
        <v>10.375450499999999</v>
      </c>
      <c r="N81" s="23">
        <f>'Annual Raw'!O27</f>
        <v>12.714903700000001</v>
      </c>
      <c r="O81" s="23">
        <f>'Annual Raw'!P27</f>
        <v>16.4894</v>
      </c>
      <c r="P81" s="23">
        <f>'Annual Raw'!Q27</f>
        <v>20.0756911</v>
      </c>
      <c r="Q81" s="23">
        <f>'Annual Raw'!R27</f>
        <v>19.382180900000002</v>
      </c>
      <c r="R81" s="23">
        <f>'Annual Raw'!S27</f>
        <v>19.711917199999998</v>
      </c>
      <c r="S81" s="23">
        <f>'Annual Raw'!T27</f>
        <v>19.287928900000001</v>
      </c>
      <c r="T81" s="23">
        <f>'Annual Raw'!U27</f>
        <v>19.553858900000002</v>
      </c>
      <c r="U81" s="23">
        <f>'Annual Raw'!V27</f>
        <v>31.622983699999999</v>
      </c>
      <c r="V81" s="23">
        <f>'Annual Raw'!W27</f>
        <v>34.411000000000001</v>
      </c>
      <c r="W81" s="23">
        <f>'Annual Raw'!X27</f>
        <v>41.998600000000003</v>
      </c>
      <c r="X81" s="23">
        <f>'Annual Raw'!Y27</f>
        <v>45.573399999999999</v>
      </c>
      <c r="Y81" s="23">
        <f>'Annual Raw'!Z27</f>
        <v>45.373600000000003</v>
      </c>
      <c r="Z81" s="23">
        <f>'Annual Raw'!AA27</f>
        <v>48.436300000000003</v>
      </c>
      <c r="AA81" s="23">
        <f>'Annual Raw'!AB27</f>
        <v>45.600999999999999</v>
      </c>
      <c r="AB81" s="76">
        <f>+SUM(CM81:CP81)</f>
        <v>76.060010382534955</v>
      </c>
      <c r="AC81" s="76">
        <f>+SUM(CQ81:CT81)</f>
        <v>115.18116999101595</v>
      </c>
      <c r="AD81" s="76">
        <f>+SUM(CU81:CX81)</f>
        <v>125.2068718812947</v>
      </c>
      <c r="AE81" s="76">
        <f>+SUM(CY81:DB81)</f>
        <v>123.72814982878427</v>
      </c>
      <c r="AI81" s="23">
        <f>'QTR Raw'!C28</f>
        <v>3.1429999999999998</v>
      </c>
      <c r="AJ81" s="23">
        <f>'QTR Raw'!D28</f>
        <v>3.1640000000000001</v>
      </c>
      <c r="AK81" s="23">
        <f>'QTR Raw'!E28</f>
        <v>3.1720000000000002</v>
      </c>
      <c r="AL81" s="23">
        <f>'QTR Raw'!F28</f>
        <v>3.22</v>
      </c>
      <c r="AM81" s="23">
        <f>'QTR Raw'!G28</f>
        <v>3.77</v>
      </c>
      <c r="AN81" s="23">
        <f>'QTR Raw'!H28</f>
        <v>3.786</v>
      </c>
      <c r="AO81" s="23">
        <f>'QTR Raw'!I28</f>
        <v>4.5</v>
      </c>
      <c r="AP81" s="23">
        <f>'QTR Raw'!J28</f>
        <v>4.41</v>
      </c>
      <c r="AQ81" s="23">
        <f>'QTR Raw'!K28</f>
        <v>4.9000000000000004</v>
      </c>
      <c r="AR81" s="23">
        <f>'QTR Raw'!L28</f>
        <v>4.9260000000000002</v>
      </c>
      <c r="AS81" s="23">
        <f>'QTR Raw'!M28</f>
        <v>4.9809999999999999</v>
      </c>
      <c r="AT81" s="23">
        <f>'QTR Raw'!N28</f>
        <v>3.7810000000000001</v>
      </c>
      <c r="AU81" s="23">
        <f>'QTR Raw'!O28</f>
        <v>4.3920000000000003</v>
      </c>
      <c r="AV81" s="23">
        <f>'QTR Raw'!P28</f>
        <v>4.3920000000000003</v>
      </c>
      <c r="AW81" s="23">
        <f>'QTR Raw'!Q28</f>
        <v>4.3920000000000003</v>
      </c>
      <c r="AX81" s="23">
        <f>'QTR Raw'!R28</f>
        <v>4.7229999999999999</v>
      </c>
      <c r="AY81" s="23">
        <f>'QTR Raw'!S28</f>
        <v>4.4909999999999997</v>
      </c>
      <c r="AZ81" s="23">
        <f>'QTR Raw'!T28</f>
        <v>4.4909999999999997</v>
      </c>
      <c r="BA81" s="23">
        <f>'QTR Raw'!U28</f>
        <v>4.4909999999999997</v>
      </c>
      <c r="BB81" s="23">
        <f>'QTR Raw'!V28</f>
        <v>4.7489999999999997</v>
      </c>
      <c r="BC81" s="23">
        <f>'QTR Raw'!W28</f>
        <v>4.391</v>
      </c>
      <c r="BD81" s="23">
        <f>'QTR Raw'!X28</f>
        <v>4.37</v>
      </c>
      <c r="BE81" s="23">
        <f>'QTR Raw'!Y28</f>
        <v>4.37</v>
      </c>
      <c r="BF81" s="23">
        <f>'QTR Raw'!Z28</f>
        <v>6.1580000000000004</v>
      </c>
      <c r="BG81" s="23">
        <f>'QTR Raw'!AA28</f>
        <v>4.7069999999999999</v>
      </c>
      <c r="BH81" s="23">
        <f>'QTR Raw'!AB28</f>
        <v>4.734</v>
      </c>
      <c r="BI81" s="23">
        <f>'QTR Raw'!AC28</f>
        <v>4.7160000000000002</v>
      </c>
      <c r="BJ81" s="23">
        <f>'QTR Raw'!AD28</f>
        <v>5.3970000000000002</v>
      </c>
      <c r="BK81" s="23">
        <f>'QTR Raw'!AE28</f>
        <v>5.7119999999999997</v>
      </c>
      <c r="BL81" s="23">
        <f>'QTR Raw'!AF28</f>
        <v>7.8239999999999998</v>
      </c>
      <c r="BM81" s="23">
        <f>'QTR Raw'!AG28</f>
        <v>7.9640000000000004</v>
      </c>
      <c r="BN81" s="23">
        <f>'QTR Raw'!AH28</f>
        <v>10.122999999999999</v>
      </c>
      <c r="BO81" s="23">
        <f>'QTR Raw'!AI28</f>
        <v>7.9349999999999996</v>
      </c>
      <c r="BP81" s="23">
        <f>'QTR Raw'!AJ28</f>
        <v>9.2959999999999994</v>
      </c>
      <c r="BQ81" s="23">
        <f>'QTR Raw'!AK28</f>
        <v>8.7140000000000004</v>
      </c>
      <c r="BR81" s="23">
        <f>'QTR Raw'!AL28</f>
        <v>8.4670000000000005</v>
      </c>
      <c r="BS81" s="23">
        <f>'QTR Raw'!AM28</f>
        <v>9.6750000000000007</v>
      </c>
      <c r="BT81" s="23">
        <f>'QTR Raw'!AN28</f>
        <v>11.054</v>
      </c>
      <c r="BU81" s="23">
        <f>'QTR Raw'!AO28</f>
        <v>10.488</v>
      </c>
      <c r="BV81" s="23">
        <f>'QTR Raw'!AP28</f>
        <v>10.782</v>
      </c>
      <c r="BW81" s="23">
        <f>'QTR Raw'!AQ28</f>
        <v>11.082000000000001</v>
      </c>
      <c r="BX81" s="23">
        <f>'QTR Raw'!AR28</f>
        <v>11.010999999999999</v>
      </c>
      <c r="BY81" s="23">
        <f>'QTR Raw'!AS28</f>
        <v>12.337</v>
      </c>
      <c r="BZ81" s="23">
        <f>'QTR Raw'!AT28</f>
        <v>11.144</v>
      </c>
      <c r="CA81" s="23">
        <f>'QTR Raw'!AU28</f>
        <v>11.493</v>
      </c>
      <c r="CB81" s="23">
        <f>'QTR Raw'!AV28</f>
        <v>10.78</v>
      </c>
      <c r="CC81" s="23">
        <f>'QTR Raw'!AW28</f>
        <v>10.848000000000001</v>
      </c>
      <c r="CD81" s="23">
        <f>'QTR Raw'!AX28</f>
        <v>12.252000000000001</v>
      </c>
      <c r="CE81" s="23">
        <f>'QTR Raw'!AY28</f>
        <v>11.653</v>
      </c>
      <c r="CF81" s="23">
        <f>'QTR Raw'!AZ28</f>
        <v>12.002000000000001</v>
      </c>
      <c r="CG81" s="23">
        <f>'QTR Raw'!BA28</f>
        <v>11.879</v>
      </c>
      <c r="CH81" s="23">
        <f>'QTR Raw'!BB28</f>
        <v>12.903</v>
      </c>
      <c r="CI81" s="23">
        <f>'QTR Raw'!BC28</f>
        <v>13.972</v>
      </c>
      <c r="CJ81" s="23">
        <f>'QTR Raw'!BD28</f>
        <v>14.281000000000001</v>
      </c>
      <c r="CK81" s="23">
        <f>'QTR Raw'!BE28</f>
        <v>14.173</v>
      </c>
      <c r="CL81" s="23">
        <f>'QTR Raw'!BF28</f>
        <v>13.952999999999999</v>
      </c>
      <c r="CM81" s="24">
        <f t="shared" ref="CM81:DB81" si="611">CM82*CL183</f>
        <v>13.943807999399006</v>
      </c>
      <c r="CN81" s="24">
        <f t="shared" si="611"/>
        <v>16.444142251867405</v>
      </c>
      <c r="CO81" s="24">
        <f t="shared" si="611"/>
        <v>19.608090746231003</v>
      </c>
      <c r="CP81" s="24">
        <f t="shared" si="611"/>
        <v>26.063969385037542</v>
      </c>
      <c r="CQ81" s="24">
        <f t="shared" si="611"/>
        <v>27.17300984426198</v>
      </c>
      <c r="CR81" s="24">
        <f t="shared" si="611"/>
        <v>28.26541469659805</v>
      </c>
      <c r="CS81" s="24">
        <f t="shared" si="611"/>
        <v>29.341433476149078</v>
      </c>
      <c r="CT81" s="24">
        <f t="shared" si="611"/>
        <v>30.401311974006845</v>
      </c>
      <c r="CU81" s="24">
        <f t="shared" si="611"/>
        <v>31.445292294396737</v>
      </c>
      <c r="CV81" s="24">
        <f t="shared" si="611"/>
        <v>31.34861290998079</v>
      </c>
      <c r="CW81" s="24">
        <f t="shared" si="611"/>
        <v>31.253383716331072</v>
      </c>
      <c r="CX81" s="24">
        <f t="shared" si="611"/>
        <v>31.159582960586111</v>
      </c>
      <c r="CY81" s="24">
        <f t="shared" si="611"/>
        <v>31.067189216177315</v>
      </c>
      <c r="CZ81" s="24">
        <f t="shared" si="611"/>
        <v>30.976181377934658</v>
      </c>
      <c r="DA81" s="24">
        <f t="shared" si="611"/>
        <v>30.886538657265639</v>
      </c>
      <c r="DB81" s="24">
        <f t="shared" si="611"/>
        <v>30.798240577406652</v>
      </c>
      <c r="DE81" s="123"/>
      <c r="DF81" s="23">
        <v>13.982137024906622</v>
      </c>
    </row>
    <row r="82" spans="1:110" s="46" customFormat="1" x14ac:dyDescent="0.2">
      <c r="A82" s="46" t="s">
        <v>483</v>
      </c>
      <c r="B82" s="46">
        <f t="shared" ref="B82:D82" si="612">+B81/B183</f>
        <v>7.1344236035402145E-2</v>
      </c>
      <c r="C82" s="46">
        <f t="shared" si="612"/>
        <v>6.647003241235766E-2</v>
      </c>
      <c r="D82" s="46">
        <f t="shared" si="612"/>
        <v>4.8247320330842225E-2</v>
      </c>
      <c r="E82" s="46">
        <f t="shared" ref="E82:AE82" si="613">+E81/E183</f>
        <v>5.5829052371109175E-2</v>
      </c>
      <c r="F82" s="46">
        <f t="shared" si="613"/>
        <v>5.9883687420188916E-2</v>
      </c>
      <c r="G82" s="46">
        <f t="shared" si="613"/>
        <v>5.8772254629093822E-2</v>
      </c>
      <c r="H82" s="46">
        <f t="shared" si="613"/>
        <v>6.3208406731642602E-2</v>
      </c>
      <c r="I82" s="46">
        <f t="shared" si="613"/>
        <v>6.2568662085168758E-2</v>
      </c>
      <c r="J82" s="46">
        <f t="shared" si="613"/>
        <v>6.2716905647623555E-2</v>
      </c>
      <c r="K82" s="46">
        <f t="shared" si="613"/>
        <v>5.6935210395899077E-2</v>
      </c>
      <c r="L82" s="46">
        <f t="shared" si="613"/>
        <v>5.1824529706481881E-2</v>
      </c>
      <c r="M82" s="46">
        <f t="shared" si="613"/>
        <v>5.2937153652695801E-2</v>
      </c>
      <c r="N82" s="46">
        <f t="shared" si="613"/>
        <v>5.4247983285122182E-2</v>
      </c>
      <c r="O82" s="46">
        <f t="shared" si="613"/>
        <v>5.0676474104424385E-2</v>
      </c>
      <c r="P82" s="46">
        <f t="shared" si="613"/>
        <v>5.8854861901061407E-2</v>
      </c>
      <c r="Q82" s="46">
        <f t="shared" si="613"/>
        <v>5.6870092885118566E-2</v>
      </c>
      <c r="R82" s="46">
        <f t="shared" si="613"/>
        <v>6.056258975368492E-2</v>
      </c>
      <c r="S82" s="46">
        <f t="shared" si="613"/>
        <v>6.1026606283173655E-2</v>
      </c>
      <c r="T82" s="46">
        <f t="shared" si="613"/>
        <v>6.1154304445035633E-2</v>
      </c>
      <c r="U82" s="46">
        <f t="shared" si="613"/>
        <v>5.5188359080940649E-2</v>
      </c>
      <c r="V82" s="46">
        <f t="shared" si="613"/>
        <v>6.3381730567506955E-2</v>
      </c>
      <c r="W82" s="46">
        <f t="shared" si="613"/>
        <v>6.2114479915131054E-2</v>
      </c>
      <c r="X82" s="46">
        <f t="shared" si="613"/>
        <v>5.878295975982948E-2</v>
      </c>
      <c r="Y82" s="46">
        <f t="shared" si="613"/>
        <v>5.0920679910529468E-2</v>
      </c>
      <c r="Z82" s="46">
        <f t="shared" si="613"/>
        <v>4.8510234448322698E-2</v>
      </c>
      <c r="AA82" s="46">
        <f t="shared" ref="AA82" si="614">+AA81/AA183</f>
        <v>5.1910574612415231E-2</v>
      </c>
      <c r="AB82" s="110">
        <f t="shared" si="613"/>
        <v>4.1986521267865506E-2</v>
      </c>
      <c r="AC82" s="110">
        <f t="shared" si="613"/>
        <v>5.4943599623435604E-2</v>
      </c>
      <c r="AD82" s="110">
        <f t="shared" si="613"/>
        <v>6.0452944910814592E-2</v>
      </c>
      <c r="AE82" s="110">
        <f t="shared" si="613"/>
        <v>6.0431314973768788E-2</v>
      </c>
      <c r="AI82" s="46" t="e">
        <f t="shared" ref="AI82:BN82" si="615">+AI81/AH183</f>
        <v>#DIV/0!</v>
      </c>
      <c r="AJ82" s="46" t="e">
        <f t="shared" si="615"/>
        <v>#DIV/0!</v>
      </c>
      <c r="AK82" s="46">
        <f t="shared" si="615"/>
        <v>1.6678321862167236E-2</v>
      </c>
      <c r="AL82" s="46">
        <f t="shared" si="615"/>
        <v>1.693070504293143E-2</v>
      </c>
      <c r="AM82" s="46">
        <f t="shared" si="615"/>
        <v>1.6107669301431319E-2</v>
      </c>
      <c r="AN82" s="46">
        <f t="shared" si="615"/>
        <v>1.6176030762657553E-2</v>
      </c>
      <c r="AO82" s="46">
        <f t="shared" si="615"/>
        <v>1.9822129425290394E-2</v>
      </c>
      <c r="AP82" s="46">
        <f t="shared" si="615"/>
        <v>1.9425686836784587E-2</v>
      </c>
      <c r="AQ82" s="46">
        <f t="shared" si="615"/>
        <v>1.5073212747631353E-2</v>
      </c>
      <c r="AR82" s="46">
        <f t="shared" si="615"/>
        <v>1.5153193060169805E-2</v>
      </c>
      <c r="AS82" s="46">
        <f t="shared" si="615"/>
        <v>1.5531649516682258E-2</v>
      </c>
      <c r="AT82" s="46">
        <f t="shared" si="615"/>
        <v>1.1789834736513877E-2</v>
      </c>
      <c r="AU82" s="46">
        <f t="shared" si="615"/>
        <v>1.2875800706527316E-2</v>
      </c>
      <c r="AV82" s="46">
        <f t="shared" si="615"/>
        <v>1.2875800706527316E-2</v>
      </c>
      <c r="AW82" s="46">
        <f t="shared" si="615"/>
        <v>1.4046623789070371E-2</v>
      </c>
      <c r="AX82" s="46">
        <f t="shared" si="615"/>
        <v>1.5105237740386921E-2</v>
      </c>
      <c r="AY82" s="46">
        <f t="shared" si="615"/>
        <v>1.3177236917389198E-2</v>
      </c>
      <c r="AZ82" s="46">
        <f t="shared" si="615"/>
        <v>1.3177236917389198E-2</v>
      </c>
      <c r="BA82" s="46">
        <f t="shared" si="615"/>
        <v>1.4236533779671332E-2</v>
      </c>
      <c r="BB82" s="46">
        <f t="shared" si="615"/>
        <v>1.5054397443700546E-2</v>
      </c>
      <c r="BC82" s="46">
        <f t="shared" si="615"/>
        <v>1.3490844291507926E-2</v>
      </c>
      <c r="BD82" s="46">
        <f t="shared" si="615"/>
        <v>1.3426324198107411E-2</v>
      </c>
      <c r="BE82" s="46">
        <f t="shared" si="615"/>
        <v>1.4438119278027959E-2</v>
      </c>
      <c r="BF82" s="46">
        <f t="shared" si="615"/>
        <v>2.0345523687436196E-2</v>
      </c>
      <c r="BG82" s="46">
        <f t="shared" si="615"/>
        <v>1.4892836125015029E-2</v>
      </c>
      <c r="BH82" s="46">
        <f t="shared" si="615"/>
        <v>1.4978263483284715E-2</v>
      </c>
      <c r="BI82" s="46">
        <f t="shared" si="615"/>
        <v>1.5297930108311682E-2</v>
      </c>
      <c r="BJ82" s="46">
        <f t="shared" si="615"/>
        <v>1.7506982356776536E-2</v>
      </c>
      <c r="BK82" s="46">
        <f t="shared" si="615"/>
        <v>1.7864179692631026E-2</v>
      </c>
      <c r="BL82" s="46">
        <f t="shared" si="615"/>
        <v>2.4469422604192079E-2</v>
      </c>
      <c r="BM82" s="46">
        <f t="shared" si="615"/>
        <v>1.3645187432857763E-2</v>
      </c>
      <c r="BN82" s="46">
        <f t="shared" si="615"/>
        <v>1.7344328526220382E-2</v>
      </c>
      <c r="BO82" s="46">
        <f t="shared" ref="BO82:CL82" si="616">+BO81/BN183</f>
        <v>1.3848143371477536E-2</v>
      </c>
      <c r="BP82" s="46">
        <f t="shared" si="616"/>
        <v>1.6223357376339658E-2</v>
      </c>
      <c r="BQ82" s="46">
        <f t="shared" si="616"/>
        <v>1.5651605394181926E-2</v>
      </c>
      <c r="BR82" s="46">
        <f t="shared" si="616"/>
        <v>1.5207957639722099E-2</v>
      </c>
      <c r="BS82" s="46">
        <f t="shared" si="616"/>
        <v>1.7820403487089187E-2</v>
      </c>
      <c r="BT82" s="46">
        <f t="shared" si="616"/>
        <v>2.0360386578427273E-2</v>
      </c>
      <c r="BU82" s="46">
        <f t="shared" si="616"/>
        <v>1.5763298028235062E-2</v>
      </c>
      <c r="BV82" s="46">
        <f t="shared" si="616"/>
        <v>1.620517537570847E-2</v>
      </c>
      <c r="BW82" s="46">
        <f t="shared" si="616"/>
        <v>1.6389902802345049E-2</v>
      </c>
      <c r="BX82" s="46">
        <f t="shared" si="616"/>
        <v>1.6284896206156047E-2</v>
      </c>
      <c r="BY82" s="46">
        <f t="shared" si="616"/>
        <v>1.5733962504782553E-2</v>
      </c>
      <c r="BZ82" s="46">
        <f t="shared" si="616"/>
        <v>1.4212472898864941E-2</v>
      </c>
      <c r="CA82" s="46">
        <f t="shared" si="616"/>
        <v>1.4824264171921737E-2</v>
      </c>
      <c r="CB82" s="46">
        <f t="shared" si="616"/>
        <v>1.3904599997678267E-2</v>
      </c>
      <c r="CC82" s="46">
        <f t="shared" si="616"/>
        <v>1.4162397581112627E-2</v>
      </c>
      <c r="CD82" s="46">
        <f t="shared" si="616"/>
        <v>1.5995362754774329E-2</v>
      </c>
      <c r="CE82" s="46">
        <f t="shared" si="616"/>
        <v>1.3049564379941321E-2</v>
      </c>
      <c r="CF82" s="46">
        <f t="shared" si="616"/>
        <v>1.3440390602253131E-2</v>
      </c>
      <c r="CG82" s="46">
        <f t="shared" si="616"/>
        <v>1.3463109900185529E-2</v>
      </c>
      <c r="CH82" s="46">
        <f t="shared" si="616"/>
        <v>1.4623664200866563E-2</v>
      </c>
      <c r="CI82" s="46">
        <f t="shared" si="616"/>
        <v>1.3993327230031291E-2</v>
      </c>
      <c r="CJ82" s="46">
        <f t="shared" si="616"/>
        <v>1.4505783064952817E-2</v>
      </c>
      <c r="CK82" s="46">
        <f t="shared" si="616"/>
        <v>1.3466660205558263E-2</v>
      </c>
      <c r="CL82" s="46">
        <f t="shared" si="616"/>
        <v>1.343859736987589E-2</v>
      </c>
      <c r="CM82" s="47">
        <f t="shared" ref="CM82" si="617">CL82</f>
        <v>1.343859736987589E-2</v>
      </c>
      <c r="CN82" s="47">
        <f t="shared" ref="CN82" si="618">CM82</f>
        <v>1.343859736987589E-2</v>
      </c>
      <c r="CO82" s="47">
        <v>1.4999999999999999E-2</v>
      </c>
      <c r="CP82" s="47">
        <f t="shared" ref="CP82" si="619">CO82</f>
        <v>1.4999999999999999E-2</v>
      </c>
      <c r="CQ82" s="47">
        <f t="shared" ref="CQ82" si="620">CP82</f>
        <v>1.4999999999999999E-2</v>
      </c>
      <c r="CR82" s="47">
        <f t="shared" ref="CR82" si="621">CQ82</f>
        <v>1.4999999999999999E-2</v>
      </c>
      <c r="CS82" s="47">
        <f t="shared" ref="CS82" si="622">CR82</f>
        <v>1.4999999999999999E-2</v>
      </c>
      <c r="CT82" s="47">
        <f t="shared" ref="CT82" si="623">CS82</f>
        <v>1.4999999999999999E-2</v>
      </c>
      <c r="CU82" s="47">
        <f t="shared" ref="CU82" si="624">CT82</f>
        <v>1.4999999999999999E-2</v>
      </c>
      <c r="CV82" s="47">
        <f t="shared" ref="CV82" si="625">CU82</f>
        <v>1.4999999999999999E-2</v>
      </c>
      <c r="CW82" s="47">
        <f t="shared" ref="CW82" si="626">CV82</f>
        <v>1.4999999999999999E-2</v>
      </c>
      <c r="CX82" s="47">
        <f t="shared" ref="CX82" si="627">CW82</f>
        <v>1.4999999999999999E-2</v>
      </c>
      <c r="CY82" s="47">
        <f t="shared" ref="CY82" si="628">CX82</f>
        <v>1.4999999999999999E-2</v>
      </c>
      <c r="CZ82" s="47">
        <f t="shared" ref="CZ82" si="629">CY82</f>
        <v>1.4999999999999999E-2</v>
      </c>
      <c r="DA82" s="47">
        <f t="shared" ref="DA82" si="630">CZ82</f>
        <v>1.4999999999999999E-2</v>
      </c>
      <c r="DB82" s="47">
        <f t="shared" ref="DB82" si="631">DA82</f>
        <v>1.4999999999999999E-2</v>
      </c>
      <c r="DE82" s="130"/>
      <c r="DF82" s="46">
        <v>1.3466660205558263E-2</v>
      </c>
    </row>
    <row r="83" spans="1:110" s="26" customFormat="1" x14ac:dyDescent="0.2">
      <c r="A83" s="34" t="s">
        <v>16</v>
      </c>
      <c r="B83" s="26">
        <f>B77-B81</f>
        <v>3.150218799999998</v>
      </c>
      <c r="C83" s="26">
        <f t="shared" ref="C83:T83" si="632">C77-C81</f>
        <v>7.6843611999999997</v>
      </c>
      <c r="D83" s="26">
        <f>D77-D81</f>
        <v>7.7814182000000054</v>
      </c>
      <c r="E83" s="26">
        <f t="shared" si="632"/>
        <v>12.075904699999992</v>
      </c>
      <c r="F83" s="26">
        <f t="shared" si="632"/>
        <v>9.8162640000000074</v>
      </c>
      <c r="G83" s="26">
        <f t="shared" si="632"/>
        <v>15.485981299999986</v>
      </c>
      <c r="H83" s="26">
        <f t="shared" si="632"/>
        <v>21.181424999999997</v>
      </c>
      <c r="I83" s="26">
        <f t="shared" si="632"/>
        <v>25.127546400000014</v>
      </c>
      <c r="J83" s="26">
        <f t="shared" si="632"/>
        <v>31.955046700000008</v>
      </c>
      <c r="K83" s="26">
        <f t="shared" si="632"/>
        <v>39.217586500000039</v>
      </c>
      <c r="L83" s="26">
        <f t="shared" si="632"/>
        <v>54.769299300000014</v>
      </c>
      <c r="M83" s="26">
        <f t="shared" si="632"/>
        <v>68.918903300000082</v>
      </c>
      <c r="N83" s="26">
        <f t="shared" si="632"/>
        <v>66.625035999999966</v>
      </c>
      <c r="O83" s="26">
        <f t="shared" si="632"/>
        <v>70.866100000000031</v>
      </c>
      <c r="P83" s="26">
        <f t="shared" si="632"/>
        <v>81.683339199999978</v>
      </c>
      <c r="Q83" s="26">
        <f t="shared" si="632"/>
        <v>103.89885159999997</v>
      </c>
      <c r="R83" s="26">
        <f t="shared" si="632"/>
        <v>129.37077210000004</v>
      </c>
      <c r="S83" s="26">
        <f t="shared" si="632"/>
        <v>162.74690629999992</v>
      </c>
      <c r="T83" s="26">
        <f t="shared" si="632"/>
        <v>172.00101429999995</v>
      </c>
      <c r="U83" s="26">
        <f t="shared" ref="U83:Z83" si="633">U77-U81</f>
        <v>145.8618615</v>
      </c>
      <c r="V83" s="26">
        <f t="shared" si="633"/>
        <v>333.52629999999999</v>
      </c>
      <c r="W83" s="26">
        <f t="shared" si="633"/>
        <v>580.66999999999996</v>
      </c>
      <c r="X83" s="26">
        <f t="shared" si="633"/>
        <v>563.54050000000041</v>
      </c>
      <c r="Y83" s="26">
        <f t="shared" si="633"/>
        <v>278.3601000000001</v>
      </c>
      <c r="Z83" s="26">
        <f t="shared" si="633"/>
        <v>183.71429999999992</v>
      </c>
      <c r="AA83" s="26">
        <f t="shared" ref="AA83" si="634">AA77-AA81</f>
        <v>201.66010000000028</v>
      </c>
      <c r="AB83" s="27">
        <f t="shared" ref="AA83:AD83" si="635">AB77-AB81</f>
        <v>329.88536518284047</v>
      </c>
      <c r="AC83" s="27">
        <f t="shared" si="635"/>
        <v>514.58583911250741</v>
      </c>
      <c r="AD83" s="27">
        <f t="shared" si="635"/>
        <v>743.29963556340533</v>
      </c>
      <c r="AE83" s="27">
        <f t="shared" ref="AE83" si="636">AE77-AE81</f>
        <v>1086.1849126226157</v>
      </c>
      <c r="AI83" s="26">
        <f t="shared" ref="AI83" si="637">AI77-AI81</f>
        <v>19.856999999999989</v>
      </c>
      <c r="AJ83" s="26">
        <f t="shared" ref="AJ83" si="638">AJ77-AJ81</f>
        <v>19.903000000000002</v>
      </c>
      <c r="AK83" s="26">
        <f t="shared" ref="AK83:AM83" si="639">AK77-AK81</f>
        <v>13.345999999999993</v>
      </c>
      <c r="AL83" s="26">
        <f t="shared" si="639"/>
        <v>14.419999999999993</v>
      </c>
      <c r="AM83" s="26">
        <f t="shared" si="639"/>
        <v>18.930000000000003</v>
      </c>
      <c r="AN83" s="26">
        <f t="shared" ref="AN83:AO83" si="640">AN77-AN81</f>
        <v>23.973000000000013</v>
      </c>
      <c r="AO83" s="26">
        <f t="shared" si="640"/>
        <v>14.939999999999976</v>
      </c>
      <c r="AP83" s="26">
        <f t="shared" ref="AP83:CD83" si="641">AP77-AP81</f>
        <v>16.72000000000001</v>
      </c>
      <c r="AQ83" s="26">
        <f t="shared" si="641"/>
        <v>20.060000000000009</v>
      </c>
      <c r="AR83" s="26">
        <f t="shared" si="641"/>
        <v>21.987999999999992</v>
      </c>
      <c r="AS83" s="26">
        <f t="shared" si="641"/>
        <v>16.602999999999994</v>
      </c>
      <c r="AT83" s="26">
        <f t="shared" si="641"/>
        <v>25.121000000000016</v>
      </c>
      <c r="AU83" s="26">
        <f t="shared" si="641"/>
        <v>24.592000000000009</v>
      </c>
      <c r="AV83" s="26">
        <f t="shared" si="641"/>
        <v>23.556999999999992</v>
      </c>
      <c r="AW83" s="26">
        <f t="shared" si="641"/>
        <v>26.698000000000004</v>
      </c>
      <c r="AX83" s="26">
        <f t="shared" si="641"/>
        <v>36.147000000000013</v>
      </c>
      <c r="AY83" s="26">
        <f t="shared" si="641"/>
        <v>35.833000000000006</v>
      </c>
      <c r="AZ83" s="26">
        <f t="shared" si="641"/>
        <v>35.177000000000007</v>
      </c>
      <c r="BA83" s="26">
        <f t="shared" si="641"/>
        <v>32.095999999999989</v>
      </c>
      <c r="BB83" s="26">
        <f t="shared" si="641"/>
        <v>33.427999999999983</v>
      </c>
      <c r="BC83" s="26">
        <f t="shared" si="641"/>
        <v>36.183999999999983</v>
      </c>
      <c r="BD83" s="26">
        <f t="shared" si="641"/>
        <v>47.150000000000027</v>
      </c>
      <c r="BE83" s="26">
        <f t="shared" si="641"/>
        <v>46.201999999999984</v>
      </c>
      <c r="BF83" s="26">
        <f t="shared" si="641"/>
        <v>40.699999999999946</v>
      </c>
      <c r="BG83" s="26">
        <f t="shared" si="641"/>
        <v>53.965000000000032</v>
      </c>
      <c r="BH83" s="26">
        <f t="shared" si="641"/>
        <v>40.058</v>
      </c>
      <c r="BI83" s="26">
        <f t="shared" si="641"/>
        <v>37.875999999999983</v>
      </c>
      <c r="BJ83" s="26">
        <f t="shared" si="641"/>
        <v>41.954000000000015</v>
      </c>
      <c r="BK83" s="26">
        <f t="shared" si="641"/>
        <v>31.799999999999994</v>
      </c>
      <c r="BL83" s="26">
        <f t="shared" si="641"/>
        <v>36.941999999999993</v>
      </c>
      <c r="BM83" s="26">
        <f t="shared" si="641"/>
        <v>34.873000000000005</v>
      </c>
      <c r="BN83" s="26">
        <f t="shared" si="641"/>
        <v>45.508999999999993</v>
      </c>
      <c r="BO83" s="26">
        <f t="shared" si="641"/>
        <v>45.294000000000011</v>
      </c>
      <c r="BP83" s="26">
        <f t="shared" si="641"/>
        <v>64.405000000000001</v>
      </c>
      <c r="BQ83" s="26">
        <f t="shared" si="641"/>
        <v>108.65700000000001</v>
      </c>
      <c r="BR83" s="26">
        <f t="shared" si="641"/>
        <v>120.45800000000001</v>
      </c>
      <c r="BS83" s="26">
        <f t="shared" si="641"/>
        <v>131.94599999999997</v>
      </c>
      <c r="BT83" s="26">
        <f t="shared" si="641"/>
        <v>118.94199999999992</v>
      </c>
      <c r="BU83" s="26">
        <f t="shared" si="641"/>
        <v>144.68899999999996</v>
      </c>
      <c r="BV83" s="26">
        <f t="shared" si="641"/>
        <v>185.33400000000003</v>
      </c>
      <c r="BW83" s="26">
        <f t="shared" si="641"/>
        <v>203.71300000000005</v>
      </c>
      <c r="BX83" s="26">
        <f t="shared" si="641"/>
        <v>162.09299999999999</v>
      </c>
      <c r="BY83" s="26">
        <f t="shared" si="641"/>
        <v>115.44099999999999</v>
      </c>
      <c r="BZ83" s="26">
        <f t="shared" si="641"/>
        <v>81.984999999999971</v>
      </c>
      <c r="CA83" s="26">
        <f t="shared" si="641"/>
        <v>86.549000000000007</v>
      </c>
      <c r="CB83" s="26">
        <f t="shared" si="641"/>
        <v>43.004000000000019</v>
      </c>
      <c r="CC83" s="26">
        <f t="shared" si="641"/>
        <v>63.348000000000042</v>
      </c>
      <c r="CD83" s="26">
        <f t="shared" si="641"/>
        <v>85.457000000000022</v>
      </c>
      <c r="CE83" s="26">
        <f t="shared" ref="CE83:CF83" si="642">CE77-CE81</f>
        <v>54.440999999999995</v>
      </c>
      <c r="CF83" s="26">
        <f t="shared" si="642"/>
        <v>48.685999999999986</v>
      </c>
      <c r="CG83" s="26">
        <f t="shared" ref="CG83:CH83" si="643">CG77-CG81</f>
        <v>33.825000000000024</v>
      </c>
      <c r="CH83" s="26">
        <f t="shared" si="643"/>
        <v>46.760000000000012</v>
      </c>
      <c r="CI83" s="26">
        <f t="shared" ref="CI83:CJ83" si="644">CI77-CI81</f>
        <v>40.722999999999992</v>
      </c>
      <c r="CJ83" s="26">
        <f t="shared" si="644"/>
        <v>45.533000000000008</v>
      </c>
      <c r="CK83" s="26">
        <f t="shared" ref="CK83:CL83" si="645">CK77-CK81</f>
        <v>42.50200000000001</v>
      </c>
      <c r="CL83" s="26">
        <f t="shared" si="645"/>
        <v>80.296000000000021</v>
      </c>
      <c r="CM83" s="27">
        <f t="shared" ref="CM83:DB83" si="646">CM77-CM81</f>
        <v>81.037400792122781</v>
      </c>
      <c r="CN83" s="27">
        <f t="shared" si="646"/>
        <v>81.938746316294896</v>
      </c>
      <c r="CO83" s="27">
        <f t="shared" si="646"/>
        <v>74.998273399631955</v>
      </c>
      <c r="CP83" s="27">
        <f t="shared" si="646"/>
        <v>91.910944674790827</v>
      </c>
      <c r="CQ83" s="27">
        <f t="shared" si="646"/>
        <v>124.81764861011858</v>
      </c>
      <c r="CR83" s="27">
        <f t="shared" si="646"/>
        <v>123.51385504553571</v>
      </c>
      <c r="CS83" s="27">
        <f t="shared" si="646"/>
        <v>117.95207163727314</v>
      </c>
      <c r="CT83" s="27">
        <f t="shared" si="646"/>
        <v>148.30226381958028</v>
      </c>
      <c r="CU83" s="27">
        <f t="shared" si="646"/>
        <v>174.51773934170677</v>
      </c>
      <c r="CV83" s="27">
        <f t="shared" si="646"/>
        <v>180.13877754481524</v>
      </c>
      <c r="CW83" s="27">
        <f t="shared" si="646"/>
        <v>173.01041622531278</v>
      </c>
      <c r="CX83" s="27">
        <f t="shared" si="646"/>
        <v>215.63270245157057</v>
      </c>
      <c r="CY83" s="27">
        <f t="shared" si="646"/>
        <v>255.16178035365647</v>
      </c>
      <c r="CZ83" s="27">
        <f t="shared" si="646"/>
        <v>264.36350515299017</v>
      </c>
      <c r="DA83" s="27">
        <f t="shared" si="646"/>
        <v>253.40787428709768</v>
      </c>
      <c r="DB83" s="27">
        <f t="shared" si="646"/>
        <v>313.25175282887216</v>
      </c>
      <c r="DE83" s="121"/>
      <c r="DF83" s="26">
        <v>64.088537604537947</v>
      </c>
    </row>
    <row r="84" spans="1:110" s="23" customFormat="1" x14ac:dyDescent="0.2">
      <c r="A84" s="23" t="s">
        <v>17</v>
      </c>
      <c r="B84" s="23">
        <f>'Annual Raw'!C23</f>
        <v>0.31279479999999998</v>
      </c>
      <c r="C84" s="23">
        <f>'Annual Raw'!D23</f>
        <v>0.1246212</v>
      </c>
      <c r="D84" s="23">
        <f>'Annual Raw'!E23</f>
        <v>0.2072782</v>
      </c>
      <c r="E84" s="23">
        <f>'Annual Raw'!F23</f>
        <v>1.0115367</v>
      </c>
      <c r="F84" s="23">
        <f>'Annual Raw'!G23</f>
        <v>0.1706001</v>
      </c>
      <c r="G84" s="23">
        <f>'Annual Raw'!H23</f>
        <v>0.72718499999999997</v>
      </c>
      <c r="H84" s="23">
        <f>'Annual Raw'!I23</f>
        <v>0.85926130000000001</v>
      </c>
      <c r="I84" s="23">
        <f>'Annual Raw'!J23</f>
        <v>1.1790966000000001</v>
      </c>
      <c r="J84" s="23">
        <f>'Annual Raw'!K23</f>
        <v>2.8707921999999999</v>
      </c>
      <c r="K84" s="23">
        <f>'Annual Raw'!L23</f>
        <v>1.8202640000000001</v>
      </c>
      <c r="L84" s="23">
        <f>'Annual Raw'!M23</f>
        <v>1.7425622999999999</v>
      </c>
      <c r="M84" s="23">
        <f>'Annual Raw'!N23</f>
        <v>4.2153492999999997</v>
      </c>
      <c r="N84" s="23">
        <f>'Annual Raw'!O23</f>
        <v>4.5986551999999996</v>
      </c>
      <c r="O84" s="23">
        <f>'Annual Raw'!P23</f>
        <v>6.2723000000000004</v>
      </c>
      <c r="P84" s="23">
        <f>'Annual Raw'!Q23</f>
        <v>4.2594674000000001</v>
      </c>
      <c r="Q84" s="23">
        <f>'Annual Raw'!R23</f>
        <v>6.2135470000000002</v>
      </c>
      <c r="R84" s="23">
        <f>'Annual Raw'!S23</f>
        <v>8.5407600000000006</v>
      </c>
      <c r="S84" s="23">
        <f>'Annual Raw'!T23</f>
        <v>11.532446500000001</v>
      </c>
      <c r="T84" s="23">
        <f>'Annual Raw'!U23</f>
        <v>6.0802677999999997</v>
      </c>
      <c r="U84" s="23">
        <f>'Annual Raw'!V23</f>
        <v>8.2763743999999999</v>
      </c>
      <c r="V84" s="23">
        <f>'Annual Raw'!W23</f>
        <v>11.3614</v>
      </c>
      <c r="W84" s="23">
        <f>'Annual Raw'!X23</f>
        <v>14.718500000000001</v>
      </c>
      <c r="X84" s="23">
        <f>'Annual Raw'!Y23</f>
        <v>15.2464</v>
      </c>
      <c r="Y84" s="23">
        <f>'Annual Raw'!Z23</f>
        <v>29.637699999999999</v>
      </c>
      <c r="Z84" s="23">
        <f>'Annual Raw'!AA23</f>
        <v>33.203200000000002</v>
      </c>
      <c r="AA84" s="23">
        <f>'Annual Raw'!AB23</f>
        <v>28.021699999999999</v>
      </c>
      <c r="AB84" s="76">
        <f t="shared" ref="AB84:AB85" si="647">+SUM(CM84:CP84)</f>
        <v>0</v>
      </c>
      <c r="AC84" s="76">
        <f t="shared" ref="AC84:AC85" si="648">+SUM(CQ84:CT84)</f>
        <v>0</v>
      </c>
      <c r="AD84" s="76">
        <f t="shared" ref="AD84:AD85" si="649">+SUM(CU84:CX84)</f>
        <v>0</v>
      </c>
      <c r="AE84" s="76">
        <f t="shared" ref="AE84:AE85" si="650">+SUM(CY84:DB84)</f>
        <v>0</v>
      </c>
      <c r="AI84" s="23">
        <f>'QTR Raw'!C23</f>
        <v>1.2829999999999999</v>
      </c>
      <c r="AJ84" s="23">
        <f>'QTR Raw'!D23</f>
        <v>1.5429999999999999</v>
      </c>
      <c r="AK84" s="23">
        <f>'QTR Raw'!E23</f>
        <v>0.309</v>
      </c>
      <c r="AL84" s="23">
        <f>'QTR Raw'!F23</f>
        <v>0.57999999999999996</v>
      </c>
      <c r="AM84" s="23">
        <f>'QTR Raw'!G23</f>
        <v>0.81</v>
      </c>
      <c r="AN84" s="23">
        <f>'QTR Raw'!H23</f>
        <v>0.71599999999999997</v>
      </c>
      <c r="AO84" s="23">
        <f>'QTR Raw'!I23</f>
        <v>0.54</v>
      </c>
      <c r="AP84" s="23">
        <f>'QTR Raw'!J23</f>
        <v>0.54</v>
      </c>
      <c r="AQ84" s="23">
        <f>'QTR Raw'!K23</f>
        <v>0.78</v>
      </c>
      <c r="AR84" s="23">
        <f>'QTR Raw'!L23</f>
        <v>0.85299999999999998</v>
      </c>
      <c r="AS84" s="23">
        <f>'QTR Raw'!M23</f>
        <v>0.52400000000000002</v>
      </c>
      <c r="AT84" s="23">
        <f>'QTR Raw'!N23</f>
        <v>1.234</v>
      </c>
      <c r="AU84" s="23">
        <f>'QTR Raw'!O23</f>
        <v>0.67500000000000004</v>
      </c>
      <c r="AV84" s="23">
        <f>'QTR Raw'!P23</f>
        <v>0.755</v>
      </c>
      <c r="AW84" s="23">
        <f>'QTR Raw'!Q23</f>
        <v>0.14699999999999999</v>
      </c>
      <c r="AX84" s="23">
        <f>'QTR Raw'!R23</f>
        <v>0.66700000000000004</v>
      </c>
      <c r="AY84" s="23">
        <f>'QTR Raw'!S23</f>
        <v>0.55000000000000004</v>
      </c>
      <c r="AZ84" s="23">
        <f>'QTR Raw'!T23</f>
        <v>1.0569999999999999</v>
      </c>
      <c r="BA84" s="23">
        <f>'QTR Raw'!U23</f>
        <v>0.59399999999999997</v>
      </c>
      <c r="BB84" s="23">
        <f>'QTR Raw'!V23</f>
        <v>0.85099999999999998</v>
      </c>
      <c r="BC84" s="23">
        <f>'QTR Raw'!W23</f>
        <v>0.94499999999999995</v>
      </c>
      <c r="BD84" s="23">
        <f>'QTR Raw'!X23</f>
        <v>1.272</v>
      </c>
      <c r="BE84" s="23">
        <f>'QTR Raw'!Y23</f>
        <v>0.56699999999999995</v>
      </c>
      <c r="BF84" s="23">
        <f>'QTR Raw'!Z23</f>
        <v>1.26</v>
      </c>
      <c r="BG84" s="23">
        <f>'QTR Raw'!AA23</f>
        <v>0.97699999999999998</v>
      </c>
      <c r="BH84" s="23">
        <f>'QTR Raw'!AB23</f>
        <v>1.3340000000000001</v>
      </c>
      <c r="BI84" s="23">
        <f>'QTR Raw'!AC23</f>
        <v>1.149</v>
      </c>
      <c r="BJ84" s="23">
        <f>'QTR Raw'!AD23</f>
        <v>0.76600000000000001</v>
      </c>
      <c r="BK84" s="23">
        <f>'QTR Raw'!AE23</f>
        <v>1.4059999999999999</v>
      </c>
      <c r="BL84" s="23">
        <f>'QTR Raw'!AF23</f>
        <v>1.4630000000000001</v>
      </c>
      <c r="BM84" s="23">
        <f>'QTR Raw'!AG23</f>
        <v>0.58899999999999997</v>
      </c>
      <c r="BN84" s="23">
        <f>'QTR Raw'!AH23</f>
        <v>1.556</v>
      </c>
      <c r="BO84" s="23">
        <f>'QTR Raw'!AI23</f>
        <v>1.276</v>
      </c>
      <c r="BP84" s="23">
        <f>'QTR Raw'!AJ23</f>
        <v>0.68799999999999994</v>
      </c>
      <c r="BQ84" s="23">
        <f>'QTR Raw'!AK23</f>
        <v>0.51200000000000001</v>
      </c>
      <c r="BR84" s="23">
        <f>'QTR Raw'!AL23</f>
        <v>3.5979999999999999</v>
      </c>
      <c r="BS84" s="23">
        <f>'QTR Raw'!AM23</f>
        <v>2.673</v>
      </c>
      <c r="BT84" s="23">
        <f>'QTR Raw'!AN23</f>
        <v>4.2619999999999996</v>
      </c>
      <c r="BU84" s="23">
        <f>'QTR Raw'!AO23</f>
        <v>3.8029999999999999</v>
      </c>
      <c r="BV84" s="23">
        <f>'QTR Raw'!AP23</f>
        <v>5.0469999999999997</v>
      </c>
      <c r="BW84" s="23">
        <f>'QTR Raw'!AQ23</f>
        <v>4.6870000000000003</v>
      </c>
      <c r="BX84" s="23">
        <f>'QTR Raw'!AR23</f>
        <v>2.8530000000000002</v>
      </c>
      <c r="BY84" s="23">
        <f>'QTR Raw'!AS23</f>
        <v>2.524</v>
      </c>
      <c r="BZ84" s="23">
        <f>'QTR Raw'!AT23</f>
        <v>5.5049999999999999</v>
      </c>
      <c r="CA84" s="23">
        <f>'QTR Raw'!AU23</f>
        <v>5.6470000000000002</v>
      </c>
      <c r="CB84" s="23">
        <f>'QTR Raw'!AV23</f>
        <v>6.77</v>
      </c>
      <c r="CC84" s="23">
        <f>'QTR Raw'!AW23</f>
        <v>8.4619999999999997</v>
      </c>
      <c r="CD84" s="23">
        <f>'QTR Raw'!AX23</f>
        <v>8.7579999999999991</v>
      </c>
      <c r="CE84" s="23">
        <f>'QTR Raw'!AY23</f>
        <v>8.1259999999999994</v>
      </c>
      <c r="CF84" s="23">
        <f>'QTR Raw'!AZ23</f>
        <v>9.1859999999999999</v>
      </c>
      <c r="CG84" s="23">
        <f>'QTR Raw'!BA23</f>
        <v>7.8620000000000001</v>
      </c>
      <c r="CH84" s="23">
        <f>'QTR Raw'!BB23</f>
        <v>8.0299999999999994</v>
      </c>
      <c r="CI84" s="23">
        <f>'QTR Raw'!BC23</f>
        <v>9.02</v>
      </c>
      <c r="CJ84" s="23">
        <f>'QTR Raw'!BD23</f>
        <v>7.0549999999999997</v>
      </c>
      <c r="CK84" s="23">
        <f>'QTR Raw'!BE23</f>
        <v>4.9939999999999998</v>
      </c>
      <c r="CL84" s="23">
        <f>'QTR Raw'!BF23</f>
        <v>7.7380000000000004</v>
      </c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E84" s="123"/>
      <c r="DF84" s="23">
        <v>28.806999999999999</v>
      </c>
    </row>
    <row r="85" spans="1:110" s="23" customFormat="1" x14ac:dyDescent="0.2">
      <c r="A85" s="23" t="s">
        <v>18</v>
      </c>
      <c r="B85" s="23">
        <f>'Annual Raw'!C25</f>
        <v>2.2854675000000002</v>
      </c>
      <c r="C85" s="23">
        <f>'Annual Raw'!D25</f>
        <v>2.0872356999999999</v>
      </c>
      <c r="D85" s="23">
        <f>'Annual Raw'!E25</f>
        <v>1.6772028000000001</v>
      </c>
      <c r="E85" s="23">
        <f>'Annual Raw'!F25</f>
        <v>2.3713869999999999</v>
      </c>
      <c r="F85" s="23">
        <f>'Annual Raw'!G25</f>
        <v>2.7622551</v>
      </c>
      <c r="G85" s="23">
        <f>'Annual Raw'!H25</f>
        <v>4.4185888999999996</v>
      </c>
      <c r="H85" s="23">
        <f>'Annual Raw'!I25</f>
        <v>6.1798690000000001</v>
      </c>
      <c r="I85" s="23">
        <f>'Annual Raw'!J25</f>
        <v>7.9178761</v>
      </c>
      <c r="J85" s="23">
        <f>'Annual Raw'!K25</f>
        <v>10.1860471</v>
      </c>
      <c r="K85" s="23">
        <f>'Annual Raw'!L25</f>
        <v>9.7058645000000006</v>
      </c>
      <c r="L85" s="23">
        <f>'Annual Raw'!M25</f>
        <v>13.5582584</v>
      </c>
      <c r="M85" s="23">
        <f>'Annual Raw'!N25</f>
        <v>21.205721799999999</v>
      </c>
      <c r="N85" s="23">
        <f>'Annual Raw'!O25</f>
        <v>25.401219300000001</v>
      </c>
      <c r="O85" s="23">
        <f>'Annual Raw'!P25</f>
        <v>31.510400000000001</v>
      </c>
      <c r="P85" s="23">
        <f>'Annual Raw'!Q25</f>
        <v>34.877582799999999</v>
      </c>
      <c r="Q85" s="23">
        <f>'Annual Raw'!R25</f>
        <v>22.153754500000002</v>
      </c>
      <c r="R85" s="23">
        <f>'Annual Raw'!S25</f>
        <v>12.9365124</v>
      </c>
      <c r="S85" s="23">
        <f>'Annual Raw'!T25</f>
        <v>9.0400849999999995</v>
      </c>
      <c r="T85" s="23">
        <f>'Annual Raw'!U25</f>
        <v>13.0258766</v>
      </c>
      <c r="U85" s="23">
        <f>'Annual Raw'!V25</f>
        <v>23.034630499999999</v>
      </c>
      <c r="V85" s="23">
        <f>'Annual Raw'!W25</f>
        <v>18.292300000000001</v>
      </c>
      <c r="W85" s="23">
        <f>'Annual Raw'!X25</f>
        <v>17.100300000000001</v>
      </c>
      <c r="X85" s="23">
        <f>'Annual Raw'!Y25</f>
        <v>11.9717</v>
      </c>
      <c r="Y85" s="23">
        <f>'Annual Raw'!Z25</f>
        <v>6.4423000000000004</v>
      </c>
      <c r="Z85" s="23">
        <f>'Annual Raw'!AA25</f>
        <v>3.6981000000000002</v>
      </c>
      <c r="AA85" s="23">
        <f>'Annual Raw'!AB25</f>
        <v>2.2778</v>
      </c>
      <c r="AB85" s="76">
        <f t="shared" si="647"/>
        <v>-18.982494887610859</v>
      </c>
      <c r="AC85" s="76">
        <f t="shared" si="648"/>
        <v>25.469514181169764</v>
      </c>
      <c r="AD85" s="76">
        <f t="shared" si="649"/>
        <v>44.102378157557567</v>
      </c>
      <c r="AE85" s="76">
        <f t="shared" si="650"/>
        <v>38.621558955921913</v>
      </c>
      <c r="AI85" s="23">
        <f>'QTR Raw'!C25</f>
        <v>6.5469999999999997</v>
      </c>
      <c r="AJ85" s="23">
        <f>'QTR Raw'!D25</f>
        <v>6.7539999999999996</v>
      </c>
      <c r="AK85" s="23">
        <f>'QTR Raw'!E25</f>
        <v>6.1360000000000001</v>
      </c>
      <c r="AL85" s="23">
        <f>'QTR Raw'!F25</f>
        <v>5.96</v>
      </c>
      <c r="AM85" s="23">
        <f>'QTR Raw'!G25</f>
        <v>7.35</v>
      </c>
      <c r="AN85" s="23">
        <f>'QTR Raw'!H25</f>
        <v>7.1289999999999996</v>
      </c>
      <c r="AO85" s="23">
        <f>'QTR Raw'!I25</f>
        <v>8.6999999999999993</v>
      </c>
      <c r="AP85" s="23">
        <f>'QTR Raw'!J25</f>
        <v>8.33</v>
      </c>
      <c r="AQ85" s="23">
        <f>'QTR Raw'!K25</f>
        <v>8.36</v>
      </c>
      <c r="AR85" s="23">
        <f>'QTR Raw'!L25</f>
        <v>7.9420000000000002</v>
      </c>
      <c r="AS85" s="23">
        <f>'QTR Raw'!M25</f>
        <v>7.6619999999999999</v>
      </c>
      <c r="AT85" s="23">
        <f>'QTR Raw'!N25</f>
        <v>7.4550000000000001</v>
      </c>
      <c r="AU85" s="23">
        <f>'QTR Raw'!O25</f>
        <v>5.7290000000000001</v>
      </c>
      <c r="AV85" s="23">
        <f>'QTR Raw'!P25</f>
        <v>5.1849999999999996</v>
      </c>
      <c r="AW85" s="23">
        <f>'QTR Raw'!Q25</f>
        <v>5.1890000000000001</v>
      </c>
      <c r="AX85" s="23">
        <f>'QTR Raw'!R25</f>
        <v>3.9809999999999999</v>
      </c>
      <c r="AY85" s="23">
        <f>'QTR Raw'!S25</f>
        <v>3.4830000000000001</v>
      </c>
      <c r="AZ85" s="23">
        <f>'QTR Raw'!T25</f>
        <v>3.0139999999999998</v>
      </c>
      <c r="BA85" s="23">
        <f>'QTR Raw'!U25</f>
        <v>2.7109999999999999</v>
      </c>
      <c r="BB85" s="23">
        <f>'QTR Raw'!V25</f>
        <v>2.4790000000000001</v>
      </c>
      <c r="BC85" s="23">
        <f>'QTR Raw'!W25</f>
        <v>2.7269999999999999</v>
      </c>
      <c r="BD85" s="23">
        <f>'QTR Raw'!X25</f>
        <v>1.9550000000000001</v>
      </c>
      <c r="BE85" s="23">
        <f>'QTR Raw'!Y25</f>
        <v>1.7809999999999999</v>
      </c>
      <c r="BF85" s="23">
        <f>'QTR Raw'!Z25</f>
        <v>2.5779999999999998</v>
      </c>
      <c r="BG85" s="23">
        <f>'QTR Raw'!AA25</f>
        <v>3.21</v>
      </c>
      <c r="BH85" s="23">
        <f>'QTR Raw'!AB25</f>
        <v>3.0190000000000001</v>
      </c>
      <c r="BI85" s="23">
        <f>'QTR Raw'!AC25</f>
        <v>3.5230000000000001</v>
      </c>
      <c r="BJ85" s="23">
        <f>'QTR Raw'!AD25</f>
        <v>3.274</v>
      </c>
      <c r="BK85" s="23">
        <f>'QTR Raw'!AE25</f>
        <v>3.2509999999999999</v>
      </c>
      <c r="BL85" s="23">
        <f>'QTR Raw'!AF25</f>
        <v>7.1749999999999998</v>
      </c>
      <c r="BM85" s="23">
        <f>'QTR Raw'!AG25</f>
        <v>6.3129999999999997</v>
      </c>
      <c r="BN85" s="23">
        <f>'QTR Raw'!AH25</f>
        <v>6.2960000000000003</v>
      </c>
      <c r="BO85" s="23">
        <f>'QTR Raw'!AI25</f>
        <v>4.3159999999999998</v>
      </c>
      <c r="BP85" s="23">
        <f>'QTR Raw'!AJ25</f>
        <v>5.38</v>
      </c>
      <c r="BQ85" s="23">
        <f>'QTR Raw'!AK25</f>
        <v>4.8120000000000003</v>
      </c>
      <c r="BR85" s="23">
        <f>'QTR Raw'!AL25</f>
        <v>3.7839999999999998</v>
      </c>
      <c r="BS85" s="23">
        <f>'QTR Raw'!AM25</f>
        <v>3.1360000000000001</v>
      </c>
      <c r="BT85" s="23">
        <f>'QTR Raw'!AN25</f>
        <v>4.1550000000000002</v>
      </c>
      <c r="BU85" s="23">
        <f>'QTR Raw'!AO25</f>
        <v>3.97</v>
      </c>
      <c r="BV85" s="23">
        <f>'QTR Raw'!AP25</f>
        <v>7.149</v>
      </c>
      <c r="BW85" s="23">
        <f>'QTR Raw'!AQ25</f>
        <v>3.4169999999999998</v>
      </c>
      <c r="BX85" s="23">
        <f>'QTR Raw'!AR25</f>
        <v>3.105</v>
      </c>
      <c r="BY85" s="23">
        <f>'QTR Raw'!AS25</f>
        <v>2.94</v>
      </c>
      <c r="BZ85" s="23">
        <f>'QTR Raw'!AT25</f>
        <v>2.5259999999999998</v>
      </c>
      <c r="CA85" s="23">
        <f>'QTR Raw'!AU25</f>
        <v>1.8240000000000001</v>
      </c>
      <c r="CB85" s="23">
        <f>'QTR Raw'!AV25</f>
        <v>1.766</v>
      </c>
      <c r="CC85" s="23">
        <f>'QTR Raw'!AW25</f>
        <v>1.542</v>
      </c>
      <c r="CD85" s="23">
        <f>'QTR Raw'!AX25</f>
        <v>1.31</v>
      </c>
      <c r="CE85" s="23">
        <f>'QTR Raw'!AY25</f>
        <v>0.98499999999999999</v>
      </c>
      <c r="CF85" s="23">
        <f>'QTR Raw'!AZ25</f>
        <v>1.0620000000000001</v>
      </c>
      <c r="CG85" s="23">
        <f>'QTR Raw'!BA25</f>
        <v>0.79600000000000004</v>
      </c>
      <c r="CH85" s="23">
        <f>'QTR Raw'!BB25</f>
        <v>0.85499999999999998</v>
      </c>
      <c r="CI85" s="23">
        <f>'QTR Raw'!BC25</f>
        <v>0.72899999999999998</v>
      </c>
      <c r="CJ85" s="23">
        <f>'QTR Raw'!BD25</f>
        <v>0.95899999999999996</v>
      </c>
      <c r="CK85" s="23">
        <f>'QTR Raw'!BE25</f>
        <v>1.5069999999999999</v>
      </c>
      <c r="CL85" s="23">
        <f>'QTR Raw'!BF25</f>
        <v>2.1760000000000002</v>
      </c>
      <c r="CM85" s="24">
        <f t="shared" ref="CM85:DB85" si="651">CM86*CL216</f>
        <v>-3.5452107133208441</v>
      </c>
      <c r="CN85" s="24">
        <f t="shared" si="651"/>
        <v>-8.5319351976160718</v>
      </c>
      <c r="CO85" s="24">
        <f t="shared" si="651"/>
        <v>-5.7736805726760236</v>
      </c>
      <c r="CP85" s="24">
        <f t="shared" si="651"/>
        <v>-1.1316684039979164</v>
      </c>
      <c r="CQ85" s="24">
        <f t="shared" si="651"/>
        <v>2.4861356335455591</v>
      </c>
      <c r="CR85" s="24">
        <f t="shared" si="651"/>
        <v>7.5659650464543624</v>
      </c>
      <c r="CS85" s="24">
        <f t="shared" si="651"/>
        <v>8.1930658497059099</v>
      </c>
      <c r="CT85" s="24">
        <f t="shared" si="651"/>
        <v>7.2243476514639342</v>
      </c>
      <c r="CU85" s="24">
        <f t="shared" si="651"/>
        <v>11.760658465852837</v>
      </c>
      <c r="CV85" s="24">
        <f t="shared" si="651"/>
        <v>13.491210308110253</v>
      </c>
      <c r="CW85" s="24">
        <f t="shared" si="651"/>
        <v>11.567149996553765</v>
      </c>
      <c r="CX85" s="24">
        <f t="shared" si="651"/>
        <v>7.2833593870407149</v>
      </c>
      <c r="CY85" s="24">
        <f t="shared" si="651"/>
        <v>10.878149192715494</v>
      </c>
      <c r="CZ85" s="24">
        <f t="shared" si="651"/>
        <v>13.317943387750962</v>
      </c>
      <c r="DA85" s="24">
        <f t="shared" si="651"/>
        <v>10.379777484460494</v>
      </c>
      <c r="DB85" s="24">
        <f t="shared" si="651"/>
        <v>4.0456888909949704</v>
      </c>
      <c r="DE85" s="123"/>
      <c r="DF85" s="23">
        <v>-4.8861063550384669</v>
      </c>
    </row>
    <row r="86" spans="1:110" s="46" customFormat="1" x14ac:dyDescent="0.2">
      <c r="A86" s="46" t="s">
        <v>482</v>
      </c>
      <c r="B86" s="46">
        <f t="shared" ref="B86:D86" si="652">+B85/B177</f>
        <v>0.14093859408376944</v>
      </c>
      <c r="C86" s="46">
        <f t="shared" si="652"/>
        <v>0.15013791599088555</v>
      </c>
      <c r="D86" s="46">
        <f t="shared" si="652"/>
        <v>6.7999073832429438E-2</v>
      </c>
      <c r="E86" s="46">
        <f t="shared" ref="E86:AE86" si="653">+E85/E177</f>
        <v>6.8511527282223234E-2</v>
      </c>
      <c r="F86" s="46">
        <f t="shared" si="653"/>
        <v>6.6690180067354679E-2</v>
      </c>
      <c r="G86" s="46">
        <f t="shared" si="653"/>
        <v>8.2527100469214409E-2</v>
      </c>
      <c r="H86" s="46">
        <f t="shared" si="653"/>
        <v>9.304559360242759E-2</v>
      </c>
      <c r="I86" s="46">
        <f t="shared" si="653"/>
        <v>9.4922064462817646E-2</v>
      </c>
      <c r="J86" s="46">
        <f t="shared" si="653"/>
        <v>0.10007347978680431</v>
      </c>
      <c r="K86" s="46">
        <f t="shared" si="653"/>
        <v>9.7362971661618947E-2</v>
      </c>
      <c r="L86" s="46">
        <f t="shared" si="653"/>
        <v>8.2242557358738227E-2</v>
      </c>
      <c r="M86" s="46">
        <f t="shared" si="653"/>
        <v>9.8260319779047173E-2</v>
      </c>
      <c r="N86" s="46">
        <f t="shared" si="653"/>
        <v>0.10580742209477206</v>
      </c>
      <c r="O86" s="46">
        <f t="shared" si="653"/>
        <v>0.12044380551725772</v>
      </c>
      <c r="P86" s="46">
        <f t="shared" si="653"/>
        <v>0.13631900359486127</v>
      </c>
      <c r="Q86" s="46">
        <f t="shared" si="653"/>
        <v>0.12828394795571538</v>
      </c>
      <c r="R86" s="46">
        <f t="shared" si="653"/>
        <v>0.12329367963074662</v>
      </c>
      <c r="S86" s="46">
        <f t="shared" si="653"/>
        <v>5.9534294528091447E-2</v>
      </c>
      <c r="T86" s="46">
        <f t="shared" si="653"/>
        <v>5.7280879349421832E-2</v>
      </c>
      <c r="U86" s="46">
        <f t="shared" si="653"/>
        <v>8.8742962930370636E-2</v>
      </c>
      <c r="V86" s="46">
        <f t="shared" si="653"/>
        <v>0.14395802526070914</v>
      </c>
      <c r="W86" s="46">
        <f t="shared" si="653"/>
        <v>0.169920099207749</v>
      </c>
      <c r="X86" s="46">
        <f t="shared" si="653"/>
        <v>0.20793479034916623</v>
      </c>
      <c r="Y86" s="46">
        <f t="shared" si="653"/>
        <v>0.3270701121998274</v>
      </c>
      <c r="Z86" s="46">
        <f t="shared" si="653"/>
        <v>0.34867670491509606</v>
      </c>
      <c r="AA86" s="46" t="e">
        <f t="shared" ref="AA86" si="654">+AA85/AA177</f>
        <v>#DIV/0!</v>
      </c>
      <c r="AB86" s="110">
        <f t="shared" si="653"/>
        <v>-6.7097054860400823E-2</v>
      </c>
      <c r="AC86" s="110">
        <f t="shared" si="653"/>
        <v>5.2741631855910846E-2</v>
      </c>
      <c r="AD86" s="110">
        <f t="shared" si="653"/>
        <v>9.1326099752454523E-2</v>
      </c>
      <c r="AE86" s="110">
        <f t="shared" si="653"/>
        <v>7.9976556665559306E-2</v>
      </c>
      <c r="AI86" s="46" t="e">
        <f t="shared" ref="AI86:BN86" si="655">(AI85-AI84)/AH216</f>
        <v>#DIV/0!</v>
      </c>
      <c r="AJ86" s="46" t="e">
        <f t="shared" si="655"/>
        <v>#DIV/0!</v>
      </c>
      <c r="AK86" s="46">
        <f t="shared" si="655"/>
        <v>3.0770124411211797E-2</v>
      </c>
      <c r="AL86" s="46">
        <f t="shared" si="655"/>
        <v>3.4203602998861028E-2</v>
      </c>
      <c r="AM86" s="46">
        <f t="shared" si="655"/>
        <v>3.503133536879318E-2</v>
      </c>
      <c r="AN86" s="46">
        <f t="shared" si="655"/>
        <v>3.6239575479542131E-2</v>
      </c>
      <c r="AO86" s="46">
        <f t="shared" si="655"/>
        <v>4.5995152471675779E-2</v>
      </c>
      <c r="AP86" s="46">
        <f t="shared" si="655"/>
        <v>4.9798154196868373E-2</v>
      </c>
      <c r="AQ86" s="46">
        <f t="shared" si="655"/>
        <v>3.872681755479486E-2</v>
      </c>
      <c r="AR86" s="46">
        <f t="shared" si="655"/>
        <v>3.9192077644886317E-2</v>
      </c>
      <c r="AS86" s="46">
        <f t="shared" si="655"/>
        <v>4.0451093732290611E-2</v>
      </c>
      <c r="AT86" s="46">
        <f t="shared" si="655"/>
        <v>3.8448483235652677E-2</v>
      </c>
      <c r="AU86" s="46">
        <f t="shared" si="655"/>
        <v>2.3369477261692834E-2</v>
      </c>
      <c r="AV86" s="46">
        <f t="shared" si="655"/>
        <v>2.0361385742418765E-2</v>
      </c>
      <c r="AW86" s="46">
        <f t="shared" si="655"/>
        <v>4.1919553035467835E-2</v>
      </c>
      <c r="AX86" s="46">
        <f t="shared" si="655"/>
        <v>3.3705605240453532E-2</v>
      </c>
      <c r="AY86" s="46">
        <f t="shared" si="655"/>
        <v>2.1102237571048277E-2</v>
      </c>
      <c r="AZ86" s="46">
        <f t="shared" si="655"/>
        <v>1.7132191579147808E-2</v>
      </c>
      <c r="BA86" s="46">
        <f t="shared" si="655"/>
        <v>2.5673364945002969E-2</v>
      </c>
      <c r="BB86" s="46">
        <f t="shared" si="655"/>
        <v>2.3536029459717372E-2</v>
      </c>
      <c r="BC86" s="46">
        <f t="shared" si="655"/>
        <v>2.241030219952966E-2</v>
      </c>
      <c r="BD86" s="46">
        <f t="shared" si="655"/>
        <v>1.0853990351452288E-2</v>
      </c>
      <c r="BE86" s="46">
        <f t="shared" si="655"/>
        <v>3.2505957640506601E-2</v>
      </c>
      <c r="BF86" s="46">
        <f t="shared" si="655"/>
        <v>5.8587109158628754E-2</v>
      </c>
      <c r="BG86" s="46">
        <f t="shared" si="655"/>
        <v>1.8923728813559325E-2</v>
      </c>
      <c r="BH86" s="46">
        <f t="shared" si="655"/>
        <v>1.9242985136848322E-2</v>
      </c>
      <c r="BI86" s="46">
        <f t="shared" si="655"/>
        <v>3.9346327234155397E-2</v>
      </c>
      <c r="BJ86" s="46">
        <f t="shared" si="655"/>
        <v>4.3125590221075365E-2</v>
      </c>
      <c r="BK86" s="46">
        <f t="shared" si="655"/>
        <v>1.0831342205836597E-2</v>
      </c>
      <c r="BL86" s="46">
        <f t="shared" si="655"/>
        <v>3.8792139502477396E-2</v>
      </c>
      <c r="BM86" s="46">
        <f t="shared" si="655"/>
        <v>2.5895179714537767E-2</v>
      </c>
      <c r="BN86" s="46">
        <f t="shared" si="655"/>
        <v>2.3947542697529297E-2</v>
      </c>
      <c r="BO86" s="46">
        <f t="shared" ref="BO86:CT86" si="656">(BO85-BO84)/BN216</f>
        <v>1.6426039595400708E-2</v>
      </c>
      <c r="BP86" s="46">
        <f t="shared" si="656"/>
        <v>4.0052345890921125E-2</v>
      </c>
      <c r="BQ86" s="46">
        <f t="shared" si="656"/>
        <v>2.1279122706308523E-2</v>
      </c>
      <c r="BR86" s="46">
        <f t="shared" si="656"/>
        <v>7.8536791100831612E-4</v>
      </c>
      <c r="BS86" s="46">
        <f t="shared" si="656"/>
        <v>5.7766687461010607E-3</v>
      </c>
      <c r="BT86" s="46">
        <f t="shared" si="656"/>
        <v>-5.4169547593924386E-3</v>
      </c>
      <c r="BU86" s="46">
        <f t="shared" si="656"/>
        <v>1.0719764807076344E-3</v>
      </c>
      <c r="BV86" s="46">
        <f t="shared" si="656"/>
        <v>1.9536095014642495E-2</v>
      </c>
      <c r="BW86" s="46">
        <f t="shared" si="656"/>
        <v>-2.5877175109010154E-2</v>
      </c>
      <c r="BX86" s="46">
        <f t="shared" si="656"/>
        <v>-1.5479331675803667E-3</v>
      </c>
      <c r="BY86" s="46">
        <f t="shared" si="656"/>
        <v>1.7999307718933877E-2</v>
      </c>
      <c r="BZ86" s="46">
        <f t="shared" si="656"/>
        <v>3.0976007770264595E-2</v>
      </c>
      <c r="CA86" s="46">
        <f t="shared" si="656"/>
        <v>1.5231136379029399E-2</v>
      </c>
      <c r="CB86" s="46">
        <f t="shared" si="656"/>
        <v>1.5943263674420421E-2</v>
      </c>
      <c r="CC86" s="46">
        <f t="shared" si="656"/>
        <v>2.2994693276710564E-2</v>
      </c>
      <c r="CD86" s="46">
        <f t="shared" si="656"/>
        <v>2.1506224928887999E-2</v>
      </c>
      <c r="CE86" s="46">
        <f t="shared" si="656"/>
        <v>2.2309002015026787E-2</v>
      </c>
      <c r="CF86" s="46">
        <f t="shared" si="656"/>
        <v>2.0276618529467137E-2</v>
      </c>
      <c r="CG86" s="46">
        <f t="shared" si="656"/>
        <v>2.3406496578133176E-2</v>
      </c>
      <c r="CH86" s="46">
        <f t="shared" si="656"/>
        <v>1.8521824191364337E-2</v>
      </c>
      <c r="CI86" s="46">
        <f t="shared" si="656"/>
        <v>2.4177136086861565E-2</v>
      </c>
      <c r="CJ86" s="46">
        <f t="shared" si="656"/>
        <v>1.5775664098349466E-2</v>
      </c>
      <c r="CK86" s="46">
        <f t="shared" si="656"/>
        <v>2.249474241036294E-2</v>
      </c>
      <c r="CL86" s="46">
        <f t="shared" si="656"/>
        <v>2.560643346566157E-2</v>
      </c>
      <c r="CM86" s="47">
        <f t="shared" ref="CM86" si="657">+CL86</f>
        <v>2.560643346566157E-2</v>
      </c>
      <c r="CN86" s="47">
        <f t="shared" ref="CN86" si="658">+CM86</f>
        <v>2.560643346566157E-2</v>
      </c>
      <c r="CO86" s="47">
        <f t="shared" ref="CO86" si="659">+CN86</f>
        <v>2.560643346566157E-2</v>
      </c>
      <c r="CP86" s="47">
        <f t="shared" ref="CP86" si="660">+CO86</f>
        <v>2.560643346566157E-2</v>
      </c>
      <c r="CQ86" s="47">
        <f t="shared" ref="CQ86" si="661">+CP86</f>
        <v>2.560643346566157E-2</v>
      </c>
      <c r="CR86" s="47">
        <f t="shared" ref="CR86" si="662">+CQ86</f>
        <v>2.560643346566157E-2</v>
      </c>
      <c r="CS86" s="47">
        <f t="shared" ref="CS86" si="663">+CR86</f>
        <v>2.560643346566157E-2</v>
      </c>
      <c r="CT86" s="47">
        <f t="shared" ref="CT86" si="664">+CS86</f>
        <v>2.560643346566157E-2</v>
      </c>
      <c r="CU86" s="47">
        <f t="shared" ref="CU86" si="665">+CT86</f>
        <v>2.560643346566157E-2</v>
      </c>
      <c r="CV86" s="47">
        <f t="shared" ref="CV86" si="666">+CU86</f>
        <v>2.560643346566157E-2</v>
      </c>
      <c r="CW86" s="47">
        <f t="shared" ref="CW86" si="667">+CV86</f>
        <v>2.560643346566157E-2</v>
      </c>
      <c r="CX86" s="47">
        <f t="shared" ref="CX86" si="668">+CW86</f>
        <v>2.560643346566157E-2</v>
      </c>
      <c r="CY86" s="47">
        <f t="shared" ref="CY86" si="669">+CX86</f>
        <v>2.560643346566157E-2</v>
      </c>
      <c r="CZ86" s="47">
        <f t="shared" ref="CZ86" si="670">+CY86</f>
        <v>2.560643346566157E-2</v>
      </c>
      <c r="DA86" s="47">
        <f t="shared" ref="DA86" si="671">+CZ86</f>
        <v>2.560643346566157E-2</v>
      </c>
      <c r="DB86" s="47">
        <f t="shared" ref="DB86" si="672">+DA86</f>
        <v>2.560643346566157E-2</v>
      </c>
      <c r="DE86" s="130"/>
      <c r="DF86" s="46">
        <v>2.249474241036294E-2</v>
      </c>
    </row>
    <row r="87" spans="1:110" s="26" customFormat="1" x14ac:dyDescent="0.2">
      <c r="A87" s="26" t="s">
        <v>20</v>
      </c>
      <c r="B87" s="26">
        <f>B83+B84-B85</f>
        <v>1.1775460999999976</v>
      </c>
      <c r="C87" s="26">
        <f t="shared" ref="C87:T87" si="673">C83+C84-C85</f>
        <v>5.7217466999999997</v>
      </c>
      <c r="D87" s="26">
        <f>D83+D84-D85</f>
        <v>6.3114936000000057</v>
      </c>
      <c r="E87" s="26">
        <f t="shared" si="673"/>
        <v>10.716054399999992</v>
      </c>
      <c r="F87" s="26">
        <f t="shared" si="673"/>
        <v>7.2246090000000072</v>
      </c>
      <c r="G87" s="26">
        <f t="shared" si="673"/>
        <v>11.794577399999987</v>
      </c>
      <c r="H87" s="26">
        <f t="shared" si="673"/>
        <v>15.860817299999997</v>
      </c>
      <c r="I87" s="26">
        <f t="shared" si="673"/>
        <v>18.388766900000014</v>
      </c>
      <c r="J87" s="26">
        <f t="shared" si="673"/>
        <v>24.639791800000008</v>
      </c>
      <c r="K87" s="26">
        <f t="shared" si="673"/>
        <v>31.33198600000004</v>
      </c>
      <c r="L87" s="26">
        <f t="shared" si="673"/>
        <v>42.953603200000018</v>
      </c>
      <c r="M87" s="26">
        <f t="shared" si="673"/>
        <v>51.928530800000082</v>
      </c>
      <c r="N87" s="26">
        <f t="shared" si="673"/>
        <v>45.822471899999961</v>
      </c>
      <c r="O87" s="26">
        <f t="shared" si="673"/>
        <v>45.628000000000029</v>
      </c>
      <c r="P87" s="26">
        <f t="shared" si="673"/>
        <v>51.065223799999984</v>
      </c>
      <c r="Q87" s="26">
        <f t="shared" si="673"/>
        <v>87.958644099999972</v>
      </c>
      <c r="R87" s="26">
        <f t="shared" si="673"/>
        <v>124.97501970000005</v>
      </c>
      <c r="S87" s="26">
        <f t="shared" si="673"/>
        <v>165.23926779999991</v>
      </c>
      <c r="T87" s="26">
        <f t="shared" si="673"/>
        <v>165.05540549999995</v>
      </c>
      <c r="U87" s="26">
        <f t="shared" ref="U87:Z87" si="674">U83+U84-U85</f>
        <v>131.10360540000002</v>
      </c>
      <c r="V87" s="26">
        <f t="shared" si="674"/>
        <v>326.59539999999998</v>
      </c>
      <c r="W87" s="26">
        <f t="shared" si="674"/>
        <v>578.28819999999996</v>
      </c>
      <c r="X87" s="26">
        <f t="shared" si="674"/>
        <v>566.81520000000035</v>
      </c>
      <c r="Y87" s="26">
        <f t="shared" si="674"/>
        <v>301.55550000000011</v>
      </c>
      <c r="Z87" s="26">
        <f t="shared" si="674"/>
        <v>213.21939999999992</v>
      </c>
      <c r="AA87" s="26">
        <f t="shared" ref="AA87" si="675">AA83+AA84-AA85</f>
        <v>227.40400000000028</v>
      </c>
      <c r="AB87" s="27">
        <f t="shared" ref="AB87:AD87" si="676">AB83+AB84-AB85</f>
        <v>348.86786007045134</v>
      </c>
      <c r="AC87" s="27">
        <f t="shared" si="676"/>
        <v>489.11632493133766</v>
      </c>
      <c r="AD87" s="27">
        <f t="shared" si="676"/>
        <v>699.19725740584772</v>
      </c>
      <c r="AE87" s="27">
        <f t="shared" ref="AE87" si="677">AE83+AE84-AE85</f>
        <v>1047.5633536666937</v>
      </c>
      <c r="AI87" s="26">
        <f>AI83+AI84-AI85</f>
        <v>14.592999999999989</v>
      </c>
      <c r="AJ87" s="26">
        <f t="shared" ref="AJ87" si="678">AJ83+AJ84-AJ85</f>
        <v>14.692000000000002</v>
      </c>
      <c r="AK87" s="26">
        <f t="shared" ref="AK87:AM87" si="679">AK83+AK84-AK85</f>
        <v>7.5189999999999921</v>
      </c>
      <c r="AL87" s="26">
        <f t="shared" si="679"/>
        <v>9.039999999999992</v>
      </c>
      <c r="AM87" s="26">
        <f t="shared" si="679"/>
        <v>12.390000000000002</v>
      </c>
      <c r="AN87" s="26">
        <f t="shared" ref="AN87:AO87" si="680">AN83+AN84-AN85</f>
        <v>17.560000000000016</v>
      </c>
      <c r="AO87" s="26">
        <f t="shared" si="680"/>
        <v>6.7799999999999763</v>
      </c>
      <c r="AP87" s="26">
        <f t="shared" ref="AP87:CD87" si="681">AP83+AP84-AP85</f>
        <v>8.9300000000000086</v>
      </c>
      <c r="AQ87" s="26">
        <f t="shared" si="681"/>
        <v>12.480000000000011</v>
      </c>
      <c r="AR87" s="26">
        <f t="shared" si="681"/>
        <v>14.898999999999994</v>
      </c>
      <c r="AS87" s="26">
        <f t="shared" si="681"/>
        <v>9.4649999999999963</v>
      </c>
      <c r="AT87" s="26">
        <f t="shared" si="681"/>
        <v>18.90000000000002</v>
      </c>
      <c r="AU87" s="26">
        <f t="shared" si="681"/>
        <v>19.538000000000011</v>
      </c>
      <c r="AV87" s="26">
        <f t="shared" si="681"/>
        <v>19.126999999999992</v>
      </c>
      <c r="AW87" s="26">
        <f t="shared" si="681"/>
        <v>21.656000000000002</v>
      </c>
      <c r="AX87" s="26">
        <f t="shared" si="681"/>
        <v>32.833000000000013</v>
      </c>
      <c r="AY87" s="26">
        <f t="shared" si="681"/>
        <v>32.900000000000006</v>
      </c>
      <c r="AZ87" s="26">
        <f t="shared" si="681"/>
        <v>33.220000000000006</v>
      </c>
      <c r="BA87" s="26">
        <f t="shared" si="681"/>
        <v>29.978999999999992</v>
      </c>
      <c r="BB87" s="26">
        <f t="shared" si="681"/>
        <v>31.799999999999983</v>
      </c>
      <c r="BC87" s="26">
        <f t="shared" si="681"/>
        <v>34.401999999999987</v>
      </c>
      <c r="BD87" s="26">
        <f t="shared" si="681"/>
        <v>46.467000000000027</v>
      </c>
      <c r="BE87" s="26">
        <f t="shared" si="681"/>
        <v>44.987999999999985</v>
      </c>
      <c r="BF87" s="26">
        <f t="shared" si="681"/>
        <v>39.381999999999941</v>
      </c>
      <c r="BG87" s="26">
        <f t="shared" si="681"/>
        <v>51.732000000000028</v>
      </c>
      <c r="BH87" s="26">
        <f t="shared" si="681"/>
        <v>38.373000000000005</v>
      </c>
      <c r="BI87" s="26">
        <f t="shared" si="681"/>
        <v>35.501999999999981</v>
      </c>
      <c r="BJ87" s="26">
        <f t="shared" si="681"/>
        <v>39.446000000000012</v>
      </c>
      <c r="BK87" s="26">
        <f t="shared" si="681"/>
        <v>29.954999999999995</v>
      </c>
      <c r="BL87" s="26">
        <f t="shared" si="681"/>
        <v>31.229999999999993</v>
      </c>
      <c r="BM87" s="26">
        <f t="shared" si="681"/>
        <v>29.149000000000004</v>
      </c>
      <c r="BN87" s="26">
        <f t="shared" si="681"/>
        <v>40.768999999999991</v>
      </c>
      <c r="BO87" s="26">
        <f t="shared" si="681"/>
        <v>42.254000000000012</v>
      </c>
      <c r="BP87" s="26">
        <f t="shared" si="681"/>
        <v>59.713000000000001</v>
      </c>
      <c r="BQ87" s="26">
        <f t="shared" si="681"/>
        <v>104.35700000000001</v>
      </c>
      <c r="BR87" s="26">
        <f t="shared" si="681"/>
        <v>120.27200000000001</v>
      </c>
      <c r="BS87" s="26">
        <f t="shared" si="681"/>
        <v>131.48299999999998</v>
      </c>
      <c r="BT87" s="26">
        <f t="shared" si="681"/>
        <v>119.04899999999992</v>
      </c>
      <c r="BU87" s="26">
        <f t="shared" si="681"/>
        <v>144.52199999999996</v>
      </c>
      <c r="BV87" s="26">
        <f t="shared" si="681"/>
        <v>183.23200000000003</v>
      </c>
      <c r="BW87" s="26">
        <f t="shared" si="681"/>
        <v>204.98300000000006</v>
      </c>
      <c r="BX87" s="26">
        <f t="shared" si="681"/>
        <v>161.84100000000001</v>
      </c>
      <c r="BY87" s="26">
        <f t="shared" si="681"/>
        <v>115.02499999999999</v>
      </c>
      <c r="BZ87" s="26">
        <f t="shared" si="681"/>
        <v>84.96399999999997</v>
      </c>
      <c r="CA87" s="26">
        <f t="shared" si="681"/>
        <v>90.372000000000014</v>
      </c>
      <c r="CB87" s="26">
        <f t="shared" si="681"/>
        <v>48.008000000000017</v>
      </c>
      <c r="CC87" s="26">
        <f t="shared" si="681"/>
        <v>70.268000000000043</v>
      </c>
      <c r="CD87" s="26">
        <f t="shared" si="681"/>
        <v>92.905000000000015</v>
      </c>
      <c r="CE87" s="26">
        <f t="shared" ref="CE87:CF87" si="682">CE83+CE84-CE85</f>
        <v>61.581999999999994</v>
      </c>
      <c r="CF87" s="26">
        <f t="shared" si="682"/>
        <v>56.809999999999988</v>
      </c>
      <c r="CG87" s="26">
        <f t="shared" ref="CG87:CH87" si="683">CG83+CG84-CG85</f>
        <v>40.891000000000027</v>
      </c>
      <c r="CH87" s="26">
        <f t="shared" si="683"/>
        <v>53.935000000000016</v>
      </c>
      <c r="CI87" s="26">
        <f t="shared" ref="CI87:CJ87" si="684">CI83+CI84-CI85</f>
        <v>49.013999999999996</v>
      </c>
      <c r="CJ87" s="26">
        <f t="shared" si="684"/>
        <v>51.629000000000005</v>
      </c>
      <c r="CK87" s="26">
        <f t="shared" ref="CK87:CL87" si="685">CK83+CK84-CK85</f>
        <v>45.989000000000011</v>
      </c>
      <c r="CL87" s="26">
        <f t="shared" si="685"/>
        <v>85.858000000000018</v>
      </c>
      <c r="CM87" s="27">
        <f t="shared" ref="CM87:DB87" si="686">CM83+CM84-CM85</f>
        <v>84.582611505443623</v>
      </c>
      <c r="CN87" s="27">
        <f t="shared" si="686"/>
        <v>90.470681513910961</v>
      </c>
      <c r="CO87" s="27">
        <f t="shared" si="686"/>
        <v>80.771953972307983</v>
      </c>
      <c r="CP87" s="27">
        <f t="shared" si="686"/>
        <v>93.042613078788747</v>
      </c>
      <c r="CQ87" s="27">
        <f t="shared" si="686"/>
        <v>122.33151297657302</v>
      </c>
      <c r="CR87" s="27">
        <f t="shared" si="686"/>
        <v>115.94788999908134</v>
      </c>
      <c r="CS87" s="27">
        <f t="shared" si="686"/>
        <v>109.75900578756722</v>
      </c>
      <c r="CT87" s="27">
        <f t="shared" si="686"/>
        <v>141.07791616811633</v>
      </c>
      <c r="CU87" s="27">
        <f t="shared" si="686"/>
        <v>162.75708087585394</v>
      </c>
      <c r="CV87" s="27">
        <f t="shared" si="686"/>
        <v>166.64756723670499</v>
      </c>
      <c r="CW87" s="27">
        <f t="shared" si="686"/>
        <v>161.44326622875903</v>
      </c>
      <c r="CX87" s="27">
        <f t="shared" si="686"/>
        <v>208.34934306452985</v>
      </c>
      <c r="CY87" s="27">
        <f t="shared" si="686"/>
        <v>244.28363116094098</v>
      </c>
      <c r="CZ87" s="27">
        <f t="shared" si="686"/>
        <v>251.0455617652392</v>
      </c>
      <c r="DA87" s="27">
        <f t="shared" si="686"/>
        <v>243.02809680263718</v>
      </c>
      <c r="DB87" s="27">
        <f t="shared" si="686"/>
        <v>309.20606393787716</v>
      </c>
      <c r="DE87" s="121"/>
      <c r="DF87" s="26">
        <v>68.974643959576412</v>
      </c>
    </row>
    <row r="88" spans="1:110" s="23" customFormat="1" x14ac:dyDescent="0.2">
      <c r="A88" s="23" t="s">
        <v>21</v>
      </c>
      <c r="B88" s="23">
        <f>'Annual Raw'!C30</f>
        <v>8.8999999999999996E-2</v>
      </c>
      <c r="C88" s="23">
        <f>'Annual Raw'!D30</f>
        <v>1.9275180000000001</v>
      </c>
      <c r="D88" s="23">
        <f>'Annual Raw'!E30</f>
        <v>2.1946857</v>
      </c>
      <c r="E88" s="23">
        <f>'Annual Raw'!F30</f>
        <v>3.6011334000000002</v>
      </c>
      <c r="F88" s="23">
        <f>'Annual Raw'!G30</f>
        <v>2.6415080999999998</v>
      </c>
      <c r="G88" s="23">
        <f>'Annual Raw'!H30</f>
        <v>3.0096080000000001</v>
      </c>
      <c r="H88" s="23">
        <f>'Annual Raw'!I30</f>
        <v>5.8238231999999996</v>
      </c>
      <c r="I88" s="23">
        <f>'Annual Raw'!J30</f>
        <v>5.3985951999999999</v>
      </c>
      <c r="J88" s="23">
        <f>'Annual Raw'!K30</f>
        <v>9.5771792999999992</v>
      </c>
      <c r="K88" s="23">
        <f>'Annual Raw'!L30</f>
        <v>10.915006999999999</v>
      </c>
      <c r="L88" s="23">
        <f>'Annual Raw'!M30</f>
        <v>16.364162</v>
      </c>
      <c r="M88" s="23">
        <f>'Annual Raw'!N30</f>
        <v>17.079015900000002</v>
      </c>
      <c r="N88" s="23">
        <f>'Annual Raw'!O30</f>
        <v>14.772457299999999</v>
      </c>
      <c r="O88" s="23">
        <f>'Annual Raw'!P30</f>
        <v>12.1204</v>
      </c>
      <c r="P88" s="23">
        <f>'Annual Raw'!Q30</f>
        <v>17.867898199999999</v>
      </c>
      <c r="Q88" s="23">
        <f>'Annual Raw'!R30</f>
        <v>30.345223399999998</v>
      </c>
      <c r="R88" s="23">
        <f>'Annual Raw'!S30</f>
        <v>43.344050799999998</v>
      </c>
      <c r="S88" s="23">
        <f>'Annual Raw'!T30</f>
        <v>52.657404999999997</v>
      </c>
      <c r="T88" s="23">
        <f>'Annual Raw'!U30</f>
        <v>47.966878199999996</v>
      </c>
      <c r="U88" s="23">
        <f>'Annual Raw'!V30</f>
        <v>33.633335199999998</v>
      </c>
      <c r="V88" s="23">
        <f>'Annual Raw'!W30</f>
        <v>83.099800000000002</v>
      </c>
      <c r="W88" s="23">
        <f>'Annual Raw'!X30</f>
        <v>160.38749999999999</v>
      </c>
      <c r="X88" s="23">
        <f>'Annual Raw'!Y30</f>
        <v>161.13220000000001</v>
      </c>
      <c r="Y88" s="23">
        <f>'Annual Raw'!Z30</f>
        <v>69.252499999999998</v>
      </c>
      <c r="Z88" s="23">
        <f>'Annual Raw'!AA30</f>
        <v>54.628</v>
      </c>
      <c r="AA88" s="23">
        <f>'Annual Raw'!AB30</f>
        <v>61.875700000000002</v>
      </c>
      <c r="AB88" s="24">
        <f>+SUM(CM88:CP88)</f>
        <v>87.216965017612836</v>
      </c>
      <c r="AC88" s="24">
        <f>+SUM(CQ88:CT88)</f>
        <v>122.27908123283447</v>
      </c>
      <c r="AD88" s="24">
        <f>+SUM(CU88:CX88)</f>
        <v>174.79931435146196</v>
      </c>
      <c r="AE88" s="24">
        <f>+SUM(CY88:DB88)</f>
        <v>261.89083841667366</v>
      </c>
      <c r="AI88" s="23">
        <f>'QTR Raw'!C29</f>
        <v>5.226</v>
      </c>
      <c r="AJ88" s="23">
        <f>'QTR Raw'!D29</f>
        <v>5.8010000000000002</v>
      </c>
      <c r="AK88" s="23">
        <f>'QTR Raw'!E29</f>
        <v>0.44400000000000001</v>
      </c>
      <c r="AL88" s="23">
        <f>'QTR Raw'!F29</f>
        <v>3.34</v>
      </c>
      <c r="AM88" s="23">
        <f>'QTR Raw'!G29</f>
        <v>3.88</v>
      </c>
      <c r="AN88" s="23">
        <f>'QTR Raw'!H29</f>
        <v>5.8250000000000002</v>
      </c>
      <c r="AO88" s="23">
        <f>'QTR Raw'!I29</f>
        <v>2.58</v>
      </c>
      <c r="AP88" s="23">
        <f>'QTR Raw'!J29</f>
        <v>-0.16</v>
      </c>
      <c r="AQ88" s="23">
        <f>'QTR Raw'!K29</f>
        <v>3.17</v>
      </c>
      <c r="AR88" s="23">
        <f>'QTR Raw'!L29</f>
        <v>5.8109999999999999</v>
      </c>
      <c r="AS88" s="23">
        <f>'QTR Raw'!M29</f>
        <v>3.2719999999999998</v>
      </c>
      <c r="AT88" s="23">
        <f>'QTR Raw'!N29</f>
        <v>7.1310000000000002</v>
      </c>
      <c r="AU88" s="23">
        <f>'QTR Raw'!O29</f>
        <v>6.7220000000000004</v>
      </c>
      <c r="AV88" s="23">
        <f>'QTR Raw'!P29</f>
        <v>7.3129999999999997</v>
      </c>
      <c r="AW88" s="23">
        <f>'QTR Raw'!Q29</f>
        <v>8.35</v>
      </c>
      <c r="AX88" s="23">
        <f>'QTR Raw'!R29</f>
        <v>9.4969999999999999</v>
      </c>
      <c r="AY88" s="23">
        <f>'QTR Raw'!S29</f>
        <v>8.1859999999999999</v>
      </c>
      <c r="AZ88" s="23">
        <f>'QTR Raw'!T29</f>
        <v>11.49</v>
      </c>
      <c r="BA88" s="23">
        <f>'QTR Raw'!U29</f>
        <v>10.587</v>
      </c>
      <c r="BB88" s="23">
        <f>'QTR Raw'!V29</f>
        <v>14.648</v>
      </c>
      <c r="BC88" s="23">
        <f>'QTR Raw'!W29</f>
        <v>11.647</v>
      </c>
      <c r="BD88" s="23">
        <f>'QTR Raw'!X29</f>
        <v>17.303999999999998</v>
      </c>
      <c r="BE88" s="23">
        <f>'QTR Raw'!Y29</f>
        <v>17.501000000000001</v>
      </c>
      <c r="BF88" s="23">
        <f>'QTR Raw'!Z29</f>
        <v>6.2060000000000004</v>
      </c>
      <c r="BG88" s="23">
        <f>'QTR Raw'!AA29</f>
        <v>17.908000000000001</v>
      </c>
      <c r="BH88" s="23">
        <f>'QTR Raw'!AB29</f>
        <v>7.3920000000000003</v>
      </c>
      <c r="BI88" s="23">
        <f>'QTR Raw'!AC29</f>
        <v>9.23</v>
      </c>
      <c r="BJ88" s="23">
        <f>'QTR Raw'!AD29</f>
        <v>13.436999999999999</v>
      </c>
      <c r="BK88" s="23">
        <f>'QTR Raw'!AE29</f>
        <v>11.474</v>
      </c>
      <c r="BL88" s="23">
        <f>'QTR Raw'!AF29</f>
        <v>2.488</v>
      </c>
      <c r="BM88" s="23">
        <f>'QTR Raw'!AG29</f>
        <v>8.4600000000000009</v>
      </c>
      <c r="BN88" s="23">
        <f>'QTR Raw'!AH29</f>
        <v>11.211</v>
      </c>
      <c r="BO88" s="23">
        <f>'QTR Raw'!AI29</f>
        <v>10.673</v>
      </c>
      <c r="BP88" s="23">
        <f>'QTR Raw'!AJ29</f>
        <v>15.51</v>
      </c>
      <c r="BQ88" s="23">
        <f>'QTR Raw'!AK29</f>
        <v>25.452999999999999</v>
      </c>
      <c r="BR88" s="23">
        <f>'QTR Raw'!AL29</f>
        <v>31.463999999999999</v>
      </c>
      <c r="BS88" s="23">
        <f>'QTR Raw'!AM29</f>
        <v>34.087000000000003</v>
      </c>
      <c r="BT88" s="23">
        <f>'QTR Raw'!AN29</f>
        <v>30.984000000000002</v>
      </c>
      <c r="BU88" s="23">
        <f>'QTR Raw'!AO29</f>
        <v>42.932000000000002</v>
      </c>
      <c r="BV88" s="23">
        <f>'QTR Raw'!AP29</f>
        <v>52.384999999999998</v>
      </c>
      <c r="BW88" s="23">
        <f>'QTR Raw'!AQ29</f>
        <v>56.944000000000003</v>
      </c>
      <c r="BX88" s="23">
        <f>'QTR Raw'!AR29</f>
        <v>43.201999999999998</v>
      </c>
      <c r="BY88" s="23">
        <f>'QTR Raw'!AS29</f>
        <v>31.234000000000002</v>
      </c>
      <c r="BZ88" s="23">
        <f>'QTR Raw'!AT29</f>
        <v>29.751000000000001</v>
      </c>
      <c r="CA88" s="23">
        <f>'QTR Raw'!AU29</f>
        <v>22.693999999999999</v>
      </c>
      <c r="CB88" s="23">
        <f>'QTR Raw'!AV29</f>
        <v>11.641999999999999</v>
      </c>
      <c r="CC88" s="23">
        <f>'QTR Raw'!AW29</f>
        <v>14.494999999999999</v>
      </c>
      <c r="CD88" s="23">
        <f>'QTR Raw'!AX29</f>
        <v>20.422999999999998</v>
      </c>
      <c r="CE88" s="23">
        <f>'QTR Raw'!AY29</f>
        <v>16.023</v>
      </c>
      <c r="CF88" s="23">
        <f>'QTR Raw'!AZ29</f>
        <v>15.356</v>
      </c>
      <c r="CG88" s="23">
        <f>'QTR Raw'!BA29</f>
        <v>9.7539999999999996</v>
      </c>
      <c r="CH88" s="23">
        <f>'QTR Raw'!BB29</f>
        <v>13.494999999999999</v>
      </c>
      <c r="CI88" s="23">
        <f>'QTR Raw'!BC29</f>
        <v>12.486000000000001</v>
      </c>
      <c r="CJ88" s="23">
        <f>'QTR Raw'!BD29</f>
        <v>14.526999999999999</v>
      </c>
      <c r="CK88" s="23">
        <f>'QTR Raw'!BE29</f>
        <v>15.231</v>
      </c>
      <c r="CL88" s="23">
        <f>'QTR Raw'!BF29</f>
        <v>21.09</v>
      </c>
      <c r="CM88" s="24">
        <f t="shared" ref="CM88:DB88" si="687">+CM87*CM89</f>
        <v>21.145652876360906</v>
      </c>
      <c r="CN88" s="24">
        <f t="shared" si="687"/>
        <v>22.61767037847774</v>
      </c>
      <c r="CO88" s="24">
        <f t="shared" si="687"/>
        <v>20.192988493076996</v>
      </c>
      <c r="CP88" s="24">
        <f t="shared" si="687"/>
        <v>23.260653269697187</v>
      </c>
      <c r="CQ88" s="24">
        <f t="shared" si="687"/>
        <v>30.582878244143256</v>
      </c>
      <c r="CR88" s="24">
        <f t="shared" si="687"/>
        <v>28.986972499770335</v>
      </c>
      <c r="CS88" s="24">
        <f t="shared" si="687"/>
        <v>27.439751446891805</v>
      </c>
      <c r="CT88" s="24">
        <f t="shared" si="687"/>
        <v>35.269479042029083</v>
      </c>
      <c r="CU88" s="24">
        <f t="shared" si="687"/>
        <v>40.689270218963486</v>
      </c>
      <c r="CV88" s="24">
        <f t="shared" si="687"/>
        <v>41.661891809176247</v>
      </c>
      <c r="CW88" s="24">
        <f t="shared" si="687"/>
        <v>40.360816557189757</v>
      </c>
      <c r="CX88" s="24">
        <f t="shared" si="687"/>
        <v>52.087335766132462</v>
      </c>
      <c r="CY88" s="24">
        <f t="shared" si="687"/>
        <v>61.070907790235246</v>
      </c>
      <c r="CZ88" s="24">
        <f t="shared" si="687"/>
        <v>62.7613904413098</v>
      </c>
      <c r="DA88" s="24">
        <f t="shared" si="687"/>
        <v>60.757024200659295</v>
      </c>
      <c r="DB88" s="24">
        <f t="shared" si="687"/>
        <v>77.30151598446929</v>
      </c>
      <c r="DE88" s="123"/>
      <c r="DF88" s="23">
        <v>19.270013455638487</v>
      </c>
    </row>
    <row r="89" spans="1:110" s="90" customFormat="1" x14ac:dyDescent="0.2">
      <c r="A89" s="90" t="s">
        <v>106</v>
      </c>
      <c r="B89" s="90">
        <f t="shared" ref="B89:E89" si="688">B88/B87</f>
        <v>7.5580905070298465E-2</v>
      </c>
      <c r="C89" s="90">
        <f t="shared" si="688"/>
        <v>0.33687580053133076</v>
      </c>
      <c r="D89" s="90">
        <f t="shared" si="688"/>
        <v>0.34772842041699892</v>
      </c>
      <c r="E89" s="90">
        <f t="shared" si="688"/>
        <v>0.33605030971100736</v>
      </c>
      <c r="F89" s="90">
        <f t="shared" ref="F89:T89" si="689">F88/F87</f>
        <v>0.365626444282313</v>
      </c>
      <c r="G89" s="90">
        <f t="shared" si="689"/>
        <v>0.25516878629326756</v>
      </c>
      <c r="H89" s="90">
        <f t="shared" si="689"/>
        <v>0.36718304547899944</v>
      </c>
      <c r="I89" s="90">
        <f t="shared" si="689"/>
        <v>0.2935811427355684</v>
      </c>
      <c r="J89" s="90">
        <f t="shared" si="689"/>
        <v>0.38868750912091699</v>
      </c>
      <c r="K89" s="90">
        <f t="shared" si="689"/>
        <v>0.34836626698352235</v>
      </c>
      <c r="L89" s="90">
        <f t="shared" si="689"/>
        <v>0.38097297504485012</v>
      </c>
      <c r="M89" s="90">
        <f t="shared" si="689"/>
        <v>0.32889464879680314</v>
      </c>
      <c r="N89" s="90">
        <f t="shared" si="689"/>
        <v>0.32238455690994733</v>
      </c>
      <c r="O89" s="90">
        <f t="shared" si="689"/>
        <v>0.26563513631980346</v>
      </c>
      <c r="P89" s="90">
        <f t="shared" si="689"/>
        <v>0.3499034542564759</v>
      </c>
      <c r="Q89" s="90">
        <f t="shared" si="689"/>
        <v>0.34499421529850538</v>
      </c>
      <c r="R89" s="90">
        <f t="shared" si="689"/>
        <v>0.34682171608411422</v>
      </c>
      <c r="S89" s="90">
        <f t="shared" si="689"/>
        <v>0.31867367666948732</v>
      </c>
      <c r="T89" s="90">
        <f t="shared" si="689"/>
        <v>0.2906107682732027</v>
      </c>
      <c r="U89" s="90">
        <f t="shared" ref="U89:Z89" si="690">U88/U87</f>
        <v>0.25654012410554189</v>
      </c>
      <c r="V89" s="90">
        <f t="shared" si="690"/>
        <v>0.25444265289713208</v>
      </c>
      <c r="W89" s="90">
        <f t="shared" si="690"/>
        <v>0.27734873372826907</v>
      </c>
      <c r="X89" s="90">
        <f t="shared" si="690"/>
        <v>0.28427642730823011</v>
      </c>
      <c r="Y89" s="90">
        <f t="shared" si="690"/>
        <v>0.22965092661218242</v>
      </c>
      <c r="Z89" s="90">
        <f t="shared" si="690"/>
        <v>0.256205579792458</v>
      </c>
      <c r="AA89" s="90">
        <f t="shared" ref="AA89" si="691">AA88/AA87</f>
        <v>0.27209591739811051</v>
      </c>
      <c r="AB89" s="91">
        <f t="shared" ref="AA89:AD89" si="692">AB88/AB87</f>
        <v>0.25</v>
      </c>
      <c r="AC89" s="91">
        <f t="shared" si="692"/>
        <v>0.25000000000000011</v>
      </c>
      <c r="AD89" s="91">
        <f t="shared" si="692"/>
        <v>0.25000000000000006</v>
      </c>
      <c r="AE89" s="91">
        <f t="shared" ref="AE89" si="693">AE88/AE87</f>
        <v>0.25000000000000022</v>
      </c>
      <c r="AI89" s="90">
        <f t="shared" ref="AI89" si="694">AI88/AI87</f>
        <v>0.35811690536558649</v>
      </c>
      <c r="AJ89" s="90">
        <f t="shared" ref="AJ89" si="695">AJ88/AJ87</f>
        <v>0.39484072964878841</v>
      </c>
      <c r="AK89" s="90">
        <f t="shared" ref="AK89:AM89" si="696">AK88/AK87</f>
        <v>5.9050405639047808E-2</v>
      </c>
      <c r="AL89" s="90">
        <f t="shared" si="696"/>
        <v>0.36946902654867286</v>
      </c>
      <c r="AM89" s="90">
        <f t="shared" si="696"/>
        <v>0.31315577078288936</v>
      </c>
      <c r="AN89" s="90">
        <f t="shared" ref="AN89:AO89" si="697">AN88/AN87</f>
        <v>0.33171981776765347</v>
      </c>
      <c r="AO89" s="90">
        <f t="shared" si="697"/>
        <v>0.3805309734513288</v>
      </c>
      <c r="AP89" s="90">
        <f t="shared" ref="AP89:CD89" si="698">AP88/AP87</f>
        <v>-1.7917133258678594E-2</v>
      </c>
      <c r="AQ89" s="90">
        <f t="shared" si="698"/>
        <v>0.25400641025641002</v>
      </c>
      <c r="AR89" s="90">
        <f t="shared" si="698"/>
        <v>0.39002617625343999</v>
      </c>
      <c r="AS89" s="90">
        <f t="shared" si="698"/>
        <v>0.34569466455361869</v>
      </c>
      <c r="AT89" s="90">
        <f t="shared" si="698"/>
        <v>0.37730158730158692</v>
      </c>
      <c r="AU89" s="90">
        <f t="shared" si="698"/>
        <v>0.34404749718497268</v>
      </c>
      <c r="AV89" s="90">
        <f t="shared" si="698"/>
        <v>0.38233910179327668</v>
      </c>
      <c r="AW89" s="90">
        <f t="shared" si="698"/>
        <v>0.38557443664573321</v>
      </c>
      <c r="AX89" s="90">
        <f t="shared" si="698"/>
        <v>0.28925166752961945</v>
      </c>
      <c r="AY89" s="90">
        <f t="shared" si="698"/>
        <v>0.24881458966565345</v>
      </c>
      <c r="AZ89" s="90">
        <f t="shared" si="698"/>
        <v>0.3458759783263094</v>
      </c>
      <c r="BA89" s="90">
        <f t="shared" si="698"/>
        <v>0.3531472030421296</v>
      </c>
      <c r="BB89" s="90">
        <f t="shared" si="698"/>
        <v>0.4606289308176103</v>
      </c>
      <c r="BC89" s="90">
        <f t="shared" si="698"/>
        <v>0.33855589791291218</v>
      </c>
      <c r="BD89" s="90">
        <f t="shared" si="698"/>
        <v>0.37239331138227105</v>
      </c>
      <c r="BE89" s="90">
        <f t="shared" si="698"/>
        <v>0.38901484840401901</v>
      </c>
      <c r="BF89" s="90">
        <f t="shared" si="698"/>
        <v>0.15758468335787948</v>
      </c>
      <c r="BG89" s="90">
        <f t="shared" si="698"/>
        <v>0.34616871568854851</v>
      </c>
      <c r="BH89" s="90">
        <f t="shared" si="698"/>
        <v>0.1926354467985302</v>
      </c>
      <c r="BI89" s="90">
        <f t="shared" si="698"/>
        <v>0.25998535293786279</v>
      </c>
      <c r="BJ89" s="90">
        <f t="shared" si="698"/>
        <v>0.3406429042234953</v>
      </c>
      <c r="BK89" s="90">
        <f t="shared" si="698"/>
        <v>0.3830412285094309</v>
      </c>
      <c r="BL89" s="90">
        <f t="shared" si="698"/>
        <v>7.9666986871597845E-2</v>
      </c>
      <c r="BM89" s="90">
        <f t="shared" si="698"/>
        <v>0.29023294109574943</v>
      </c>
      <c r="BN89" s="90">
        <f t="shared" si="698"/>
        <v>0.27498834899065472</v>
      </c>
      <c r="BO89" s="90">
        <f t="shared" si="698"/>
        <v>0.25259147062999948</v>
      </c>
      <c r="BP89" s="90">
        <f t="shared" si="698"/>
        <v>0.25974243464572205</v>
      </c>
      <c r="BQ89" s="90">
        <f t="shared" si="698"/>
        <v>0.24390314018225895</v>
      </c>
      <c r="BR89" s="90">
        <f t="shared" si="698"/>
        <v>0.2616070240787548</v>
      </c>
      <c r="BS89" s="90">
        <f t="shared" si="698"/>
        <v>0.25925024527885743</v>
      </c>
      <c r="BT89" s="90">
        <f t="shared" si="698"/>
        <v>0.26026258095406113</v>
      </c>
      <c r="BU89" s="90">
        <f t="shared" si="698"/>
        <v>0.29706203899752298</v>
      </c>
      <c r="BV89" s="90">
        <f t="shared" si="698"/>
        <v>0.28589438526021649</v>
      </c>
      <c r="BW89" s="90">
        <f t="shared" si="698"/>
        <v>0.27779864671704474</v>
      </c>
      <c r="BX89" s="90">
        <f t="shared" si="698"/>
        <v>0.26694101000364551</v>
      </c>
      <c r="BY89" s="90">
        <f t="shared" si="698"/>
        <v>0.27154096935448818</v>
      </c>
      <c r="BZ89" s="90">
        <f t="shared" si="698"/>
        <v>0.35016006779341852</v>
      </c>
      <c r="CA89" s="90">
        <f t="shared" si="698"/>
        <v>0.25111760279732653</v>
      </c>
      <c r="CB89" s="90">
        <f t="shared" si="698"/>
        <v>0.24250124979170129</v>
      </c>
      <c r="CC89" s="90">
        <f t="shared" si="698"/>
        <v>0.20628166448454474</v>
      </c>
      <c r="CD89" s="90">
        <f t="shared" si="698"/>
        <v>0.21982670469834772</v>
      </c>
      <c r="CE89" s="90">
        <f t="shared" ref="CE89:CF89" si="699">CE88/CE87</f>
        <v>0.26018966581143843</v>
      </c>
      <c r="CF89" s="90">
        <f t="shared" si="699"/>
        <v>0.27030452385143466</v>
      </c>
      <c r="CG89" s="90">
        <f t="shared" ref="CG89:CH89" si="700">CG88/CG87</f>
        <v>0.23853659729524818</v>
      </c>
      <c r="CH89" s="90">
        <f t="shared" si="700"/>
        <v>0.25020858440715665</v>
      </c>
      <c r="CI89" s="90">
        <f t="shared" ref="CI89:CJ89" si="701">CI88/CI87</f>
        <v>0.25474354266128046</v>
      </c>
      <c r="CJ89" s="90">
        <f t="shared" si="701"/>
        <v>0.28137287183559623</v>
      </c>
      <c r="CK89" s="90">
        <f t="shared" ref="CK89:CL89" si="702">CK88/CK87</f>
        <v>0.33118789275696353</v>
      </c>
      <c r="CL89" s="90">
        <f t="shared" si="702"/>
        <v>0.24563814670735395</v>
      </c>
      <c r="CM89" s="91">
        <v>0.25</v>
      </c>
      <c r="CN89" s="91">
        <v>0.25</v>
      </c>
      <c r="CO89" s="91">
        <v>0.25</v>
      </c>
      <c r="CP89" s="91">
        <v>0.25</v>
      </c>
      <c r="CQ89" s="91">
        <v>0.25</v>
      </c>
      <c r="CR89" s="91">
        <v>0.25</v>
      </c>
      <c r="CS89" s="91">
        <v>0.25</v>
      </c>
      <c r="CT89" s="91">
        <v>0.25</v>
      </c>
      <c r="CU89" s="91">
        <v>0.25</v>
      </c>
      <c r="CV89" s="91">
        <v>0.25</v>
      </c>
      <c r="CW89" s="91">
        <v>0.25</v>
      </c>
      <c r="CX89" s="91">
        <v>0.25</v>
      </c>
      <c r="CY89" s="91">
        <v>0.25</v>
      </c>
      <c r="CZ89" s="91">
        <v>0.25</v>
      </c>
      <c r="DA89" s="91">
        <v>0.25</v>
      </c>
      <c r="DB89" s="91">
        <v>0.25</v>
      </c>
      <c r="DE89" s="127"/>
      <c r="DF89" s="90">
        <v>0.27937822291524922</v>
      </c>
    </row>
    <row r="90" spans="1:110" s="26" customFormat="1" x14ac:dyDescent="0.2">
      <c r="A90" s="26" t="s">
        <v>22</v>
      </c>
      <c r="B90" s="26">
        <f t="shared" ref="B90:E90" si="703">B87-B88</f>
        <v>1.0885460999999976</v>
      </c>
      <c r="C90" s="26">
        <f t="shared" si="703"/>
        <v>3.7942286999999997</v>
      </c>
      <c r="D90" s="26">
        <f t="shared" si="703"/>
        <v>4.1168079000000057</v>
      </c>
      <c r="E90" s="26">
        <f t="shared" si="703"/>
        <v>7.1149209999999918</v>
      </c>
      <c r="F90" s="26">
        <f t="shared" ref="F90:T90" si="704">F87-F88</f>
        <v>4.5831009000000069</v>
      </c>
      <c r="G90" s="26">
        <f t="shared" si="704"/>
        <v>8.7849693999999872</v>
      </c>
      <c r="H90" s="26">
        <f t="shared" si="704"/>
        <v>10.036994099999998</v>
      </c>
      <c r="I90" s="26">
        <f t="shared" si="704"/>
        <v>12.990171700000015</v>
      </c>
      <c r="J90" s="26">
        <f t="shared" si="704"/>
        <v>15.062612500000009</v>
      </c>
      <c r="K90" s="26">
        <f t="shared" si="704"/>
        <v>20.41697900000004</v>
      </c>
      <c r="L90" s="26">
        <f t="shared" si="704"/>
        <v>26.589441200000017</v>
      </c>
      <c r="M90" s="26">
        <f t="shared" si="704"/>
        <v>34.849514900000081</v>
      </c>
      <c r="N90" s="26">
        <f t="shared" si="704"/>
        <v>31.050014599999962</v>
      </c>
      <c r="O90" s="26">
        <f t="shared" si="704"/>
        <v>33.507600000000025</v>
      </c>
      <c r="P90" s="26">
        <f t="shared" si="704"/>
        <v>33.197325599999985</v>
      </c>
      <c r="Q90" s="26">
        <f t="shared" si="704"/>
        <v>57.613420699999978</v>
      </c>
      <c r="R90" s="26">
        <f t="shared" si="704"/>
        <v>81.630968900000056</v>
      </c>
      <c r="S90" s="26">
        <f t="shared" si="704"/>
        <v>112.58186279999991</v>
      </c>
      <c r="T90" s="26">
        <f t="shared" si="704"/>
        <v>117.08852729999995</v>
      </c>
      <c r="U90" s="26">
        <f t="shared" ref="U90:Z90" si="705">U87-U88</f>
        <v>97.470270200000016</v>
      </c>
      <c r="V90" s="26">
        <f t="shared" si="705"/>
        <v>243.49559999999997</v>
      </c>
      <c r="W90" s="26">
        <f t="shared" si="705"/>
        <v>417.90069999999997</v>
      </c>
      <c r="X90" s="26">
        <f t="shared" si="705"/>
        <v>405.68300000000033</v>
      </c>
      <c r="Y90" s="26">
        <f t="shared" si="705"/>
        <v>232.30300000000011</v>
      </c>
      <c r="Z90" s="26">
        <f t="shared" si="705"/>
        <v>158.59139999999991</v>
      </c>
      <c r="AA90" s="26">
        <f t="shared" ref="AA90" si="706">AA87-AA88</f>
        <v>165.52830000000029</v>
      </c>
      <c r="AB90" s="27">
        <f t="shared" ref="AA90:AD90" si="707">AB87-AB88</f>
        <v>261.65089505283851</v>
      </c>
      <c r="AC90" s="27">
        <f t="shared" si="707"/>
        <v>366.83724369850319</v>
      </c>
      <c r="AD90" s="27">
        <f t="shared" si="707"/>
        <v>524.39794305438579</v>
      </c>
      <c r="AE90" s="27">
        <f t="shared" ref="AE90" si="708">AE87-AE88</f>
        <v>785.67251525002007</v>
      </c>
      <c r="AI90" s="26">
        <f>AI87-AI88</f>
        <v>9.3669999999999902</v>
      </c>
      <c r="AJ90" s="26">
        <f t="shared" ref="AJ90" si="709">AJ87-AJ88</f>
        <v>8.8910000000000018</v>
      </c>
      <c r="AK90" s="26">
        <f t="shared" ref="AK90:AM90" si="710">AK87-AK88</f>
        <v>7.0749999999999922</v>
      </c>
      <c r="AL90" s="26">
        <f t="shared" si="710"/>
        <v>5.6999999999999922</v>
      </c>
      <c r="AM90" s="26">
        <f t="shared" si="710"/>
        <v>8.5100000000000016</v>
      </c>
      <c r="AN90" s="26">
        <f t="shared" ref="AN90:AO90" si="711">AN87-AN88</f>
        <v>11.735000000000017</v>
      </c>
      <c r="AO90" s="26">
        <f t="shared" si="711"/>
        <v>4.1999999999999762</v>
      </c>
      <c r="AP90" s="26">
        <f t="shared" ref="AP90:CD90" si="712">AP87-AP88</f>
        <v>9.0900000000000087</v>
      </c>
      <c r="AQ90" s="26">
        <f t="shared" si="712"/>
        <v>9.3100000000000112</v>
      </c>
      <c r="AR90" s="26">
        <f t="shared" si="712"/>
        <v>9.0879999999999939</v>
      </c>
      <c r="AS90" s="26">
        <f t="shared" si="712"/>
        <v>6.1929999999999961</v>
      </c>
      <c r="AT90" s="26">
        <f t="shared" si="712"/>
        <v>11.76900000000002</v>
      </c>
      <c r="AU90" s="26">
        <f t="shared" si="712"/>
        <v>12.81600000000001</v>
      </c>
      <c r="AV90" s="26">
        <f t="shared" si="712"/>
        <v>11.813999999999993</v>
      </c>
      <c r="AW90" s="26">
        <f t="shared" si="712"/>
        <v>13.306000000000003</v>
      </c>
      <c r="AX90" s="26">
        <f t="shared" si="712"/>
        <v>23.336000000000013</v>
      </c>
      <c r="AY90" s="26">
        <f t="shared" si="712"/>
        <v>24.714000000000006</v>
      </c>
      <c r="AZ90" s="26">
        <f t="shared" si="712"/>
        <v>21.730000000000004</v>
      </c>
      <c r="BA90" s="26">
        <f t="shared" si="712"/>
        <v>19.391999999999992</v>
      </c>
      <c r="BB90" s="26">
        <f t="shared" si="712"/>
        <v>17.151999999999983</v>
      </c>
      <c r="BC90" s="26">
        <f t="shared" si="712"/>
        <v>22.754999999999988</v>
      </c>
      <c r="BD90" s="26">
        <f t="shared" si="712"/>
        <v>29.163000000000029</v>
      </c>
      <c r="BE90" s="26">
        <f t="shared" si="712"/>
        <v>27.486999999999984</v>
      </c>
      <c r="BF90" s="26">
        <f t="shared" si="712"/>
        <v>33.175999999999938</v>
      </c>
      <c r="BG90" s="26">
        <f t="shared" si="712"/>
        <v>33.824000000000026</v>
      </c>
      <c r="BH90" s="26">
        <f t="shared" si="712"/>
        <v>30.981000000000005</v>
      </c>
      <c r="BI90" s="26">
        <f t="shared" si="712"/>
        <v>26.271999999999981</v>
      </c>
      <c r="BJ90" s="26">
        <f t="shared" si="712"/>
        <v>26.009000000000015</v>
      </c>
      <c r="BK90" s="26">
        <f t="shared" si="712"/>
        <v>18.480999999999995</v>
      </c>
      <c r="BL90" s="26">
        <f t="shared" si="712"/>
        <v>28.741999999999994</v>
      </c>
      <c r="BM90" s="26">
        <f t="shared" si="712"/>
        <v>20.689000000000004</v>
      </c>
      <c r="BN90" s="26">
        <f t="shared" si="712"/>
        <v>29.557999999999993</v>
      </c>
      <c r="BO90" s="26">
        <f t="shared" si="712"/>
        <v>31.58100000000001</v>
      </c>
      <c r="BP90" s="26">
        <f t="shared" si="712"/>
        <v>44.203000000000003</v>
      </c>
      <c r="BQ90" s="26">
        <f t="shared" si="712"/>
        <v>78.904000000000011</v>
      </c>
      <c r="BR90" s="26">
        <f t="shared" si="712"/>
        <v>88.808000000000007</v>
      </c>
      <c r="BS90" s="26">
        <f t="shared" si="712"/>
        <v>97.395999999999972</v>
      </c>
      <c r="BT90" s="26">
        <f t="shared" si="712"/>
        <v>88.064999999999912</v>
      </c>
      <c r="BU90" s="26">
        <f t="shared" si="712"/>
        <v>101.58999999999996</v>
      </c>
      <c r="BV90" s="26">
        <f t="shared" si="712"/>
        <v>130.84700000000004</v>
      </c>
      <c r="BW90" s="26">
        <f t="shared" si="712"/>
        <v>148.03900000000004</v>
      </c>
      <c r="BX90" s="26">
        <f t="shared" si="712"/>
        <v>118.63900000000001</v>
      </c>
      <c r="BY90" s="26">
        <f t="shared" si="712"/>
        <v>83.790999999999997</v>
      </c>
      <c r="BZ90" s="26">
        <f t="shared" si="712"/>
        <v>55.212999999999965</v>
      </c>
      <c r="CA90" s="26">
        <f t="shared" si="712"/>
        <v>67.678000000000011</v>
      </c>
      <c r="CB90" s="26">
        <f t="shared" si="712"/>
        <v>36.366000000000014</v>
      </c>
      <c r="CC90" s="26">
        <f t="shared" si="712"/>
        <v>55.773000000000046</v>
      </c>
      <c r="CD90" s="26">
        <f t="shared" si="712"/>
        <v>72.482000000000014</v>
      </c>
      <c r="CE90" s="26">
        <f t="shared" ref="CE90:CF90" si="713">CE87-CE88</f>
        <v>45.558999999999997</v>
      </c>
      <c r="CF90" s="26">
        <f t="shared" si="713"/>
        <v>41.453999999999986</v>
      </c>
      <c r="CG90" s="26">
        <f t="shared" ref="CG90:CH90" si="714">CG87-CG88</f>
        <v>31.137000000000029</v>
      </c>
      <c r="CH90" s="26">
        <f t="shared" si="714"/>
        <v>40.440000000000019</v>
      </c>
      <c r="CI90" s="26">
        <f t="shared" ref="CI90:CJ90" si="715">CI87-CI88</f>
        <v>36.527999999999992</v>
      </c>
      <c r="CJ90" s="26">
        <f t="shared" si="715"/>
        <v>37.102000000000004</v>
      </c>
      <c r="CK90" s="26">
        <f t="shared" ref="CK90:CL90" si="716">CK87-CK88</f>
        <v>30.75800000000001</v>
      </c>
      <c r="CL90" s="26">
        <f t="shared" si="716"/>
        <v>64.768000000000015</v>
      </c>
      <c r="CM90" s="27">
        <f t="shared" ref="CM90:DB90" si="717">CM87-CM88</f>
        <v>63.436958629082717</v>
      </c>
      <c r="CN90" s="27">
        <f t="shared" si="717"/>
        <v>67.853011135433221</v>
      </c>
      <c r="CO90" s="27">
        <f t="shared" si="717"/>
        <v>60.578965479230988</v>
      </c>
      <c r="CP90" s="27">
        <f t="shared" si="717"/>
        <v>69.78195980909156</v>
      </c>
      <c r="CQ90" s="27">
        <f t="shared" si="717"/>
        <v>91.748634732429764</v>
      </c>
      <c r="CR90" s="27">
        <f t="shared" si="717"/>
        <v>86.960917499311009</v>
      </c>
      <c r="CS90" s="27">
        <f t="shared" si="717"/>
        <v>82.319254340675414</v>
      </c>
      <c r="CT90" s="27">
        <f t="shared" si="717"/>
        <v>105.80843712608726</v>
      </c>
      <c r="CU90" s="27">
        <f t="shared" si="717"/>
        <v>122.06781065689046</v>
      </c>
      <c r="CV90" s="27">
        <f t="shared" si="717"/>
        <v>124.98567542752875</v>
      </c>
      <c r="CW90" s="27">
        <f t="shared" si="717"/>
        <v>121.08244967156926</v>
      </c>
      <c r="CX90" s="27">
        <f t="shared" si="717"/>
        <v>156.26200729839738</v>
      </c>
      <c r="CY90" s="27">
        <f t="shared" si="717"/>
        <v>183.21272337070573</v>
      </c>
      <c r="CZ90" s="27">
        <f t="shared" si="717"/>
        <v>188.2841713239294</v>
      </c>
      <c r="DA90" s="27">
        <f t="shared" si="717"/>
        <v>182.27107260197789</v>
      </c>
      <c r="DB90" s="27">
        <f t="shared" si="717"/>
        <v>231.90454795340787</v>
      </c>
      <c r="DE90" s="121"/>
      <c r="DF90" s="26">
        <v>49.704630503937921</v>
      </c>
    </row>
    <row r="91" spans="1:110" s="45" customFormat="1" x14ac:dyDescent="0.2">
      <c r="A91" s="45" t="s">
        <v>107</v>
      </c>
      <c r="B91" s="45">
        <f t="shared" ref="B91:E91" si="718">+B90/B59</f>
        <v>4.1658761181531036E-2</v>
      </c>
      <c r="C91" s="45">
        <f t="shared" si="718"/>
        <v>0.10374016417146419</v>
      </c>
      <c r="D91" s="45">
        <f t="shared" si="718"/>
        <v>9.1267980439913646E-2</v>
      </c>
      <c r="E91" s="45">
        <f t="shared" si="718"/>
        <v>0.10034301190390184</v>
      </c>
      <c r="F91" s="45">
        <f t="shared" ref="F91:AE91" si="719">+F90/F59</f>
        <v>5.2242839154575345E-2</v>
      </c>
      <c r="G91" s="45">
        <f t="shared" si="719"/>
        <v>6.8304934411522925E-2</v>
      </c>
      <c r="H91" s="45">
        <f t="shared" si="719"/>
        <v>5.7189183461104728E-2</v>
      </c>
      <c r="I91" s="45">
        <f t="shared" si="719"/>
        <v>5.9637317258226671E-2</v>
      </c>
      <c r="J91" s="45">
        <f t="shared" si="719"/>
        <v>5.9846651143331479E-2</v>
      </c>
      <c r="K91" s="45">
        <f t="shared" si="719"/>
        <v>7.795839693271403E-2</v>
      </c>
      <c r="L91" s="45">
        <f t="shared" si="719"/>
        <v>7.6677528365349162E-2</v>
      </c>
      <c r="M91" s="45">
        <f t="shared" si="719"/>
        <v>7.7525446148769217E-2</v>
      </c>
      <c r="N91" s="45">
        <f t="shared" si="719"/>
        <v>6.0668735083468824E-2</v>
      </c>
      <c r="O91" s="45">
        <f t="shared" si="719"/>
        <v>5.4919120844323585E-2</v>
      </c>
      <c r="P91" s="45">
        <f t="shared" si="719"/>
        <v>5.3650081271819638E-2</v>
      </c>
      <c r="Q91" s="45">
        <f t="shared" si="719"/>
        <v>8.9580744841022714E-2</v>
      </c>
      <c r="R91" s="45">
        <f t="shared" si="719"/>
        <v>0.12174921140714409</v>
      </c>
      <c r="S91" s="45">
        <f t="shared" si="719"/>
        <v>0.13072162975690038</v>
      </c>
      <c r="T91" s="45">
        <f t="shared" si="719"/>
        <v>0.12415923801144899</v>
      </c>
      <c r="U91" s="45">
        <f t="shared" si="719"/>
        <v>0.10416029436681525</v>
      </c>
      <c r="V91" s="45">
        <f t="shared" si="719"/>
        <v>0.18566827030525102</v>
      </c>
      <c r="W91" s="45">
        <f t="shared" si="719"/>
        <v>0.17990600131663934</v>
      </c>
      <c r="X91" s="45">
        <f t="shared" si="719"/>
        <v>0.17223561086723618</v>
      </c>
      <c r="Y91" s="45">
        <f t="shared" si="719"/>
        <v>0.14151761210541744</v>
      </c>
      <c r="Z91" s="45">
        <f t="shared" ref="Z91:AA91" si="720">+Z90/Z59</f>
        <v>0.11351597655803752</v>
      </c>
      <c r="AA91" s="45">
        <f t="shared" si="720"/>
        <v>0.12816304383425542</v>
      </c>
      <c r="AB91" s="48">
        <f t="shared" si="719"/>
        <v>0.1349482078046626</v>
      </c>
      <c r="AC91" s="48">
        <f t="shared" si="719"/>
        <v>0.12510879888723811</v>
      </c>
      <c r="AD91" s="48">
        <f t="shared" si="719"/>
        <v>0.12936472376821581</v>
      </c>
      <c r="AE91" s="48">
        <f t="shared" si="719"/>
        <v>0.1390972745906974</v>
      </c>
      <c r="AI91" s="45">
        <f t="shared" ref="AI91:BN91" si="721">+AI90/AI59</f>
        <v>6.8593062339355082E-2</v>
      </c>
      <c r="AJ91" s="45">
        <f t="shared" si="721"/>
        <v>7.0557332296386846E-2</v>
      </c>
      <c r="AK91" s="45">
        <f t="shared" si="721"/>
        <v>6.5663690531434976E-2</v>
      </c>
      <c r="AL91" s="45">
        <f t="shared" si="721"/>
        <v>4.0288379983036422E-2</v>
      </c>
      <c r="AM91" s="45">
        <f t="shared" si="721"/>
        <v>6.0742326909350476E-2</v>
      </c>
      <c r="AN91" s="45">
        <f t="shared" si="721"/>
        <v>7.2881861204615844E-2</v>
      </c>
      <c r="AO91" s="45">
        <f t="shared" si="721"/>
        <v>3.0543233219402055E-2</v>
      </c>
      <c r="AP91" s="45">
        <f t="shared" si="721"/>
        <v>5.3002915451895095E-2</v>
      </c>
      <c r="AQ91" s="45">
        <f t="shared" si="721"/>
        <v>5.6606067975922728E-2</v>
      </c>
      <c r="AR91" s="45">
        <f t="shared" si="721"/>
        <v>6.0405450315719471E-2</v>
      </c>
      <c r="AS91" s="45">
        <f t="shared" si="721"/>
        <v>4.3712414240944103E-2</v>
      </c>
      <c r="AT91" s="45">
        <f t="shared" si="721"/>
        <v>7.9375463681122402E-2</v>
      </c>
      <c r="AU91" s="45">
        <f t="shared" si="721"/>
        <v>8.0282643012854302E-2</v>
      </c>
      <c r="AV91" s="45">
        <f t="shared" si="721"/>
        <v>6.8217251215484248E-2</v>
      </c>
      <c r="AW91" s="45">
        <f t="shared" si="721"/>
        <v>8.1985495726969712E-2</v>
      </c>
      <c r="AX91" s="45">
        <f t="shared" si="721"/>
        <v>0.12969127740572992</v>
      </c>
      <c r="AY91" s="45">
        <f t="shared" si="721"/>
        <v>0.13594657630698823</v>
      </c>
      <c r="AZ91" s="45">
        <f t="shared" si="721"/>
        <v>0.12622639427014656</v>
      </c>
      <c r="BA91" s="45">
        <f t="shared" si="721"/>
        <v>0.10760181999778044</v>
      </c>
      <c r="BB91" s="45">
        <f t="shared" si="721"/>
        <v>8.8805587627691598E-2</v>
      </c>
      <c r="BC91" s="45">
        <f t="shared" si="721"/>
        <v>0.11373462420840597</v>
      </c>
      <c r="BD91" s="45">
        <f t="shared" si="721"/>
        <v>0.14495109149469176</v>
      </c>
      <c r="BE91" s="45">
        <f t="shared" si="721"/>
        <v>0.12560490227886503</v>
      </c>
      <c r="BF91" s="45">
        <f t="shared" si="721"/>
        <v>0.12993024904342082</v>
      </c>
      <c r="BG91" s="45">
        <f t="shared" si="721"/>
        <v>0.13014887239454082</v>
      </c>
      <c r="BH91" s="45">
        <f t="shared" si="721"/>
        <v>0.14320447811556758</v>
      </c>
      <c r="BI91" s="45">
        <f t="shared" si="721"/>
        <v>0.11001030090363204</v>
      </c>
      <c r="BJ91" s="45">
        <f t="shared" si="721"/>
        <v>0.11476871075496098</v>
      </c>
      <c r="BK91" s="45">
        <f t="shared" si="721"/>
        <v>8.2882987931490668E-2</v>
      </c>
      <c r="BL91" s="45">
        <f t="shared" si="721"/>
        <v>0.12647577809753885</v>
      </c>
      <c r="BM91" s="45">
        <f t="shared" si="721"/>
        <v>9.093466364855067E-2</v>
      </c>
      <c r="BN91" s="45">
        <f t="shared" si="721"/>
        <v>0.11455390327368839</v>
      </c>
      <c r="BO91" s="45">
        <f t="shared" ref="BO91:CT91" si="722">+BO90/BO59</f>
        <v>0.14167601274056799</v>
      </c>
      <c r="BP91" s="45">
        <f t="shared" si="722"/>
        <v>0.15653451847654798</v>
      </c>
      <c r="BQ91" s="45">
        <f t="shared" si="722"/>
        <v>0.20122052294282211</v>
      </c>
      <c r="BR91" s="45">
        <f t="shared" si="722"/>
        <v>0.21449446180748444</v>
      </c>
      <c r="BS91" s="45">
        <f t="shared" si="722"/>
        <v>0.21610851134172501</v>
      </c>
      <c r="BT91" s="45">
        <f t="shared" si="722"/>
        <v>0.16750898269653972</v>
      </c>
      <c r="BU91" s="45">
        <f t="shared" si="722"/>
        <v>0.17983873109161874</v>
      </c>
      <c r="BV91" s="45">
        <f t="shared" si="722"/>
        <v>0.16767388635588948</v>
      </c>
      <c r="BW91" s="45">
        <f t="shared" si="722"/>
        <v>0.22089702345069628</v>
      </c>
      <c r="BX91" s="45">
        <f t="shared" si="722"/>
        <v>0.18904866163764944</v>
      </c>
      <c r="BY91" s="45">
        <f t="shared" si="722"/>
        <v>0.14300074409333252</v>
      </c>
      <c r="BZ91" s="45">
        <f t="shared" si="722"/>
        <v>0.11712682569819359</v>
      </c>
      <c r="CA91" s="45">
        <f t="shared" si="722"/>
        <v>0.14596062311154631</v>
      </c>
      <c r="CB91" s="45">
        <f t="shared" si="722"/>
        <v>9.5563193743693278E-2</v>
      </c>
      <c r="CC91" s="45">
        <f t="shared" si="722"/>
        <v>0.14548542093813105</v>
      </c>
      <c r="CD91" s="45">
        <f t="shared" si="722"/>
        <v>0.17510394093787221</v>
      </c>
      <c r="CE91" s="45">
        <f t="shared" si="722"/>
        <v>0.11841318688173497</v>
      </c>
      <c r="CF91" s="45">
        <f t="shared" si="722"/>
        <v>0.11950427089249109</v>
      </c>
      <c r="CG91" s="45">
        <f t="shared" si="722"/>
        <v>9.9565756823821433E-2</v>
      </c>
      <c r="CH91" s="45">
        <f t="shared" si="722"/>
        <v>0.11464924814588016</v>
      </c>
      <c r="CI91" s="45">
        <f t="shared" ref="CI91:CJ91" si="723">+CI90/CI59</f>
        <v>0.10193642368581879</v>
      </c>
      <c r="CJ91" s="45">
        <f t="shared" si="723"/>
        <v>0.10894665131903498</v>
      </c>
      <c r="CK91" s="45">
        <f t="shared" ref="CK91:CL91" si="724">+CK90/CK59</f>
        <v>9.2840045758992615E-2</v>
      </c>
      <c r="CL91" s="45">
        <f t="shared" si="724"/>
        <v>0.16405850258114527</v>
      </c>
      <c r="CM91" s="48">
        <f t="shared" si="722"/>
        <v>0.13826988773511101</v>
      </c>
      <c r="CN91" s="48">
        <f t="shared" si="722"/>
        <v>0.14353439835833007</v>
      </c>
      <c r="CO91" s="48">
        <f t="shared" si="722"/>
        <v>0.1320583743585157</v>
      </c>
      <c r="CP91" s="48">
        <f t="shared" si="722"/>
        <v>0.12718868320881216</v>
      </c>
      <c r="CQ91" s="48">
        <f t="shared" si="722"/>
        <v>0.13225978719014087</v>
      </c>
      <c r="CR91" s="48">
        <f t="shared" si="722"/>
        <v>0.12153299417953461</v>
      </c>
      <c r="CS91" s="48">
        <f t="shared" si="722"/>
        <v>0.11910911304201395</v>
      </c>
      <c r="CT91" s="48">
        <f t="shared" si="722"/>
        <v>0.12720608606736133</v>
      </c>
      <c r="CU91" s="48">
        <f t="shared" ref="CU91:DB91" si="725">+CU90/CU59</f>
        <v>0.12730314307201837</v>
      </c>
      <c r="CV91" s="48">
        <f t="shared" si="725"/>
        <v>0.12630529499014889</v>
      </c>
      <c r="CW91" s="48">
        <f t="shared" si="725"/>
        <v>0.12692511988302568</v>
      </c>
      <c r="CX91" s="48">
        <f t="shared" si="725"/>
        <v>0.13573310592560525</v>
      </c>
      <c r="CY91" s="48">
        <f t="shared" si="725"/>
        <v>0.13714073257478004</v>
      </c>
      <c r="CZ91" s="48">
        <f t="shared" si="725"/>
        <v>0.13650239744299725</v>
      </c>
      <c r="DA91" s="48">
        <f t="shared" si="725"/>
        <v>0.13734033142710633</v>
      </c>
      <c r="DB91" s="48">
        <f t="shared" si="725"/>
        <v>0.14440561638202662</v>
      </c>
      <c r="DE91" s="129"/>
      <c r="DF91" s="45">
        <v>0.1127667883582527</v>
      </c>
    </row>
    <row r="92" spans="1:110" s="39" customFormat="1" x14ac:dyDescent="0.2">
      <c r="A92" s="39" t="s">
        <v>451</v>
      </c>
      <c r="C92" s="39">
        <f t="shared" ref="C92:E92" si="726">+IF(B90&lt;0,1-C90/B90,C90/B90-1)</f>
        <v>2.4855930309244672</v>
      </c>
      <c r="D92" s="39">
        <f t="shared" si="726"/>
        <v>8.5018385950221154E-2</v>
      </c>
      <c r="E92" s="39">
        <f t="shared" si="726"/>
        <v>0.72826159802112267</v>
      </c>
      <c r="F92" s="39">
        <f t="shared" ref="F92:AE92" si="727">+IF(E90&lt;0,1-F90/E90,F90/E90-1)</f>
        <v>-0.35584655121258379</v>
      </c>
      <c r="G92" s="39">
        <f t="shared" si="727"/>
        <v>0.91681780342212704</v>
      </c>
      <c r="H92" s="39">
        <f t="shared" si="727"/>
        <v>0.14251895971316775</v>
      </c>
      <c r="I92" s="39">
        <f t="shared" si="727"/>
        <v>0.29422928523989245</v>
      </c>
      <c r="J92" s="39">
        <f t="shared" si="727"/>
        <v>0.15953913834718536</v>
      </c>
      <c r="K92" s="39">
        <f t="shared" si="727"/>
        <v>0.35547395911565993</v>
      </c>
      <c r="L92" s="39">
        <f t="shared" si="727"/>
        <v>0.3023200543038207</v>
      </c>
      <c r="M92" s="39">
        <f t="shared" si="727"/>
        <v>0.3106523991184913</v>
      </c>
      <c r="N92" s="39">
        <f t="shared" si="727"/>
        <v>-0.1090259164554428</v>
      </c>
      <c r="O92" s="39">
        <f t="shared" si="727"/>
        <v>7.9149251028051593E-2</v>
      </c>
      <c r="P92" s="39">
        <f t="shared" si="727"/>
        <v>-9.2598216524024668E-3</v>
      </c>
      <c r="Q92" s="39">
        <f t="shared" si="727"/>
        <v>0.7354837975261479</v>
      </c>
      <c r="R92" s="39">
        <f t="shared" si="727"/>
        <v>0.41687419195368292</v>
      </c>
      <c r="S92" s="39">
        <f t="shared" si="727"/>
        <v>0.37915627263857976</v>
      </c>
      <c r="T92" s="39">
        <f t="shared" si="727"/>
        <v>4.0030111315586092E-2</v>
      </c>
      <c r="U92" s="39">
        <f t="shared" si="727"/>
        <v>-0.16755063499718259</v>
      </c>
      <c r="V92" s="39">
        <f t="shared" si="727"/>
        <v>1.4981525084558545</v>
      </c>
      <c r="W92" s="39">
        <f t="shared" si="727"/>
        <v>0.71625565307956296</v>
      </c>
      <c r="X92" s="39">
        <f t="shared" si="727"/>
        <v>-2.9235892641480743E-2</v>
      </c>
      <c r="Y92" s="39">
        <f t="shared" si="727"/>
        <v>-0.42737802668586078</v>
      </c>
      <c r="Z92" s="39">
        <f t="shared" ref="Z92:AA92" si="728">+IF(Y90&lt;0,1-Z90/Y90,Z90/Y90-1)</f>
        <v>-0.31730799860527059</v>
      </c>
      <c r="AA92" s="39">
        <f t="shared" si="728"/>
        <v>4.3740707251467503E-2</v>
      </c>
      <c r="AB92" s="40">
        <f t="shared" si="727"/>
        <v>0.58070188029985248</v>
      </c>
      <c r="AC92" s="40">
        <f t="shared" si="727"/>
        <v>0.40201027641974263</v>
      </c>
      <c r="AD92" s="40">
        <f t="shared" si="727"/>
        <v>0.4295111853075062</v>
      </c>
      <c r="AE92" s="40">
        <f t="shared" si="727"/>
        <v>0.49823721785372688</v>
      </c>
      <c r="AM92" s="39">
        <f>+IF(AI90&lt;0,1-AM90/AI90,AM90/AI90-1)</f>
        <v>-9.1491405999785336E-2</v>
      </c>
      <c r="AN92" s="39">
        <f t="shared" ref="AN92" si="729">+IF(AJ90&lt;0,1-AN90/AJ90,AN90/AJ90-1)</f>
        <v>0.31987402991789615</v>
      </c>
      <c r="AO92" s="39">
        <f t="shared" ref="AO92" si="730">+IF(AK90&lt;0,1-AO90/AK90,AO90/AK90-1)</f>
        <v>-0.40636042402827122</v>
      </c>
      <c r="AP92" s="39">
        <f t="shared" ref="AP92" si="731">+IF(AL90&lt;0,1-AP90/AL90,AP90/AL90-1)</f>
        <v>0.59473684210526678</v>
      </c>
      <c r="AQ92" s="39">
        <f t="shared" ref="AQ92" si="732">+IF(AM90&lt;0,1-AQ90/AM90,AQ90/AM90-1)</f>
        <v>9.4007050528790659E-2</v>
      </c>
      <c r="AR92" s="39">
        <f t="shared" ref="AR92" si="733">+IF(AN90&lt;0,1-AR90/AN90,AR90/AN90-1)</f>
        <v>-0.22556455048998891</v>
      </c>
      <c r="AS92" s="39">
        <f t="shared" ref="AS92" si="734">+IF(AO90&lt;0,1-AS90/AO90,AS90/AO90-1)</f>
        <v>0.4745238095238169</v>
      </c>
      <c r="AT92" s="39">
        <f t="shared" ref="AT92" si="735">+IF(AP90&lt;0,1-AT90/AP90,AT90/AP90-1)</f>
        <v>0.29471947194719572</v>
      </c>
      <c r="AU92" s="39">
        <f t="shared" ref="AU92" si="736">+IF(AQ90&lt;0,1-AU90/AQ90,AU90/AQ90-1)</f>
        <v>0.37658431793770086</v>
      </c>
      <c r="AV92" s="39">
        <f t="shared" ref="AV92" si="737">+IF(AR90&lt;0,1-AV90/AR90,AV90/AR90-1)</f>
        <v>0.299955985915493</v>
      </c>
      <c r="AW92" s="39">
        <f t="shared" ref="AW92" si="738">+IF(AS90&lt;0,1-AW90/AS90,AW90/AS90-1)</f>
        <v>1.1485548199580191</v>
      </c>
      <c r="AX92" s="39">
        <f t="shared" ref="AX92" si="739">+IF(AT90&lt;0,1-AX90/AT90,AX90/AT90-1)</f>
        <v>0.98283626476335906</v>
      </c>
      <c r="AY92" s="39">
        <f t="shared" ref="AY92" si="740">+IF(AU90&lt;0,1-AY90/AU90,AY90/AU90-1)</f>
        <v>0.9283707865168529</v>
      </c>
      <c r="AZ92" s="39">
        <f t="shared" ref="AZ92" si="741">+IF(AV90&lt;0,1-AZ90/AV90,AZ90/AV90-1)</f>
        <v>0.83934315219231559</v>
      </c>
      <c r="BA92" s="39">
        <f t="shared" ref="BA92" si="742">+IF(AW90&lt;0,1-BA90/AW90,BA90/AW90-1)</f>
        <v>0.45738764467157589</v>
      </c>
      <c r="BB92" s="39">
        <f t="shared" ref="BB92" si="743">+IF(AX90&lt;0,1-BB90/AX90,BB90/AX90-1)</f>
        <v>-0.26499828591018282</v>
      </c>
      <c r="BC92" s="39">
        <f t="shared" ref="BC92" si="744">+IF(AY90&lt;0,1-BC90/AY90,BC90/AY90-1)</f>
        <v>-7.9266812333091297E-2</v>
      </c>
      <c r="BD92" s="39">
        <f t="shared" ref="BD92" si="745">+IF(AZ90&lt;0,1-BD90/AZ90,BD90/AZ90-1)</f>
        <v>0.3420616658996789</v>
      </c>
      <c r="BE92" s="39">
        <f t="shared" ref="BE92" si="746">+IF(BA90&lt;0,1-BE90/BA90,BE90/BA90-1)</f>
        <v>0.41744018151815165</v>
      </c>
      <c r="BF92" s="39">
        <f t="shared" ref="BF92" si="747">+IF(BB90&lt;0,1-BF90/BB90,BF90/BB90-1)</f>
        <v>0.93423507462686395</v>
      </c>
      <c r="BG92" s="39">
        <f t="shared" ref="BG92" si="748">+IF(BC90&lt;0,1-BG90/BC90,BG90/BC90-1)</f>
        <v>0.48644254010107857</v>
      </c>
      <c r="BH92" s="39">
        <f t="shared" ref="BH92" si="749">+IF(BD90&lt;0,1-BH90/BD90,BH90/BD90-1)</f>
        <v>6.2339265507662889E-2</v>
      </c>
      <c r="BI92" s="39">
        <f t="shared" ref="BI92" si="750">+IF(BE90&lt;0,1-BI90/BE90,BI90/BE90-1)</f>
        <v>-4.4202714010259547E-2</v>
      </c>
      <c r="BJ92" s="39">
        <f t="shared" ref="BJ92" si="751">+IF(BF90&lt;0,1-BJ90/BF90,BJ90/BF90-1)</f>
        <v>-0.21602965999517532</v>
      </c>
      <c r="BK92" s="39">
        <f t="shared" ref="BK92" si="752">+IF(BG90&lt;0,1-BK90/BG90,BK90/BG90-1)</f>
        <v>-0.45361281929990593</v>
      </c>
      <c r="BL92" s="39">
        <f t="shared" ref="BL92" si="753">+IF(BH90&lt;0,1-BL90/BH90,BL90/BH90-1)</f>
        <v>-7.2270101029663691E-2</v>
      </c>
      <c r="BM92" s="39">
        <f t="shared" ref="BM92" si="754">+IF(BI90&lt;0,1-BM90/BI90,BM90/BI90-1)</f>
        <v>-0.21250761266747797</v>
      </c>
      <c r="BN92" s="39">
        <f t="shared" ref="BN92" si="755">+IF(BJ90&lt;0,1-BN90/BJ90,BN90/BJ90-1)</f>
        <v>0.13645276635010872</v>
      </c>
      <c r="BO92" s="39">
        <f t="shared" ref="BO92" si="756">+IF(BK90&lt;0,1-BO90/BK90,BO90/BK90-1)</f>
        <v>0.70883610194253666</v>
      </c>
      <c r="BP92" s="39">
        <f t="shared" ref="BP92" si="757">+IF(BL90&lt;0,1-BP90/BL90,BP90/BL90-1)</f>
        <v>0.53792359613109775</v>
      </c>
      <c r="BQ92" s="39">
        <f t="shared" ref="BQ92" si="758">+IF(BM90&lt;0,1-BQ90/BM90,BQ90/BM90-1)</f>
        <v>2.8138141041132969</v>
      </c>
      <c r="BR92" s="39">
        <f t="shared" ref="BR92" si="759">+IF(BN90&lt;0,1-BR90/BN90,BR90/BN90-1)</f>
        <v>2.0045334596386777</v>
      </c>
      <c r="BS92" s="39">
        <f t="shared" ref="BS92" si="760">+IF(BO90&lt;0,1-BS90/BO90,BS90/BO90-1)</f>
        <v>2.0840062062632576</v>
      </c>
      <c r="BT92" s="39">
        <f t="shared" ref="BT92" si="761">+IF(BP90&lt;0,1-BT90/BP90,BT90/BP90-1)</f>
        <v>0.99228559147568962</v>
      </c>
      <c r="BU92" s="39">
        <f t="shared" ref="BU92" si="762">+IF(BQ90&lt;0,1-BU90/BQ90,BU90/BQ90-1)</f>
        <v>0.28751394099158412</v>
      </c>
      <c r="BV92" s="39">
        <f t="shared" ref="BV92" si="763">+IF(BR90&lt;0,1-BV90/BR90,BV90/BR90-1)</f>
        <v>0.47336951625979662</v>
      </c>
      <c r="BW92" s="39">
        <f t="shared" ref="BW92" si="764">+IF(BS90&lt;0,1-BW90/BS90,BW90/BS90-1)</f>
        <v>0.51997001930264175</v>
      </c>
      <c r="BX92" s="39">
        <f t="shared" ref="BX92" si="765">+IF(BT90&lt;0,1-BX90/BT90,BX90/BT90-1)</f>
        <v>0.34717538182024787</v>
      </c>
      <c r="BY92" s="39">
        <f t="shared" ref="BY92" si="766">+IF(BU90&lt;0,1-BY90/BU90,BY90/BU90-1)</f>
        <v>-0.17520425238704573</v>
      </c>
      <c r="BZ92" s="39">
        <f t="shared" ref="BZ92" si="767">+IF(BV90&lt;0,1-BZ90/BV90,BZ90/BV90-1)</f>
        <v>-0.57803388690608148</v>
      </c>
      <c r="CA92" s="39">
        <f t="shared" ref="CA92" si="768">+IF(BW90&lt;0,1-CA90/BW90,CA90/BW90-1)</f>
        <v>-0.54283668492762049</v>
      </c>
      <c r="CB92" s="39">
        <f t="shared" ref="CB92" si="769">+IF(BX90&lt;0,1-CB90/BX90,CB90/BX90-1)</f>
        <v>-0.69347347836714723</v>
      </c>
      <c r="CC92" s="39">
        <f t="shared" ref="CC92" si="770">+IF(BY90&lt;0,1-CC90/BY90,CC90/BY90-1)</f>
        <v>-0.33437958730651207</v>
      </c>
      <c r="CD92" s="39">
        <f t="shared" ref="CD92" si="771">+IF(BZ90&lt;0,1-CD90/BZ90,CD90/BZ90-1)</f>
        <v>0.31277054316918229</v>
      </c>
      <c r="CE92" s="39">
        <f t="shared" ref="CE92" si="772">+IF(CA90&lt;0,1-CE90/CA90,CE90/CA90-1)</f>
        <v>-0.32682703389580081</v>
      </c>
      <c r="CF92" s="39">
        <f t="shared" ref="CF92" si="773">+IF(CB90&lt;0,1-CF90/CB90,CF90/CB90-1)</f>
        <v>0.13991090579112275</v>
      </c>
      <c r="CG92" s="39">
        <f t="shared" ref="CG92" si="774">+IF(CC90&lt;0,1-CG90/CC90,CG90/CC90-1)</f>
        <v>-0.44171911139798825</v>
      </c>
      <c r="CH92" s="39">
        <f t="shared" ref="CH92:CL92" si="775">+IF(CD90&lt;0,1-CH90/CD90,CH90/CD90-1)</f>
        <v>-0.44206837559669976</v>
      </c>
      <c r="CI92" s="39">
        <f t="shared" si="775"/>
        <v>-0.19822647555916517</v>
      </c>
      <c r="CJ92" s="39">
        <f t="shared" si="775"/>
        <v>-0.10498383750663343</v>
      </c>
      <c r="CK92" s="39">
        <f t="shared" si="775"/>
        <v>-1.2172014002634124E-2</v>
      </c>
      <c r="CL92" s="39">
        <f t="shared" si="775"/>
        <v>0.60158259149357041</v>
      </c>
      <c r="CM92" s="40">
        <f t="shared" ref="CM92" si="776">+CM90/CI90-1</f>
        <v>0.73666662913607994</v>
      </c>
      <c r="CN92" s="40">
        <f t="shared" ref="CN92" si="777">+CN90/CJ90-1</f>
        <v>0.82882354416023962</v>
      </c>
      <c r="CO92" s="40">
        <f t="shared" ref="CO92" si="778">+CO90/CK90-1</f>
        <v>0.96953525844433863</v>
      </c>
      <c r="CP92" s="40">
        <f t="shared" ref="CP92" si="779">+CP90/CL90-1</f>
        <v>7.7414152190766083E-2</v>
      </c>
      <c r="CQ92" s="40">
        <f t="shared" ref="CQ92" si="780">+CQ90/CM90-1</f>
        <v>0.44629623984475719</v>
      </c>
      <c r="CR92" s="40">
        <f t="shared" ref="CR92" si="781">+CR90/CN90-1</f>
        <v>0.28160734570406598</v>
      </c>
      <c r="CS92" s="40">
        <f t="shared" ref="CS92" si="782">+CS90/CO90-1</f>
        <v>0.35887520840708165</v>
      </c>
      <c r="CT92" s="40">
        <f t="shared" ref="CT92" si="783">+CT90/CP90-1</f>
        <v>0.51627207684559728</v>
      </c>
      <c r="CU92" s="40">
        <f t="shared" ref="CU92" si="784">+CU90/CQ90-1</f>
        <v>0.33045915084057365</v>
      </c>
      <c r="CV92" s="40">
        <f t="shared" ref="CV92" si="785">+CV90/CR90-1</f>
        <v>0.43726261200635341</v>
      </c>
      <c r="CW92" s="40">
        <f t="shared" ref="CW92" si="786">+CW90/CS90-1</f>
        <v>0.47088856235837229</v>
      </c>
      <c r="CX92" s="40">
        <f t="shared" ref="CX92" si="787">+CX90/CT90-1</f>
        <v>0.4768388187436019</v>
      </c>
      <c r="CY92" s="40">
        <f t="shared" ref="CY92" si="788">+CY90/CU90-1</f>
        <v>0.50090939113901256</v>
      </c>
      <c r="CZ92" s="40">
        <f t="shared" ref="CZ92" si="789">+CZ90/CV90-1</f>
        <v>0.50644600415111918</v>
      </c>
      <c r="DA92" s="40">
        <f t="shared" ref="DA92" si="790">+DA90/CW90-1</f>
        <v>0.50534675418592889</v>
      </c>
      <c r="DB92" s="40">
        <f t="shared" ref="DB92" si="791">+DB90/CX90-1</f>
        <v>0.48407506061638994</v>
      </c>
      <c r="DE92" s="122"/>
      <c r="DF92" s="39">
        <v>0.22909570979074911</v>
      </c>
    </row>
    <row r="93" spans="1:110" s="39" customFormat="1" x14ac:dyDescent="0.2">
      <c r="A93" s="39" t="s">
        <v>452</v>
      </c>
      <c r="AB93" s="40"/>
      <c r="AC93" s="40"/>
      <c r="AD93" s="40"/>
      <c r="AE93" s="40"/>
      <c r="AJ93" s="39">
        <f>+IF(AI90&lt;0,1-AJ90/AI90,AJ90/AI90-1)</f>
        <v>-5.0816696914699366E-2</v>
      </c>
      <c r="AK93" s="39">
        <f t="shared" ref="AK93:AM93" si="792">+IF(AJ90&lt;0,1-AK90/AJ90,AK90/AJ90-1)</f>
        <v>-0.20425149027106171</v>
      </c>
      <c r="AL93" s="39">
        <f t="shared" si="792"/>
        <v>-0.19434628975265034</v>
      </c>
      <c r="AM93" s="39">
        <f t="shared" si="792"/>
        <v>0.4929824561403533</v>
      </c>
      <c r="AN93" s="39">
        <f t="shared" ref="AN93" si="793">+IF(AM90&lt;0,1-AN90/AM90,AN90/AM90-1)</f>
        <v>0.37896592244418503</v>
      </c>
      <c r="AO93" s="39">
        <f t="shared" ref="AO93" si="794">+IF(AN90&lt;0,1-AO90/AN90,AO90/AN90-1)</f>
        <v>-0.64209629314018146</v>
      </c>
      <c r="AP93" s="39">
        <f t="shared" ref="AP93" si="795">+IF(AO90&lt;0,1-AP90/AO90,AP90/AO90-1)</f>
        <v>1.1642857142857288</v>
      </c>
      <c r="AQ93" s="39">
        <f t="shared" ref="AQ93" si="796">+IF(AP90&lt;0,1-AQ90/AP90,AQ90/AP90-1)</f>
        <v>2.4202420242024347E-2</v>
      </c>
      <c r="AR93" s="39">
        <f t="shared" ref="AR93" si="797">+IF(AQ90&lt;0,1-AR90/AQ90,AR90/AQ90-1)</f>
        <v>-2.3845327604727906E-2</v>
      </c>
      <c r="AS93" s="39">
        <f t="shared" ref="AS93" si="798">+IF(AR90&lt;0,1-AS90/AR90,AS90/AR90-1)</f>
        <v>-0.31855193661971826</v>
      </c>
      <c r="AT93" s="39">
        <f t="shared" ref="AT93" si="799">+IF(AS90&lt;0,1-AT90/AS90,AT90/AS90-1)</f>
        <v>0.9003713870498995</v>
      </c>
      <c r="AU93" s="39">
        <f t="shared" ref="AU93" si="800">+IF(AT90&lt;0,1-AU90/AT90,AU90/AT90-1)</f>
        <v>8.8962528677031916E-2</v>
      </c>
      <c r="AV93" s="39">
        <f t="shared" ref="AV93" si="801">+IF(AU90&lt;0,1-AV90/AU90,AV90/AU90-1)</f>
        <v>-7.8183520599252154E-2</v>
      </c>
      <c r="AW93" s="39">
        <f t="shared" ref="AW93" si="802">+IF(AV90&lt;0,1-AW90/AV90,AW90/AV90-1)</f>
        <v>0.12629084137464108</v>
      </c>
      <c r="AX93" s="39">
        <f t="shared" ref="AX93" si="803">+IF(AW90&lt;0,1-AX90/AW90,AX90/AW90-1)</f>
        <v>0.75379528032466614</v>
      </c>
      <c r="AY93" s="39">
        <f t="shared" ref="AY93" si="804">+IF(AX90&lt;0,1-AY90/AX90,AY90/AX90-1)</f>
        <v>5.9050394240657944E-2</v>
      </c>
      <c r="AZ93" s="39">
        <f t="shared" ref="AZ93" si="805">+IF(AY90&lt;0,1-AZ90/AY90,AZ90/AY90-1)</f>
        <v>-0.12074128024601449</v>
      </c>
      <c r="BA93" s="39">
        <f t="shared" ref="BA93" si="806">+IF(AZ90&lt;0,1-BA90/AZ90,BA90/AZ90-1)</f>
        <v>-0.10759318913943905</v>
      </c>
      <c r="BB93" s="39">
        <f t="shared" ref="BB93" si="807">+IF(BA90&lt;0,1-BB90/BA90,BB90/BA90-1)</f>
        <v>-0.11551155115511602</v>
      </c>
      <c r="BC93" s="39">
        <f t="shared" ref="BC93" si="808">+IF(BB90&lt;0,1-BC90/BB90,BC90/BB90-1)</f>
        <v>0.32666744402985137</v>
      </c>
      <c r="BD93" s="39">
        <f t="shared" ref="BD93" si="809">+IF(BC90&lt;0,1-BD90/BC90,BD90/BC90-1)</f>
        <v>0.28160843770600064</v>
      </c>
      <c r="BE93" s="39">
        <f t="shared" ref="BE93" si="810">+IF(BD90&lt;0,1-BE90/BD90,BE90/BD90-1)</f>
        <v>-5.7470081953161278E-2</v>
      </c>
      <c r="BF93" s="39">
        <f t="shared" ref="BF93" si="811">+IF(BE90&lt;0,1-BF90/BE90,BF90/BE90-1)</f>
        <v>0.20697056790482615</v>
      </c>
      <c r="BG93" s="39">
        <f t="shared" ref="BG93" si="812">+IF(BF90&lt;0,1-BG90/BF90,BG90/BF90-1)</f>
        <v>1.9532191945987654E-2</v>
      </c>
      <c r="BH93" s="39">
        <f t="shared" ref="BH93" si="813">+IF(BG90&lt;0,1-BH90/BG90,BH90/BG90-1)</f>
        <v>-8.4052743614002501E-2</v>
      </c>
      <c r="BI93" s="39">
        <f t="shared" ref="BI93" si="814">+IF(BH90&lt;0,1-BI90/BH90,BI90/BH90-1)</f>
        <v>-0.15199638488105693</v>
      </c>
      <c r="BJ93" s="39">
        <f t="shared" ref="BJ93" si="815">+IF(BI90&lt;0,1-BJ90/BI90,BJ90/BI90-1)</f>
        <v>-1.0010657734468853E-2</v>
      </c>
      <c r="BK93" s="39">
        <f t="shared" ref="BK93" si="816">+IF(BJ90&lt;0,1-BK90/BJ90,BK90/BJ90-1)</f>
        <v>-0.28943827136760414</v>
      </c>
      <c r="BL93" s="39">
        <f t="shared" ref="BL93" si="817">+IF(BK90&lt;0,1-BL90/BK90,BL90/BK90-1)</f>
        <v>0.55521887343758469</v>
      </c>
      <c r="BM93" s="39">
        <f t="shared" ref="BM93" si="818">+IF(BL90&lt;0,1-BM90/BL90,BM90/BL90-1)</f>
        <v>-0.28018231159974927</v>
      </c>
      <c r="BN93" s="39">
        <f t="shared" ref="BN93" si="819">+IF(BM90&lt;0,1-BN90/BM90,BN90/BM90-1)</f>
        <v>0.42868190826042762</v>
      </c>
      <c r="BO93" s="39">
        <f t="shared" ref="BO93" si="820">+IF(BN90&lt;0,1-BO90/BN90,BO90/BN90-1)</f>
        <v>6.8441707828676535E-2</v>
      </c>
      <c r="BP93" s="39">
        <f t="shared" ref="BP93" si="821">+IF(BO90&lt;0,1-BP90/BO90,BP90/BO90-1)</f>
        <v>0.39967068807194162</v>
      </c>
      <c r="BQ93" s="39">
        <f t="shared" ref="BQ93" si="822">+IF(BP90&lt;0,1-BQ90/BP90,BQ90/BP90-1)</f>
        <v>0.7850372146686877</v>
      </c>
      <c r="BR93" s="39">
        <f t="shared" ref="BR93" si="823">+IF(BQ90&lt;0,1-BR90/BQ90,BR90/BQ90-1)</f>
        <v>0.12551961877724827</v>
      </c>
      <c r="BS93" s="39">
        <f t="shared" ref="BS93" si="824">+IF(BR90&lt;0,1-BS90/BR90,BS90/BR90-1)</f>
        <v>9.6702999729753714E-2</v>
      </c>
      <c r="BT93" s="39">
        <f t="shared" ref="BT93" si="825">+IF(BS90&lt;0,1-BT90/BS90,BT90/BS90-1)</f>
        <v>-9.5804755842129663E-2</v>
      </c>
      <c r="BU93" s="39">
        <f t="shared" ref="BU93" si="826">+IF(BT90&lt;0,1-BU90/BT90,BU90/BT90-1)</f>
        <v>0.15357974223584914</v>
      </c>
      <c r="BV93" s="39">
        <f t="shared" ref="BV93" si="827">+IF(BU90&lt;0,1-BV90/BU90,BV90/BU90-1)</f>
        <v>0.28799094399055103</v>
      </c>
      <c r="BW93" s="39">
        <f t="shared" ref="BW93" si="828">+IF(BV90&lt;0,1-BW90/BV90,BW90/BV90-1)</f>
        <v>0.13139009683064962</v>
      </c>
      <c r="BX93" s="39">
        <f t="shared" ref="BX93" si="829">+IF(BW90&lt;0,1-BX90/BW90,BX90/BW90-1)</f>
        <v>-0.19859631583569215</v>
      </c>
      <c r="BY93" s="39">
        <f t="shared" ref="BY93" si="830">+IF(BX90&lt;0,1-BY90/BX90,BY90/BX90-1)</f>
        <v>-0.29373140366995687</v>
      </c>
      <c r="BZ93" s="39">
        <f t="shared" ref="BZ93" si="831">+IF(BY90&lt;0,1-BZ90/BY90,BZ90/BY90-1)</f>
        <v>-0.34106288264849483</v>
      </c>
      <c r="CA93" s="39">
        <f t="shared" ref="CA93" si="832">+IF(BZ90&lt;0,1-CA90/BZ90,CA90/BZ90-1)</f>
        <v>0.22576204879285777</v>
      </c>
      <c r="CB93" s="39">
        <f t="shared" ref="CB93" si="833">+IF(CA90&lt;0,1-CB90/CA90,CB90/CA90-1)</f>
        <v>-0.46266142616507566</v>
      </c>
      <c r="CC93" s="39">
        <f t="shared" ref="CC93" si="834">+IF(CB90&lt;0,1-CC90/CB90,CC90/CB90-1)</f>
        <v>0.53365781224220488</v>
      </c>
      <c r="CD93" s="39">
        <f t="shared" ref="CD93" si="835">+IF(CC90&lt;0,1-CD90/CC90,CD90/CC90-1)</f>
        <v>0.29958940706076342</v>
      </c>
      <c r="CE93" s="39">
        <f t="shared" ref="CE93" si="836">+IF(CD90&lt;0,1-CE90/CD90,CE90/CD90-1)</f>
        <v>-0.37144394470351272</v>
      </c>
      <c r="CF93" s="39">
        <f t="shared" ref="CF93" si="837">+IF(CE90&lt;0,1-CF90/CE90,CF90/CE90-1)</f>
        <v>-9.0102943435984351E-2</v>
      </c>
      <c r="CG93" s="39">
        <f t="shared" ref="CG93" si="838">+IF(CF90&lt;0,1-CG90/CF90,CG90/CF90-1)</f>
        <v>-0.24887827471414004</v>
      </c>
      <c r="CH93" s="39">
        <f t="shared" ref="CH93:CL93" si="839">+IF(CG90&lt;0,1-CH90/CG90,CH90/CG90-1)</f>
        <v>0.29877637537334945</v>
      </c>
      <c r="CI93" s="39">
        <f t="shared" si="839"/>
        <v>-9.6735905044511017E-2</v>
      </c>
      <c r="CJ93" s="39">
        <f t="shared" si="839"/>
        <v>1.5713972842751112E-2</v>
      </c>
      <c r="CK93" s="39">
        <f t="shared" si="839"/>
        <v>-0.17098808689558498</v>
      </c>
      <c r="CL93" s="39">
        <f t="shared" si="839"/>
        <v>1.1057285909356915</v>
      </c>
      <c r="CM93" s="40">
        <f t="shared" ref="CM93" si="840">+CM90/CL90-1</f>
        <v>-2.0550910494646968E-2</v>
      </c>
      <c r="CN93" s="40">
        <f t="shared" ref="CN93" si="841">+CN90/CM90-1</f>
        <v>6.9613244420673848E-2</v>
      </c>
      <c r="CO93" s="40">
        <f t="shared" ref="CO93" si="842">+CO90/CN90-1</f>
        <v>-0.10720298973443321</v>
      </c>
      <c r="CP93" s="40">
        <f t="shared" ref="CP93" si="843">+CP90/CO90-1</f>
        <v>0.15191732405888891</v>
      </c>
      <c r="CQ93" s="40">
        <f t="shared" ref="CQ93" si="844">+CQ90/CP90-1</f>
        <v>0.31479016902698498</v>
      </c>
      <c r="CR93" s="40">
        <f t="shared" ref="CR93" si="845">+CR90/CQ90-1</f>
        <v>-5.218298067411431E-2</v>
      </c>
      <c r="CS93" s="40">
        <f t="shared" ref="CS93" si="846">+CS90/CR90-1</f>
        <v>-5.3376428079572324E-2</v>
      </c>
      <c r="CT93" s="40">
        <f t="shared" ref="CT93" si="847">+CT90/CS90-1</f>
        <v>0.28534251158547508</v>
      </c>
      <c r="CU93" s="40">
        <f t="shared" ref="CU93" si="848">+CU90/CT90-1</f>
        <v>0.15366802470985963</v>
      </c>
      <c r="CV93" s="40">
        <f t="shared" ref="CV93" si="849">+CV90/CU90-1</f>
        <v>2.3903638108492498E-2</v>
      </c>
      <c r="CW93" s="40">
        <f t="shared" ref="CW93" si="850">+CW90/CV90-1</f>
        <v>-3.1229384828365458E-2</v>
      </c>
      <c r="CX93" s="40">
        <f t="shared" ref="CX93" si="851">+CX90/CW90-1</f>
        <v>0.2905421695898216</v>
      </c>
      <c r="CY93" s="40">
        <f t="shared" ref="CY93" si="852">+CY90/CX90-1</f>
        <v>0.17247132900861417</v>
      </c>
      <c r="CZ93" s="40">
        <f t="shared" ref="CZ93" si="853">+CZ90/CY90-1</f>
        <v>2.7680653722734538E-2</v>
      </c>
      <c r="DA93" s="40">
        <f t="shared" ref="DA93" si="854">+DA90/CZ90-1</f>
        <v>-3.193629437711154E-2</v>
      </c>
      <c r="DB93" s="40">
        <f t="shared" ref="DB93" si="855">+DB90/DA90-1</f>
        <v>0.27230582803346826</v>
      </c>
      <c r="DE93" s="122"/>
      <c r="DF93" s="39">
        <v>0.6159903278476464</v>
      </c>
    </row>
    <row r="94" spans="1:110" s="75" customFormat="1" x14ac:dyDescent="0.2">
      <c r="A94" s="23" t="s">
        <v>23</v>
      </c>
      <c r="B94" s="75">
        <f>'Annual Raw'!C32</f>
        <v>0</v>
      </c>
      <c r="C94" s="75">
        <f>'Annual Raw'!D32</f>
        <v>0</v>
      </c>
      <c r="D94" s="75">
        <f>'Annual Raw'!E32</f>
        <v>0</v>
      </c>
      <c r="E94" s="75">
        <f>'Annual Raw'!F32</f>
        <v>-1.8660000000000001E-4</v>
      </c>
      <c r="F94" s="75">
        <f>'Annual Raw'!G32</f>
        <v>0</v>
      </c>
      <c r="G94" s="75">
        <f>'Annual Raw'!H32</f>
        <v>0</v>
      </c>
      <c r="H94" s="75">
        <f>'Annual Raw'!I32</f>
        <v>0</v>
      </c>
      <c r="I94" s="75">
        <f>'Annual Raw'!J32</f>
        <v>0</v>
      </c>
      <c r="J94" s="75">
        <f>'Annual Raw'!K32</f>
        <v>0</v>
      </c>
      <c r="K94" s="75">
        <f>'Annual Raw'!L32</f>
        <v>0</v>
      </c>
      <c r="L94" s="75">
        <f>'Annual Raw'!M32</f>
        <v>0</v>
      </c>
      <c r="M94" s="75">
        <f>'Annual Raw'!N32</f>
        <v>0</v>
      </c>
      <c r="N94" s="75">
        <f>'Annual Raw'!O32</f>
        <v>0</v>
      </c>
      <c r="O94" s="75">
        <f>'Annual Raw'!P32</f>
        <v>0</v>
      </c>
      <c r="P94" s="75">
        <f>'Annual Raw'!Q32</f>
        <v>1.074694</v>
      </c>
      <c r="Q94" s="75">
        <f>'Annual Raw'!R32</f>
        <v>0</v>
      </c>
      <c r="R94" s="75">
        <f>'Annual Raw'!S32</f>
        <v>0</v>
      </c>
      <c r="S94" s="75">
        <f>'Annual Raw'!T32</f>
        <v>0</v>
      </c>
      <c r="T94" s="75">
        <f>'Annual Raw'!U32</f>
        <v>0.44448850000000001</v>
      </c>
      <c r="U94" s="75">
        <f>'Annual Raw'!V32</f>
        <v>7.3272567000000004</v>
      </c>
      <c r="V94" s="75">
        <f>'Annual Raw'!W32</f>
        <v>-5.3030999999999997</v>
      </c>
      <c r="W94" s="75">
        <f>'Annual Raw'!X32</f>
        <v>-49.481900000000003</v>
      </c>
      <c r="X94" s="75">
        <f>'Annual Raw'!Y32</f>
        <v>-80.162999999999997</v>
      </c>
      <c r="Y94" s="75">
        <f>'Annual Raw'!Z32</f>
        <v>-27.449400000000001</v>
      </c>
      <c r="Z94" s="75">
        <f>'Annual Raw'!AA32</f>
        <v>-1.0704</v>
      </c>
      <c r="AA94" s="75">
        <f>'Annual Raw'!AB32</f>
        <v>0</v>
      </c>
      <c r="AB94" s="76">
        <f t="shared" ref="AB94:AB95" si="856">+SUM(CM94:CP94)</f>
        <v>-12.009383999999999</v>
      </c>
      <c r="AC94" s="76">
        <f t="shared" ref="AC94:AC95" si="857">+SUM(CQ94:CT94)</f>
        <v>-33.351264</v>
      </c>
      <c r="AD94" s="76">
        <f t="shared" ref="AD94:AD95" si="858">+SUM(CU94:CX94)</f>
        <v>-51.576264000000002</v>
      </c>
      <c r="AE94" s="76">
        <f t="shared" ref="AE94:AE95" si="859">+SUM(CY94:DB94)</f>
        <v>-66.156263999999993</v>
      </c>
      <c r="AF94" s="75">
        <f>900*25%</f>
        <v>225</v>
      </c>
      <c r="AI94" s="75">
        <f>'QTR Raw'!C34</f>
        <v>0</v>
      </c>
      <c r="AJ94" s="75">
        <f>'QTR Raw'!D34</f>
        <v>0</v>
      </c>
      <c r="AK94" s="75">
        <f>'QTR Raw'!E34</f>
        <v>0</v>
      </c>
      <c r="AL94" s="75">
        <f>'QTR Raw'!F34</f>
        <v>0</v>
      </c>
      <c r="AM94" s="75">
        <f>'QTR Raw'!G34</f>
        <v>0</v>
      </c>
      <c r="AN94" s="75">
        <f>'QTR Raw'!H34</f>
        <v>0</v>
      </c>
      <c r="AO94" s="75">
        <f>'QTR Raw'!I34</f>
        <v>0</v>
      </c>
      <c r="AP94" s="75">
        <f>'QTR Raw'!J34</f>
        <v>0</v>
      </c>
      <c r="AQ94" s="75">
        <f>'QTR Raw'!K34</f>
        <v>0</v>
      </c>
      <c r="AR94" s="75">
        <f>'QTR Raw'!L34</f>
        <v>0</v>
      </c>
      <c r="AS94" s="75">
        <f>'QTR Raw'!M34</f>
        <v>0</v>
      </c>
      <c r="AT94" s="75">
        <f>'QTR Raw'!N34</f>
        <v>0</v>
      </c>
      <c r="AU94" s="75">
        <f>'QTR Raw'!O34</f>
        <v>0</v>
      </c>
      <c r="AV94" s="75">
        <f>'QTR Raw'!P34</f>
        <v>0</v>
      </c>
      <c r="AW94" s="75">
        <f>'QTR Raw'!Q34</f>
        <v>0</v>
      </c>
      <c r="AX94" s="75">
        <f>'QTR Raw'!R34</f>
        <v>0</v>
      </c>
      <c r="AY94" s="75">
        <f>'QTR Raw'!S34</f>
        <v>0</v>
      </c>
      <c r="AZ94" s="75">
        <f>'QTR Raw'!T34</f>
        <v>0</v>
      </c>
      <c r="BA94" s="75">
        <f>'QTR Raw'!U34</f>
        <v>0</v>
      </c>
      <c r="BB94" s="75">
        <f>'QTR Raw'!V34</f>
        <v>0</v>
      </c>
      <c r="BC94" s="75">
        <f>'QTR Raw'!W34</f>
        <v>0</v>
      </c>
      <c r="BD94" s="75">
        <f>'QTR Raw'!X34</f>
        <v>0</v>
      </c>
      <c r="BE94" s="75">
        <f>'QTR Raw'!Y34</f>
        <v>0</v>
      </c>
      <c r="BF94" s="75">
        <f>'QTR Raw'!Z34</f>
        <v>0</v>
      </c>
      <c r="BG94" s="75">
        <f>'QTR Raw'!AA34</f>
        <v>0</v>
      </c>
      <c r="BH94" s="75">
        <f>'QTR Raw'!AB34</f>
        <v>0</v>
      </c>
      <c r="BI94" s="75">
        <f>'QTR Raw'!AC34</f>
        <v>0</v>
      </c>
      <c r="BJ94" s="75">
        <f>'QTR Raw'!AD34</f>
        <v>0.44400000000000001</v>
      </c>
      <c r="BK94" s="75">
        <f>'QTR Raw'!AE34</f>
        <v>0.66700000000000004</v>
      </c>
      <c r="BL94" s="75">
        <f>'QTR Raw'!AF34</f>
        <v>2.6850000000000001</v>
      </c>
      <c r="BM94" s="75">
        <f>'QTR Raw'!AG34</f>
        <v>2.7189999999999999</v>
      </c>
      <c r="BN94" s="75">
        <f>'QTR Raw'!AH34</f>
        <v>1.256</v>
      </c>
      <c r="BO94" s="75">
        <f>'QTR Raw'!AI34</f>
        <v>1.383</v>
      </c>
      <c r="BP94" s="75">
        <f>'QTR Raw'!AJ34</f>
        <v>1.5569999999999999</v>
      </c>
      <c r="BQ94" s="75">
        <f>'QTR Raw'!AK34</f>
        <v>-3.9340000000000002</v>
      </c>
      <c r="BR94" s="75">
        <f>'QTR Raw'!AL34</f>
        <v>-4.3090000000000002</v>
      </c>
      <c r="BS94" s="75">
        <f>'QTR Raw'!AM34</f>
        <v>-7.0110000000000001</v>
      </c>
      <c r="BT94" s="75">
        <f>'QTR Raw'!AN34</f>
        <v>-8.3140000000000001</v>
      </c>
      <c r="BU94" s="75">
        <f>'QTR Raw'!AO34</f>
        <v>-12.035</v>
      </c>
      <c r="BV94" s="75">
        <f>'QTR Raw'!AP34</f>
        <v>-22.123999999999999</v>
      </c>
      <c r="BW94" s="75">
        <f>'QTR Raw'!AQ34</f>
        <v>-25.071000000000002</v>
      </c>
      <c r="BX94" s="75">
        <f>'QTR Raw'!AR34</f>
        <v>-26.068999999999999</v>
      </c>
      <c r="BY94" s="75">
        <f>'QTR Raw'!AS34</f>
        <v>-21.22</v>
      </c>
      <c r="BZ94" s="75">
        <f>'QTR Raw'!AT34</f>
        <v>-7.8040000000000003</v>
      </c>
      <c r="CA94" s="75">
        <f>'QTR Raw'!AU34</f>
        <v>-14.946</v>
      </c>
      <c r="CB94" s="75">
        <f>'QTR Raw'!AV34</f>
        <v>-1.655</v>
      </c>
      <c r="CC94" s="75">
        <f>'QTR Raw'!AW34</f>
        <v>-6.4</v>
      </c>
      <c r="CD94" s="75">
        <f>'QTR Raw'!AX34</f>
        <v>-4.4480000000000004</v>
      </c>
      <c r="CE94" s="75">
        <f>'QTR Raw'!AY34</f>
        <v>-2.266</v>
      </c>
      <c r="CF94" s="75">
        <f>'QTR Raw'!AZ34</f>
        <v>-0.47399999999999998</v>
      </c>
      <c r="CG94" s="75">
        <f>'QTR Raw'!BA34</f>
        <v>2.0470000000000002</v>
      </c>
      <c r="CH94" s="75">
        <f>'QTR Raw'!BB34</f>
        <v>-0.378</v>
      </c>
      <c r="CI94" s="75">
        <f>'QTR Raw'!BC34</f>
        <v>1.4730000000000001</v>
      </c>
      <c r="CJ94" s="75">
        <f>'QTR Raw'!BD34</f>
        <v>-2.5430000000000001</v>
      </c>
      <c r="CK94" s="75">
        <f>'QTR Raw'!BE34</f>
        <v>0.67600000000000005</v>
      </c>
      <c r="CL94" s="75">
        <f>'QTR Raw'!BF34</f>
        <v>-1.5620000000000001</v>
      </c>
      <c r="CM94" s="76">
        <f>+CM44</f>
        <v>-1.7873459999999999</v>
      </c>
      <c r="CN94" s="76">
        <f t="shared" ref="CN94:DB94" si="860">+CN44</f>
        <v>-1.7873459999999999</v>
      </c>
      <c r="CO94" s="76">
        <f t="shared" si="860"/>
        <v>-1.7873459999999999</v>
      </c>
      <c r="CP94" s="76">
        <f t="shared" si="860"/>
        <v>-6.6473459999999989</v>
      </c>
      <c r="CQ94" s="76">
        <f t="shared" si="860"/>
        <v>-6.8190659999999994</v>
      </c>
      <c r="CR94" s="76">
        <f t="shared" si="860"/>
        <v>-8.0340659999999993</v>
      </c>
      <c r="CS94" s="76">
        <f t="shared" si="860"/>
        <v>-9.2490660000000009</v>
      </c>
      <c r="CT94" s="76">
        <f t="shared" si="860"/>
        <v>-9.2490660000000009</v>
      </c>
      <c r="CU94" s="76">
        <f t="shared" si="860"/>
        <v>-11.679066000000001</v>
      </c>
      <c r="CV94" s="76">
        <f t="shared" si="860"/>
        <v>-11.679066000000001</v>
      </c>
      <c r="CW94" s="76">
        <f t="shared" si="860"/>
        <v>-11.679066000000001</v>
      </c>
      <c r="CX94" s="76">
        <f t="shared" si="860"/>
        <v>-16.539065999999998</v>
      </c>
      <c r="CY94" s="76">
        <f t="shared" si="860"/>
        <v>-16.539065999999998</v>
      </c>
      <c r="CZ94" s="76">
        <f t="shared" si="860"/>
        <v>-16.539065999999998</v>
      </c>
      <c r="DA94" s="76">
        <f t="shared" si="860"/>
        <v>-16.539065999999998</v>
      </c>
      <c r="DB94" s="76">
        <f t="shared" si="860"/>
        <v>-16.539065999999998</v>
      </c>
      <c r="DE94" s="131"/>
      <c r="DF94" s="75">
        <v>0.67600000000000005</v>
      </c>
    </row>
    <row r="95" spans="1:110" s="75" customFormat="1" x14ac:dyDescent="0.2">
      <c r="A95" s="23" t="s">
        <v>24</v>
      </c>
      <c r="B95" s="75">
        <f>'Annual Raw'!C33+'Annual Raw'!C28</f>
        <v>0</v>
      </c>
      <c r="C95" s="75">
        <f>'Annual Raw'!D33+'Annual Raw'!D28</f>
        <v>0</v>
      </c>
      <c r="D95" s="75">
        <f>'Annual Raw'!E33+'Annual Raw'!E28</f>
        <v>0</v>
      </c>
      <c r="E95" s="75">
        <f>'Annual Raw'!F33+'Annual Raw'!F28</f>
        <v>0</v>
      </c>
      <c r="F95" s="75">
        <f>'Annual Raw'!G33+'Annual Raw'!G28</f>
        <v>0</v>
      </c>
      <c r="G95" s="75">
        <f>'Annual Raw'!H33+'Annual Raw'!H28</f>
        <v>0</v>
      </c>
      <c r="H95" s="75">
        <f>'Annual Raw'!I33+'Annual Raw'!I28</f>
        <v>0</v>
      </c>
      <c r="I95" s="75">
        <f>'Annual Raw'!J33+'Annual Raw'!J28</f>
        <v>0</v>
      </c>
      <c r="J95" s="75">
        <f>'Annual Raw'!K33+'Annual Raw'!K28</f>
        <v>0</v>
      </c>
      <c r="K95" s="75">
        <f>'Annual Raw'!L33+'Annual Raw'!L28</f>
        <v>0</v>
      </c>
      <c r="L95" s="75">
        <f>'Annual Raw'!M33+'Annual Raw'!M28</f>
        <v>0</v>
      </c>
      <c r="M95" s="75">
        <f>'Annual Raw'!N33+'Annual Raw'!N28</f>
        <v>0</v>
      </c>
      <c r="N95" s="75">
        <f>'Annual Raw'!O33+'Annual Raw'!O28</f>
        <v>0</v>
      </c>
      <c r="O95" s="75">
        <f>'Annual Raw'!P33+'Annual Raw'!P28</f>
        <v>0</v>
      </c>
      <c r="P95" s="75">
        <f>'Annual Raw'!Q33+'Annual Raw'!Q28</f>
        <v>0</v>
      </c>
      <c r="Q95" s="75">
        <f>'Annual Raw'!R33+'Annual Raw'!R28</f>
        <v>0</v>
      </c>
      <c r="R95" s="75">
        <f>'Annual Raw'!S33+'Annual Raw'!S28</f>
        <v>0</v>
      </c>
      <c r="S95" s="75">
        <f>'Annual Raw'!T33+'Annual Raw'!T28</f>
        <v>0</v>
      </c>
      <c r="T95" s="75">
        <f>'Annual Raw'!U33+'Annual Raw'!U28</f>
        <v>0</v>
      </c>
      <c r="U95" s="75">
        <f>'Annual Raw'!V33+'Annual Raw'!V28</f>
        <v>0</v>
      </c>
      <c r="V95" s="75">
        <f>'Annual Raw'!W33+'Annual Raw'!W28</f>
        <v>0</v>
      </c>
      <c r="W95" s="75">
        <f>'Annual Raw'!X33+'Annual Raw'!X28</f>
        <v>0</v>
      </c>
      <c r="X95" s="75">
        <f>'Annual Raw'!Y33+'Annual Raw'!Y28</f>
        <v>0</v>
      </c>
      <c r="Y95" s="75">
        <f>'Annual Raw'!Z33+'Annual Raw'!Z28</f>
        <v>0</v>
      </c>
      <c r="Z95" s="75">
        <f>'Annual Raw'!AA33+'Annual Raw'!AA28</f>
        <v>0</v>
      </c>
      <c r="AA95" s="75">
        <f>'Annual Raw'!AB33+'Annual Raw'!AB28</f>
        <v>0</v>
      </c>
      <c r="AB95" s="76">
        <f t="shared" si="856"/>
        <v>0</v>
      </c>
      <c r="AC95" s="76">
        <f t="shared" si="857"/>
        <v>0</v>
      </c>
      <c r="AD95" s="76">
        <f t="shared" si="858"/>
        <v>0</v>
      </c>
      <c r="AE95" s="76">
        <f t="shared" si="859"/>
        <v>0</v>
      </c>
      <c r="AI95" s="75">
        <f>'QTR Raw'!C35</f>
        <v>0</v>
      </c>
      <c r="AJ95" s="75">
        <f>'QTR Raw'!D35</f>
        <v>0</v>
      </c>
      <c r="AK95" s="75">
        <f>'QTR Raw'!E35</f>
        <v>0</v>
      </c>
      <c r="AL95" s="75">
        <f>'QTR Raw'!F35</f>
        <v>0</v>
      </c>
      <c r="AM95" s="75">
        <f>'QTR Raw'!G35</f>
        <v>0</v>
      </c>
      <c r="AN95" s="75">
        <f>'QTR Raw'!H35</f>
        <v>0</v>
      </c>
      <c r="AO95" s="75">
        <f>'QTR Raw'!I35</f>
        <v>0</v>
      </c>
      <c r="AP95" s="75">
        <f>'QTR Raw'!J35</f>
        <v>0</v>
      </c>
      <c r="AQ95" s="75">
        <f>'QTR Raw'!K35</f>
        <v>0</v>
      </c>
      <c r="AR95" s="75">
        <f>'QTR Raw'!L35</f>
        <v>0</v>
      </c>
      <c r="AS95" s="75">
        <f>'QTR Raw'!M35</f>
        <v>0</v>
      </c>
      <c r="AT95" s="75">
        <f>'QTR Raw'!N35</f>
        <v>0</v>
      </c>
      <c r="AU95" s="75">
        <f>'QTR Raw'!O35</f>
        <v>0</v>
      </c>
      <c r="AV95" s="75">
        <f>'QTR Raw'!P35</f>
        <v>0</v>
      </c>
      <c r="AW95" s="75">
        <f>'QTR Raw'!Q35</f>
        <v>0</v>
      </c>
      <c r="AX95" s="75">
        <f>'QTR Raw'!R35</f>
        <v>0</v>
      </c>
      <c r="AY95" s="75">
        <f>'QTR Raw'!S35</f>
        <v>0</v>
      </c>
      <c r="AZ95" s="75">
        <f>'QTR Raw'!T35</f>
        <v>0</v>
      </c>
      <c r="BA95" s="75">
        <f>'QTR Raw'!U35</f>
        <v>0</v>
      </c>
      <c r="BB95" s="75">
        <f>'QTR Raw'!V35</f>
        <v>0</v>
      </c>
      <c r="BC95" s="75">
        <f>'QTR Raw'!W35</f>
        <v>0</v>
      </c>
      <c r="BD95" s="75">
        <f>'QTR Raw'!X35</f>
        <v>0</v>
      </c>
      <c r="BE95" s="75">
        <f>'QTR Raw'!Y35</f>
        <v>0</v>
      </c>
      <c r="BF95" s="75">
        <f>'QTR Raw'!Z35</f>
        <v>0</v>
      </c>
      <c r="BG95" s="75">
        <f>'QTR Raw'!AA35</f>
        <v>0</v>
      </c>
      <c r="BH95" s="75">
        <f>'QTR Raw'!AB35</f>
        <v>0</v>
      </c>
      <c r="BI95" s="75">
        <f>'QTR Raw'!AC35</f>
        <v>0</v>
      </c>
      <c r="BJ95" s="75">
        <f>'QTR Raw'!AD35</f>
        <v>0</v>
      </c>
      <c r="BK95" s="75">
        <f>'QTR Raw'!AE35</f>
        <v>0</v>
      </c>
      <c r="BL95" s="75">
        <f>'QTR Raw'!AF35</f>
        <v>0</v>
      </c>
      <c r="BM95" s="75">
        <f>'QTR Raw'!AG35</f>
        <v>0</v>
      </c>
      <c r="BN95" s="75">
        <f>'QTR Raw'!AH35</f>
        <v>0</v>
      </c>
      <c r="BO95" s="75">
        <f>'QTR Raw'!AI35</f>
        <v>0</v>
      </c>
      <c r="BP95" s="75">
        <f>'QTR Raw'!AJ35</f>
        <v>0</v>
      </c>
      <c r="BQ95" s="75">
        <f>'QTR Raw'!AK35</f>
        <v>0</v>
      </c>
      <c r="BR95" s="75">
        <f>'QTR Raw'!AL35</f>
        <v>0</v>
      </c>
      <c r="BS95" s="75">
        <f>'QTR Raw'!AM35</f>
        <v>0</v>
      </c>
      <c r="BT95" s="75">
        <f>'QTR Raw'!AN35</f>
        <v>0</v>
      </c>
      <c r="BU95" s="75">
        <f>'QTR Raw'!AO35</f>
        <v>0</v>
      </c>
      <c r="BV95" s="75">
        <f>'QTR Raw'!AP35</f>
        <v>0</v>
      </c>
      <c r="BW95" s="75">
        <f>'QTR Raw'!AQ35</f>
        <v>0</v>
      </c>
      <c r="BX95" s="75">
        <f>'QTR Raw'!AR35</f>
        <v>0</v>
      </c>
      <c r="BY95" s="75">
        <f>'QTR Raw'!AS35</f>
        <v>0</v>
      </c>
      <c r="BZ95" s="75">
        <f>'QTR Raw'!AT35</f>
        <v>0</v>
      </c>
      <c r="CA95" s="75">
        <f>'QTR Raw'!AU35</f>
        <v>0</v>
      </c>
      <c r="CB95" s="75">
        <f>'QTR Raw'!AV35</f>
        <v>0</v>
      </c>
      <c r="CC95" s="75">
        <f>'QTR Raw'!AW35</f>
        <v>0</v>
      </c>
      <c r="CD95" s="75">
        <f>'QTR Raw'!AX35</f>
        <v>0</v>
      </c>
      <c r="CE95" s="75">
        <f>'QTR Raw'!AY35</f>
        <v>0</v>
      </c>
      <c r="CF95" s="75">
        <f>'QTR Raw'!AZ35</f>
        <v>0</v>
      </c>
      <c r="CG95" s="75">
        <f>'QTR Raw'!BA35</f>
        <v>0</v>
      </c>
      <c r="CH95" s="75">
        <f>'QTR Raw'!BB35</f>
        <v>0</v>
      </c>
      <c r="CI95" s="75">
        <f>'QTR Raw'!BC35</f>
        <v>0</v>
      </c>
      <c r="CJ95" s="75">
        <f>'QTR Raw'!BD35</f>
        <v>0</v>
      </c>
      <c r="CK95" s="75">
        <f>'QTR Raw'!BE35</f>
        <v>0</v>
      </c>
      <c r="CL95" s="75">
        <f>'QTR Raw'!BF35</f>
        <v>0</v>
      </c>
      <c r="CM95" s="76">
        <f t="shared" ref="CM95" si="861">+CL95</f>
        <v>0</v>
      </c>
      <c r="CN95" s="76">
        <f t="shared" ref="CN95" si="862">+CM95</f>
        <v>0</v>
      </c>
      <c r="CO95" s="76">
        <f t="shared" ref="CO95" si="863">+CN95</f>
        <v>0</v>
      </c>
      <c r="CP95" s="76">
        <f t="shared" ref="CP95" si="864">+CO95</f>
        <v>0</v>
      </c>
      <c r="CQ95" s="76">
        <f t="shared" ref="CQ95" si="865">+CP95</f>
        <v>0</v>
      </c>
      <c r="CR95" s="76">
        <f t="shared" ref="CR95" si="866">+CQ95</f>
        <v>0</v>
      </c>
      <c r="CS95" s="76">
        <f t="shared" ref="CS95" si="867">+CR95</f>
        <v>0</v>
      </c>
      <c r="CT95" s="76">
        <f t="shared" ref="CT95" si="868">+CS95</f>
        <v>0</v>
      </c>
      <c r="CU95" s="76">
        <f t="shared" ref="CU95" si="869">+CT95</f>
        <v>0</v>
      </c>
      <c r="CV95" s="76">
        <f t="shared" ref="CV95" si="870">+CU95</f>
        <v>0</v>
      </c>
      <c r="CW95" s="76">
        <f t="shared" ref="CW95" si="871">+CV95</f>
        <v>0</v>
      </c>
      <c r="CX95" s="76">
        <f t="shared" ref="CX95" si="872">+CW95</f>
        <v>0</v>
      </c>
      <c r="CY95" s="76">
        <f t="shared" ref="CY95" si="873">+CX95</f>
        <v>0</v>
      </c>
      <c r="CZ95" s="76">
        <f t="shared" ref="CZ95" si="874">+CY95</f>
        <v>0</v>
      </c>
      <c r="DA95" s="76">
        <f t="shared" ref="DA95" si="875">+CZ95</f>
        <v>0</v>
      </c>
      <c r="DB95" s="76">
        <f t="shared" ref="DB95" si="876">+DA95</f>
        <v>0</v>
      </c>
      <c r="DE95" s="131"/>
      <c r="DF95" s="75">
        <v>0</v>
      </c>
    </row>
    <row r="96" spans="1:110" s="23" customFormat="1" x14ac:dyDescent="0.2">
      <c r="A96" s="23" t="s">
        <v>19</v>
      </c>
      <c r="B96" s="75">
        <f>'Annual Raw'!C29+'Annual Raw'!C31+'Annual Raw'!C34+'Annual Raw'!C36</f>
        <v>0</v>
      </c>
      <c r="C96" s="75">
        <f>'Annual Raw'!D29+'Annual Raw'!D31+'Annual Raw'!D34+'Annual Raw'!D36</f>
        <v>0</v>
      </c>
      <c r="D96" s="75">
        <f>'Annual Raw'!E29+'Annual Raw'!E31+'Annual Raw'!E34+'Annual Raw'!E36</f>
        <v>0</v>
      </c>
      <c r="E96" s="75">
        <f>'Annual Raw'!F29+'Annual Raw'!F31+'Annual Raw'!F34+'Annual Raw'!F36</f>
        <v>0</v>
      </c>
      <c r="F96" s="75">
        <f>'Annual Raw'!G29+'Annual Raw'!G31+'Annual Raw'!G34+'Annual Raw'!G36</f>
        <v>0</v>
      </c>
      <c r="G96" s="75">
        <f>'Annual Raw'!H29+'Annual Raw'!H31+'Annual Raw'!H34+'Annual Raw'!H36</f>
        <v>0</v>
      </c>
      <c r="H96" s="75">
        <f>'Annual Raw'!I29+'Annual Raw'!I31+'Annual Raw'!I34+'Annual Raw'!I36</f>
        <v>0</v>
      </c>
      <c r="I96" s="75">
        <f>'Annual Raw'!J29+'Annual Raw'!J31+'Annual Raw'!J34+'Annual Raw'!J36</f>
        <v>0</v>
      </c>
      <c r="J96" s="75">
        <f>'Annual Raw'!K29+'Annual Raw'!K31+'Annual Raw'!K34+'Annual Raw'!K36</f>
        <v>0</v>
      </c>
      <c r="K96" s="75">
        <f>'Annual Raw'!L29+'Annual Raw'!L31+'Annual Raw'!L34+'Annual Raw'!L36</f>
        <v>0</v>
      </c>
      <c r="L96" s="75">
        <f>'Annual Raw'!M29+'Annual Raw'!M31+'Annual Raw'!M34+'Annual Raw'!M36</f>
        <v>0</v>
      </c>
      <c r="M96" s="75">
        <f>'Annual Raw'!N29+'Annual Raw'!N31+'Annual Raw'!N34+'Annual Raw'!N36</f>
        <v>0.79116819999999999</v>
      </c>
      <c r="N96" s="75">
        <f>'Annual Raw'!O29+'Annual Raw'!O31+'Annual Raw'!O34+'Annual Raw'!O36</f>
        <v>0.11878660000000001</v>
      </c>
      <c r="O96" s="75">
        <f>'Annual Raw'!P29+'Annual Raw'!P31+'Annual Raw'!P34+'Annual Raw'!P36</f>
        <v>0</v>
      </c>
      <c r="P96" s="75">
        <f>'Annual Raw'!Q29+'Annual Raw'!Q31+'Annual Raw'!Q34+'Annual Raw'!Q36</f>
        <v>0</v>
      </c>
      <c r="Q96" s="75">
        <f>'Annual Raw'!R29+'Annual Raw'!R31+'Annual Raw'!R34+'Annual Raw'!R36</f>
        <v>0</v>
      </c>
      <c r="R96" s="75">
        <f>'Annual Raw'!S29+'Annual Raw'!S31+'Annual Raw'!S34+'Annual Raw'!S36</f>
        <v>0.72080849999999996</v>
      </c>
      <c r="S96" s="75">
        <f>'Annual Raw'!T29+'Annual Raw'!T31+'Annual Raw'!T34+'Annual Raw'!T36</f>
        <v>0.59914120000000004</v>
      </c>
      <c r="T96" s="75">
        <f>'Annual Raw'!U29+'Annual Raw'!U31+'Annual Raw'!U34+'Annual Raw'!U36</f>
        <v>0</v>
      </c>
      <c r="U96" s="75">
        <f>'Annual Raw'!V29+'Annual Raw'!V31+'Annual Raw'!V34+'Annual Raw'!V36</f>
        <v>0</v>
      </c>
      <c r="V96" s="75">
        <f>'Annual Raw'!W29+'Annual Raw'!W31+'Annual Raw'!W34+'Annual Raw'!W36</f>
        <v>0</v>
      </c>
      <c r="W96" s="75">
        <f>'Annual Raw'!X29+'Annual Raw'!X31+'Annual Raw'!X34+'Annual Raw'!X36</f>
        <v>0</v>
      </c>
      <c r="X96" s="75">
        <f>'Annual Raw'!Y29+'Annual Raw'!Y31+'Annual Raw'!Y34+'Annual Raw'!Y36</f>
        <v>0</v>
      </c>
      <c r="Y96" s="75">
        <f>'Annual Raw'!Z29+'Annual Raw'!Z31+'Annual Raw'!Z34+'Annual Raw'!Z36</f>
        <v>0</v>
      </c>
      <c r="Z96" s="75">
        <f>'Annual Raw'!AA29+'Annual Raw'!AA31+'Annual Raw'!AA34+'Annual Raw'!AA36</f>
        <v>0</v>
      </c>
      <c r="AA96" s="75">
        <f>'Annual Raw'!AB29+'Annual Raw'!AB31+'Annual Raw'!AB34+'Annual Raw'!AB36</f>
        <v>0</v>
      </c>
      <c r="AB96" s="76">
        <f>+SUM(CM96:CP96)</f>
        <v>0</v>
      </c>
      <c r="AC96" s="76">
        <f>+SUM(CQ96:CT96)</f>
        <v>0</v>
      </c>
      <c r="AD96" s="76">
        <f>+SUM(CU96:CX96)</f>
        <v>0</v>
      </c>
      <c r="AE96" s="76">
        <f>+SUM(CY96:DB96)</f>
        <v>0</v>
      </c>
      <c r="AI96" s="75">
        <f>'QTR Raw'!C26+'QTR Raw'!C31+'QTR Raw'!C32+'QTR Raw'!C33+'QTR Raw'!C36+'QTR Raw'!C37+'QTR Raw'!C39</f>
        <v>0</v>
      </c>
      <c r="AJ96" s="75">
        <f>'QTR Raw'!D26+'QTR Raw'!D31+'QTR Raw'!D32+'QTR Raw'!D33+'QTR Raw'!D36+'QTR Raw'!D37+'QTR Raw'!D39</f>
        <v>0</v>
      </c>
      <c r="AK96" s="75">
        <f>'QTR Raw'!E26+'QTR Raw'!E31+'QTR Raw'!E32+'QTR Raw'!E33+'QTR Raw'!E36+'QTR Raw'!E37+'QTR Raw'!E39</f>
        <v>0.11799999999999999</v>
      </c>
      <c r="AL96" s="75">
        <f>'QTR Raw'!F26+'QTR Raw'!F31+'QTR Raw'!F32+'QTR Raw'!F33+'QTR Raw'!F36+'QTR Raw'!F37+'QTR Raw'!F39</f>
        <v>0</v>
      </c>
      <c r="AM96" s="75">
        <f>'QTR Raw'!G26+'QTR Raw'!G31+'QTR Raw'!G32+'QTR Raw'!G33+'QTR Raw'!G36+'QTR Raw'!G37+'QTR Raw'!G39</f>
        <v>0</v>
      </c>
      <c r="AN96" s="75">
        <f>'QTR Raw'!H26+'QTR Raw'!H31+'QTR Raw'!H32+'QTR Raw'!H33+'QTR Raw'!H36+'QTR Raw'!H37+'QTR Raw'!H39</f>
        <v>0</v>
      </c>
      <c r="AO96" s="75">
        <f>'QTR Raw'!I26+'QTR Raw'!I31+'QTR Raw'!I32+'QTR Raw'!I33+'QTR Raw'!I36+'QTR Raw'!I37+'QTR Raw'!I39</f>
        <v>0</v>
      </c>
      <c r="AP96" s="75">
        <f>'QTR Raw'!J26+'QTR Raw'!J31+'QTR Raw'!J32+'QTR Raw'!J33+'QTR Raw'!J36+'QTR Raw'!J37+'QTR Raw'!J39</f>
        <v>0</v>
      </c>
      <c r="AQ96" s="75">
        <f>'QTR Raw'!K26+'QTR Raw'!K31+'QTR Raw'!K32+'QTR Raw'!K33+'QTR Raw'!K36+'QTR Raw'!K37+'QTR Raw'!K39</f>
        <v>0</v>
      </c>
      <c r="AR96" s="75">
        <f>'QTR Raw'!L26+'QTR Raw'!L31+'QTR Raw'!L32+'QTR Raw'!L33+'QTR Raw'!L36+'QTR Raw'!L37+'QTR Raw'!L39</f>
        <v>0</v>
      </c>
      <c r="AS96" s="75">
        <f>'QTR Raw'!M26+'QTR Raw'!M31+'QTR Raw'!M32+'QTR Raw'!M33+'QTR Raw'!M36+'QTR Raw'!M37+'QTR Raw'!M39</f>
        <v>0</v>
      </c>
      <c r="AT96" s="75">
        <f>'QTR Raw'!N26+'QTR Raw'!N31+'QTR Raw'!N32+'QTR Raw'!N33+'QTR Raw'!N36+'QTR Raw'!N37+'QTR Raw'!N39</f>
        <v>0</v>
      </c>
      <c r="AU96" s="75">
        <f>'QTR Raw'!O26+'QTR Raw'!O31+'QTR Raw'!O32+'QTR Raw'!O33+'QTR Raw'!O36+'QTR Raw'!O37+'QTR Raw'!O39</f>
        <v>0</v>
      </c>
      <c r="AV96" s="75">
        <f>'QTR Raw'!P26+'QTR Raw'!P31+'QTR Raw'!P32+'QTR Raw'!P33+'QTR Raw'!P36+'QTR Raw'!P37+'QTR Raw'!P39</f>
        <v>0</v>
      </c>
      <c r="AW96" s="75">
        <f>'QTR Raw'!Q26+'QTR Raw'!Q31+'QTR Raw'!Q32+'QTR Raw'!Q33+'QTR Raw'!Q36+'QTR Raw'!Q37+'QTR Raw'!Q39</f>
        <v>0</v>
      </c>
      <c r="AX96" s="75">
        <f>'QTR Raw'!R26+'QTR Raw'!R31+'QTR Raw'!R32+'QTR Raw'!R33+'QTR Raw'!R36+'QTR Raw'!R37+'QTR Raw'!R39</f>
        <v>0</v>
      </c>
      <c r="AY96" s="75">
        <f>'QTR Raw'!S26+'QTR Raw'!S31+'QTR Raw'!S32+'QTR Raw'!S33+'QTR Raw'!S36+'QTR Raw'!S37+'QTR Raw'!S39</f>
        <v>1.6259999999999999</v>
      </c>
      <c r="AZ96" s="75">
        <f>'QTR Raw'!T26+'QTR Raw'!T31+'QTR Raw'!T32+'QTR Raw'!T33+'QTR Raw'!T36+'QTR Raw'!T37+'QTR Raw'!T39</f>
        <v>0</v>
      </c>
      <c r="BA96" s="75">
        <f>'QTR Raw'!U26+'QTR Raw'!U31+'QTR Raw'!U32+'QTR Raw'!U33+'QTR Raw'!U36+'QTR Raw'!U37+'QTR Raw'!U39</f>
        <v>0.23799999999999999</v>
      </c>
      <c r="BB96" s="75">
        <f>'QTR Raw'!V26+'QTR Raw'!V31+'QTR Raw'!V32+'QTR Raw'!V33+'QTR Raw'!V36+'QTR Raw'!V37+'QTR Raw'!V39</f>
        <v>0.72199999999999998</v>
      </c>
      <c r="BC96" s="75">
        <f>'QTR Raw'!W26+'QTR Raw'!W31+'QTR Raw'!W32+'QTR Raw'!W33+'QTR Raw'!W36+'QTR Raw'!W37+'QTR Raw'!W39</f>
        <v>0</v>
      </c>
      <c r="BD96" s="75">
        <f>'QTR Raw'!X26+'QTR Raw'!X31+'QTR Raw'!X32+'QTR Raw'!X33+'QTR Raw'!X36+'QTR Raw'!X37+'QTR Raw'!X39</f>
        <v>0</v>
      </c>
      <c r="BE96" s="75">
        <f>'QTR Raw'!Y26+'QTR Raw'!Y31+'QTR Raw'!Y32+'QTR Raw'!Y33+'QTR Raw'!Y36+'QTR Raw'!Y37+'QTR Raw'!Y39</f>
        <v>0.59899999999999998</v>
      </c>
      <c r="BF96" s="75">
        <f>'QTR Raw'!Z26+'QTR Raw'!Z31+'QTR Raw'!Z32+'QTR Raw'!Z33+'QTR Raw'!Z36+'QTR Raw'!Z37+'QTR Raw'!Z39</f>
        <v>0</v>
      </c>
      <c r="BG96" s="75">
        <f>'QTR Raw'!AA26+'QTR Raw'!AA31+'QTR Raw'!AA32+'QTR Raw'!AA33+'QTR Raw'!AA36+'QTR Raw'!AA37+'QTR Raw'!AA39</f>
        <v>0</v>
      </c>
      <c r="BH96" s="75">
        <f>'QTR Raw'!AB26+'QTR Raw'!AB31+'QTR Raw'!AB32+'QTR Raw'!AB33+'QTR Raw'!AB36+'QTR Raw'!AB37+'QTR Raw'!AB39</f>
        <v>0</v>
      </c>
      <c r="BI96" s="75">
        <f>'QTR Raw'!AC26+'QTR Raw'!AC31+'QTR Raw'!AC32+'QTR Raw'!AC33+'QTR Raw'!AC36+'QTR Raw'!AC37+'QTR Raw'!AC39</f>
        <v>0</v>
      </c>
      <c r="BJ96" s="75">
        <f>'QTR Raw'!AD26+'QTR Raw'!AD31+'QTR Raw'!AD32+'QTR Raw'!AD33+'QTR Raw'!AD36+'QTR Raw'!AD37+'QTR Raw'!AD39</f>
        <v>0</v>
      </c>
      <c r="BK96" s="75">
        <f>'QTR Raw'!AE26+'QTR Raw'!AE31+'QTR Raw'!AE32+'QTR Raw'!AE33+'QTR Raw'!AE36+'QTR Raw'!AE37+'QTR Raw'!AE39</f>
        <v>0</v>
      </c>
      <c r="BL96" s="75">
        <f>'QTR Raw'!AF26+'QTR Raw'!AF31+'QTR Raw'!AF32+'QTR Raw'!AF33+'QTR Raw'!AF36+'QTR Raw'!AF37+'QTR Raw'!AF39</f>
        <v>0</v>
      </c>
      <c r="BM96" s="75">
        <f>'QTR Raw'!AG26+'QTR Raw'!AG31+'QTR Raw'!AG32+'QTR Raw'!AG33+'QTR Raw'!AG36+'QTR Raw'!AG37+'QTR Raw'!AG39</f>
        <v>0</v>
      </c>
      <c r="BN96" s="75">
        <f>'QTR Raw'!AH26+'QTR Raw'!AH31+'QTR Raw'!AH32+'QTR Raw'!AH33+'QTR Raw'!AH36+'QTR Raw'!AH37+'QTR Raw'!AH39</f>
        <v>0</v>
      </c>
      <c r="BO96" s="75">
        <f>'QTR Raw'!AI26+'QTR Raw'!AI31+'QTR Raw'!AI32+'QTR Raw'!AI33+'QTR Raw'!AI36+'QTR Raw'!AI37+'QTR Raw'!AI39</f>
        <v>0</v>
      </c>
      <c r="BP96" s="75">
        <f>'QTR Raw'!AJ26+'QTR Raw'!AJ31+'QTR Raw'!AJ32+'QTR Raw'!AJ33+'QTR Raw'!AJ36+'QTR Raw'!AJ37+'QTR Raw'!AJ39</f>
        <v>0</v>
      </c>
      <c r="BQ96" s="75">
        <f>'QTR Raw'!AK26+'QTR Raw'!AK31+'QTR Raw'!AK32+'QTR Raw'!AK33+'QTR Raw'!AK36+'QTR Raw'!AK37+'QTR Raw'!AK39</f>
        <v>0</v>
      </c>
      <c r="BR96" s="75">
        <f>'QTR Raw'!AL26+'QTR Raw'!AL31+'QTR Raw'!AL32+'QTR Raw'!AL33+'QTR Raw'!AL36+'QTR Raw'!AL37+'QTR Raw'!AL39</f>
        <v>0</v>
      </c>
      <c r="BS96" s="75">
        <f>'QTR Raw'!AM26+'QTR Raw'!AM31+'QTR Raw'!AM32+'QTR Raw'!AM33+'QTR Raw'!AM36+'QTR Raw'!AM37+'QTR Raw'!AM39</f>
        <v>0</v>
      </c>
      <c r="BT96" s="75">
        <f>'QTR Raw'!AN26+'QTR Raw'!AN31+'QTR Raw'!AN32+'QTR Raw'!AN33+'QTR Raw'!AN36+'QTR Raw'!AN37+'QTR Raw'!AN39</f>
        <v>0</v>
      </c>
      <c r="BU96" s="75">
        <f>'QTR Raw'!AO26+'QTR Raw'!AO31+'QTR Raw'!AO32+'QTR Raw'!AO33+'QTR Raw'!AO36+'QTR Raw'!AO37+'QTR Raw'!AO39</f>
        <v>0</v>
      </c>
      <c r="BV96" s="75">
        <f>'QTR Raw'!AP26+'QTR Raw'!AP31+'QTR Raw'!AP32+'QTR Raw'!AP33+'QTR Raw'!AP36+'QTR Raw'!AP37+'QTR Raw'!AP39</f>
        <v>0</v>
      </c>
      <c r="BW96" s="75">
        <f>'QTR Raw'!AQ26+'QTR Raw'!AQ31+'QTR Raw'!AQ32+'QTR Raw'!AQ33+'QTR Raw'!AQ36+'QTR Raw'!AQ37+'QTR Raw'!AQ39</f>
        <v>0</v>
      </c>
      <c r="BX96" s="75">
        <f>'QTR Raw'!AR26+'QTR Raw'!AR31+'QTR Raw'!AR32+'QTR Raw'!AR33+'QTR Raw'!AR36+'QTR Raw'!AR37+'QTR Raw'!AR39</f>
        <v>0</v>
      </c>
      <c r="BY96" s="75">
        <f>'QTR Raw'!AS26+'QTR Raw'!AS31+'QTR Raw'!AS32+'QTR Raw'!AS33+'QTR Raw'!AS36+'QTR Raw'!AS37+'QTR Raw'!AS39</f>
        <v>0</v>
      </c>
      <c r="BZ96" s="75">
        <f>'QTR Raw'!AT26+'QTR Raw'!AT31+'QTR Raw'!AT32+'QTR Raw'!AT33+'QTR Raw'!AT36+'QTR Raw'!AT37+'QTR Raw'!AT39</f>
        <v>0</v>
      </c>
      <c r="CA96" s="75">
        <f>'QTR Raw'!AU26+'QTR Raw'!AU31+'QTR Raw'!AU32+'QTR Raw'!AU33+'QTR Raw'!AU36+'QTR Raw'!AU37+'QTR Raw'!AU39</f>
        <v>0</v>
      </c>
      <c r="CB96" s="75">
        <f>'QTR Raw'!AV26+'QTR Raw'!AV31+'QTR Raw'!AV32+'QTR Raw'!AV33+'QTR Raw'!AV36+'QTR Raw'!AV37+'QTR Raw'!AV39</f>
        <v>0</v>
      </c>
      <c r="CC96" s="75">
        <f>'QTR Raw'!AW26+'QTR Raw'!AW31+'QTR Raw'!AW32+'QTR Raw'!AW33+'QTR Raw'!AW36+'QTR Raw'!AW37+'QTR Raw'!AW39</f>
        <v>0</v>
      </c>
      <c r="CD96" s="75">
        <f>'QTR Raw'!AX26+'QTR Raw'!AX31+'QTR Raw'!AX32+'QTR Raw'!AX33+'QTR Raw'!AX36+'QTR Raw'!AX37+'QTR Raw'!AX39</f>
        <v>0</v>
      </c>
      <c r="CE96" s="75">
        <f>'QTR Raw'!AY26+'QTR Raw'!AY31+'QTR Raw'!AY32+'QTR Raw'!AY33+'QTR Raw'!AY36+'QTR Raw'!AY37+'QTR Raw'!AY39</f>
        <v>0</v>
      </c>
      <c r="CF96" s="75">
        <f>'QTR Raw'!AZ26+'QTR Raw'!AZ31+'QTR Raw'!AZ32+'QTR Raw'!AZ33+'QTR Raw'!AZ36+'QTR Raw'!AZ37+'QTR Raw'!AZ39</f>
        <v>0</v>
      </c>
      <c r="CG96" s="75">
        <f>'QTR Raw'!BA26+'QTR Raw'!BA31+'QTR Raw'!BA32+'QTR Raw'!BA33+'QTR Raw'!BA36+'QTR Raw'!BA37+'QTR Raw'!BA39</f>
        <v>0</v>
      </c>
      <c r="CH96" s="75">
        <f>'QTR Raw'!BB26+'QTR Raw'!BB31+'QTR Raw'!BB32+'QTR Raw'!BB33+'QTR Raw'!BB36+'QTR Raw'!BB37+'QTR Raw'!BB39</f>
        <v>0</v>
      </c>
      <c r="CI96" s="75">
        <f>'QTR Raw'!BC26+'QTR Raw'!BC31+'QTR Raw'!BC32+'QTR Raw'!BC33+'QTR Raw'!BC36+'QTR Raw'!BC37+'QTR Raw'!BC39</f>
        <v>0</v>
      </c>
      <c r="CJ96" s="75">
        <f>'QTR Raw'!BD26+'QTR Raw'!BD31+'QTR Raw'!BD32+'QTR Raw'!BD33+'QTR Raw'!BD36+'QTR Raw'!BD37+'QTR Raw'!BD39</f>
        <v>0</v>
      </c>
      <c r="CK96" s="75">
        <f>'QTR Raw'!BE26+'QTR Raw'!BE31+'QTR Raw'!BE32+'QTR Raw'!BE33+'QTR Raw'!BE36+'QTR Raw'!BE37+'QTR Raw'!BE39</f>
        <v>0</v>
      </c>
      <c r="CL96" s="75">
        <f>'QTR Raw'!BF26+'QTR Raw'!BF31+'QTR Raw'!BF32+'QTR Raw'!BF33+'QTR Raw'!BF36+'QTR Raw'!BF37+'QTR Raw'!BF39</f>
        <v>0</v>
      </c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E96" s="123"/>
      <c r="DF96" s="23">
        <v>0</v>
      </c>
    </row>
    <row r="97" spans="1:110" s="26" customFormat="1" x14ac:dyDescent="0.2">
      <c r="A97" s="35" t="s">
        <v>25</v>
      </c>
      <c r="B97" s="26">
        <f>B90+B94+B95+B96</f>
        <v>1.0885460999999976</v>
      </c>
      <c r="C97" s="26">
        <f>C90+C94+C95+C96</f>
        <v>3.7942286999999997</v>
      </c>
      <c r="D97" s="26">
        <f>D90+D94+D95+D96</f>
        <v>4.1168079000000057</v>
      </c>
      <c r="E97" s="26">
        <f t="shared" ref="E97:U97" si="877">E90+E94+E95+E96</f>
        <v>7.1147343999999917</v>
      </c>
      <c r="F97" s="26">
        <f t="shared" si="877"/>
        <v>4.5831009000000069</v>
      </c>
      <c r="G97" s="26">
        <f t="shared" si="877"/>
        <v>8.7849693999999872</v>
      </c>
      <c r="H97" s="26">
        <f t="shared" si="877"/>
        <v>10.036994099999998</v>
      </c>
      <c r="I97" s="26">
        <f t="shared" si="877"/>
        <v>12.990171700000015</v>
      </c>
      <c r="J97" s="26">
        <f t="shared" si="877"/>
        <v>15.062612500000009</v>
      </c>
      <c r="K97" s="26">
        <f t="shared" si="877"/>
        <v>20.41697900000004</v>
      </c>
      <c r="L97" s="26">
        <f t="shared" si="877"/>
        <v>26.589441200000017</v>
      </c>
      <c r="M97" s="26">
        <f t="shared" si="877"/>
        <v>35.640683100000082</v>
      </c>
      <c r="N97" s="26">
        <f t="shared" si="877"/>
        <v>31.168801199999962</v>
      </c>
      <c r="O97" s="26">
        <f t="shared" si="877"/>
        <v>33.507600000000025</v>
      </c>
      <c r="P97" s="26">
        <f t="shared" si="877"/>
        <v>34.272019599999986</v>
      </c>
      <c r="Q97" s="26">
        <f t="shared" si="877"/>
        <v>57.613420699999978</v>
      </c>
      <c r="R97" s="26">
        <f t="shared" si="877"/>
        <v>82.35177740000006</v>
      </c>
      <c r="S97" s="26">
        <f t="shared" si="877"/>
        <v>113.18100399999992</v>
      </c>
      <c r="T97" s="26">
        <f t="shared" si="877"/>
        <v>117.53301579999996</v>
      </c>
      <c r="U97" s="26">
        <f t="shared" si="877"/>
        <v>104.79752690000002</v>
      </c>
      <c r="V97" s="26">
        <f>V90+V94+V95+V96</f>
        <v>238.19249999999997</v>
      </c>
      <c r="W97" s="26">
        <f>W90+W94+W95+W96</f>
        <v>368.41879999999998</v>
      </c>
      <c r="X97" s="26">
        <f>X90+X94+X95+X96</f>
        <v>325.52000000000032</v>
      </c>
      <c r="Y97" s="26">
        <f>Y90+Y94+Y95+Y96</f>
        <v>204.85360000000011</v>
      </c>
      <c r="Z97" s="26">
        <f>Z90+Z94+Z95+Z96</f>
        <v>157.5209999999999</v>
      </c>
      <c r="AA97" s="26">
        <f>AA90+AA94+AA95+AA96</f>
        <v>165.52830000000029</v>
      </c>
      <c r="AB97" s="27">
        <f t="shared" ref="AA97:AD97" si="878">AB90+AB94+AB95+AB96</f>
        <v>249.6415110528385</v>
      </c>
      <c r="AC97" s="27">
        <f t="shared" si="878"/>
        <v>333.48597969850317</v>
      </c>
      <c r="AD97" s="27">
        <f t="shared" si="878"/>
        <v>472.82167905438581</v>
      </c>
      <c r="AE97" s="27">
        <f t="shared" ref="AE97" si="879">AE90+AE94+AE95+AE96</f>
        <v>719.5162512500201</v>
      </c>
      <c r="AI97" s="26">
        <f t="shared" ref="AI97" si="880">AI90+AI94+AI95+AI96</f>
        <v>9.3669999999999902</v>
      </c>
      <c r="AJ97" s="26">
        <f t="shared" ref="AJ97" si="881">AJ90+AJ94+AJ95+AJ96</f>
        <v>8.8910000000000018</v>
      </c>
      <c r="AK97" s="26">
        <f t="shared" ref="AK97:AM97" si="882">AK90+AK94+AK95+AK96</f>
        <v>7.1929999999999925</v>
      </c>
      <c r="AL97" s="26">
        <f t="shared" si="882"/>
        <v>5.6999999999999922</v>
      </c>
      <c r="AM97" s="26">
        <f t="shared" si="882"/>
        <v>8.5100000000000016</v>
      </c>
      <c r="AN97" s="26">
        <f t="shared" ref="AN97:AO97" si="883">AN90+AN94+AN95+AN96</f>
        <v>11.735000000000017</v>
      </c>
      <c r="AO97" s="26">
        <f t="shared" si="883"/>
        <v>4.1999999999999762</v>
      </c>
      <c r="AP97" s="26">
        <f t="shared" ref="AP97:CD97" si="884">AP90+AP94+AP95+AP96</f>
        <v>9.0900000000000087</v>
      </c>
      <c r="AQ97" s="26">
        <f t="shared" si="884"/>
        <v>9.3100000000000112</v>
      </c>
      <c r="AR97" s="26">
        <f t="shared" si="884"/>
        <v>9.0879999999999939</v>
      </c>
      <c r="AS97" s="26">
        <f t="shared" si="884"/>
        <v>6.1929999999999961</v>
      </c>
      <c r="AT97" s="26">
        <f t="shared" si="884"/>
        <v>11.76900000000002</v>
      </c>
      <c r="AU97" s="26">
        <f t="shared" si="884"/>
        <v>12.81600000000001</v>
      </c>
      <c r="AV97" s="26">
        <f t="shared" si="884"/>
        <v>11.813999999999993</v>
      </c>
      <c r="AW97" s="26">
        <f t="shared" si="884"/>
        <v>13.306000000000003</v>
      </c>
      <c r="AX97" s="26">
        <f t="shared" si="884"/>
        <v>23.336000000000013</v>
      </c>
      <c r="AY97" s="26">
        <f t="shared" si="884"/>
        <v>26.340000000000007</v>
      </c>
      <c r="AZ97" s="26">
        <f t="shared" si="884"/>
        <v>21.730000000000004</v>
      </c>
      <c r="BA97" s="26">
        <f t="shared" si="884"/>
        <v>19.629999999999992</v>
      </c>
      <c r="BB97" s="26">
        <f t="shared" si="884"/>
        <v>17.873999999999985</v>
      </c>
      <c r="BC97" s="26">
        <f t="shared" si="884"/>
        <v>22.754999999999988</v>
      </c>
      <c r="BD97" s="26">
        <f t="shared" si="884"/>
        <v>29.163000000000029</v>
      </c>
      <c r="BE97" s="26">
        <f t="shared" si="884"/>
        <v>28.085999999999984</v>
      </c>
      <c r="BF97" s="26">
        <f t="shared" si="884"/>
        <v>33.175999999999938</v>
      </c>
      <c r="BG97" s="26">
        <f t="shared" si="884"/>
        <v>33.824000000000026</v>
      </c>
      <c r="BH97" s="26">
        <f t="shared" si="884"/>
        <v>30.981000000000005</v>
      </c>
      <c r="BI97" s="26">
        <f t="shared" si="884"/>
        <v>26.271999999999981</v>
      </c>
      <c r="BJ97" s="26">
        <f t="shared" si="884"/>
        <v>26.453000000000014</v>
      </c>
      <c r="BK97" s="26">
        <f t="shared" si="884"/>
        <v>19.147999999999996</v>
      </c>
      <c r="BL97" s="26">
        <f t="shared" si="884"/>
        <v>31.426999999999992</v>
      </c>
      <c r="BM97" s="26">
        <f t="shared" si="884"/>
        <v>23.408000000000005</v>
      </c>
      <c r="BN97" s="26">
        <f t="shared" si="884"/>
        <v>30.813999999999993</v>
      </c>
      <c r="BO97" s="26">
        <f t="shared" si="884"/>
        <v>32.964000000000013</v>
      </c>
      <c r="BP97" s="26">
        <f t="shared" si="884"/>
        <v>45.760000000000005</v>
      </c>
      <c r="BQ97" s="26">
        <f t="shared" si="884"/>
        <v>74.970000000000013</v>
      </c>
      <c r="BR97" s="26">
        <f t="shared" si="884"/>
        <v>84.499000000000009</v>
      </c>
      <c r="BS97" s="26">
        <f t="shared" si="884"/>
        <v>90.384999999999977</v>
      </c>
      <c r="BT97" s="26">
        <f t="shared" si="884"/>
        <v>79.75099999999992</v>
      </c>
      <c r="BU97" s="26">
        <f t="shared" si="884"/>
        <v>89.554999999999964</v>
      </c>
      <c r="BV97" s="26">
        <f t="shared" si="884"/>
        <v>108.72300000000004</v>
      </c>
      <c r="BW97" s="26">
        <f t="shared" si="884"/>
        <v>122.96800000000005</v>
      </c>
      <c r="BX97" s="26">
        <f t="shared" si="884"/>
        <v>92.570000000000007</v>
      </c>
      <c r="BY97" s="26">
        <f t="shared" si="884"/>
        <v>62.570999999999998</v>
      </c>
      <c r="BZ97" s="26">
        <f t="shared" si="884"/>
        <v>47.408999999999963</v>
      </c>
      <c r="CA97" s="26">
        <f t="shared" si="884"/>
        <v>52.732000000000014</v>
      </c>
      <c r="CB97" s="26">
        <f t="shared" si="884"/>
        <v>34.711000000000013</v>
      </c>
      <c r="CC97" s="26">
        <f t="shared" si="884"/>
        <v>49.373000000000047</v>
      </c>
      <c r="CD97" s="26">
        <f t="shared" si="884"/>
        <v>68.03400000000002</v>
      </c>
      <c r="CE97" s="26">
        <f t="shared" ref="CE97:CF97" si="885">CE90+CE94+CE95+CE96</f>
        <v>43.292999999999999</v>
      </c>
      <c r="CF97" s="26">
        <f t="shared" si="885"/>
        <v>40.97999999999999</v>
      </c>
      <c r="CG97" s="26">
        <f t="shared" ref="CG97:CH97" si="886">CG90+CG94+CG95+CG96</f>
        <v>33.184000000000026</v>
      </c>
      <c r="CH97" s="26">
        <f t="shared" si="886"/>
        <v>40.062000000000019</v>
      </c>
      <c r="CI97" s="26">
        <f t="shared" ref="CI97:CJ97" si="887">CI90+CI94+CI95+CI96</f>
        <v>38.000999999999991</v>
      </c>
      <c r="CJ97" s="26">
        <f t="shared" si="887"/>
        <v>34.559000000000005</v>
      </c>
      <c r="CK97" s="26">
        <f t="shared" ref="CK97:CL97" si="888">CK90+CK94+CK95+CK96</f>
        <v>31.434000000000008</v>
      </c>
      <c r="CL97" s="26">
        <f t="shared" si="888"/>
        <v>63.206000000000017</v>
      </c>
      <c r="CM97" s="27">
        <f t="shared" ref="CM97:DB97" si="889">CM90+CM94+CM95+CM96</f>
        <v>61.649612629082718</v>
      </c>
      <c r="CN97" s="27">
        <f t="shared" si="889"/>
        <v>66.065665135433221</v>
      </c>
      <c r="CO97" s="27">
        <f t="shared" si="889"/>
        <v>58.791619479230988</v>
      </c>
      <c r="CP97" s="27">
        <f t="shared" si="889"/>
        <v>63.134613809091562</v>
      </c>
      <c r="CQ97" s="27">
        <f t="shared" si="889"/>
        <v>84.929568732429772</v>
      </c>
      <c r="CR97" s="27">
        <f t="shared" si="889"/>
        <v>78.926851499311013</v>
      </c>
      <c r="CS97" s="27">
        <f t="shared" si="889"/>
        <v>73.070188340675415</v>
      </c>
      <c r="CT97" s="27">
        <f t="shared" si="889"/>
        <v>96.559371126087257</v>
      </c>
      <c r="CU97" s="27">
        <f t="shared" si="889"/>
        <v>110.38874465689045</v>
      </c>
      <c r="CV97" s="27">
        <f t="shared" si="889"/>
        <v>113.30660942752874</v>
      </c>
      <c r="CW97" s="27">
        <f t="shared" si="889"/>
        <v>109.40338367156926</v>
      </c>
      <c r="CX97" s="27">
        <f t="shared" si="889"/>
        <v>139.72294129839739</v>
      </c>
      <c r="CY97" s="27">
        <f t="shared" si="889"/>
        <v>166.67365737070574</v>
      </c>
      <c r="CZ97" s="27">
        <f t="shared" si="889"/>
        <v>171.74510532392941</v>
      </c>
      <c r="DA97" s="27">
        <f t="shared" si="889"/>
        <v>165.7320066019779</v>
      </c>
      <c r="DB97" s="27">
        <f t="shared" si="889"/>
        <v>215.36548195340788</v>
      </c>
      <c r="DE97" s="121"/>
      <c r="DF97" s="26">
        <v>50.380630503937923</v>
      </c>
    </row>
    <row r="98" spans="1:110" s="25" customFormat="1" x14ac:dyDescent="0.2">
      <c r="A98" s="151" t="s">
        <v>486</v>
      </c>
      <c r="AB98" s="17"/>
      <c r="AC98" s="17"/>
      <c r="AD98" s="17"/>
      <c r="AE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</row>
    <row r="99" spans="1:110" s="1" customFormat="1" x14ac:dyDescent="0.2">
      <c r="AB99" s="20"/>
      <c r="AC99" s="20"/>
      <c r="AD99" s="20"/>
      <c r="AE99" s="20"/>
      <c r="BV99" s="182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22" customFormat="1" x14ac:dyDescent="0.2">
      <c r="A100" s="22" t="s">
        <v>434</v>
      </c>
      <c r="B100" s="22">
        <f>'Annual Raw'!C35</f>
        <v>1.0885461000000001</v>
      </c>
      <c r="C100" s="22">
        <f>'Annual Raw'!D35</f>
        <v>3.7942287000000001</v>
      </c>
      <c r="D100" s="22">
        <f>'Annual Raw'!E35</f>
        <v>4.1168079000000004</v>
      </c>
      <c r="E100" s="22">
        <f>'Annual Raw'!F35</f>
        <v>7.1147343999999997</v>
      </c>
      <c r="F100" s="22">
        <f>'Annual Raw'!G35</f>
        <v>4.5831008999999998</v>
      </c>
      <c r="G100" s="22">
        <f>'Annual Raw'!H35</f>
        <v>8.7849693999999996</v>
      </c>
      <c r="H100" s="22">
        <f>'Annual Raw'!I35</f>
        <v>10.036994099999999</v>
      </c>
      <c r="I100" s="22">
        <f>'Annual Raw'!J35</f>
        <v>12.990171699999999</v>
      </c>
      <c r="J100" s="22">
        <f>'Annual Raw'!K35</f>
        <v>15.0626125</v>
      </c>
      <c r="K100" s="22">
        <f>'Annual Raw'!L35</f>
        <v>20.416979000000001</v>
      </c>
      <c r="L100" s="22">
        <f>'Annual Raw'!M35</f>
        <v>26.5894412</v>
      </c>
      <c r="M100" s="22">
        <f>'Annual Raw'!N35</f>
        <v>35.640683099999997</v>
      </c>
      <c r="N100" s="22">
        <f>'Annual Raw'!O35</f>
        <v>31.168801200000001</v>
      </c>
      <c r="O100" s="22">
        <f>'Annual Raw'!P35</f>
        <v>33.507599999999996</v>
      </c>
      <c r="P100" s="22">
        <f>'Annual Raw'!Q35</f>
        <v>34.2720196</v>
      </c>
      <c r="Q100" s="22">
        <f>'Annual Raw'!R35</f>
        <v>57.613420699999999</v>
      </c>
      <c r="R100" s="22">
        <f>'Annual Raw'!S35</f>
        <v>82.351777400000003</v>
      </c>
      <c r="S100" s="22">
        <f>'Annual Raw'!T35</f>
        <v>113.181004</v>
      </c>
      <c r="T100" s="22">
        <f>'Annual Raw'!U35</f>
        <v>117.5330158</v>
      </c>
      <c r="U100" s="22">
        <f>'Annual Raw'!V35</f>
        <v>104.79752689999999</v>
      </c>
      <c r="V100" s="22">
        <f>'Annual Raw'!W35</f>
        <v>238.1925</v>
      </c>
      <c r="W100" s="22">
        <f>'Annual Raw'!X35</f>
        <v>368.41879999999998</v>
      </c>
      <c r="X100" s="22">
        <f>'Annual Raw'!Y35</f>
        <v>325.52</v>
      </c>
      <c r="Y100" s="22">
        <f>'Annual Raw'!Z35</f>
        <v>204.8536</v>
      </c>
      <c r="Z100" s="22">
        <f>'Annual Raw'!AA35</f>
        <v>157.52099999999999</v>
      </c>
      <c r="AA100" s="22">
        <f>'Annual Raw'!AB35</f>
        <v>165.5283</v>
      </c>
      <c r="AB100" s="21">
        <f t="shared" ref="AA100:AD100" si="890">+AB97</f>
        <v>249.6415110528385</v>
      </c>
      <c r="AC100" s="21">
        <f t="shared" si="890"/>
        <v>333.48597969850317</v>
      </c>
      <c r="AD100" s="21">
        <f t="shared" si="890"/>
        <v>472.82167905438581</v>
      </c>
      <c r="AE100" s="21">
        <f t="shared" ref="AE100" si="891">+AE97</f>
        <v>719.5162512500201</v>
      </c>
      <c r="AI100" s="22">
        <f>'QTR Raw'!C42</f>
        <v>9.3670000000000009</v>
      </c>
      <c r="AJ100" s="22">
        <f>'QTR Raw'!D42</f>
        <v>8.891</v>
      </c>
      <c r="AK100" s="22">
        <f>'QTR Raw'!E42</f>
        <v>7.1929999999999996</v>
      </c>
      <c r="AL100" s="22">
        <f>'QTR Raw'!F42</f>
        <v>5.7</v>
      </c>
      <c r="AM100" s="22">
        <f>'QTR Raw'!G42</f>
        <v>8.51</v>
      </c>
      <c r="AN100" s="22">
        <f>'QTR Raw'!H42</f>
        <v>11.734999999999999</v>
      </c>
      <c r="AO100" s="22">
        <f>'QTR Raw'!I42</f>
        <v>4.2</v>
      </c>
      <c r="AP100" s="22">
        <f>'QTR Raw'!J42</f>
        <v>9.09</v>
      </c>
      <c r="AQ100" s="22">
        <f>'QTR Raw'!K42</f>
        <v>9.31</v>
      </c>
      <c r="AR100" s="22">
        <f>'QTR Raw'!L42</f>
        <v>9.0850000000000009</v>
      </c>
      <c r="AS100" s="22">
        <f>'QTR Raw'!M42</f>
        <v>6.194</v>
      </c>
      <c r="AT100" s="22">
        <f>'QTR Raw'!N42</f>
        <v>11.769</v>
      </c>
      <c r="AU100" s="22">
        <f>'QTR Raw'!O42</f>
        <v>12.817</v>
      </c>
      <c r="AV100" s="22">
        <f>'QTR Raw'!P42</f>
        <v>11.813000000000001</v>
      </c>
      <c r="AW100" s="22">
        <f>'QTR Raw'!Q42</f>
        <v>13.305999999999999</v>
      </c>
      <c r="AX100" s="22">
        <f>'QTR Raw'!R42</f>
        <v>23.335999999999999</v>
      </c>
      <c r="AY100" s="22">
        <f>'QTR Raw'!S42</f>
        <v>26.341000000000001</v>
      </c>
      <c r="AZ100" s="22">
        <f>'QTR Raw'!T42</f>
        <v>21.731000000000002</v>
      </c>
      <c r="BA100" s="22">
        <f>'QTR Raw'!U42</f>
        <v>19.629000000000001</v>
      </c>
      <c r="BB100" s="22">
        <f>'QTR Raw'!V42</f>
        <v>17.873000000000001</v>
      </c>
      <c r="BC100" s="22">
        <f>'QTR Raw'!W42</f>
        <v>22.754999999999999</v>
      </c>
      <c r="BD100" s="22">
        <f>'QTR Raw'!X42</f>
        <v>29.164000000000001</v>
      </c>
      <c r="BE100" s="22">
        <f>'QTR Raw'!Y42</f>
        <v>28.087</v>
      </c>
      <c r="BF100" s="22">
        <f>'QTR Raw'!Z42</f>
        <v>33.176000000000002</v>
      </c>
      <c r="BG100" s="22">
        <f>'QTR Raw'!AA42</f>
        <v>33.823</v>
      </c>
      <c r="BH100" s="22">
        <f>'QTR Raw'!AB42</f>
        <v>30.981000000000002</v>
      </c>
      <c r="BI100" s="22">
        <f>'QTR Raw'!AC42</f>
        <v>26.274000000000001</v>
      </c>
      <c r="BJ100" s="22">
        <f>'QTR Raw'!AD42</f>
        <v>26.454999999999998</v>
      </c>
      <c r="BK100" s="22">
        <f>'QTR Raw'!AE42</f>
        <v>19.146999999999998</v>
      </c>
      <c r="BL100" s="22">
        <f>'QTR Raw'!AF42</f>
        <v>31.427</v>
      </c>
      <c r="BM100" s="22">
        <f>'QTR Raw'!AG42</f>
        <v>23.408999999999999</v>
      </c>
      <c r="BN100" s="22">
        <f>'QTR Raw'!AH42</f>
        <v>30.815000000000001</v>
      </c>
      <c r="BO100" s="22">
        <f>'QTR Raw'!AI42</f>
        <v>32.963999999999999</v>
      </c>
      <c r="BP100" s="22">
        <f>'QTR Raw'!AJ42</f>
        <v>45.759</v>
      </c>
      <c r="BQ100" s="22">
        <f>'QTR Raw'!AK42</f>
        <v>74.971999999999994</v>
      </c>
      <c r="BR100" s="22">
        <f>'QTR Raw'!AL42</f>
        <v>84.498000000000005</v>
      </c>
      <c r="BS100" s="22">
        <f>'QTR Raw'!AM42</f>
        <v>90.384</v>
      </c>
      <c r="BT100" s="22">
        <f>'QTR Raw'!AN42</f>
        <v>79.751999999999995</v>
      </c>
      <c r="BU100" s="22">
        <f>'QTR Raw'!AO42</f>
        <v>89.558000000000007</v>
      </c>
      <c r="BV100" s="22">
        <f>'QTR Raw'!AP42</f>
        <v>108.723</v>
      </c>
      <c r="BW100" s="22">
        <f>'QTR Raw'!AQ42</f>
        <v>122.968</v>
      </c>
      <c r="BX100" s="22">
        <f>'QTR Raw'!AR42</f>
        <v>92.57</v>
      </c>
      <c r="BY100" s="22">
        <f>'QTR Raw'!AS42</f>
        <v>62.572000000000003</v>
      </c>
      <c r="BZ100" s="22">
        <f>'QTR Raw'!AT42</f>
        <v>47.41</v>
      </c>
      <c r="CA100" s="22">
        <f>'QTR Raw'!AU42</f>
        <v>52.732999999999997</v>
      </c>
      <c r="CB100" s="22">
        <f>'QTR Raw'!AV42</f>
        <v>34.713000000000001</v>
      </c>
      <c r="CC100" s="22">
        <f>'QTR Raw'!AW42</f>
        <v>49.374000000000002</v>
      </c>
      <c r="CD100" s="22">
        <f>'QTR Raw'!AX42</f>
        <v>68.034000000000006</v>
      </c>
      <c r="CE100" s="22">
        <f>'QTR Raw'!AY42</f>
        <v>43.292000000000002</v>
      </c>
      <c r="CF100" s="22">
        <f>'QTR Raw'!AZ42</f>
        <v>40.98</v>
      </c>
      <c r="CG100" s="22">
        <f>'QTR Raw'!BA42</f>
        <v>33.186</v>
      </c>
      <c r="CH100" s="22">
        <f>'QTR Raw'!BB42</f>
        <v>40.061999999999998</v>
      </c>
      <c r="CI100" s="22">
        <f>'QTR Raw'!BC42</f>
        <v>38</v>
      </c>
      <c r="CJ100" s="22">
        <f>'QTR Raw'!BD42</f>
        <v>34.558999999999997</v>
      </c>
      <c r="CK100" s="22">
        <f>'QTR Raw'!BE42</f>
        <v>31.433</v>
      </c>
      <c r="CL100" s="22">
        <f>'QTR Raw'!BF42</f>
        <v>63.207999999999998</v>
      </c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  <c r="DF100" s="22">
        <v>167.20000000000013</v>
      </c>
    </row>
    <row r="101" spans="1:110" s="25" customFormat="1" x14ac:dyDescent="0.2">
      <c r="A101" s="36" t="s">
        <v>435</v>
      </c>
      <c r="B101" s="25">
        <f t="shared" ref="B101:V101" si="892">B100-B97</f>
        <v>2.4424906541753444E-15</v>
      </c>
      <c r="C101" s="25">
        <f>C100-C97</f>
        <v>0</v>
      </c>
      <c r="D101" s="25">
        <f t="shared" si="892"/>
        <v>0</v>
      </c>
      <c r="E101" s="25">
        <f t="shared" si="892"/>
        <v>7.9936057773011271E-15</v>
      </c>
      <c r="F101" s="25">
        <f t="shared" si="892"/>
        <v>-7.1054273576010019E-15</v>
      </c>
      <c r="G101" s="25">
        <f t="shared" si="892"/>
        <v>0</v>
      </c>
      <c r="H101" s="25">
        <f t="shared" si="892"/>
        <v>0</v>
      </c>
      <c r="I101" s="25">
        <f t="shared" si="892"/>
        <v>-1.5987211554602254E-14</v>
      </c>
      <c r="J101" s="25">
        <f t="shared" si="892"/>
        <v>0</v>
      </c>
      <c r="K101" s="25">
        <f t="shared" si="892"/>
        <v>-3.907985046680551E-14</v>
      </c>
      <c r="L101" s="25">
        <f t="shared" si="892"/>
        <v>0</v>
      </c>
      <c r="M101" s="25">
        <f t="shared" si="892"/>
        <v>-8.5265128291212022E-14</v>
      </c>
      <c r="N101" s="25">
        <f t="shared" si="892"/>
        <v>3.907985046680551E-14</v>
      </c>
      <c r="O101" s="25">
        <f t="shared" si="892"/>
        <v>0</v>
      </c>
      <c r="P101" s="25">
        <f t="shared" si="892"/>
        <v>0</v>
      </c>
      <c r="Q101" s="25">
        <f t="shared" si="892"/>
        <v>0</v>
      </c>
      <c r="R101" s="25">
        <f t="shared" si="892"/>
        <v>0</v>
      </c>
      <c r="S101" s="25">
        <f t="shared" si="892"/>
        <v>0</v>
      </c>
      <c r="T101" s="25">
        <f t="shared" si="892"/>
        <v>0</v>
      </c>
      <c r="U101" s="25">
        <f t="shared" si="892"/>
        <v>0</v>
      </c>
      <c r="V101" s="25">
        <f t="shared" si="892"/>
        <v>0</v>
      </c>
      <c r="W101" s="25">
        <f t="shared" ref="W101" si="893">W100-W97</f>
        <v>0</v>
      </c>
      <c r="X101" s="25">
        <f t="shared" ref="X101:Y101" si="894">X100-X97</f>
        <v>0</v>
      </c>
      <c r="Y101" s="25">
        <f t="shared" si="894"/>
        <v>0</v>
      </c>
      <c r="Z101" s="25">
        <f t="shared" ref="Z101:AA101" si="895">Z100-Z97</f>
        <v>0</v>
      </c>
      <c r="AA101" s="25">
        <f t="shared" si="895"/>
        <v>-2.8421709430404007E-13</v>
      </c>
      <c r="AB101" s="17">
        <f t="shared" ref="AA101:AD101" si="896">AB100-AB97</f>
        <v>0</v>
      </c>
      <c r="AC101" s="17">
        <f t="shared" si="896"/>
        <v>0</v>
      </c>
      <c r="AD101" s="17">
        <f t="shared" si="896"/>
        <v>0</v>
      </c>
      <c r="AE101" s="17">
        <f t="shared" ref="AE101" si="897">AE100-AE97</f>
        <v>0</v>
      </c>
      <c r="AI101" s="25">
        <f t="shared" ref="AI101" si="898">AI100-AI97</f>
        <v>0</v>
      </c>
      <c r="AJ101" s="25">
        <f t="shared" ref="AJ101" si="899">AJ100-AJ97</f>
        <v>0</v>
      </c>
      <c r="AK101" s="25">
        <f t="shared" ref="AK101:AM101" si="900">AK100-AK97</f>
        <v>7.1054273576010019E-15</v>
      </c>
      <c r="AL101" s="25">
        <f t="shared" si="900"/>
        <v>7.9936057773011271E-15</v>
      </c>
      <c r="AM101" s="25">
        <f t="shared" si="900"/>
        <v>0</v>
      </c>
      <c r="AN101" s="25">
        <f t="shared" ref="AN101:AO101" si="901">AN100-AN97</f>
        <v>-1.7763568394002505E-14</v>
      </c>
      <c r="AO101" s="25">
        <f t="shared" si="901"/>
        <v>2.3980817331903381E-14</v>
      </c>
      <c r="AP101" s="25">
        <f t="shared" ref="AP101:CD101" si="902">AP100-AP97</f>
        <v>0</v>
      </c>
      <c r="AQ101" s="25">
        <f t="shared" si="902"/>
        <v>0</v>
      </c>
      <c r="AR101" s="25">
        <f t="shared" si="902"/>
        <v>-2.9999999999930083E-3</v>
      </c>
      <c r="AS101" s="25">
        <f t="shared" si="902"/>
        <v>1.0000000000038867E-3</v>
      </c>
      <c r="AT101" s="25">
        <f t="shared" si="902"/>
        <v>-1.9539925233402755E-14</v>
      </c>
      <c r="AU101" s="25">
        <f t="shared" si="902"/>
        <v>9.9999999999056399E-4</v>
      </c>
      <c r="AV101" s="25">
        <f t="shared" si="902"/>
        <v>-9.9999999999234035E-4</v>
      </c>
      <c r="AW101" s="25">
        <f t="shared" si="902"/>
        <v>0</v>
      </c>
      <c r="AX101" s="25">
        <f t="shared" si="902"/>
        <v>0</v>
      </c>
      <c r="AY101" s="25">
        <f t="shared" si="902"/>
        <v>9.9999999999411671E-4</v>
      </c>
      <c r="AZ101" s="25">
        <f t="shared" si="902"/>
        <v>9.9999999999766942E-4</v>
      </c>
      <c r="BA101" s="25">
        <f t="shared" si="902"/>
        <v>-9.9999999999056399E-4</v>
      </c>
      <c r="BB101" s="25">
        <f t="shared" si="902"/>
        <v>-9.9999999998345857E-4</v>
      </c>
      <c r="BC101" s="25">
        <f t="shared" si="902"/>
        <v>0</v>
      </c>
      <c r="BD101" s="25">
        <f t="shared" si="902"/>
        <v>9.9999999997280042E-4</v>
      </c>
      <c r="BE101" s="25">
        <f t="shared" si="902"/>
        <v>1.000000000015433E-3</v>
      </c>
      <c r="BF101" s="25">
        <f t="shared" si="902"/>
        <v>6.3948846218409017E-14</v>
      </c>
      <c r="BG101" s="25">
        <f t="shared" si="902"/>
        <v>-1.0000000000260911E-3</v>
      </c>
      <c r="BH101" s="25">
        <f t="shared" si="902"/>
        <v>0</v>
      </c>
      <c r="BI101" s="25">
        <f t="shared" si="902"/>
        <v>2.0000000000202078E-3</v>
      </c>
      <c r="BJ101" s="25">
        <f t="shared" si="902"/>
        <v>1.9999999999846807E-3</v>
      </c>
      <c r="BK101" s="25">
        <f t="shared" si="902"/>
        <v>-9.9999999999766942E-4</v>
      </c>
      <c r="BL101" s="25">
        <f t="shared" si="902"/>
        <v>0</v>
      </c>
      <c r="BM101" s="25">
        <f t="shared" si="902"/>
        <v>9.9999999999411671E-4</v>
      </c>
      <c r="BN101" s="25">
        <f t="shared" si="902"/>
        <v>1.0000000000083276E-3</v>
      </c>
      <c r="BO101" s="25">
        <f t="shared" si="902"/>
        <v>0</v>
      </c>
      <c r="BP101" s="25">
        <f t="shared" si="902"/>
        <v>-1.0000000000047748E-3</v>
      </c>
      <c r="BQ101" s="25">
        <f t="shared" si="902"/>
        <v>1.999999999981128E-3</v>
      </c>
      <c r="BR101" s="25">
        <f t="shared" si="902"/>
        <v>-1.0000000000047748E-3</v>
      </c>
      <c r="BS101" s="25">
        <f t="shared" si="902"/>
        <v>-9.9999999997635314E-4</v>
      </c>
      <c r="BT101" s="25">
        <f t="shared" si="902"/>
        <v>1.0000000000758291E-3</v>
      </c>
      <c r="BU101" s="25">
        <f t="shared" si="902"/>
        <v>3.0000000000427463E-3</v>
      </c>
      <c r="BV101" s="25">
        <f t="shared" si="902"/>
        <v>0</v>
      </c>
      <c r="BW101" s="25">
        <f t="shared" si="902"/>
        <v>0</v>
      </c>
      <c r="BX101" s="25">
        <f t="shared" si="902"/>
        <v>0</v>
      </c>
      <c r="BY101" s="25">
        <f t="shared" si="902"/>
        <v>1.0000000000047748E-3</v>
      </c>
      <c r="BZ101" s="25">
        <f t="shared" si="902"/>
        <v>1.0000000000331966E-3</v>
      </c>
      <c r="CA101" s="25">
        <f t="shared" si="902"/>
        <v>9.9999999998345857E-4</v>
      </c>
      <c r="CB101" s="25">
        <f t="shared" si="902"/>
        <v>1.9999999999882334E-3</v>
      </c>
      <c r="CC101" s="25">
        <f t="shared" si="902"/>
        <v>9.9999999995503686E-4</v>
      </c>
      <c r="CD101" s="25">
        <f t="shared" si="902"/>
        <v>0</v>
      </c>
      <c r="CE101" s="25">
        <f t="shared" ref="CE101:CF101" si="903">CE100-CE97</f>
        <v>-9.9999999999766942E-4</v>
      </c>
      <c r="CF101" s="25">
        <f t="shared" si="903"/>
        <v>0</v>
      </c>
      <c r="CG101" s="25">
        <f t="shared" ref="CG101:CH101" si="904">CG100-CG97</f>
        <v>1.9999999999740226E-3</v>
      </c>
      <c r="CH101" s="25">
        <f t="shared" si="904"/>
        <v>0</v>
      </c>
      <c r="CI101" s="25">
        <f t="shared" ref="CI101:CJ101" si="905">CI100-CI97</f>
        <v>-9.9999999999056399E-4</v>
      </c>
      <c r="CJ101" s="25">
        <f t="shared" si="905"/>
        <v>0</v>
      </c>
      <c r="CK101" s="25">
        <f t="shared" ref="CK101:CL101" si="906">CK100-CK97</f>
        <v>-1.0000000000083276E-3</v>
      </c>
      <c r="CL101" s="25">
        <f t="shared" si="906"/>
        <v>1.999999999981128E-3</v>
      </c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  <c r="DF101" s="25">
        <v>0</v>
      </c>
    </row>
    <row r="102" spans="1:110" s="1" customFormat="1" x14ac:dyDescent="0.2">
      <c r="A102" s="150" t="s">
        <v>487</v>
      </c>
      <c r="AB102" s="20"/>
      <c r="AC102" s="20"/>
      <c r="AD102" s="20"/>
      <c r="AE102" s="20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0" s="38" customFormat="1" x14ac:dyDescent="0.2">
      <c r="A103" s="38" t="s">
        <v>350</v>
      </c>
      <c r="B103" s="39">
        <f t="shared" ref="B103:AE103" si="907">(B97-B96)/B169</f>
        <v>9.6005011275811333E-2</v>
      </c>
      <c r="C103" s="39">
        <f t="shared" si="907"/>
        <v>0.31355010382766807</v>
      </c>
      <c r="D103" s="39">
        <f t="shared" si="907"/>
        <v>0.26770355425727077</v>
      </c>
      <c r="E103" s="39">
        <f t="shared" si="907"/>
        <v>0.33006338488095216</v>
      </c>
      <c r="F103" s="39">
        <f t="shared" si="907"/>
        <v>0.18021539398169675</v>
      </c>
      <c r="G103" s="39">
        <f t="shared" si="907"/>
        <v>0.27025885923624227</v>
      </c>
      <c r="H103" s="39">
        <f t="shared" si="907"/>
        <v>0.2272356589028155</v>
      </c>
      <c r="I103" s="39">
        <f t="shared" si="907"/>
        <v>0.23175674325912915</v>
      </c>
      <c r="J103" s="39">
        <f t="shared" si="907"/>
        <v>0.21631145534518206</v>
      </c>
      <c r="K103" s="39">
        <f t="shared" si="907"/>
        <v>0.23160184269771159</v>
      </c>
      <c r="L103" s="39">
        <f t="shared" si="907"/>
        <v>0.23639679823991211</v>
      </c>
      <c r="M103" s="39">
        <f t="shared" si="907"/>
        <v>0.24016583454984133</v>
      </c>
      <c r="N103" s="39">
        <f t="shared" si="907"/>
        <v>0.181177158290205</v>
      </c>
      <c r="O103" s="39">
        <f t="shared" si="907"/>
        <v>0.16660410071345089</v>
      </c>
      <c r="P103" s="39">
        <f t="shared" si="907"/>
        <v>0.15037312888621671</v>
      </c>
      <c r="Q103" s="39">
        <f t="shared" si="907"/>
        <v>0.20707647846397895</v>
      </c>
      <c r="R103" s="39">
        <f t="shared" si="907"/>
        <v>0.22521245136014723</v>
      </c>
      <c r="S103" s="39">
        <f t="shared" si="907"/>
        <v>0.24104185998971439</v>
      </c>
      <c r="T103" s="39">
        <f t="shared" si="907"/>
        <v>0.20459841812061227</v>
      </c>
      <c r="U103" s="39">
        <f t="shared" si="907"/>
        <v>0.15923255282798771</v>
      </c>
      <c r="V103" s="39">
        <f t="shared" si="907"/>
        <v>0.26631844415041406</v>
      </c>
      <c r="W103" s="39">
        <f t="shared" si="907"/>
        <v>0.29477081338591254</v>
      </c>
      <c r="X103" s="39">
        <f t="shared" si="907"/>
        <v>0.20944075162927514</v>
      </c>
      <c r="Y103" s="39">
        <f t="shared" si="907"/>
        <v>0.11897239854013537</v>
      </c>
      <c r="Z103" s="39">
        <f t="shared" si="907"/>
        <v>8.5374547283903909E-2</v>
      </c>
      <c r="AA103" s="39">
        <f t="shared" ref="AA103" si="908">(AA97-AA96)/AA169</f>
        <v>9.273468677057467E-2</v>
      </c>
      <c r="AB103" s="40">
        <f t="shared" si="907"/>
        <v>0.11214311583986716</v>
      </c>
      <c r="AC103" s="40">
        <f t="shared" si="907"/>
        <v>0.13028915872582514</v>
      </c>
      <c r="AD103" s="40">
        <f t="shared" si="907"/>
        <v>0.15592298936908791</v>
      </c>
      <c r="AE103" s="40">
        <f t="shared" si="907"/>
        <v>0.19177274001851463</v>
      </c>
      <c r="AF103" s="39"/>
      <c r="AG103" s="39"/>
      <c r="AH103" s="39"/>
      <c r="AI103" s="39"/>
      <c r="AJ103" s="39"/>
      <c r="AK103" s="39"/>
      <c r="AL103" s="39">
        <f t="shared" ref="AL103:BQ103" si="909">(SUM(AI97:AL97)-SUM(AI96:AL96))/AL169</f>
        <v>0.17992230983302401</v>
      </c>
      <c r="AM103" s="39">
        <f t="shared" si="909"/>
        <v>0.166727443505166</v>
      </c>
      <c r="AN103" s="39">
        <f t="shared" si="909"/>
        <v>0.1713464342609842</v>
      </c>
      <c r="AO103" s="39">
        <f t="shared" si="909"/>
        <v>0.15309102174100722</v>
      </c>
      <c r="AP103" s="39">
        <f t="shared" si="909"/>
        <v>0.16581784018987344</v>
      </c>
      <c r="AQ103" s="39">
        <f t="shared" si="909"/>
        <v>0.16230205625147728</v>
      </c>
      <c r="AR103" s="39">
        <f t="shared" si="909"/>
        <v>0.14298348524501395</v>
      </c>
      <c r="AS103" s="39">
        <f t="shared" si="909"/>
        <v>0.14784494300149692</v>
      </c>
      <c r="AT103" s="39">
        <f t="shared" si="909"/>
        <v>0.15953455923970999</v>
      </c>
      <c r="AU103" s="39">
        <f t="shared" si="909"/>
        <v>0.16560530721267494</v>
      </c>
      <c r="AV103" s="39">
        <f t="shared" si="909"/>
        <v>0.16234553313461972</v>
      </c>
      <c r="AW103" s="39">
        <f t="shared" si="909"/>
        <v>0.18031270405572089</v>
      </c>
      <c r="AX103" s="39">
        <f t="shared" si="909"/>
        <v>0.21866613372922977</v>
      </c>
      <c r="AY103" s="39">
        <f t="shared" si="909"/>
        <v>0.23869018881219256</v>
      </c>
      <c r="AZ103" s="39">
        <f t="shared" si="909"/>
        <v>0.24454032799237124</v>
      </c>
      <c r="BA103" s="39">
        <f t="shared" si="909"/>
        <v>0.24811766473563834</v>
      </c>
      <c r="BB103" s="39">
        <f t="shared" si="909"/>
        <v>0.22895641474140729</v>
      </c>
      <c r="BC103" s="39">
        <f t="shared" si="909"/>
        <v>0.21034637619835048</v>
      </c>
      <c r="BD103" s="39">
        <f t="shared" si="909"/>
        <v>0.21032184744283802</v>
      </c>
      <c r="BE103" s="39">
        <f t="shared" si="909"/>
        <v>0.21519805477736248</v>
      </c>
      <c r="BF103" s="39">
        <f t="shared" si="909"/>
        <v>0.24092783571341431</v>
      </c>
      <c r="BG103" s="39">
        <f t="shared" si="909"/>
        <v>0.24675467217449432</v>
      </c>
      <c r="BH103" s="39">
        <f t="shared" si="909"/>
        <v>0.24048546368989196</v>
      </c>
      <c r="BI103" s="39">
        <f t="shared" si="909"/>
        <v>0.22673905109489043</v>
      </c>
      <c r="BJ103" s="39">
        <f t="shared" si="909"/>
        <v>0.20459320715040469</v>
      </c>
      <c r="BK103" s="39">
        <f t="shared" si="909"/>
        <v>0.17327010385694189</v>
      </c>
      <c r="BL103" s="39">
        <f t="shared" si="909"/>
        <v>0.16822076818103351</v>
      </c>
      <c r="BM103" s="39">
        <f t="shared" si="909"/>
        <v>0.15755111516874201</v>
      </c>
      <c r="BN103" s="39">
        <f t="shared" si="909"/>
        <v>0.15923183633902155</v>
      </c>
      <c r="BO103" s="39">
        <f t="shared" si="909"/>
        <v>0.17162804494251957</v>
      </c>
      <c r="BP103" s="39">
        <f t="shared" si="909"/>
        <v>0.18078077343047791</v>
      </c>
      <c r="BQ103" s="39">
        <f t="shared" si="909"/>
        <v>0.22768393164101788</v>
      </c>
      <c r="BR103" s="39">
        <f t="shared" ref="BR103:CW103" si="910">(SUM(BO97:BR97)-SUM(BO96:BR96))/BR169</f>
        <v>0.26631894363756309</v>
      </c>
      <c r="BS103" s="39">
        <f t="shared" si="910"/>
        <v>0.30018430605975988</v>
      </c>
      <c r="BT103" s="39">
        <f t="shared" si="910"/>
        <v>0.31344204738456732</v>
      </c>
      <c r="BU103" s="39">
        <f t="shared" si="910"/>
        <v>0.3016244552505824</v>
      </c>
      <c r="BV103" s="39">
        <f t="shared" si="910"/>
        <v>0.2947670436725105</v>
      </c>
      <c r="BW103" s="39">
        <f t="shared" si="910"/>
        <v>0.29209813988181954</v>
      </c>
      <c r="BX103" s="39">
        <f t="shared" si="910"/>
        <v>0.28648550977979964</v>
      </c>
      <c r="BY103" s="39">
        <f t="shared" si="910"/>
        <v>0.25668534360343676</v>
      </c>
      <c r="BZ103" s="39">
        <f t="shared" si="910"/>
        <v>0.20943950524824451</v>
      </c>
      <c r="CA103" s="39">
        <f t="shared" si="910"/>
        <v>0.15885961495140533</v>
      </c>
      <c r="CB103" s="39">
        <f t="shared" si="910"/>
        <v>0.1227374855299789</v>
      </c>
      <c r="CC103" s="39">
        <f t="shared" si="910"/>
        <v>0.11112143224653788</v>
      </c>
      <c r="CD103" s="39">
        <f t="shared" si="910"/>
        <v>0.11897032159446372</v>
      </c>
      <c r="CE103" s="39">
        <f t="shared" si="910"/>
        <v>0.11070497651475715</v>
      </c>
      <c r="CF103" s="39">
        <f t="shared" si="910"/>
        <v>0.11391248258948697</v>
      </c>
      <c r="CG103" s="39">
        <f t="shared" si="910"/>
        <v>0.10284110251010999</v>
      </c>
      <c r="CH103" s="39">
        <f t="shared" si="910"/>
        <v>8.537346330719886E-2</v>
      </c>
      <c r="CI103" s="39">
        <f t="shared" si="910"/>
        <v>8.0840266776544628E-2</v>
      </c>
      <c r="CJ103" s="39">
        <f t="shared" si="910"/>
        <v>7.7475034192820966E-2</v>
      </c>
      <c r="CK103" s="39">
        <f t="shared" si="910"/>
        <v>7.5287654279693625E-2</v>
      </c>
      <c r="CL103" s="39">
        <f t="shared" si="910"/>
        <v>8.4595862493270807E-2</v>
      </c>
      <c r="CM103" s="40">
        <f t="shared" si="910"/>
        <v>9.3640197763301833E-2</v>
      </c>
      <c r="CN103" s="40">
        <f t="shared" si="910"/>
        <v>0.10567356379883082</v>
      </c>
      <c r="CO103" s="40">
        <f t="shared" si="910"/>
        <v>0.11544945942528874</v>
      </c>
      <c r="CP103" s="40">
        <f t="shared" si="910"/>
        <v>0.11214311583986716</v>
      </c>
      <c r="CQ103" s="40">
        <f t="shared" si="910"/>
        <v>0.1180953133537251</v>
      </c>
      <c r="CR103" s="40">
        <f t="shared" si="910"/>
        <v>0.11957663692975773</v>
      </c>
      <c r="CS103" s="40">
        <f t="shared" si="910"/>
        <v>0.12182634347371377</v>
      </c>
      <c r="CT103" s="40">
        <f t="shared" si="910"/>
        <v>0.13028915872582525</v>
      </c>
      <c r="CU103" s="40">
        <f t="shared" si="910"/>
        <v>0.13443778585513352</v>
      </c>
      <c r="CV103" s="40">
        <f t="shared" si="910"/>
        <v>0.14131710672144013</v>
      </c>
      <c r="CW103" s="40">
        <f t="shared" si="910"/>
        <v>0.14853277164280362</v>
      </c>
      <c r="CX103" s="40">
        <f t="shared" ref="CX103:DB103" si="911">(SUM(CU97:CX97)-SUM(CU96:CX96))/CX169</f>
        <v>0.15592298936908794</v>
      </c>
      <c r="CY103" s="40">
        <f t="shared" si="911"/>
        <v>0.16539342115405151</v>
      </c>
      <c r="CZ103" s="40">
        <f t="shared" si="911"/>
        <v>0.17430310791367284</v>
      </c>
      <c r="DA103" s="40">
        <f t="shared" si="911"/>
        <v>0.18206235718653449</v>
      </c>
      <c r="DB103" s="40">
        <f t="shared" si="911"/>
        <v>0.19177274001851485</v>
      </c>
      <c r="DE103" s="122"/>
      <c r="DF103" s="38">
        <v>7.8610614251454894E-2</v>
      </c>
    </row>
    <row r="104" spans="1:110" s="38" customFormat="1" x14ac:dyDescent="0.2">
      <c r="A104" s="38" t="s">
        <v>351</v>
      </c>
      <c r="B104" s="39">
        <f t="shared" ref="B104:AE104" si="912">+B83/B178</f>
        <v>0.1143269126657309</v>
      </c>
      <c r="C104" s="39">
        <f t="shared" si="912"/>
        <v>0.29551835332299498</v>
      </c>
      <c r="D104" s="39">
        <f t="shared" si="912"/>
        <v>0.19432501558250045</v>
      </c>
      <c r="E104" s="39">
        <f t="shared" si="912"/>
        <v>0.21499377646322801</v>
      </c>
      <c r="F104" s="39">
        <f t="shared" si="912"/>
        <v>0.14683914422922506</v>
      </c>
      <c r="G104" s="39">
        <f t="shared" si="912"/>
        <v>0.17997156008945478</v>
      </c>
      <c r="H104" s="39">
        <f t="shared" si="912"/>
        <v>0.19153522617147173</v>
      </c>
      <c r="I104" s="39">
        <f t="shared" si="912"/>
        <v>0.18017048720702927</v>
      </c>
      <c r="J104" s="39">
        <f t="shared" si="912"/>
        <v>0.18641420617799348</v>
      </c>
      <c r="K104" s="39">
        <f t="shared" si="912"/>
        <v>0.20877859948474947</v>
      </c>
      <c r="L104" s="39">
        <f t="shared" si="912"/>
        <v>0.19748428591627978</v>
      </c>
      <c r="M104" s="39">
        <f t="shared" si="912"/>
        <v>0.1909546241129092</v>
      </c>
      <c r="N104" s="39">
        <f t="shared" si="912"/>
        <v>0.16192757599578028</v>
      </c>
      <c r="O104" s="39">
        <f t="shared" si="912"/>
        <v>0.15314446421555775</v>
      </c>
      <c r="P104" s="39">
        <f t="shared" si="912"/>
        <v>0.16815880773378541</v>
      </c>
      <c r="Q104" s="39">
        <f t="shared" si="912"/>
        <v>0.22940725573260815</v>
      </c>
      <c r="R104" s="39">
        <f t="shared" si="912"/>
        <v>0.2767961633652487</v>
      </c>
      <c r="S104" s="39">
        <f t="shared" si="912"/>
        <v>0.25552566558636636</v>
      </c>
      <c r="T104" s="39">
        <f t="shared" si="912"/>
        <v>0.20990677966625113</v>
      </c>
      <c r="U104" s="39">
        <f t="shared" si="912"/>
        <v>0.15718972685807131</v>
      </c>
      <c r="V104" s="39">
        <f t="shared" si="912"/>
        <v>0.32162991695755727</v>
      </c>
      <c r="W104" s="39">
        <f t="shared" si="912"/>
        <v>0.4102229129564019</v>
      </c>
      <c r="X104" s="39">
        <f t="shared" si="912"/>
        <v>0.320971511795895</v>
      </c>
      <c r="Y104" s="39">
        <f t="shared" si="912"/>
        <v>0.14551437819129401</v>
      </c>
      <c r="Z104" s="39">
        <f t="shared" si="912"/>
        <v>9.0545199853975786E-2</v>
      </c>
      <c r="AA104" s="39">
        <f t="shared" ref="AA104" si="913">+AA83/AA178</f>
        <v>0.11297697256374141</v>
      </c>
      <c r="AB104" s="40">
        <f t="shared" si="912"/>
        <v>0.12289567721614388</v>
      </c>
      <c r="AC104" s="40">
        <f t="shared" si="912"/>
        <v>0.15992064056771174</v>
      </c>
      <c r="AD104" s="40">
        <f t="shared" si="912"/>
        <v>0.20140460382063355</v>
      </c>
      <c r="AE104" s="40">
        <f t="shared" si="912"/>
        <v>0.24629510450877953</v>
      </c>
      <c r="AF104" s="39"/>
      <c r="AG104" s="39"/>
      <c r="AH104" s="39"/>
      <c r="AI104" s="39"/>
      <c r="AJ104" s="39"/>
      <c r="AK104" s="39"/>
      <c r="AL104" s="39">
        <f t="shared" ref="AL104:BQ104" si="914">+SUM(AI83:AL83)/AL178</f>
        <v>0.1768668639828177</v>
      </c>
      <c r="AM104" s="39">
        <f t="shared" si="914"/>
        <v>0.17063540866000512</v>
      </c>
      <c r="AN104" s="39">
        <f t="shared" si="914"/>
        <v>0.17585915142466094</v>
      </c>
      <c r="AO104" s="39">
        <f t="shared" si="914"/>
        <v>0.17796576776259077</v>
      </c>
      <c r="AP104" s="39">
        <f t="shared" si="914"/>
        <v>0.17435519700689817</v>
      </c>
      <c r="AQ104" s="39">
        <f t="shared" si="914"/>
        <v>0.17322638227755402</v>
      </c>
      <c r="AR104" s="39">
        <f t="shared" si="914"/>
        <v>0.16965428347834097</v>
      </c>
      <c r="AS104" s="39">
        <f t="shared" si="914"/>
        <v>0.17104388260150283</v>
      </c>
      <c r="AT104" s="39">
        <f t="shared" si="914"/>
        <v>0.18486185894606766</v>
      </c>
      <c r="AU104" s="39">
        <f t="shared" si="914"/>
        <v>0.18950332205950524</v>
      </c>
      <c r="AV104" s="39">
        <f t="shared" si="914"/>
        <v>0.21552536601158287</v>
      </c>
      <c r="AW104" s="39">
        <f t="shared" si="914"/>
        <v>0.23232109616291854</v>
      </c>
      <c r="AX104" s="39">
        <f t="shared" si="914"/>
        <v>0.25947363745599233</v>
      </c>
      <c r="AY104" s="39">
        <f t="shared" si="914"/>
        <v>0.26917724055616971</v>
      </c>
      <c r="AZ104" s="39">
        <f t="shared" si="914"/>
        <v>0.31285643499560595</v>
      </c>
      <c r="BA104" s="39">
        <f t="shared" si="914"/>
        <v>0.31119518724942907</v>
      </c>
      <c r="BB104" s="39">
        <f t="shared" si="914"/>
        <v>0.3064846324447118</v>
      </c>
      <c r="BC104" s="39">
        <f t="shared" si="914"/>
        <v>0.29234002293700428</v>
      </c>
      <c r="BD104" s="39">
        <f t="shared" si="914"/>
        <v>0.31866026454765939</v>
      </c>
      <c r="BE104" s="39">
        <f t="shared" si="914"/>
        <v>0.32907195344319634</v>
      </c>
      <c r="BF104" s="39">
        <f t="shared" si="914"/>
        <v>0.27131404892820132</v>
      </c>
      <c r="BG104" s="39">
        <f t="shared" si="914"/>
        <v>0.28432540822714941</v>
      </c>
      <c r="BH104" s="39">
        <f t="shared" si="914"/>
        <v>0.27395943113953786</v>
      </c>
      <c r="BI104" s="39">
        <f t="shared" si="914"/>
        <v>0.25135288635172126</v>
      </c>
      <c r="BJ104" s="39">
        <f t="shared" si="914"/>
        <v>0.22210511388679161</v>
      </c>
      <c r="BK104" s="39">
        <f t="shared" si="914"/>
        <v>0.1891609791258001</v>
      </c>
      <c r="BL104" s="39">
        <f t="shared" si="914"/>
        <v>0.17342643629054286</v>
      </c>
      <c r="BM104" s="39">
        <f t="shared" si="914"/>
        <v>0.16540165027826573</v>
      </c>
      <c r="BN104" s="39">
        <f t="shared" si="914"/>
        <v>0.16391701923489124</v>
      </c>
      <c r="BO104" s="39">
        <f t="shared" si="914"/>
        <v>0.17249927602875517</v>
      </c>
      <c r="BP104" s="39">
        <f t="shared" si="914"/>
        <v>0.19997874816150557</v>
      </c>
      <c r="BQ104" s="39">
        <f t="shared" si="914"/>
        <v>0.25730977614298139</v>
      </c>
      <c r="BR104" s="39">
        <f t="shared" ref="BR104:CW104" si="915">+SUM(BO83:BR83)/BR178</f>
        <v>0.33555409199625641</v>
      </c>
      <c r="BS104" s="39">
        <f t="shared" si="915"/>
        <v>0.38675211344423238</v>
      </c>
      <c r="BT104" s="39">
        <f t="shared" si="915"/>
        <v>0.38496172461774736</v>
      </c>
      <c r="BU104" s="39">
        <f t="shared" si="915"/>
        <v>0.38612657508006332</v>
      </c>
      <c r="BV104" s="39">
        <f t="shared" si="915"/>
        <v>0.41039337392211084</v>
      </c>
      <c r="BW104" s="39">
        <f t="shared" si="915"/>
        <v>0.42423946970553789</v>
      </c>
      <c r="BX104" s="39">
        <f t="shared" si="915"/>
        <v>0.41651392731482423</v>
      </c>
      <c r="BY104" s="39">
        <f t="shared" si="915"/>
        <v>0.38460153718065082</v>
      </c>
      <c r="BZ104" s="39">
        <f t="shared" si="915"/>
        <v>0.32079574696394786</v>
      </c>
      <c r="CA104" s="39">
        <f t="shared" si="915"/>
        <v>0.24665545274282183</v>
      </c>
      <c r="CB104" s="39">
        <f t="shared" si="915"/>
        <v>0.18033852874019654</v>
      </c>
      <c r="CC104" s="39">
        <f t="shared" si="915"/>
        <v>0.14758876850792454</v>
      </c>
      <c r="CD104" s="39">
        <f t="shared" si="915"/>
        <v>0.14551326519036942</v>
      </c>
      <c r="CE104" s="39">
        <f t="shared" si="915"/>
        <v>0.12587975250379307</v>
      </c>
      <c r="CF104" s="39">
        <f t="shared" si="915"/>
        <v>0.12855260700555887</v>
      </c>
      <c r="CG104" s="39">
        <f t="shared" si="915"/>
        <v>0.11159833050836403</v>
      </c>
      <c r="CH104" s="39">
        <f t="shared" si="915"/>
        <v>9.0544066278855848E-2</v>
      </c>
      <c r="CI104" s="39">
        <f t="shared" si="915"/>
        <v>8.2242696215865482E-2</v>
      </c>
      <c r="CJ104" s="39">
        <f t="shared" si="915"/>
        <v>7.9926818822451826E-2</v>
      </c>
      <c r="CK104" s="39">
        <f t="shared" si="915"/>
        <v>8.2836209728268481E-2</v>
      </c>
      <c r="CL104" s="39">
        <f t="shared" si="915"/>
        <v>9.1504532462586954E-2</v>
      </c>
      <c r="CM104" s="40">
        <f t="shared" si="915"/>
        <v>0.10628247351674228</v>
      </c>
      <c r="CN104" s="40">
        <f t="shared" si="915"/>
        <v>0.11846320248701724</v>
      </c>
      <c r="CO104" s="40">
        <f t="shared" si="915"/>
        <v>0.12879513913739121</v>
      </c>
      <c r="CP104" s="40">
        <f t="shared" si="915"/>
        <v>0.12289567721614388</v>
      </c>
      <c r="CQ104" s="40">
        <f t="shared" si="915"/>
        <v>0.12584719019025131</v>
      </c>
      <c r="CR104" s="40">
        <f t="shared" si="915"/>
        <v>0.13622811479407992</v>
      </c>
      <c r="CS104" s="40">
        <f t="shared" si="915"/>
        <v>0.14680084454963441</v>
      </c>
      <c r="CT104" s="40">
        <f t="shared" si="915"/>
        <v>0.15992064056771185</v>
      </c>
      <c r="CU104" s="40">
        <f t="shared" si="915"/>
        <v>0.16954962009801236</v>
      </c>
      <c r="CV104" s="40">
        <f t="shared" si="915"/>
        <v>0.18042114198226286</v>
      </c>
      <c r="CW104" s="40">
        <f t="shared" si="915"/>
        <v>0.19036794323141928</v>
      </c>
      <c r="CX104" s="40">
        <f t="shared" ref="CX104:DB104" si="916">+SUM(CU83:CX83)/CX178</f>
        <v>0.20140460382063358</v>
      </c>
      <c r="CY104" s="40">
        <f t="shared" si="916"/>
        <v>0.21360893710939191</v>
      </c>
      <c r="CZ104" s="40">
        <f t="shared" si="916"/>
        <v>0.22540800948486167</v>
      </c>
      <c r="DA104" s="40">
        <f t="shared" si="916"/>
        <v>0.23566853566188453</v>
      </c>
      <c r="DB104" s="40">
        <f t="shared" si="916"/>
        <v>0.24629510450877976</v>
      </c>
      <c r="DE104" s="122"/>
      <c r="DF104" s="38">
        <v>8.890064591972964E-2</v>
      </c>
    </row>
    <row r="105" spans="1:110" s="1" customFormat="1" x14ac:dyDescent="0.2">
      <c r="A105" s="150" t="s">
        <v>488</v>
      </c>
      <c r="AB105" s="20"/>
      <c r="AC105" s="20"/>
      <c r="AD105" s="20"/>
      <c r="AE105" s="20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8" customFormat="1" x14ac:dyDescent="0.2">
      <c r="A106" s="12" t="s">
        <v>26</v>
      </c>
      <c r="AB106" s="58"/>
      <c r="AC106" s="58"/>
      <c r="AD106" s="58"/>
      <c r="AE106" s="58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E106" s="132"/>
    </row>
    <row r="107" spans="1:110" s="9" customFormat="1" x14ac:dyDescent="0.2">
      <c r="A107" s="9" t="s">
        <v>453</v>
      </c>
      <c r="N107" s="9">
        <f>N59-SUM(AI59:AL59)</f>
        <v>-2.2099999966940231E-5</v>
      </c>
      <c r="O107" s="9">
        <f>O59-SUM(AM59:AP59)</f>
        <v>2.299999999991087E-3</v>
      </c>
      <c r="P107" s="9">
        <f>P59-SUM(AQ59:AT59)</f>
        <v>13.90893589999996</v>
      </c>
      <c r="Q107" s="9">
        <f>Q59-SUM(AU59:AX59)</f>
        <v>-31.90485979999994</v>
      </c>
      <c r="R107" s="9">
        <f>R59-SUM(AY59:BB59)</f>
        <v>-56.819419799999991</v>
      </c>
      <c r="S107" s="9">
        <f>S59-SUM(BC59:BF59)</f>
        <v>-14.203377000000046</v>
      </c>
      <c r="T107" s="9">
        <f>T59-SUM(BG59:BJ59)</f>
        <v>1.3882717000000184</v>
      </c>
      <c r="U107" s="9">
        <f>U59-SUM(BK59:BN59)</f>
        <v>-1.6109999990021606E-4</v>
      </c>
      <c r="V107" s="9">
        <f>V59-SUM(BO59:BR59)</f>
        <v>-9.0000000022882887E-4</v>
      </c>
      <c r="W107" s="9">
        <f>W59-SUM(BS59:BV59)</f>
        <v>1.2085999999999331</v>
      </c>
      <c r="X107" s="9">
        <f>X59-SUM(BW59:BZ59)</f>
        <v>0.32260000000042055</v>
      </c>
      <c r="Y107" s="9">
        <f>Y59-SUM(CA59:CD59)</f>
        <v>9.9999999997635314E-4</v>
      </c>
      <c r="Z107" s="9">
        <f>Z59-SUM(CE59:CH59)</f>
        <v>-6.0000000007676135E-4</v>
      </c>
      <c r="AA107" s="9">
        <f>AA59-SUM(CF59:CI59)</f>
        <v>-79.135299999999688</v>
      </c>
      <c r="AB107" s="15">
        <f>AB59-SUM(CM59:CP59)</f>
        <v>0</v>
      </c>
      <c r="AC107" s="15">
        <f>AC59-SUM(CQ59:CT59)</f>
        <v>0</v>
      </c>
      <c r="AD107" s="15">
        <f>AD59-SUM(CU59:CX59)</f>
        <v>0</v>
      </c>
      <c r="AE107" s="15">
        <f>AE59-SUM(CY59:DB59)</f>
        <v>0</v>
      </c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E107" s="133"/>
      <c r="DF107" s="9">
        <v>0</v>
      </c>
    </row>
    <row r="108" spans="1:110" s="9" customFormat="1" x14ac:dyDescent="0.2">
      <c r="A108" s="9" t="s">
        <v>454</v>
      </c>
      <c r="N108" s="9">
        <f>N65-SUM(AI65:AL65)</f>
        <v>-5.6250000000090949E-3</v>
      </c>
      <c r="O108" s="9">
        <f>O65-SUM(AM65:AP65)</f>
        <v>-3.6999999999807187E-3</v>
      </c>
      <c r="P108" s="9">
        <f>P65-SUM(AQ65:AT65)</f>
        <v>5.0806787999999301</v>
      </c>
      <c r="Q108" s="9">
        <f>Q65-SUM(AU65:AX65)</f>
        <v>-39.271238100000005</v>
      </c>
      <c r="R108" s="9">
        <f>R65-SUM(AY65:BB65)</f>
        <v>-58.097070299999928</v>
      </c>
      <c r="S108" s="9">
        <f>S65-SUM(BC65:BF65)</f>
        <v>-14.204865600000005</v>
      </c>
      <c r="T108" s="9">
        <f>T65-SUM(BG65:BJ65)</f>
        <v>1.3886451999999281</v>
      </c>
      <c r="U108" s="9">
        <f>U65-SUM(BK65:BN65)</f>
        <v>-7.5249999991910954E-4</v>
      </c>
      <c r="V108" s="9">
        <f>V65-SUM(BO65:BR65)</f>
        <v>-1.00000000009004E-3</v>
      </c>
      <c r="W108" s="9">
        <f>W65-SUM(BS65:BV65)</f>
        <v>1.2086000000001604</v>
      </c>
      <c r="X108" s="9">
        <f>X65-SUM(BW65:BZ65)</f>
        <v>0.32310000000029504</v>
      </c>
      <c r="Y108" s="9">
        <f>Y65-SUM(CA65:CD65)</f>
        <v>1.3999999999896318E-3</v>
      </c>
      <c r="Z108" s="9">
        <f>Z65-SUM(CE65:CH65)</f>
        <v>1.199999999926149E-3</v>
      </c>
      <c r="AA108" s="9">
        <f>AA65-SUM(CF65:CI65)</f>
        <v>-13.336999999999762</v>
      </c>
      <c r="AB108" s="15">
        <f>AB65-SUM(CM65:CP65)</f>
        <v>0</v>
      </c>
      <c r="AC108" s="15">
        <f>AC65-SUM(CQ65:CT65)</f>
        <v>0</v>
      </c>
      <c r="AD108" s="15">
        <f>AD65-SUM(CU65:CX65)</f>
        <v>0</v>
      </c>
      <c r="AE108" s="15">
        <f>AE65-SUM(CY65:DB65)</f>
        <v>0</v>
      </c>
      <c r="CL108" s="233">
        <f>45*330</f>
        <v>14850</v>
      </c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E108" s="133"/>
      <c r="DF108" s="9">
        <v>0</v>
      </c>
    </row>
    <row r="109" spans="1:110" s="9" customFormat="1" x14ac:dyDescent="0.2">
      <c r="A109" s="9" t="s">
        <v>455</v>
      </c>
      <c r="N109" s="9">
        <f>N77-SUM(AI77:AL77)</f>
        <v>-0.88506030000000635</v>
      </c>
      <c r="O109" s="9">
        <f>O77-SUM(AM77:AP77)</f>
        <v>-3.6734999999999758</v>
      </c>
      <c r="P109" s="9">
        <f>P77-SUM(AQ77:AT77)</f>
        <v>-0.6009697000000358</v>
      </c>
      <c r="Q109" s="9">
        <f>Q77-SUM(AU77:AX77)</f>
        <v>-5.61196750000002</v>
      </c>
      <c r="R109" s="9">
        <f>R77-SUM(AY77:BB77)</f>
        <v>-5.6733106999999734</v>
      </c>
      <c r="S109" s="9">
        <f>S77-SUM(BC77:BF77)</f>
        <v>-7.4901648000000023</v>
      </c>
      <c r="T109" s="9">
        <f>T77-SUM(BG77:BJ77)</f>
        <v>-1.852126800000093</v>
      </c>
      <c r="U109" s="9">
        <f>U77-SUM(BK77:BN77)</f>
        <v>-3.2621547999999905</v>
      </c>
      <c r="V109" s="9">
        <f>V77-SUM(BO77:BR77)</f>
        <v>-5.2887000000000057</v>
      </c>
      <c r="W109" s="9">
        <f>W77-SUM(BS77:BV77)</f>
        <v>-0.24139999999988504</v>
      </c>
      <c r="X109" s="9">
        <f>X77-SUM(BW77:BZ77)</f>
        <v>0.30790000000035889</v>
      </c>
      <c r="Y109" s="9">
        <f>Y77-SUM(CA77:CD77)</f>
        <v>2.700000000061209E-3</v>
      </c>
      <c r="Z109" s="9">
        <f>Z77-SUM(CE77:CH77)</f>
        <v>1.5999999999394277E-3</v>
      </c>
      <c r="AA109" s="9">
        <f>AA77-SUM(CF77:CI77)</f>
        <v>26.511100000000283</v>
      </c>
      <c r="AB109" s="15">
        <f>AB77-SUM(CM77:CP77)</f>
        <v>0</v>
      </c>
      <c r="AC109" s="15">
        <f>AC77-SUM(CQ77:CT77)</f>
        <v>0</v>
      </c>
      <c r="AD109" s="15">
        <f>AD77-SUM(CU77:CX77)</f>
        <v>0</v>
      </c>
      <c r="AE109" s="15">
        <f>AE77-SUM(CY77:DB77)</f>
        <v>0</v>
      </c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E109" s="133"/>
      <c r="DF109" s="9">
        <v>0</v>
      </c>
    </row>
    <row r="110" spans="1:110" s="9" customFormat="1" x14ac:dyDescent="0.2">
      <c r="A110" s="9" t="s">
        <v>456</v>
      </c>
      <c r="N110" s="9">
        <f>N97-SUM(AI97:AL97)</f>
        <v>1.7801199999983197E-2</v>
      </c>
      <c r="O110" s="9">
        <f>O97-SUM(AM97:AP97)</f>
        <v>-2.7399999999978775E-2</v>
      </c>
      <c r="P110" s="9">
        <f>P97-SUM(AQ97:AT97)</f>
        <v>-2.0879804000000348</v>
      </c>
      <c r="Q110" s="9">
        <f>Q97-SUM(AU97:AX97)</f>
        <v>-3.6585793000000422</v>
      </c>
      <c r="R110" s="9">
        <f>R97-SUM(AY97:BB97)</f>
        <v>-3.2222225999999239</v>
      </c>
      <c r="S110" s="9">
        <f>S97-SUM(BC97:BF97)</f>
        <v>1.0039999999662541E-3</v>
      </c>
      <c r="T110" s="9">
        <f>T97-SUM(BG97:BJ97)</f>
        <v>3.0157999999289586E-3</v>
      </c>
      <c r="U110" s="9">
        <f>U97-SUM(BK97:BN97)</f>
        <v>5.2690000003963178E-4</v>
      </c>
      <c r="V110" s="9">
        <f>V97-SUM(BO97:BR97)</f>
        <v>-5.000000000734417E-4</v>
      </c>
      <c r="W110" s="9">
        <f>W90-SUM(BS90:BV90)</f>
        <v>2.700000000061209E-3</v>
      </c>
      <c r="X110" s="9">
        <f>X90-SUM(BW90:BZ90)</f>
        <v>1.0000000003174137E-3</v>
      </c>
      <c r="Y110" s="9">
        <f>Y90-SUM(CA90:CD90)</f>
        <v>4.0000000000190994E-3</v>
      </c>
      <c r="Z110" s="9">
        <f>Z90-SUM(CE90:CH90)</f>
        <v>1.3999999998759449E-3</v>
      </c>
      <c r="AA110" s="9">
        <f>AA90-SUM(CF90:CI90)</f>
        <v>15.96930000000026</v>
      </c>
      <c r="AB110" s="15">
        <f>AB90-SUM(CM90:CP90)</f>
        <v>0</v>
      </c>
      <c r="AC110" s="15">
        <f>AC90-SUM(CQ90:CT90)</f>
        <v>0</v>
      </c>
      <c r="AD110" s="15">
        <f>AD90-SUM(CU90:CX90)</f>
        <v>0</v>
      </c>
      <c r="AE110" s="15">
        <f>AE90-SUM(CY90:DB90)</f>
        <v>-9.0949470177292824E-13</v>
      </c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E110" s="133"/>
      <c r="DF110" s="9">
        <v>0</v>
      </c>
    </row>
    <row r="111" spans="1:110" s="8" customFormat="1" x14ac:dyDescent="0.2">
      <c r="A111" s="149" t="s">
        <v>489</v>
      </c>
      <c r="AB111" s="58"/>
      <c r="AC111" s="58"/>
      <c r="AD111" s="58"/>
      <c r="AE111" s="58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E111" s="132"/>
    </row>
    <row r="112" spans="1:110" s="3" customFormat="1" x14ac:dyDescent="0.2">
      <c r="A112" s="3" t="s">
        <v>27</v>
      </c>
      <c r="B112" s="3">
        <f>'Annual Raw'!C104</f>
        <v>2.9838</v>
      </c>
      <c r="C112" s="3">
        <f>'Annual Raw'!D104</f>
        <v>2.9838</v>
      </c>
      <c r="D112" s="3">
        <f>'Annual Raw'!E104</f>
        <v>2.9866999999999999</v>
      </c>
      <c r="E112" s="3">
        <f t="shared" ref="E112:Y112" ca="1" si="917">+F112</f>
        <v>0</v>
      </c>
      <c r="F112" s="3">
        <f t="shared" ca="1" si="917"/>
        <v>0</v>
      </c>
      <c r="G112" s="3">
        <f t="shared" ca="1" si="917"/>
        <v>0</v>
      </c>
      <c r="H112" s="3">
        <f t="shared" ca="1" si="917"/>
        <v>0</v>
      </c>
      <c r="I112" s="3">
        <f t="shared" ca="1" si="917"/>
        <v>0</v>
      </c>
      <c r="J112" s="3">
        <f t="shared" ca="1" si="917"/>
        <v>0</v>
      </c>
      <c r="K112" s="3">
        <f t="shared" ca="1" si="917"/>
        <v>0</v>
      </c>
      <c r="L112" s="3">
        <f t="shared" ca="1" si="917"/>
        <v>0</v>
      </c>
      <c r="M112" s="3">
        <f t="shared" ca="1" si="917"/>
        <v>0</v>
      </c>
      <c r="N112" s="3">
        <f t="shared" ca="1" si="917"/>
        <v>0</v>
      </c>
      <c r="O112" s="3">
        <f t="shared" ca="1" si="917"/>
        <v>0</v>
      </c>
      <c r="P112" s="3">
        <f t="shared" ca="1" si="917"/>
        <v>0</v>
      </c>
      <c r="Q112" s="3">
        <f t="shared" ca="1" si="917"/>
        <v>0</v>
      </c>
      <c r="R112" s="3">
        <f t="shared" ca="1" si="917"/>
        <v>0</v>
      </c>
      <c r="S112" s="3">
        <f t="shared" ca="1" si="917"/>
        <v>0</v>
      </c>
      <c r="T112" s="3">
        <f t="shared" ca="1" si="917"/>
        <v>0</v>
      </c>
      <c r="U112" s="3">
        <f t="shared" ca="1" si="917"/>
        <v>0</v>
      </c>
      <c r="V112" s="3">
        <f t="shared" ca="1" si="917"/>
        <v>0</v>
      </c>
      <c r="W112" s="3">
        <f t="shared" ca="1" si="917"/>
        <v>0</v>
      </c>
      <c r="X112" s="3">
        <f t="shared" ca="1" si="917"/>
        <v>0</v>
      </c>
      <c r="Y112" s="3">
        <f t="shared" ca="1" si="917"/>
        <v>0</v>
      </c>
      <c r="Z112" s="3">
        <f ca="1">+AA112</f>
        <v>0</v>
      </c>
      <c r="AA112" s="3">
        <f ca="1">+AB112</f>
        <v>0</v>
      </c>
      <c r="AB112" s="37">
        <f t="shared" ref="AB112:AB113" ca="1" si="918">AA112</f>
        <v>0</v>
      </c>
      <c r="AC112" s="37">
        <f t="shared" ref="AC112:AC113" ca="1" si="919">AB112</f>
        <v>0</v>
      </c>
      <c r="AD112" s="37">
        <f t="shared" ref="AD112:AD113" ca="1" si="920">AC112</f>
        <v>0</v>
      </c>
      <c r="AE112" s="37">
        <f t="shared" ref="AE112:AE113" ca="1" si="921">AD112</f>
        <v>0</v>
      </c>
      <c r="AI112" s="3">
        <f t="shared" ref="AI112:CH112" si="922">+AJ112</f>
        <v>6.48</v>
      </c>
      <c r="AJ112" s="3">
        <f t="shared" si="922"/>
        <v>6.48</v>
      </c>
      <c r="AK112" s="3">
        <f t="shared" si="922"/>
        <v>6.48</v>
      </c>
      <c r="AL112" s="3">
        <f t="shared" si="922"/>
        <v>6.48</v>
      </c>
      <c r="AM112" s="3">
        <f t="shared" si="922"/>
        <v>6.48</v>
      </c>
      <c r="AN112" s="3">
        <f t="shared" si="922"/>
        <v>6.48</v>
      </c>
      <c r="AO112" s="3">
        <f t="shared" si="922"/>
        <v>6.48</v>
      </c>
      <c r="AP112" s="3">
        <f t="shared" si="922"/>
        <v>6.48</v>
      </c>
      <c r="AQ112" s="3">
        <f t="shared" si="922"/>
        <v>6.48</v>
      </c>
      <c r="AR112" s="3">
        <f t="shared" si="922"/>
        <v>6.48</v>
      </c>
      <c r="AS112" s="3">
        <f t="shared" si="922"/>
        <v>6.48</v>
      </c>
      <c r="AT112" s="3">
        <f t="shared" si="922"/>
        <v>6.48</v>
      </c>
      <c r="AU112" s="3">
        <f t="shared" si="922"/>
        <v>6.48</v>
      </c>
      <c r="AV112" s="3">
        <f t="shared" si="922"/>
        <v>6.48</v>
      </c>
      <c r="AW112" s="3">
        <f t="shared" si="922"/>
        <v>6.48</v>
      </c>
      <c r="AX112" s="3">
        <f t="shared" si="922"/>
        <v>6.48</v>
      </c>
      <c r="AY112" s="3">
        <f t="shared" si="922"/>
        <v>6.48</v>
      </c>
      <c r="AZ112" s="3">
        <f t="shared" si="922"/>
        <v>6.48</v>
      </c>
      <c r="BA112" s="3">
        <f t="shared" si="922"/>
        <v>6.48</v>
      </c>
      <c r="BB112" s="3">
        <f t="shared" si="922"/>
        <v>6.48</v>
      </c>
      <c r="BC112" s="3">
        <f t="shared" si="922"/>
        <v>6.48</v>
      </c>
      <c r="BD112" s="3">
        <f t="shared" si="922"/>
        <v>6.48</v>
      </c>
      <c r="BE112" s="3">
        <f t="shared" si="922"/>
        <v>6.48</v>
      </c>
      <c r="BF112" s="3">
        <f t="shared" si="922"/>
        <v>6.48</v>
      </c>
      <c r="BG112" s="3">
        <f t="shared" si="922"/>
        <v>6.48</v>
      </c>
      <c r="BH112" s="3">
        <f t="shared" si="922"/>
        <v>6.48</v>
      </c>
      <c r="BI112" s="3">
        <f t="shared" si="922"/>
        <v>6.48</v>
      </c>
      <c r="BJ112" s="3">
        <f t="shared" si="922"/>
        <v>6.48</v>
      </c>
      <c r="BK112" s="3">
        <f t="shared" si="922"/>
        <v>6.48</v>
      </c>
      <c r="BL112" s="3">
        <f t="shared" si="922"/>
        <v>6.48</v>
      </c>
      <c r="BM112" s="3">
        <f t="shared" si="922"/>
        <v>6.48</v>
      </c>
      <c r="BN112" s="3">
        <f t="shared" si="922"/>
        <v>6.48</v>
      </c>
      <c r="BO112" s="3">
        <f t="shared" si="922"/>
        <v>6.48</v>
      </c>
      <c r="BP112" s="3">
        <f t="shared" si="922"/>
        <v>6.48</v>
      </c>
      <c r="BQ112" s="3">
        <f t="shared" si="922"/>
        <v>6.48</v>
      </c>
      <c r="BR112" s="3">
        <f t="shared" si="922"/>
        <v>6.48</v>
      </c>
      <c r="BS112" s="3">
        <f t="shared" si="922"/>
        <v>6.48</v>
      </c>
      <c r="BT112" s="3">
        <f t="shared" si="922"/>
        <v>6.48</v>
      </c>
      <c r="BU112" s="3">
        <f t="shared" si="922"/>
        <v>6.48</v>
      </c>
      <c r="BV112" s="3">
        <f t="shared" si="922"/>
        <v>6.48</v>
      </c>
      <c r="BW112" s="3">
        <f t="shared" si="922"/>
        <v>6.48</v>
      </c>
      <c r="BX112" s="3">
        <f t="shared" si="922"/>
        <v>6.48</v>
      </c>
      <c r="BY112" s="3">
        <f t="shared" si="922"/>
        <v>6.48</v>
      </c>
      <c r="BZ112" s="3">
        <f t="shared" si="922"/>
        <v>6.48</v>
      </c>
      <c r="CA112" s="3">
        <f t="shared" si="922"/>
        <v>6.48</v>
      </c>
      <c r="CB112" s="3">
        <f t="shared" si="922"/>
        <v>6.48</v>
      </c>
      <c r="CC112" s="3">
        <f t="shared" si="922"/>
        <v>6.48</v>
      </c>
      <c r="CD112" s="3">
        <f t="shared" si="922"/>
        <v>6.48</v>
      </c>
      <c r="CE112" s="3">
        <f t="shared" si="922"/>
        <v>6.48</v>
      </c>
      <c r="CF112" s="3">
        <f t="shared" si="922"/>
        <v>6.48</v>
      </c>
      <c r="CG112" s="3">
        <f t="shared" si="922"/>
        <v>6.48</v>
      </c>
      <c r="CH112" s="3">
        <f t="shared" si="922"/>
        <v>6.48</v>
      </c>
      <c r="CI112" s="3">
        <f>+CJ112</f>
        <v>6.48</v>
      </c>
      <c r="CJ112" s="3">
        <f>'QTR Raw'!BD45</f>
        <v>6.48</v>
      </c>
      <c r="CK112" s="3">
        <f>'QTR Raw'!BE45</f>
        <v>6.48</v>
      </c>
      <c r="CL112" s="3">
        <f>'QTR Raw'!BF45</f>
        <v>6.48</v>
      </c>
      <c r="CM112" s="37">
        <f t="shared" ref="CM112:CM113" si="923">+CL112</f>
        <v>6.48</v>
      </c>
      <c r="CN112" s="37">
        <f t="shared" ref="CN112:CN113" si="924">+CM112</f>
        <v>6.48</v>
      </c>
      <c r="CO112" s="37">
        <f t="shared" ref="CO112:CO113" si="925">+CN112</f>
        <v>6.48</v>
      </c>
      <c r="CP112" s="37">
        <f t="shared" ref="CP112:CP113" si="926">+CO112</f>
        <v>6.48</v>
      </c>
      <c r="CQ112" s="37">
        <f t="shared" ref="CQ112:CQ113" si="927">+CP112</f>
        <v>6.48</v>
      </c>
      <c r="CR112" s="37">
        <f t="shared" ref="CR112:CR113" si="928">+CQ112</f>
        <v>6.48</v>
      </c>
      <c r="CS112" s="37">
        <f t="shared" ref="CS112:CS113" si="929">+CR112</f>
        <v>6.48</v>
      </c>
      <c r="CT112" s="37">
        <f t="shared" ref="CT112:CT113" si="930">+CS112</f>
        <v>6.48</v>
      </c>
      <c r="CU112" s="37">
        <f t="shared" ref="CU112:CU113" si="931">+CT112</f>
        <v>6.48</v>
      </c>
      <c r="CV112" s="37">
        <f t="shared" ref="CV112:CV113" si="932">+CU112</f>
        <v>6.48</v>
      </c>
      <c r="CW112" s="37">
        <f t="shared" ref="CW112:CW113" si="933">+CV112</f>
        <v>6.48</v>
      </c>
      <c r="CX112" s="37">
        <f t="shared" ref="CX112:CX113" si="934">+CW112</f>
        <v>6.48</v>
      </c>
      <c r="CY112" s="37">
        <f t="shared" ref="CY112:CY113" si="935">+CX112</f>
        <v>6.48</v>
      </c>
      <c r="CZ112" s="37">
        <f t="shared" ref="CZ112:CZ113" si="936">+CY112</f>
        <v>6.48</v>
      </c>
      <c r="DA112" s="37">
        <f t="shared" ref="DA112:DA113" si="937">+CZ112</f>
        <v>6.48</v>
      </c>
      <c r="DB112" s="37">
        <f t="shared" ref="DB112:DB113" si="938">+DA112</f>
        <v>6.48</v>
      </c>
      <c r="DE112" s="134"/>
      <c r="DF112" s="3">
        <v>6.48</v>
      </c>
    </row>
    <row r="113" spans="1:110" s="3" customFormat="1" x14ac:dyDescent="0.2">
      <c r="A113" s="3" t="s">
        <v>28</v>
      </c>
      <c r="B113" s="3">
        <f>'Annual Raw'!C105</f>
        <v>10</v>
      </c>
      <c r="C113" s="3">
        <f>'Annual Raw'!D105</f>
        <v>10</v>
      </c>
      <c r="D113" s="3">
        <f>'Annual Raw'!E105</f>
        <v>10</v>
      </c>
      <c r="E113" s="3">
        <f t="shared" ref="E113:Y113" ca="1" si="939">+F113</f>
        <v>0</v>
      </c>
      <c r="F113" s="3">
        <f t="shared" ca="1" si="939"/>
        <v>0</v>
      </c>
      <c r="G113" s="3">
        <f t="shared" ca="1" si="939"/>
        <v>0</v>
      </c>
      <c r="H113" s="3">
        <f t="shared" ca="1" si="939"/>
        <v>0</v>
      </c>
      <c r="I113" s="3">
        <f t="shared" ca="1" si="939"/>
        <v>0</v>
      </c>
      <c r="J113" s="3">
        <f t="shared" ca="1" si="939"/>
        <v>0</v>
      </c>
      <c r="K113" s="3">
        <f t="shared" ca="1" si="939"/>
        <v>0</v>
      </c>
      <c r="L113" s="3">
        <f t="shared" ca="1" si="939"/>
        <v>0</v>
      </c>
      <c r="M113" s="3">
        <f t="shared" ca="1" si="939"/>
        <v>0</v>
      </c>
      <c r="N113" s="3">
        <f t="shared" ca="1" si="939"/>
        <v>0</v>
      </c>
      <c r="O113" s="3">
        <f t="shared" ca="1" si="939"/>
        <v>0</v>
      </c>
      <c r="P113" s="3">
        <f t="shared" ca="1" si="939"/>
        <v>0</v>
      </c>
      <c r="Q113" s="3">
        <f t="shared" ca="1" si="939"/>
        <v>0</v>
      </c>
      <c r="R113" s="3">
        <f t="shared" ca="1" si="939"/>
        <v>0</v>
      </c>
      <c r="S113" s="3">
        <f t="shared" ca="1" si="939"/>
        <v>0</v>
      </c>
      <c r="T113" s="3">
        <f t="shared" ca="1" si="939"/>
        <v>0</v>
      </c>
      <c r="U113" s="3">
        <f t="shared" ca="1" si="939"/>
        <v>0</v>
      </c>
      <c r="V113" s="3">
        <f t="shared" ca="1" si="939"/>
        <v>0</v>
      </c>
      <c r="W113" s="3">
        <f t="shared" ca="1" si="939"/>
        <v>0</v>
      </c>
      <c r="X113" s="3">
        <f t="shared" ca="1" si="939"/>
        <v>0</v>
      </c>
      <c r="Y113" s="3">
        <f t="shared" ca="1" si="939"/>
        <v>0</v>
      </c>
      <c r="Z113" s="3">
        <f ca="1">+AA113</f>
        <v>0</v>
      </c>
      <c r="AA113" s="3">
        <f ca="1">+AB113</f>
        <v>0</v>
      </c>
      <c r="AB113" s="37">
        <f t="shared" ca="1" si="918"/>
        <v>0</v>
      </c>
      <c r="AC113" s="37">
        <f t="shared" ca="1" si="919"/>
        <v>0</v>
      </c>
      <c r="AD113" s="37">
        <f t="shared" ca="1" si="920"/>
        <v>0</v>
      </c>
      <c r="AE113" s="37">
        <f t="shared" ca="1" si="921"/>
        <v>0</v>
      </c>
      <c r="AI113" s="3">
        <f t="shared" ref="AI113:CH113" si="940">AJ113</f>
        <v>2</v>
      </c>
      <c r="AJ113" s="3">
        <f t="shared" si="940"/>
        <v>2</v>
      </c>
      <c r="AK113" s="3">
        <f t="shared" si="940"/>
        <v>2</v>
      </c>
      <c r="AL113" s="3">
        <f t="shared" si="940"/>
        <v>2</v>
      </c>
      <c r="AM113" s="3">
        <f t="shared" si="940"/>
        <v>2</v>
      </c>
      <c r="AN113" s="3">
        <f t="shared" si="940"/>
        <v>2</v>
      </c>
      <c r="AO113" s="3">
        <f t="shared" si="940"/>
        <v>2</v>
      </c>
      <c r="AP113" s="3">
        <f t="shared" si="940"/>
        <v>2</v>
      </c>
      <c r="AQ113" s="3">
        <f t="shared" si="940"/>
        <v>2</v>
      </c>
      <c r="AR113" s="3">
        <f t="shared" si="940"/>
        <v>2</v>
      </c>
      <c r="AS113" s="3">
        <f t="shared" si="940"/>
        <v>2</v>
      </c>
      <c r="AT113" s="3">
        <f t="shared" si="940"/>
        <v>2</v>
      </c>
      <c r="AU113" s="3">
        <f t="shared" si="940"/>
        <v>2</v>
      </c>
      <c r="AV113" s="3">
        <f t="shared" si="940"/>
        <v>2</v>
      </c>
      <c r="AW113" s="3">
        <f t="shared" si="940"/>
        <v>2</v>
      </c>
      <c r="AX113" s="3">
        <f t="shared" si="940"/>
        <v>2</v>
      </c>
      <c r="AY113" s="3">
        <f t="shared" si="940"/>
        <v>2</v>
      </c>
      <c r="AZ113" s="3">
        <f t="shared" si="940"/>
        <v>2</v>
      </c>
      <c r="BA113" s="3">
        <f t="shared" si="940"/>
        <v>2</v>
      </c>
      <c r="BB113" s="3">
        <f t="shared" si="940"/>
        <v>2</v>
      </c>
      <c r="BC113" s="3">
        <f t="shared" si="940"/>
        <v>2</v>
      </c>
      <c r="BD113" s="3">
        <f t="shared" si="940"/>
        <v>2</v>
      </c>
      <c r="BE113" s="3">
        <f t="shared" si="940"/>
        <v>2</v>
      </c>
      <c r="BF113" s="3">
        <f t="shared" si="940"/>
        <v>2</v>
      </c>
      <c r="BG113" s="3">
        <f t="shared" si="940"/>
        <v>2</v>
      </c>
      <c r="BH113" s="3">
        <f t="shared" si="940"/>
        <v>2</v>
      </c>
      <c r="BI113" s="3">
        <f t="shared" si="940"/>
        <v>2</v>
      </c>
      <c r="BJ113" s="3">
        <f t="shared" si="940"/>
        <v>2</v>
      </c>
      <c r="BK113" s="3">
        <f t="shared" si="940"/>
        <v>2</v>
      </c>
      <c r="BL113" s="3">
        <f t="shared" si="940"/>
        <v>2</v>
      </c>
      <c r="BM113" s="3">
        <f t="shared" si="940"/>
        <v>2</v>
      </c>
      <c r="BN113" s="3">
        <f t="shared" si="940"/>
        <v>2</v>
      </c>
      <c r="BO113" s="3">
        <f t="shared" si="940"/>
        <v>2</v>
      </c>
      <c r="BP113" s="3">
        <f t="shared" si="940"/>
        <v>2</v>
      </c>
      <c r="BQ113" s="3">
        <f t="shared" si="940"/>
        <v>2</v>
      </c>
      <c r="BR113" s="3">
        <f t="shared" si="940"/>
        <v>2</v>
      </c>
      <c r="BS113" s="3">
        <f t="shared" si="940"/>
        <v>2</v>
      </c>
      <c r="BT113" s="3">
        <f t="shared" si="940"/>
        <v>2</v>
      </c>
      <c r="BU113" s="3">
        <f t="shared" si="940"/>
        <v>2</v>
      </c>
      <c r="BV113" s="3">
        <f t="shared" si="940"/>
        <v>2</v>
      </c>
      <c r="BW113" s="3">
        <f t="shared" si="940"/>
        <v>2</v>
      </c>
      <c r="BX113" s="3">
        <f t="shared" si="940"/>
        <v>2</v>
      </c>
      <c r="BY113" s="3">
        <f t="shared" si="940"/>
        <v>2</v>
      </c>
      <c r="BZ113" s="3">
        <f t="shared" si="940"/>
        <v>2</v>
      </c>
      <c r="CA113" s="3">
        <f t="shared" si="940"/>
        <v>2</v>
      </c>
      <c r="CB113" s="3">
        <f t="shared" si="940"/>
        <v>2</v>
      </c>
      <c r="CC113" s="3">
        <f t="shared" si="940"/>
        <v>2</v>
      </c>
      <c r="CD113" s="3">
        <f t="shared" si="940"/>
        <v>2</v>
      </c>
      <c r="CE113" s="3">
        <f t="shared" si="940"/>
        <v>2</v>
      </c>
      <c r="CF113" s="3">
        <f t="shared" si="940"/>
        <v>2</v>
      </c>
      <c r="CG113" s="3">
        <f t="shared" si="940"/>
        <v>2</v>
      </c>
      <c r="CH113" s="3">
        <f t="shared" si="940"/>
        <v>2</v>
      </c>
      <c r="CI113" s="3">
        <f>CJ113</f>
        <v>2</v>
      </c>
      <c r="CJ113" s="3">
        <f>'QTR Raw'!BD46</f>
        <v>2</v>
      </c>
      <c r="CK113" s="3">
        <f>'QTR Raw'!BE46</f>
        <v>2</v>
      </c>
      <c r="CL113" s="3">
        <f>'QTR Raw'!BF46</f>
        <v>2</v>
      </c>
      <c r="CM113" s="37">
        <f t="shared" si="923"/>
        <v>2</v>
      </c>
      <c r="CN113" s="37">
        <f t="shared" si="924"/>
        <v>2</v>
      </c>
      <c r="CO113" s="37">
        <f t="shared" si="925"/>
        <v>2</v>
      </c>
      <c r="CP113" s="37">
        <f t="shared" si="926"/>
        <v>2</v>
      </c>
      <c r="CQ113" s="37">
        <f t="shared" si="927"/>
        <v>2</v>
      </c>
      <c r="CR113" s="37">
        <f t="shared" si="928"/>
        <v>2</v>
      </c>
      <c r="CS113" s="37">
        <f t="shared" si="929"/>
        <v>2</v>
      </c>
      <c r="CT113" s="37">
        <f t="shared" si="930"/>
        <v>2</v>
      </c>
      <c r="CU113" s="37">
        <f t="shared" si="931"/>
        <v>2</v>
      </c>
      <c r="CV113" s="37">
        <f t="shared" si="932"/>
        <v>2</v>
      </c>
      <c r="CW113" s="37">
        <f t="shared" si="933"/>
        <v>2</v>
      </c>
      <c r="CX113" s="37">
        <f t="shared" si="934"/>
        <v>2</v>
      </c>
      <c r="CY113" s="37">
        <f t="shared" si="935"/>
        <v>2</v>
      </c>
      <c r="CZ113" s="37">
        <f t="shared" si="936"/>
        <v>2</v>
      </c>
      <c r="DA113" s="37">
        <f t="shared" si="937"/>
        <v>2</v>
      </c>
      <c r="DB113" s="37">
        <f t="shared" si="938"/>
        <v>2</v>
      </c>
      <c r="DE113" s="134"/>
      <c r="DF113" s="3">
        <v>2</v>
      </c>
    </row>
    <row r="114" spans="1:110" s="3" customFormat="1" x14ac:dyDescent="0.2">
      <c r="A114" s="3" t="s">
        <v>29</v>
      </c>
      <c r="B114" s="3">
        <f>B112/B113</f>
        <v>0.29837999999999998</v>
      </c>
      <c r="C114" s="3">
        <f t="shared" ref="C114:W114" si="941">C112/C113</f>
        <v>0.29837999999999998</v>
      </c>
      <c r="D114" s="3">
        <f t="shared" si="941"/>
        <v>0.29866999999999999</v>
      </c>
      <c r="E114" s="3" t="e">
        <f t="shared" ca="1" si="941"/>
        <v>#DIV/0!</v>
      </c>
      <c r="F114" s="3" t="e">
        <f t="shared" ca="1" si="941"/>
        <v>#DIV/0!</v>
      </c>
      <c r="G114" s="3" t="e">
        <f t="shared" ca="1" si="941"/>
        <v>#DIV/0!</v>
      </c>
      <c r="H114" s="3" t="e">
        <f t="shared" ca="1" si="941"/>
        <v>#DIV/0!</v>
      </c>
      <c r="I114" s="3" t="e">
        <f t="shared" ca="1" si="941"/>
        <v>#DIV/0!</v>
      </c>
      <c r="J114" s="3" t="e">
        <f t="shared" ca="1" si="941"/>
        <v>#DIV/0!</v>
      </c>
      <c r="K114" s="3" t="e">
        <f t="shared" ca="1" si="941"/>
        <v>#DIV/0!</v>
      </c>
      <c r="L114" s="3" t="e">
        <f t="shared" ca="1" si="941"/>
        <v>#DIV/0!</v>
      </c>
      <c r="M114" s="3" t="e">
        <f t="shared" ca="1" si="941"/>
        <v>#DIV/0!</v>
      </c>
      <c r="N114" s="3" t="e">
        <f t="shared" ca="1" si="941"/>
        <v>#DIV/0!</v>
      </c>
      <c r="O114" s="3" t="e">
        <f t="shared" ca="1" si="941"/>
        <v>#DIV/0!</v>
      </c>
      <c r="P114" s="3" t="e">
        <f t="shared" ca="1" si="941"/>
        <v>#DIV/0!</v>
      </c>
      <c r="Q114" s="3" t="e">
        <f t="shared" ca="1" si="941"/>
        <v>#DIV/0!</v>
      </c>
      <c r="R114" s="3" t="e">
        <f t="shared" ca="1" si="941"/>
        <v>#DIV/0!</v>
      </c>
      <c r="S114" s="3" t="e">
        <f t="shared" ca="1" si="941"/>
        <v>#DIV/0!</v>
      </c>
      <c r="T114" s="3" t="e">
        <f t="shared" ca="1" si="941"/>
        <v>#DIV/0!</v>
      </c>
      <c r="U114" s="3" t="e">
        <f t="shared" ca="1" si="941"/>
        <v>#DIV/0!</v>
      </c>
      <c r="V114" s="3" t="e">
        <f ca="1">V112/V113</f>
        <v>#DIV/0!</v>
      </c>
      <c r="W114" s="3" t="e">
        <f t="shared" ca="1" si="941"/>
        <v>#DIV/0!</v>
      </c>
      <c r="X114" s="3" t="e">
        <f t="shared" ref="X114:Y114" ca="1" si="942">X112/X113</f>
        <v>#DIV/0!</v>
      </c>
      <c r="Y114" s="3" t="e">
        <f t="shared" ca="1" si="942"/>
        <v>#DIV/0!</v>
      </c>
      <c r="Z114" s="3" t="e">
        <f t="shared" ref="Z114:AA114" ca="1" si="943">Z112/Z113</f>
        <v>#DIV/0!</v>
      </c>
      <c r="AA114" s="3" t="e">
        <f t="shared" ca="1" si="943"/>
        <v>#DIV/0!</v>
      </c>
      <c r="AB114" s="37" t="e">
        <f t="shared" ref="AA114:AD114" ca="1" si="944">AB112/AB113</f>
        <v>#DIV/0!</v>
      </c>
      <c r="AC114" s="37" t="e">
        <f t="shared" ca="1" si="944"/>
        <v>#DIV/0!</v>
      </c>
      <c r="AD114" s="37" t="e">
        <f t="shared" ca="1" si="944"/>
        <v>#DIV/0!</v>
      </c>
      <c r="AE114" s="37" t="e">
        <f t="shared" ref="AE114" ca="1" si="945">AE112/AE113</f>
        <v>#DIV/0!</v>
      </c>
      <c r="AI114" s="3">
        <f t="shared" ref="AI114" si="946">AI112/AI113</f>
        <v>3.24</v>
      </c>
      <c r="AJ114" s="3">
        <f t="shared" ref="AJ114" si="947">AJ112/AJ113</f>
        <v>3.24</v>
      </c>
      <c r="AK114" s="3">
        <f t="shared" ref="AK114:AM114" si="948">AK112/AK113</f>
        <v>3.24</v>
      </c>
      <c r="AL114" s="3">
        <f t="shared" si="948"/>
        <v>3.24</v>
      </c>
      <c r="AM114" s="3">
        <f t="shared" si="948"/>
        <v>3.24</v>
      </c>
      <c r="AN114" s="3">
        <f t="shared" ref="AN114:AO114" si="949">AN112/AN113</f>
        <v>3.24</v>
      </c>
      <c r="AO114" s="3">
        <f t="shared" si="949"/>
        <v>3.24</v>
      </c>
      <c r="AP114" s="3">
        <f t="shared" ref="AP114:CD114" si="950">AP112/AP113</f>
        <v>3.24</v>
      </c>
      <c r="AQ114" s="3">
        <f t="shared" si="950"/>
        <v>3.24</v>
      </c>
      <c r="AR114" s="3">
        <f t="shared" si="950"/>
        <v>3.24</v>
      </c>
      <c r="AS114" s="3">
        <f t="shared" si="950"/>
        <v>3.24</v>
      </c>
      <c r="AT114" s="3">
        <f t="shared" si="950"/>
        <v>3.24</v>
      </c>
      <c r="AU114" s="3">
        <f t="shared" si="950"/>
        <v>3.24</v>
      </c>
      <c r="AV114" s="3">
        <f t="shared" si="950"/>
        <v>3.24</v>
      </c>
      <c r="AW114" s="3">
        <f t="shared" si="950"/>
        <v>3.24</v>
      </c>
      <c r="AX114" s="3">
        <f t="shared" si="950"/>
        <v>3.24</v>
      </c>
      <c r="AY114" s="3">
        <f t="shared" si="950"/>
        <v>3.24</v>
      </c>
      <c r="AZ114" s="3">
        <f t="shared" si="950"/>
        <v>3.24</v>
      </c>
      <c r="BA114" s="3">
        <f t="shared" si="950"/>
        <v>3.24</v>
      </c>
      <c r="BB114" s="3">
        <f t="shared" si="950"/>
        <v>3.24</v>
      </c>
      <c r="BC114" s="3">
        <f t="shared" si="950"/>
        <v>3.24</v>
      </c>
      <c r="BD114" s="3">
        <f t="shared" si="950"/>
        <v>3.24</v>
      </c>
      <c r="BE114" s="3">
        <f t="shared" si="950"/>
        <v>3.24</v>
      </c>
      <c r="BF114" s="3">
        <f t="shared" si="950"/>
        <v>3.24</v>
      </c>
      <c r="BG114" s="3">
        <f t="shared" si="950"/>
        <v>3.24</v>
      </c>
      <c r="BH114" s="3">
        <f t="shared" si="950"/>
        <v>3.24</v>
      </c>
      <c r="BI114" s="3">
        <f t="shared" si="950"/>
        <v>3.24</v>
      </c>
      <c r="BJ114" s="3">
        <f t="shared" si="950"/>
        <v>3.24</v>
      </c>
      <c r="BK114" s="3">
        <f t="shared" si="950"/>
        <v>3.24</v>
      </c>
      <c r="BL114" s="3">
        <f t="shared" si="950"/>
        <v>3.24</v>
      </c>
      <c r="BM114" s="3">
        <f t="shared" si="950"/>
        <v>3.24</v>
      </c>
      <c r="BN114" s="3">
        <f t="shared" si="950"/>
        <v>3.24</v>
      </c>
      <c r="BO114" s="3">
        <f t="shared" si="950"/>
        <v>3.24</v>
      </c>
      <c r="BP114" s="3">
        <f t="shared" si="950"/>
        <v>3.24</v>
      </c>
      <c r="BQ114" s="3">
        <f t="shared" si="950"/>
        <v>3.24</v>
      </c>
      <c r="BR114" s="3">
        <f t="shared" si="950"/>
        <v>3.24</v>
      </c>
      <c r="BS114" s="3">
        <f t="shared" si="950"/>
        <v>3.24</v>
      </c>
      <c r="BT114" s="3">
        <f t="shared" si="950"/>
        <v>3.24</v>
      </c>
      <c r="BU114" s="3">
        <f t="shared" si="950"/>
        <v>3.24</v>
      </c>
      <c r="BV114" s="3">
        <f t="shared" si="950"/>
        <v>3.24</v>
      </c>
      <c r="BW114" s="3">
        <f t="shared" si="950"/>
        <v>3.24</v>
      </c>
      <c r="BX114" s="3">
        <f t="shared" si="950"/>
        <v>3.24</v>
      </c>
      <c r="BY114" s="3">
        <f t="shared" si="950"/>
        <v>3.24</v>
      </c>
      <c r="BZ114" s="3">
        <f t="shared" si="950"/>
        <v>3.24</v>
      </c>
      <c r="CA114" s="3">
        <f t="shared" si="950"/>
        <v>3.24</v>
      </c>
      <c r="CB114" s="3">
        <f t="shared" si="950"/>
        <v>3.24</v>
      </c>
      <c r="CC114" s="3">
        <f t="shared" si="950"/>
        <v>3.24</v>
      </c>
      <c r="CD114" s="3">
        <f t="shared" si="950"/>
        <v>3.24</v>
      </c>
      <c r="CE114" s="3">
        <f t="shared" ref="CE114:CF114" si="951">CE112/CE113</f>
        <v>3.24</v>
      </c>
      <c r="CF114" s="3">
        <f t="shared" si="951"/>
        <v>3.24</v>
      </c>
      <c r="CG114" s="3">
        <f t="shared" ref="CG114:CH114" si="952">CG112/CG113</f>
        <v>3.24</v>
      </c>
      <c r="CH114" s="3">
        <f t="shared" si="952"/>
        <v>3.24</v>
      </c>
      <c r="CI114" s="3">
        <f t="shared" ref="CI114:CJ114" si="953">CI112/CI113</f>
        <v>3.24</v>
      </c>
      <c r="CJ114" s="3">
        <f t="shared" si="953"/>
        <v>3.24</v>
      </c>
      <c r="CK114" s="3">
        <f t="shared" ref="CK114:CL114" si="954">CK112/CK113</f>
        <v>3.24</v>
      </c>
      <c r="CL114" s="3">
        <f t="shared" si="954"/>
        <v>3.24</v>
      </c>
      <c r="CM114" s="37">
        <f t="shared" ref="CM114:DB114" si="955">CM112/CM113</f>
        <v>3.24</v>
      </c>
      <c r="CN114" s="37">
        <f t="shared" si="955"/>
        <v>3.24</v>
      </c>
      <c r="CO114" s="37">
        <f t="shared" si="955"/>
        <v>3.24</v>
      </c>
      <c r="CP114" s="37">
        <f t="shared" si="955"/>
        <v>3.24</v>
      </c>
      <c r="CQ114" s="37">
        <f t="shared" si="955"/>
        <v>3.24</v>
      </c>
      <c r="CR114" s="37">
        <f t="shared" si="955"/>
        <v>3.24</v>
      </c>
      <c r="CS114" s="37">
        <f t="shared" si="955"/>
        <v>3.24</v>
      </c>
      <c r="CT114" s="37">
        <f t="shared" si="955"/>
        <v>3.24</v>
      </c>
      <c r="CU114" s="37">
        <f t="shared" si="955"/>
        <v>3.24</v>
      </c>
      <c r="CV114" s="37">
        <f t="shared" si="955"/>
        <v>3.24</v>
      </c>
      <c r="CW114" s="37">
        <f t="shared" si="955"/>
        <v>3.24</v>
      </c>
      <c r="CX114" s="37">
        <f t="shared" si="955"/>
        <v>3.24</v>
      </c>
      <c r="CY114" s="37">
        <f t="shared" si="955"/>
        <v>3.24</v>
      </c>
      <c r="CZ114" s="37">
        <f t="shared" si="955"/>
        <v>3.24</v>
      </c>
      <c r="DA114" s="37">
        <f t="shared" si="955"/>
        <v>3.24</v>
      </c>
      <c r="DB114" s="37">
        <f t="shared" si="955"/>
        <v>3.24</v>
      </c>
      <c r="DE114" s="134"/>
      <c r="DF114" s="3">
        <v>3.24</v>
      </c>
    </row>
    <row r="115" spans="1:110" s="53" customFormat="1" x14ac:dyDescent="0.2">
      <c r="A115" s="53" t="s">
        <v>30</v>
      </c>
      <c r="B115" s="53">
        <f t="shared" ref="B115:AE115" si="956">(B97-B96)/B114</f>
        <v>3.6481872109390632</v>
      </c>
      <c r="C115" s="53">
        <f t="shared" si="956"/>
        <v>12.716095917956967</v>
      </c>
      <c r="D115" s="53">
        <f t="shared" si="956"/>
        <v>13.783801185254648</v>
      </c>
      <c r="E115" s="53" t="e">
        <f t="shared" ca="1" si="956"/>
        <v>#DIV/0!</v>
      </c>
      <c r="F115" s="53" t="e">
        <f t="shared" ca="1" si="956"/>
        <v>#DIV/0!</v>
      </c>
      <c r="G115" s="53" t="e">
        <f t="shared" ca="1" si="956"/>
        <v>#DIV/0!</v>
      </c>
      <c r="H115" s="53" t="e">
        <f t="shared" ca="1" si="956"/>
        <v>#DIV/0!</v>
      </c>
      <c r="I115" s="53" t="e">
        <f t="shared" ca="1" si="956"/>
        <v>#DIV/0!</v>
      </c>
      <c r="J115" s="53" t="e">
        <f t="shared" ca="1" si="956"/>
        <v>#DIV/0!</v>
      </c>
      <c r="K115" s="53" t="e">
        <f t="shared" ca="1" si="956"/>
        <v>#DIV/0!</v>
      </c>
      <c r="L115" s="53" t="e">
        <f t="shared" ca="1" si="956"/>
        <v>#DIV/0!</v>
      </c>
      <c r="M115" s="53" t="e">
        <f t="shared" ca="1" si="956"/>
        <v>#DIV/0!</v>
      </c>
      <c r="N115" s="53" t="e">
        <f t="shared" ca="1" si="956"/>
        <v>#DIV/0!</v>
      </c>
      <c r="O115" s="53" t="e">
        <f t="shared" ca="1" si="956"/>
        <v>#DIV/0!</v>
      </c>
      <c r="P115" s="53" t="e">
        <f t="shared" ca="1" si="956"/>
        <v>#DIV/0!</v>
      </c>
      <c r="Q115" s="53" t="e">
        <f t="shared" ca="1" si="956"/>
        <v>#DIV/0!</v>
      </c>
      <c r="R115" s="53" t="e">
        <f t="shared" ca="1" si="956"/>
        <v>#DIV/0!</v>
      </c>
      <c r="S115" s="53" t="e">
        <f t="shared" ca="1" si="956"/>
        <v>#DIV/0!</v>
      </c>
      <c r="T115" s="53" t="e">
        <f t="shared" ca="1" si="956"/>
        <v>#DIV/0!</v>
      </c>
      <c r="U115" s="53" t="e">
        <f t="shared" ca="1" si="956"/>
        <v>#DIV/0!</v>
      </c>
      <c r="V115" s="53" t="e">
        <f t="shared" ca="1" si="956"/>
        <v>#DIV/0!</v>
      </c>
      <c r="W115" s="53" t="e">
        <f t="shared" ca="1" si="956"/>
        <v>#DIV/0!</v>
      </c>
      <c r="X115" s="53" t="e">
        <f t="shared" ca="1" si="956"/>
        <v>#DIV/0!</v>
      </c>
      <c r="Y115" s="53" t="e">
        <f t="shared" ca="1" si="956"/>
        <v>#DIV/0!</v>
      </c>
      <c r="Z115" s="53" t="e">
        <f t="shared" ca="1" si="956"/>
        <v>#DIV/0!</v>
      </c>
      <c r="AA115" s="53" t="e">
        <f t="shared" ref="AA115" ca="1" si="957">(AA97-AA96)/AA114</f>
        <v>#DIV/0!</v>
      </c>
      <c r="AB115" s="54" t="e">
        <f t="shared" ca="1" si="956"/>
        <v>#DIV/0!</v>
      </c>
      <c r="AC115" s="54" t="e">
        <f t="shared" ca="1" si="956"/>
        <v>#DIV/0!</v>
      </c>
      <c r="AD115" s="54" t="e">
        <f t="shared" ca="1" si="956"/>
        <v>#DIV/0!</v>
      </c>
      <c r="AE115" s="54" t="e">
        <f t="shared" ca="1" si="956"/>
        <v>#DIV/0!</v>
      </c>
      <c r="AI115" s="53">
        <f t="shared" ref="AI115:BN115" si="958">(AI97-AI96)/AI114</f>
        <v>2.8910493827160462</v>
      </c>
      <c r="AJ115" s="53">
        <f t="shared" si="958"/>
        <v>2.744135802469136</v>
      </c>
      <c r="AK115" s="53">
        <f t="shared" si="958"/>
        <v>2.1836419753086393</v>
      </c>
      <c r="AL115" s="53">
        <f t="shared" si="958"/>
        <v>1.7592592592592566</v>
      </c>
      <c r="AM115" s="53">
        <f t="shared" si="958"/>
        <v>2.6265432098765435</v>
      </c>
      <c r="AN115" s="53">
        <f t="shared" si="958"/>
        <v>3.6219135802469187</v>
      </c>
      <c r="AO115" s="53">
        <f t="shared" si="958"/>
        <v>1.296296296296289</v>
      </c>
      <c r="AP115" s="53">
        <f t="shared" si="958"/>
        <v>2.805555555555558</v>
      </c>
      <c r="AQ115" s="53">
        <f t="shared" si="958"/>
        <v>2.87345679012346</v>
      </c>
      <c r="AR115" s="53">
        <f t="shared" si="958"/>
        <v>2.8049382716049363</v>
      </c>
      <c r="AS115" s="53">
        <f t="shared" si="958"/>
        <v>1.9114197530864183</v>
      </c>
      <c r="AT115" s="53">
        <f t="shared" si="958"/>
        <v>3.6324074074074133</v>
      </c>
      <c r="AU115" s="53">
        <f t="shared" si="958"/>
        <v>3.9555555555555584</v>
      </c>
      <c r="AV115" s="53">
        <f t="shared" si="958"/>
        <v>3.6462962962962937</v>
      </c>
      <c r="AW115" s="53">
        <f t="shared" si="958"/>
        <v>4.1067901234567907</v>
      </c>
      <c r="AX115" s="53">
        <f t="shared" si="958"/>
        <v>7.2024691358024722</v>
      </c>
      <c r="AY115" s="53">
        <f t="shared" si="958"/>
        <v>7.6277777777777791</v>
      </c>
      <c r="AZ115" s="53">
        <f t="shared" si="958"/>
        <v>6.7067901234567913</v>
      </c>
      <c r="BA115" s="53">
        <f t="shared" si="958"/>
        <v>5.9851851851851823</v>
      </c>
      <c r="BB115" s="53">
        <f t="shared" si="958"/>
        <v>5.2938271604938221</v>
      </c>
      <c r="BC115" s="53">
        <f t="shared" si="958"/>
        <v>7.0231481481481444</v>
      </c>
      <c r="BD115" s="53">
        <f t="shared" si="958"/>
        <v>9.0009259259259338</v>
      </c>
      <c r="BE115" s="53">
        <f t="shared" si="958"/>
        <v>8.4836419753086361</v>
      </c>
      <c r="BF115" s="53">
        <f t="shared" si="958"/>
        <v>10.239506172839487</v>
      </c>
      <c r="BG115" s="53">
        <f t="shared" si="958"/>
        <v>10.439506172839513</v>
      </c>
      <c r="BH115" s="53">
        <f t="shared" si="958"/>
        <v>9.5620370370370384</v>
      </c>
      <c r="BI115" s="53">
        <f t="shared" si="958"/>
        <v>8.1086419753086361</v>
      </c>
      <c r="BJ115" s="53">
        <f t="shared" si="958"/>
        <v>8.1645061728395092</v>
      </c>
      <c r="BK115" s="53">
        <f t="shared" si="958"/>
        <v>5.909876543209875</v>
      </c>
      <c r="BL115" s="53">
        <f t="shared" si="958"/>
        <v>9.6996913580246886</v>
      </c>
      <c r="BM115" s="53">
        <f t="shared" si="958"/>
        <v>7.2246913580246925</v>
      </c>
      <c r="BN115" s="53">
        <f t="shared" si="958"/>
        <v>9.5104938271604915</v>
      </c>
      <c r="BO115" s="53">
        <f t="shared" ref="BO115:CT115" si="959">(BO97-BO96)/BO114</f>
        <v>10.174074074074078</v>
      </c>
      <c r="BP115" s="53">
        <f t="shared" si="959"/>
        <v>14.123456790123457</v>
      </c>
      <c r="BQ115" s="53">
        <f t="shared" si="959"/>
        <v>23.138888888888893</v>
      </c>
      <c r="BR115" s="53">
        <f t="shared" si="959"/>
        <v>26.079938271604938</v>
      </c>
      <c r="BS115" s="53">
        <f t="shared" si="959"/>
        <v>27.896604938271597</v>
      </c>
      <c r="BT115" s="53">
        <f t="shared" si="959"/>
        <v>24.61450617283948</v>
      </c>
      <c r="BU115" s="53">
        <f t="shared" si="959"/>
        <v>27.64043209876542</v>
      </c>
      <c r="BV115" s="53">
        <f t="shared" si="959"/>
        <v>33.556481481481491</v>
      </c>
      <c r="BW115" s="53">
        <f t="shared" si="959"/>
        <v>37.953086419753099</v>
      </c>
      <c r="BX115" s="53">
        <f t="shared" si="959"/>
        <v>28.570987654320987</v>
      </c>
      <c r="BY115" s="53">
        <f t="shared" si="959"/>
        <v>19.312037037037037</v>
      </c>
      <c r="BZ115" s="53">
        <f t="shared" si="959"/>
        <v>14.632407407407396</v>
      </c>
      <c r="CA115" s="53">
        <f t="shared" si="959"/>
        <v>16.275308641975311</v>
      </c>
      <c r="CB115" s="53">
        <f t="shared" si="959"/>
        <v>10.713271604938274</v>
      </c>
      <c r="CC115" s="53">
        <f t="shared" si="959"/>
        <v>15.238580246913594</v>
      </c>
      <c r="CD115" s="53">
        <f t="shared" si="959"/>
        <v>20.998148148148154</v>
      </c>
      <c r="CE115" s="53">
        <f t="shared" si="959"/>
        <v>13.362037037037036</v>
      </c>
      <c r="CF115" s="53">
        <f t="shared" si="959"/>
        <v>12.648148148148143</v>
      </c>
      <c r="CG115" s="53">
        <f t="shared" si="959"/>
        <v>10.241975308641983</v>
      </c>
      <c r="CH115" s="53">
        <f t="shared" si="959"/>
        <v>12.364814814814819</v>
      </c>
      <c r="CI115" s="53">
        <f t="shared" si="959"/>
        <v>11.728703703703699</v>
      </c>
      <c r="CJ115" s="53">
        <f t="shared" si="959"/>
        <v>10.666358024691359</v>
      </c>
      <c r="CK115" s="53">
        <f t="shared" ref="CK115:CL115" si="960">(CK97-CK96)/CK114</f>
        <v>9.7018518518518544</v>
      </c>
      <c r="CL115" s="53">
        <f t="shared" si="960"/>
        <v>19.508024691358028</v>
      </c>
      <c r="CM115" s="54">
        <f t="shared" si="959"/>
        <v>19.027658218852689</v>
      </c>
      <c r="CN115" s="54">
        <f t="shared" si="959"/>
        <v>20.390637387479387</v>
      </c>
      <c r="CO115" s="54">
        <f t="shared" si="959"/>
        <v>18.145561567663883</v>
      </c>
      <c r="CP115" s="54">
        <f t="shared" si="959"/>
        <v>19.485991916386283</v>
      </c>
      <c r="CQ115" s="54">
        <f t="shared" si="959"/>
        <v>26.212829855688199</v>
      </c>
      <c r="CR115" s="54">
        <f t="shared" si="959"/>
        <v>24.360139351639202</v>
      </c>
      <c r="CS115" s="54">
        <f t="shared" si="959"/>
        <v>22.55252726564056</v>
      </c>
      <c r="CT115" s="54">
        <f t="shared" si="959"/>
        <v>29.80227503891582</v>
      </c>
      <c r="CU115" s="54">
        <f t="shared" ref="CU115:DB115" si="961">(CU97-CU96)/CU114</f>
        <v>34.070600202743961</v>
      </c>
      <c r="CV115" s="54">
        <f t="shared" si="961"/>
        <v>34.971175749237261</v>
      </c>
      <c r="CW115" s="54">
        <f t="shared" si="961"/>
        <v>33.766476441842364</v>
      </c>
      <c r="CX115" s="54">
        <f t="shared" si="961"/>
        <v>43.124364598270795</v>
      </c>
      <c r="CY115" s="54">
        <f t="shared" si="961"/>
        <v>51.442486842810411</v>
      </c>
      <c r="CZ115" s="54">
        <f t="shared" si="961"/>
        <v>53.007748556768334</v>
      </c>
      <c r="DA115" s="54">
        <f t="shared" si="961"/>
        <v>51.15185388949935</v>
      </c>
      <c r="DB115" s="54">
        <f t="shared" si="961"/>
        <v>66.470827763397494</v>
      </c>
      <c r="DE115" s="132"/>
      <c r="DF115" s="53">
        <v>15.549577316030222</v>
      </c>
    </row>
    <row r="116" spans="1:110" s="3" customFormat="1" x14ac:dyDescent="0.2">
      <c r="A116" s="3" t="s">
        <v>31</v>
      </c>
      <c r="B116" s="3">
        <f>'Annual Raw'!C110</f>
        <v>0.1</v>
      </c>
      <c r="C116" s="3">
        <f>'Annual Raw'!D110</f>
        <v>0.2</v>
      </c>
      <c r="D116" s="3">
        <f>'Annual Raw'!E110</f>
        <v>0.25</v>
      </c>
      <c r="E116" s="3">
        <f>'Annual Raw'!F110</f>
        <v>0.3</v>
      </c>
      <c r="F116" s="3">
        <f>'Annual Raw'!G110</f>
        <v>0.3</v>
      </c>
      <c r="G116" s="3">
        <f>'Annual Raw'!H110</f>
        <v>0.5</v>
      </c>
      <c r="H116" s="3">
        <f>'Annual Raw'!I110</f>
        <v>0.3</v>
      </c>
      <c r="I116" s="3">
        <f>'Annual Raw'!J110</f>
        <v>0.3</v>
      </c>
      <c r="J116" s="3">
        <f>'Annual Raw'!K110</f>
        <v>0.4</v>
      </c>
      <c r="K116" s="3">
        <f>'Annual Raw'!L110</f>
        <v>0.5</v>
      </c>
      <c r="L116" s="3">
        <f>'Annual Raw'!M110</f>
        <v>0.6</v>
      </c>
      <c r="M116" s="3">
        <f>'Annual Raw'!N110</f>
        <v>0.8</v>
      </c>
      <c r="N116" s="3">
        <f>'Annual Raw'!O110</f>
        <v>1.3</v>
      </c>
      <c r="O116" s="3">
        <f>'Annual Raw'!P110</f>
        <v>1</v>
      </c>
      <c r="P116" s="3">
        <f>'Annual Raw'!Q110</f>
        <v>1.2</v>
      </c>
      <c r="Q116" s="3">
        <f>'Annual Raw'!R110</f>
        <v>2</v>
      </c>
      <c r="R116" s="3">
        <f>'Annual Raw'!S110</f>
        <v>2.2000000000000002</v>
      </c>
      <c r="S116" s="3">
        <f>'Annual Raw'!T110</f>
        <v>2.6</v>
      </c>
      <c r="T116" s="3">
        <f>'Annual Raw'!U110</f>
        <v>2.8</v>
      </c>
      <c r="U116" s="3">
        <f>'Annual Raw'!V110</f>
        <v>3.2</v>
      </c>
      <c r="V116" s="3">
        <f>'Annual Raw'!W110</f>
        <v>4</v>
      </c>
      <c r="W116" s="3">
        <f>'Annual Raw'!X110</f>
        <v>6</v>
      </c>
      <c r="X116" s="3">
        <f>'Annual Raw'!Y110</f>
        <v>10</v>
      </c>
      <c r="Y116" s="3">
        <f>'Annual Raw'!Z110</f>
        <v>11</v>
      </c>
      <c r="Z116" s="3">
        <f>'Annual Raw'!AA110</f>
        <v>11</v>
      </c>
      <c r="AA116" s="3">
        <f>'Annual Raw'!AB110</f>
        <v>11</v>
      </c>
      <c r="AB116" s="37"/>
      <c r="AC116" s="37"/>
      <c r="AD116" s="37"/>
      <c r="AE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E116" s="134"/>
    </row>
    <row r="117" spans="1:110" s="3" customFormat="1" x14ac:dyDescent="0.2">
      <c r="A117" s="3" t="s">
        <v>32</v>
      </c>
      <c r="B117" s="3">
        <f>B116/B115</f>
        <v>2.741087400891893E-2</v>
      </c>
      <c r="C117" s="3">
        <f t="shared" ref="C117:U117" si="962">C116/C115</f>
        <v>1.5728097781770509E-2</v>
      </c>
      <c r="D117" s="3">
        <f t="shared" si="962"/>
        <v>1.81372320044372E-2</v>
      </c>
      <c r="E117" s="3" t="e">
        <f t="shared" ca="1" si="962"/>
        <v>#DIV/0!</v>
      </c>
      <c r="F117" s="3" t="e">
        <f t="shared" ca="1" si="962"/>
        <v>#DIV/0!</v>
      </c>
      <c r="G117" s="3" t="e">
        <f t="shared" ca="1" si="962"/>
        <v>#DIV/0!</v>
      </c>
      <c r="H117" s="3" t="e">
        <f t="shared" ca="1" si="962"/>
        <v>#DIV/0!</v>
      </c>
      <c r="I117" s="3" t="e">
        <f t="shared" ca="1" si="962"/>
        <v>#DIV/0!</v>
      </c>
      <c r="J117" s="3" t="e">
        <f t="shared" ca="1" si="962"/>
        <v>#DIV/0!</v>
      </c>
      <c r="K117" s="3" t="e">
        <f t="shared" ca="1" si="962"/>
        <v>#DIV/0!</v>
      </c>
      <c r="L117" s="3" t="e">
        <f t="shared" ca="1" si="962"/>
        <v>#DIV/0!</v>
      </c>
      <c r="M117" s="3" t="e">
        <f t="shared" ca="1" si="962"/>
        <v>#DIV/0!</v>
      </c>
      <c r="N117" s="3" t="e">
        <f t="shared" ca="1" si="962"/>
        <v>#DIV/0!</v>
      </c>
      <c r="O117" s="3" t="e">
        <f t="shared" ca="1" si="962"/>
        <v>#DIV/0!</v>
      </c>
      <c r="P117" s="3" t="e">
        <f t="shared" ca="1" si="962"/>
        <v>#DIV/0!</v>
      </c>
      <c r="Q117" s="3" t="e">
        <f t="shared" ca="1" si="962"/>
        <v>#DIV/0!</v>
      </c>
      <c r="R117" s="3" t="e">
        <f t="shared" ca="1" si="962"/>
        <v>#DIV/0!</v>
      </c>
      <c r="S117" s="3" t="e">
        <f t="shared" ca="1" si="962"/>
        <v>#DIV/0!</v>
      </c>
      <c r="T117" s="3" t="e">
        <f t="shared" ca="1" si="962"/>
        <v>#DIV/0!</v>
      </c>
      <c r="U117" s="3" t="e">
        <f t="shared" ca="1" si="962"/>
        <v>#DIV/0!</v>
      </c>
      <c r="V117" s="3" t="e">
        <f ca="1">V116/V115</f>
        <v>#DIV/0!</v>
      </c>
      <c r="W117" s="3" t="e">
        <f t="shared" ref="W117" ca="1" si="963">W116/W115</f>
        <v>#DIV/0!</v>
      </c>
      <c r="X117" s="3" t="e">
        <f t="shared" ref="X117:Y117" ca="1" si="964">X116/X115</f>
        <v>#DIV/0!</v>
      </c>
      <c r="Y117" s="3" t="e">
        <f t="shared" ca="1" si="964"/>
        <v>#DIV/0!</v>
      </c>
      <c r="Z117" s="3" t="e">
        <f t="shared" ref="Z117:AA117" ca="1" si="965">Z116/Z115</f>
        <v>#DIV/0!</v>
      </c>
      <c r="AA117" s="3" t="e">
        <f t="shared" ca="1" si="965"/>
        <v>#DIV/0!</v>
      </c>
      <c r="AB117" s="37" t="e">
        <f t="shared" ref="AA117:AD117" ca="1" si="966">AB116/AB115</f>
        <v>#DIV/0!</v>
      </c>
      <c r="AC117" s="37" t="e">
        <f t="shared" ca="1" si="966"/>
        <v>#DIV/0!</v>
      </c>
      <c r="AD117" s="37" t="e">
        <f t="shared" ca="1" si="966"/>
        <v>#DIV/0!</v>
      </c>
      <c r="AE117" s="37" t="e">
        <f t="shared" ref="AE117" ca="1" si="967">AE116/AE115</f>
        <v>#DIV/0!</v>
      </c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E117" s="134"/>
      <c r="DF117" s="3">
        <v>0</v>
      </c>
    </row>
    <row r="118" spans="1:110" s="3" customFormat="1" x14ac:dyDescent="0.2">
      <c r="A118" s="3" t="s">
        <v>33</v>
      </c>
      <c r="B118" s="3">
        <f>+B115</f>
        <v>3.6481872109390632</v>
      </c>
      <c r="C118" s="3">
        <f t="shared" ref="C118:U118" si="968">+C115</f>
        <v>12.716095917956967</v>
      </c>
      <c r="D118" s="3">
        <f t="shared" si="968"/>
        <v>13.783801185254648</v>
      </c>
      <c r="E118" s="3" t="e">
        <f t="shared" ca="1" si="968"/>
        <v>#DIV/0!</v>
      </c>
      <c r="F118" s="3" t="e">
        <f t="shared" ca="1" si="968"/>
        <v>#DIV/0!</v>
      </c>
      <c r="G118" s="3" t="e">
        <f t="shared" ca="1" si="968"/>
        <v>#DIV/0!</v>
      </c>
      <c r="H118" s="3" t="e">
        <f t="shared" ca="1" si="968"/>
        <v>#DIV/0!</v>
      </c>
      <c r="I118" s="3" t="e">
        <f t="shared" ca="1" si="968"/>
        <v>#DIV/0!</v>
      </c>
      <c r="J118" s="3" t="e">
        <f t="shared" ca="1" si="968"/>
        <v>#DIV/0!</v>
      </c>
      <c r="K118" s="3" t="e">
        <f t="shared" ca="1" si="968"/>
        <v>#DIV/0!</v>
      </c>
      <c r="L118" s="3" t="e">
        <f t="shared" ca="1" si="968"/>
        <v>#DIV/0!</v>
      </c>
      <c r="M118" s="3" t="e">
        <f t="shared" ca="1" si="968"/>
        <v>#DIV/0!</v>
      </c>
      <c r="N118" s="3" t="e">
        <f t="shared" ca="1" si="968"/>
        <v>#DIV/0!</v>
      </c>
      <c r="O118" s="3" t="e">
        <f t="shared" ca="1" si="968"/>
        <v>#DIV/0!</v>
      </c>
      <c r="P118" s="3" t="e">
        <f t="shared" ca="1" si="968"/>
        <v>#DIV/0!</v>
      </c>
      <c r="Q118" s="3" t="e">
        <f t="shared" ca="1" si="968"/>
        <v>#DIV/0!</v>
      </c>
      <c r="R118" s="3" t="e">
        <f t="shared" ca="1" si="968"/>
        <v>#DIV/0!</v>
      </c>
      <c r="S118" s="3" t="e">
        <f t="shared" ca="1" si="968"/>
        <v>#DIV/0!</v>
      </c>
      <c r="T118" s="3" t="e">
        <f ca="1">+T115</f>
        <v>#DIV/0!</v>
      </c>
      <c r="U118" s="3" t="e">
        <f t="shared" ca="1" si="968"/>
        <v>#DIV/0!</v>
      </c>
      <c r="V118" s="3" t="e">
        <f ca="1">+V115</f>
        <v>#DIV/0!</v>
      </c>
      <c r="W118" s="3" t="e">
        <f t="shared" ref="W118" ca="1" si="969">+W115</f>
        <v>#DIV/0!</v>
      </c>
      <c r="X118" s="3" t="e">
        <f t="shared" ref="X118:Y118" ca="1" si="970">+X115</f>
        <v>#DIV/0!</v>
      </c>
      <c r="Y118" s="3" t="e">
        <f t="shared" ca="1" si="970"/>
        <v>#DIV/0!</v>
      </c>
      <c r="Z118" s="3" t="e">
        <f t="shared" ref="Z118:AA118" ca="1" si="971">+Z115</f>
        <v>#DIV/0!</v>
      </c>
      <c r="AA118" s="3" t="e">
        <f t="shared" ca="1" si="971"/>
        <v>#DIV/0!</v>
      </c>
      <c r="AB118" s="37" t="e">
        <f t="shared" ref="AA118:AD118" ca="1" si="972">+AB115</f>
        <v>#DIV/0!</v>
      </c>
      <c r="AC118" s="37" t="e">
        <f t="shared" ca="1" si="972"/>
        <v>#DIV/0!</v>
      </c>
      <c r="AD118" s="37" t="e">
        <f t="shared" ca="1" si="972"/>
        <v>#DIV/0!</v>
      </c>
      <c r="AE118" s="37" t="e">
        <f t="shared" ref="AE118" ca="1" si="973">+AE115</f>
        <v>#DIV/0!</v>
      </c>
      <c r="AL118" s="3">
        <f>SUM(AI115:AL115)</f>
        <v>9.5780864197530775</v>
      </c>
      <c r="AM118" s="3">
        <f t="shared" ref="AM118" si="974">SUM(AJ115:AM115)</f>
        <v>9.3135802469135758</v>
      </c>
      <c r="AN118" s="3">
        <f t="shared" ref="AN118" si="975">SUM(AK115:AN115)</f>
        <v>10.191358024691358</v>
      </c>
      <c r="AO118" s="3">
        <f t="shared" ref="AO118" si="976">SUM(AL115:AO115)</f>
        <v>9.3040123456790074</v>
      </c>
      <c r="AP118" s="3">
        <f t="shared" ref="AP118" si="977">SUM(AM115:AP115)</f>
        <v>10.35030864197531</v>
      </c>
      <c r="AQ118" s="3">
        <f t="shared" ref="AQ118" si="978">SUM(AN115:AQ115)</f>
        <v>10.597222222222225</v>
      </c>
      <c r="AR118" s="3">
        <f t="shared" ref="AR118" si="979">SUM(AO115:AR115)</f>
        <v>9.7802469135802426</v>
      </c>
      <c r="AS118" s="3">
        <f t="shared" ref="AS118" si="980">SUM(AP115:AS115)</f>
        <v>10.395370370370372</v>
      </c>
      <c r="AT118" s="3">
        <f t="shared" ref="AT118" si="981">SUM(AQ115:AT115)</f>
        <v>11.222222222222229</v>
      </c>
      <c r="AU118" s="3">
        <f t="shared" ref="AU118" si="982">SUM(AR115:AU115)</f>
        <v>12.304320987654325</v>
      </c>
      <c r="AV118" s="3">
        <f t="shared" ref="AV118" si="983">SUM(AS115:AV115)</f>
        <v>13.145679012345683</v>
      </c>
      <c r="AW118" s="3">
        <f t="shared" ref="AW118" si="984">SUM(AT115:AW115)</f>
        <v>15.341049382716054</v>
      </c>
      <c r="AX118" s="3">
        <f t="shared" ref="AX118" si="985">SUM(AU115:AX115)</f>
        <v>18.911111111111115</v>
      </c>
      <c r="AY118" s="3">
        <f t="shared" ref="AY118" si="986">SUM(AV115:AY115)</f>
        <v>22.583333333333336</v>
      </c>
      <c r="AZ118" s="3">
        <f t="shared" ref="AZ118" si="987">SUM(AW115:AZ115)</f>
        <v>25.643827160493835</v>
      </c>
      <c r="BA118" s="3">
        <f t="shared" ref="BA118" si="988">SUM(AX115:BA115)</f>
        <v>27.522222222222226</v>
      </c>
      <c r="BB118" s="3">
        <f t="shared" ref="BB118" si="989">SUM(AY115:BB115)</f>
        <v>25.613580246913575</v>
      </c>
      <c r="BC118" s="3">
        <f t="shared" ref="BC118" si="990">SUM(AZ115:BC115)</f>
        <v>25.00895061728394</v>
      </c>
      <c r="BD118" s="3">
        <f t="shared" ref="BD118" si="991">SUM(BA115:BD115)</f>
        <v>27.303086419753082</v>
      </c>
      <c r="BE118" s="3">
        <f t="shared" ref="BE118" si="992">SUM(BB115:BE115)</f>
        <v>29.801543209876534</v>
      </c>
      <c r="BF118" s="3">
        <f t="shared" ref="BF118" si="993">SUM(BC115:BF115)</f>
        <v>34.747222222222206</v>
      </c>
      <c r="BG118" s="3">
        <f t="shared" ref="BG118" si="994">SUM(BD115:BG115)</f>
        <v>38.163580246913568</v>
      </c>
      <c r="BH118" s="3">
        <f t="shared" ref="BH118" si="995">SUM(BE115:BH115)</f>
        <v>38.724691358024671</v>
      </c>
      <c r="BI118" s="3">
        <f t="shared" ref="BI118" si="996">SUM(BF115:BI115)</f>
        <v>38.349691358024671</v>
      </c>
      <c r="BJ118" s="3">
        <f t="shared" ref="BJ118" si="997">SUM(BG115:BJ115)</f>
        <v>36.274691358024697</v>
      </c>
      <c r="BK118" s="3">
        <f t="shared" ref="BK118" si="998">SUM(BH115:BK115)</f>
        <v>31.745061728395058</v>
      </c>
      <c r="BL118" s="3">
        <f t="shared" ref="BL118" si="999">SUM(BI115:BL115)</f>
        <v>31.882716049382708</v>
      </c>
      <c r="BM118" s="3">
        <f t="shared" ref="BM118" si="1000">SUM(BJ115:BM115)</f>
        <v>30.998765432098764</v>
      </c>
      <c r="BN118" s="3">
        <f t="shared" ref="BN118" si="1001">SUM(BK115:BN115)</f>
        <v>32.344753086419743</v>
      </c>
      <c r="BO118" s="3">
        <f t="shared" ref="BO118" si="1002">SUM(BL115:BO115)</f>
        <v>36.608950617283952</v>
      </c>
      <c r="BP118" s="3">
        <f t="shared" ref="BP118" si="1003">SUM(BM115:BP115)</f>
        <v>41.032716049382721</v>
      </c>
      <c r="BQ118" s="3">
        <f t="shared" ref="BQ118" si="1004">SUM(BN115:BQ115)</f>
        <v>56.946913580246921</v>
      </c>
      <c r="BR118" s="3">
        <f t="shared" ref="BR118" si="1005">SUM(BO115:BR115)</f>
        <v>73.516358024691357</v>
      </c>
      <c r="BS118" s="3">
        <f t="shared" ref="BS118" si="1006">SUM(BP115:BS115)</f>
        <v>91.23888888888888</v>
      </c>
      <c r="BT118" s="3">
        <f t="shared" ref="BT118" si="1007">SUM(BQ115:BT115)</f>
        <v>101.72993827160491</v>
      </c>
      <c r="BU118" s="3">
        <f t="shared" ref="BU118" si="1008">SUM(BR115:BU115)</f>
        <v>106.23148148148144</v>
      </c>
      <c r="BV118" s="3">
        <f t="shared" ref="BV118" si="1009">SUM(BS115:BV115)</f>
        <v>113.70802469135799</v>
      </c>
      <c r="BW118" s="3">
        <f t="shared" ref="BW118" si="1010">SUM(BT115:BW115)</f>
        <v>123.7645061728395</v>
      </c>
      <c r="BX118" s="3">
        <f t="shared" ref="BX118" si="1011">SUM(BU115:BX115)</f>
        <v>127.72098765432099</v>
      </c>
      <c r="BY118" s="3">
        <f t="shared" ref="BY118" si="1012">SUM(BV115:BY115)</f>
        <v>119.39259259259262</v>
      </c>
      <c r="BZ118" s="3">
        <f t="shared" ref="BZ118" si="1013">SUM(BW115:BZ115)</f>
        <v>100.46851851851854</v>
      </c>
      <c r="CA118" s="3">
        <f t="shared" ref="CA118" si="1014">SUM(BX115:CA115)</f>
        <v>78.790740740740731</v>
      </c>
      <c r="CB118" s="3">
        <f t="shared" ref="CB118" si="1015">SUM(BY115:CB115)</f>
        <v>60.933024691358014</v>
      </c>
      <c r="CC118" s="3">
        <f t="shared" ref="CC118" si="1016">SUM(BZ115:CC115)</f>
        <v>56.859567901234577</v>
      </c>
      <c r="CD118" s="3">
        <f t="shared" ref="CD118" si="1017">SUM(CA115:CD115)</f>
        <v>63.225308641975332</v>
      </c>
      <c r="CE118" s="3">
        <f t="shared" ref="CE118" si="1018">SUM(CB115:CE115)</f>
        <v>60.312037037037058</v>
      </c>
      <c r="CF118" s="3">
        <f t="shared" ref="CF118" si="1019">SUM(CC115:CF115)</f>
        <v>62.246913580246925</v>
      </c>
      <c r="CG118" s="3">
        <f t="shared" ref="CG118" si="1020">SUM(CD115:CG115)</f>
        <v>57.250308641975316</v>
      </c>
      <c r="CH118" s="3">
        <f t="shared" ref="CH118:CL118" si="1021">SUM(CE115:CH115)</f>
        <v>48.616975308641983</v>
      </c>
      <c r="CI118" s="3">
        <f t="shared" si="1021"/>
        <v>46.98364197530865</v>
      </c>
      <c r="CJ118" s="3">
        <f t="shared" si="1021"/>
        <v>45.001851851851868</v>
      </c>
      <c r="CK118" s="3">
        <f t="shared" si="1021"/>
        <v>44.461728395061733</v>
      </c>
      <c r="CL118" s="3">
        <f t="shared" si="1021"/>
        <v>51.604938271604937</v>
      </c>
      <c r="CM118" s="37">
        <f t="shared" ref="CM118" si="1022">SUM(CJ115:CM115)</f>
        <v>58.903892786753929</v>
      </c>
      <c r="CN118" s="37">
        <f t="shared" ref="CN118" si="1023">SUM(CK115:CN115)</f>
        <v>68.628172149541953</v>
      </c>
      <c r="CO118" s="37">
        <f t="shared" ref="CO118" si="1024">SUM(CL115:CO115)</f>
        <v>77.071881865353987</v>
      </c>
      <c r="CP118" s="37">
        <f t="shared" ref="CP118" si="1025">SUM(CM115:CP115)</f>
        <v>77.049849090382253</v>
      </c>
      <c r="CQ118" s="37">
        <f t="shared" ref="CQ118" si="1026">SUM(CN115:CQ115)</f>
        <v>84.235020727217744</v>
      </c>
      <c r="CR118" s="37">
        <f t="shared" ref="CR118" si="1027">SUM(CO115:CR115)</f>
        <v>88.204522691377562</v>
      </c>
      <c r="CS118" s="37">
        <f t="shared" ref="CS118" si="1028">SUM(CP115:CS115)</f>
        <v>92.61148838935425</v>
      </c>
      <c r="CT118" s="37">
        <f t="shared" ref="CT118" si="1029">SUM(CQ115:CT115)</f>
        <v>102.92777151188379</v>
      </c>
      <c r="CU118" s="37">
        <f t="shared" ref="CU118" si="1030">SUM(CR115:CU115)</f>
        <v>110.78554185893954</v>
      </c>
      <c r="CV118" s="37">
        <f t="shared" ref="CV118" si="1031">SUM(CS115:CV115)</f>
        <v>121.39657825653759</v>
      </c>
      <c r="CW118" s="37">
        <f t="shared" ref="CW118" si="1032">SUM(CT115:CW115)</f>
        <v>132.61052743273942</v>
      </c>
      <c r="CX118" s="37">
        <f t="shared" ref="CX118" si="1033">SUM(CU115:CX115)</f>
        <v>145.93261699209438</v>
      </c>
      <c r="CY118" s="37">
        <f t="shared" ref="CY118" si="1034">SUM(CV115:CY115)</f>
        <v>163.30450363216084</v>
      </c>
      <c r="CZ118" s="37">
        <f t="shared" ref="CZ118" si="1035">SUM(CW115:CZ115)</f>
        <v>181.3410764396919</v>
      </c>
      <c r="DA118" s="37">
        <f t="shared" ref="DA118" si="1036">SUM(CX115:DA115)</f>
        <v>198.7264538873489</v>
      </c>
      <c r="DB118" s="37">
        <f t="shared" ref="DB118" si="1037">SUM(CY115:DB115)</f>
        <v>222.07291705247559</v>
      </c>
      <c r="DE118" s="134"/>
      <c r="DF118" s="3">
        <v>47.646490896277136</v>
      </c>
    </row>
    <row r="119" spans="1:110" s="97" customFormat="1" x14ac:dyDescent="0.2">
      <c r="A119" s="97" t="s">
        <v>425</v>
      </c>
      <c r="C119" s="101">
        <f t="shared" ref="C119:AA119" si="1038">+C118/B118-1</f>
        <v>2.4855930309244667</v>
      </c>
      <c r="D119" s="101">
        <f t="shared" si="1038"/>
        <v>8.3964864230846814E-2</v>
      </c>
      <c r="E119" s="101" t="e">
        <f t="shared" ca="1" si="1038"/>
        <v>#DIV/0!</v>
      </c>
      <c r="F119" s="101" t="e">
        <f t="shared" ca="1" si="1038"/>
        <v>#DIV/0!</v>
      </c>
      <c r="G119" s="101" t="e">
        <f t="shared" ca="1" si="1038"/>
        <v>#DIV/0!</v>
      </c>
      <c r="H119" s="101" t="e">
        <f t="shared" ca="1" si="1038"/>
        <v>#DIV/0!</v>
      </c>
      <c r="I119" s="101" t="e">
        <f t="shared" ca="1" si="1038"/>
        <v>#DIV/0!</v>
      </c>
      <c r="J119" s="101" t="e">
        <f t="shared" ca="1" si="1038"/>
        <v>#DIV/0!</v>
      </c>
      <c r="K119" s="101" t="e">
        <f t="shared" ca="1" si="1038"/>
        <v>#DIV/0!</v>
      </c>
      <c r="L119" s="101" t="e">
        <f t="shared" ca="1" si="1038"/>
        <v>#DIV/0!</v>
      </c>
      <c r="M119" s="101" t="e">
        <f t="shared" ca="1" si="1038"/>
        <v>#DIV/0!</v>
      </c>
      <c r="N119" s="101" t="e">
        <f t="shared" ca="1" si="1038"/>
        <v>#DIV/0!</v>
      </c>
      <c r="O119" s="101" t="e">
        <f t="shared" ca="1" si="1038"/>
        <v>#DIV/0!</v>
      </c>
      <c r="P119" s="101" t="e">
        <f t="shared" ca="1" si="1038"/>
        <v>#DIV/0!</v>
      </c>
      <c r="Q119" s="101" t="e">
        <f t="shared" ca="1" si="1038"/>
        <v>#DIV/0!</v>
      </c>
      <c r="R119" s="101" t="e">
        <f t="shared" ca="1" si="1038"/>
        <v>#DIV/0!</v>
      </c>
      <c r="S119" s="101" t="e">
        <f t="shared" ca="1" si="1038"/>
        <v>#DIV/0!</v>
      </c>
      <c r="T119" s="101" t="e">
        <f t="shared" ca="1" si="1038"/>
        <v>#DIV/0!</v>
      </c>
      <c r="U119" s="101" t="e">
        <f t="shared" ca="1" si="1038"/>
        <v>#DIV/0!</v>
      </c>
      <c r="V119" s="101" t="e">
        <f t="shared" ca="1" si="1038"/>
        <v>#DIV/0!</v>
      </c>
      <c r="W119" s="101" t="e">
        <f t="shared" ca="1" si="1038"/>
        <v>#DIV/0!</v>
      </c>
      <c r="X119" s="101" t="e">
        <f t="shared" ca="1" si="1038"/>
        <v>#DIV/0!</v>
      </c>
      <c r="Y119" s="101" t="e">
        <f t="shared" ca="1" si="1038"/>
        <v>#DIV/0!</v>
      </c>
      <c r="Z119" s="101" t="e">
        <f t="shared" ca="1" si="1038"/>
        <v>#DIV/0!</v>
      </c>
      <c r="AA119" s="101" t="e">
        <f t="shared" ca="1" si="1038"/>
        <v>#DIV/0!</v>
      </c>
      <c r="AB119" s="173" t="e">
        <f t="shared" ref="AB119" ca="1" si="1039">+AB118/AA118-1</f>
        <v>#DIV/0!</v>
      </c>
      <c r="AC119" s="173" t="e">
        <f t="shared" ref="AC119" ca="1" si="1040">+AC118/AB118-1</f>
        <v>#DIV/0!</v>
      </c>
      <c r="AD119" s="173" t="e">
        <f t="shared" ref="AD119" ca="1" si="1041">+AD118/AC118-1</f>
        <v>#DIV/0!</v>
      </c>
      <c r="AE119" s="173" t="e">
        <f t="shared" ref="AE119" ca="1" si="1042">+AE118/AD118-1</f>
        <v>#DIV/0!</v>
      </c>
      <c r="AL119" s="175"/>
      <c r="AM119" s="175"/>
      <c r="AN119" s="175"/>
      <c r="AO119" s="175"/>
      <c r="AP119" s="175">
        <f t="shared" ref="AP119:CL119" si="1043">+IF(AL118&lt;0,1-AP118/AL118,AP118/AL118-1)</f>
        <v>8.0623852028486986E-2</v>
      </c>
      <c r="AQ119" s="175">
        <f t="shared" si="1043"/>
        <v>0.13782476139978872</v>
      </c>
      <c r="AR119" s="175">
        <f t="shared" si="1043"/>
        <v>-4.0339188370684842E-2</v>
      </c>
      <c r="AS119" s="175">
        <f t="shared" si="1043"/>
        <v>0.11729971802952477</v>
      </c>
      <c r="AT119" s="175">
        <f t="shared" si="1043"/>
        <v>8.4240345907261593E-2</v>
      </c>
      <c r="AU119" s="175">
        <f t="shared" si="1043"/>
        <v>0.16108926751128605</v>
      </c>
      <c r="AV119" s="175">
        <f t="shared" si="1043"/>
        <v>0.34410502398384346</v>
      </c>
      <c r="AW119" s="175">
        <f t="shared" si="1043"/>
        <v>0.47575784566966561</v>
      </c>
      <c r="AX119" s="175">
        <f t="shared" si="1043"/>
        <v>0.68514851485148465</v>
      </c>
      <c r="AY119" s="175">
        <f t="shared" si="1043"/>
        <v>0.83539858526062272</v>
      </c>
      <c r="AZ119" s="175">
        <f t="shared" si="1043"/>
        <v>0.95074192336589025</v>
      </c>
      <c r="BA119" s="175">
        <f t="shared" si="1043"/>
        <v>0.79402474600140804</v>
      </c>
      <c r="BB119" s="175">
        <f t="shared" si="1043"/>
        <v>0.35441963702833212</v>
      </c>
      <c r="BC119" s="175">
        <f t="shared" si="1043"/>
        <v>0.10740740740740673</v>
      </c>
      <c r="BD119" s="175">
        <f t="shared" si="1043"/>
        <v>6.4704041595454731E-2</v>
      </c>
      <c r="BE119" s="175">
        <f t="shared" si="1043"/>
        <v>8.2817476337863516E-2</v>
      </c>
      <c r="BF119" s="175">
        <f t="shared" si="1043"/>
        <v>0.35659372439388792</v>
      </c>
      <c r="BG119" s="175">
        <f t="shared" si="1043"/>
        <v>0.52599686531982393</v>
      </c>
      <c r="BH119" s="175">
        <f t="shared" si="1043"/>
        <v>0.41832651307906166</v>
      </c>
      <c r="BI119" s="175">
        <f t="shared" si="1043"/>
        <v>0.28683575504624192</v>
      </c>
      <c r="BJ119" s="175">
        <f t="shared" si="1043"/>
        <v>4.3959460299695996E-2</v>
      </c>
      <c r="BK119" s="175">
        <f t="shared" si="1043"/>
        <v>-0.16818439142741592</v>
      </c>
      <c r="BL119" s="175">
        <f t="shared" si="1043"/>
        <v>-0.17668250071731417</v>
      </c>
      <c r="BM119" s="175">
        <f t="shared" si="1043"/>
        <v>-0.1916814885757282</v>
      </c>
      <c r="BN119" s="175">
        <f t="shared" si="1043"/>
        <v>-0.10833829660512251</v>
      </c>
      <c r="BO119" s="175">
        <f t="shared" si="1043"/>
        <v>0.15321718163610565</v>
      </c>
      <c r="BP119" s="175">
        <f t="shared" si="1043"/>
        <v>0.28698935140367898</v>
      </c>
      <c r="BQ119" s="175">
        <f t="shared" si="1043"/>
        <v>0.83707037317296606</v>
      </c>
      <c r="BR119" s="175">
        <f t="shared" si="1043"/>
        <v>1.2728990333692765</v>
      </c>
      <c r="BS119" s="175">
        <f t="shared" si="1043"/>
        <v>1.4922563294074003</v>
      </c>
      <c r="BT119" s="175">
        <f t="shared" si="1043"/>
        <v>1.4792396913032348</v>
      </c>
      <c r="BU119" s="175">
        <f t="shared" si="1043"/>
        <v>0.8654475686691081</v>
      </c>
      <c r="BV119" s="175">
        <f t="shared" si="1043"/>
        <v>0.54670372345115048</v>
      </c>
      <c r="BW119" s="175">
        <f t="shared" si="1043"/>
        <v>0.35648852896006278</v>
      </c>
      <c r="BX119" s="175">
        <f t="shared" si="1043"/>
        <v>0.255490663066398</v>
      </c>
      <c r="BY119" s="175">
        <f t="shared" si="1043"/>
        <v>0.12389087422644551</v>
      </c>
      <c r="BZ119" s="175">
        <f t="shared" si="1043"/>
        <v>-0.11643422888380961</v>
      </c>
      <c r="CA119" s="175">
        <f t="shared" si="1043"/>
        <v>-0.36338177093594226</v>
      </c>
      <c r="CB119" s="175">
        <f t="shared" si="1043"/>
        <v>-0.52292081504823407</v>
      </c>
      <c r="CC119" s="175">
        <f t="shared" si="1043"/>
        <v>-0.52375966827977005</v>
      </c>
      <c r="CD119" s="175">
        <f t="shared" si="1043"/>
        <v>-0.37069532253208715</v>
      </c>
      <c r="CE119" s="175">
        <f t="shared" si="1043"/>
        <v>-0.23452887395115951</v>
      </c>
      <c r="CF119" s="175">
        <f t="shared" si="1043"/>
        <v>2.1562837156765324E-2</v>
      </c>
      <c r="CG119" s="175">
        <f t="shared" si="1043"/>
        <v>6.8720314832406704E-3</v>
      </c>
      <c r="CH119" s="175">
        <f t="shared" si="1043"/>
        <v>-0.23105198926043458</v>
      </c>
      <c r="CI119" s="175">
        <f t="shared" si="1043"/>
        <v>-0.22099063000547581</v>
      </c>
      <c r="CJ119" s="175">
        <f t="shared" si="1043"/>
        <v>-0.27704284014280034</v>
      </c>
      <c r="CK119" s="175">
        <f t="shared" si="1043"/>
        <v>-0.22338011008620362</v>
      </c>
      <c r="CL119" s="175">
        <f t="shared" si="1043"/>
        <v>6.1459252534614706E-2</v>
      </c>
      <c r="CM119" s="102">
        <f t="shared" ref="CM119:DB119" si="1044">+IF(CI118&lt;0,1-CM118/CI118,CM118/CI118-1)</f>
        <v>0.25371065992946518</v>
      </c>
      <c r="CN119" s="102">
        <f t="shared" si="1044"/>
        <v>0.52500773469209672</v>
      </c>
      <c r="CO119" s="102">
        <f t="shared" si="1044"/>
        <v>0.73344322516067972</v>
      </c>
      <c r="CP119" s="102">
        <f t="shared" si="1044"/>
        <v>0.49307123835429723</v>
      </c>
      <c r="CQ119" s="102">
        <f t="shared" si="1044"/>
        <v>0.43004166179930614</v>
      </c>
      <c r="CR119" s="102">
        <f t="shared" si="1044"/>
        <v>0.28525239604485475</v>
      </c>
      <c r="CS119" s="102">
        <f t="shared" si="1044"/>
        <v>0.20162484875026476</v>
      </c>
      <c r="CT119" s="102">
        <f t="shared" si="1044"/>
        <v>0.33585948223137718</v>
      </c>
      <c r="CU119" s="102">
        <f t="shared" si="1044"/>
        <v>0.31519575709135994</v>
      </c>
      <c r="CV119" s="102">
        <f t="shared" si="1044"/>
        <v>0.37630786440846209</v>
      </c>
      <c r="CW119" s="102">
        <f t="shared" si="1044"/>
        <v>0.43190148154430363</v>
      </c>
      <c r="CX119" s="102">
        <f t="shared" si="1044"/>
        <v>0.41781576389463893</v>
      </c>
      <c r="CY119" s="102">
        <f t="shared" si="1044"/>
        <v>0.47405970934449537</v>
      </c>
      <c r="CZ119" s="102">
        <f t="shared" si="1044"/>
        <v>0.49379067387285369</v>
      </c>
      <c r="DA119" s="102">
        <f t="shared" si="1044"/>
        <v>0.49857223053534527</v>
      </c>
      <c r="DB119" s="102">
        <f t="shared" si="1044"/>
        <v>0.52174970633539708</v>
      </c>
      <c r="DE119" s="135"/>
      <c r="DF119" s="97">
        <v>-1.9961842673341668E-2</v>
      </c>
    </row>
    <row r="120" spans="1:110" s="144" customFormat="1" x14ac:dyDescent="0.2">
      <c r="A120" s="144" t="s">
        <v>424</v>
      </c>
      <c r="AB120" s="145"/>
      <c r="AC120" s="145"/>
      <c r="AD120" s="145"/>
      <c r="AE120" s="145"/>
      <c r="CM120" s="145"/>
      <c r="CN120" s="145"/>
      <c r="CO120" s="145" t="s">
        <v>642</v>
      </c>
      <c r="CP120" s="145">
        <v>65</v>
      </c>
      <c r="CQ120" s="145"/>
      <c r="CR120" s="145"/>
      <c r="CS120" s="145"/>
      <c r="CT120" s="145">
        <v>96</v>
      </c>
      <c r="CU120" s="145"/>
      <c r="CV120" s="145"/>
      <c r="CW120" s="145"/>
      <c r="CX120" s="145">
        <v>118</v>
      </c>
      <c r="CY120" s="145"/>
      <c r="CZ120" s="145"/>
      <c r="DA120" s="145"/>
      <c r="DB120" s="145"/>
      <c r="DE120" s="146"/>
    </row>
    <row r="121" spans="1:110" s="144" customFormat="1" x14ac:dyDescent="0.2">
      <c r="A121" s="144" t="s">
        <v>436</v>
      </c>
      <c r="AB121" s="145"/>
      <c r="AC121" s="145"/>
      <c r="AD121" s="145"/>
      <c r="AE121" s="145"/>
      <c r="CM121" s="145"/>
      <c r="CN121" s="145"/>
      <c r="CO121" s="145"/>
      <c r="CP121" s="145"/>
      <c r="CQ121" s="145"/>
      <c r="CR121" s="145"/>
      <c r="CS121" s="145"/>
      <c r="CT121" s="145"/>
      <c r="CU121" s="145"/>
      <c r="CV121" s="145"/>
      <c r="CW121" s="145"/>
      <c r="CX121" s="145"/>
      <c r="CY121" s="145"/>
      <c r="CZ121" s="145"/>
      <c r="DA121" s="145"/>
      <c r="DB121" s="145"/>
      <c r="DE121" s="146"/>
    </row>
    <row r="122" spans="1:110" s="3" customFormat="1" x14ac:dyDescent="0.2">
      <c r="A122" s="3" t="s">
        <v>34</v>
      </c>
      <c r="B122" s="3">
        <f>'Annual Raw'!C112</f>
        <v>44.44</v>
      </c>
      <c r="C122" s="3">
        <f>'Annual Raw'!D112</f>
        <v>0</v>
      </c>
      <c r="D122" s="3">
        <f>'Annual Raw'!E112</f>
        <v>0</v>
      </c>
      <c r="E122" s="3">
        <f>'Annual Raw'!F112</f>
        <v>42.72</v>
      </c>
      <c r="F122" s="3">
        <f>'Annual Raw'!G112</f>
        <v>49.75</v>
      </c>
      <c r="G122" s="3">
        <f>'Annual Raw'!H112</f>
        <v>50.5</v>
      </c>
      <c r="H122" s="3">
        <f>'Annual Raw'!I112</f>
        <v>53.03</v>
      </c>
      <c r="I122" s="3">
        <f>'Annual Raw'!J112</f>
        <v>53.91</v>
      </c>
      <c r="J122" s="3">
        <f>'Annual Raw'!K112</f>
        <v>55.27</v>
      </c>
      <c r="K122" s="3">
        <f>'Annual Raw'!L112</f>
        <v>54.64</v>
      </c>
      <c r="L122" s="3">
        <f>'Annual Raw'!M112</f>
        <v>53.88</v>
      </c>
      <c r="M122" s="3">
        <f>'Annual Raw'!N112</f>
        <v>53.67</v>
      </c>
      <c r="N122" s="3">
        <f>'Annual Raw'!O112</f>
        <v>53.93</v>
      </c>
      <c r="O122" s="3">
        <f>'Annual Raw'!P112</f>
        <v>54.34</v>
      </c>
      <c r="P122" s="3">
        <f>'Annual Raw'!Q112</f>
        <v>54.39</v>
      </c>
      <c r="Q122" s="3">
        <f>'Annual Raw'!R112</f>
        <v>54.42</v>
      </c>
      <c r="R122" s="3">
        <f>'Annual Raw'!S112</f>
        <v>54.46</v>
      </c>
      <c r="S122" s="3">
        <f>'Annual Raw'!T112</f>
        <v>54.55</v>
      </c>
      <c r="T122" s="3">
        <f>'Annual Raw'!U112</f>
        <v>53.38</v>
      </c>
      <c r="U122" s="3">
        <f>'Annual Raw'!V112</f>
        <v>53.67</v>
      </c>
      <c r="V122" s="3">
        <f>'Annual Raw'!W112</f>
        <v>53.7</v>
      </c>
      <c r="W122" s="3">
        <f>'Annual Raw'!X112</f>
        <v>53.7</v>
      </c>
      <c r="X122" s="3">
        <f>'Annual Raw'!Y112</f>
        <v>53.7</v>
      </c>
      <c r="Y122" s="3">
        <f>'Annual Raw'!Z112</f>
        <v>53.7</v>
      </c>
      <c r="Z122" s="3">
        <f>'Annual Raw'!AA112</f>
        <v>54.62</v>
      </c>
      <c r="AA122" s="3">
        <f>'Annual Raw'!AB112</f>
        <v>54.59</v>
      </c>
      <c r="AB122" s="37"/>
      <c r="AC122" s="37"/>
      <c r="AD122" s="37"/>
      <c r="AE122" s="37"/>
      <c r="AI122" s="3">
        <f>'QTR Raw'!C49</f>
        <v>53.87</v>
      </c>
      <c r="AJ122" s="3">
        <f>'QTR Raw'!D49</f>
        <v>53.87</v>
      </c>
      <c r="AK122" s="3">
        <f>'QTR Raw'!E49</f>
        <v>53.87</v>
      </c>
      <c r="AL122" s="3">
        <f>'QTR Raw'!F49</f>
        <v>53.93</v>
      </c>
      <c r="AM122" s="3">
        <f>'QTR Raw'!G49</f>
        <v>53.99</v>
      </c>
      <c r="AN122" s="3">
        <f>'QTR Raw'!H49</f>
        <v>54.24</v>
      </c>
      <c r="AO122" s="3">
        <f>'QTR Raw'!I49</f>
        <v>54.34</v>
      </c>
      <c r="AP122" s="3">
        <f>'QTR Raw'!J49</f>
        <v>54.34</v>
      </c>
      <c r="AQ122" s="3">
        <f>'QTR Raw'!K49</f>
        <v>54.34</v>
      </c>
      <c r="AR122" s="3">
        <f>'QTR Raw'!L49</f>
        <v>54.34</v>
      </c>
      <c r="AS122" s="3">
        <f>'QTR Raw'!M49</f>
        <v>54.34</v>
      </c>
      <c r="AT122" s="3">
        <f>'QTR Raw'!N49</f>
        <v>54.39</v>
      </c>
      <c r="AU122" s="3">
        <f>'QTR Raw'!O49</f>
        <v>54.4</v>
      </c>
      <c r="AV122" s="3">
        <f>'QTR Raw'!P49</f>
        <v>54.4</v>
      </c>
      <c r="AW122" s="3">
        <f>'QTR Raw'!Q49</f>
        <v>54.4</v>
      </c>
      <c r="AX122" s="3">
        <f>'QTR Raw'!R49</f>
        <v>54.42</v>
      </c>
      <c r="AY122" s="3">
        <f>'QTR Raw'!S49</f>
        <v>54.42</v>
      </c>
      <c r="AZ122" s="3">
        <f>'QTR Raw'!T49</f>
        <v>54.42</v>
      </c>
      <c r="BA122" s="3">
        <f>'QTR Raw'!U49</f>
        <v>54.46</v>
      </c>
      <c r="BB122" s="3">
        <f>'QTR Raw'!V49</f>
        <v>54.46</v>
      </c>
      <c r="BC122" s="3">
        <f>'QTR Raw'!W49</f>
        <v>54.5</v>
      </c>
      <c r="BD122" s="3">
        <f>'QTR Raw'!X49</f>
        <v>54.55</v>
      </c>
      <c r="BE122" s="3">
        <f>'QTR Raw'!Y49</f>
        <v>54.49</v>
      </c>
      <c r="BF122" s="3">
        <f>'QTR Raw'!Z49</f>
        <v>54.55</v>
      </c>
      <c r="BG122" s="3">
        <f>'QTR Raw'!AA49</f>
        <v>54.57</v>
      </c>
      <c r="BH122" s="3">
        <f>'QTR Raw'!AB49</f>
        <v>54.59</v>
      </c>
      <c r="BI122" s="3">
        <f>'QTR Raw'!AC49</f>
        <v>53.34</v>
      </c>
      <c r="BJ122" s="3">
        <f>'QTR Raw'!AD49</f>
        <v>53.38</v>
      </c>
      <c r="BK122" s="3">
        <f>'QTR Raw'!AE49</f>
        <v>53.46</v>
      </c>
      <c r="BL122" s="3">
        <f>'QTR Raw'!AF49</f>
        <v>53.61</v>
      </c>
      <c r="BM122" s="3">
        <f>'QTR Raw'!AG49</f>
        <v>53.64</v>
      </c>
      <c r="BN122" s="3">
        <f>'QTR Raw'!AH49</f>
        <v>53.67</v>
      </c>
      <c r="BO122" s="3">
        <f>'QTR Raw'!AI49</f>
        <v>53.7</v>
      </c>
      <c r="BP122" s="3">
        <f>'QTR Raw'!AJ49</f>
        <v>53.7</v>
      </c>
      <c r="BQ122" s="3">
        <f>'QTR Raw'!AK49</f>
        <v>53.7</v>
      </c>
      <c r="BR122" s="3">
        <f>'QTR Raw'!AL49</f>
        <v>53.7</v>
      </c>
      <c r="BS122" s="3">
        <f>'QTR Raw'!AM49</f>
        <v>53.67</v>
      </c>
      <c r="BT122" s="3">
        <f>'QTR Raw'!AN49</f>
        <v>53.7</v>
      </c>
      <c r="BU122" s="3">
        <f>'QTR Raw'!AO49</f>
        <v>53.7</v>
      </c>
      <c r="BV122" s="3">
        <f>'QTR Raw'!AP49</f>
        <v>53.7</v>
      </c>
      <c r="BW122" s="3">
        <f>'QTR Raw'!AQ49</f>
        <v>53.7</v>
      </c>
      <c r="BX122" s="3">
        <f>'QTR Raw'!AR49</f>
        <v>53.7</v>
      </c>
      <c r="BY122" s="3">
        <f>'QTR Raw'!AS49</f>
        <v>53.7</v>
      </c>
      <c r="BZ122" s="3">
        <f>'QTR Raw'!AT49</f>
        <v>53.7</v>
      </c>
      <c r="CA122" s="3">
        <f>'QTR Raw'!AU49</f>
        <v>53.7</v>
      </c>
      <c r="CB122" s="3">
        <f>'QTR Raw'!AV49</f>
        <v>53.7</v>
      </c>
      <c r="CC122" s="3">
        <f>'QTR Raw'!AW49</f>
        <v>53.7</v>
      </c>
      <c r="CD122" s="3">
        <f>'QTR Raw'!AX49</f>
        <v>53.7</v>
      </c>
      <c r="CE122" s="3">
        <f>'QTR Raw'!AY49</f>
        <v>53.7</v>
      </c>
      <c r="CF122" s="3">
        <f>'QTR Raw'!AZ49</f>
        <v>53.7</v>
      </c>
      <c r="CG122" s="3">
        <f>'QTR Raw'!BA49</f>
        <v>53.7</v>
      </c>
      <c r="CH122" s="3">
        <f>'QTR Raw'!BB49</f>
        <v>54.62</v>
      </c>
      <c r="CI122" s="3">
        <f>'QTR Raw'!BC49</f>
        <v>54.59</v>
      </c>
      <c r="CJ122" s="3">
        <f>'QTR Raw'!BD49</f>
        <v>54.59</v>
      </c>
      <c r="CK122" s="3">
        <f>'QTR Raw'!BE49</f>
        <v>54.59</v>
      </c>
      <c r="CL122" s="3">
        <f>'QTR Raw'!BF49</f>
        <v>54.59</v>
      </c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E122" s="134"/>
    </row>
    <row r="123" spans="1:110" s="3" customFormat="1" x14ac:dyDescent="0.2">
      <c r="A123" s="3" t="s">
        <v>35</v>
      </c>
      <c r="B123" s="3">
        <f>'Annual Raw'!C113</f>
        <v>0</v>
      </c>
      <c r="C123" s="3">
        <f>'Annual Raw'!D113</f>
        <v>0</v>
      </c>
      <c r="D123" s="3">
        <f>'Annual Raw'!E113</f>
        <v>0</v>
      </c>
      <c r="E123" s="3">
        <f>'Annual Raw'!F113</f>
        <v>0</v>
      </c>
      <c r="F123" s="3">
        <f>'Annual Raw'!G113</f>
        <v>0</v>
      </c>
      <c r="G123" s="3">
        <f>'Annual Raw'!H113</f>
        <v>0</v>
      </c>
      <c r="H123" s="3">
        <f>'Annual Raw'!I113</f>
        <v>0</v>
      </c>
      <c r="I123" s="3">
        <f>'Annual Raw'!J113</f>
        <v>0</v>
      </c>
      <c r="J123" s="3">
        <f>'Annual Raw'!K113</f>
        <v>35.92</v>
      </c>
      <c r="K123" s="3">
        <f>'Annual Raw'!L113</f>
        <v>36.33</v>
      </c>
      <c r="L123" s="3">
        <f>'Annual Raw'!M113</f>
        <v>38.56</v>
      </c>
      <c r="M123" s="3">
        <f>'Annual Raw'!N113</f>
        <v>38.71</v>
      </c>
      <c r="N123" s="3">
        <f>'Annual Raw'!O113</f>
        <v>38.53</v>
      </c>
      <c r="O123" s="3">
        <f>'Annual Raw'!P113</f>
        <v>38.24</v>
      </c>
      <c r="P123" s="3">
        <f>'Annual Raw'!Q113</f>
        <v>38.200000000000003</v>
      </c>
      <c r="Q123" s="3">
        <f>'Annual Raw'!R113</f>
        <v>25.8</v>
      </c>
      <c r="R123" s="3">
        <f>'Annual Raw'!S113</f>
        <v>1.93</v>
      </c>
      <c r="S123" s="3">
        <f>'Annual Raw'!T113</f>
        <v>1.92</v>
      </c>
      <c r="T123" s="3">
        <f>'Annual Raw'!U113</f>
        <v>0</v>
      </c>
      <c r="U123" s="3">
        <f>'Annual Raw'!V113</f>
        <v>0</v>
      </c>
      <c r="V123" s="3">
        <f>'Annual Raw'!W113</f>
        <v>0</v>
      </c>
      <c r="W123" s="3">
        <f>'Annual Raw'!X113</f>
        <v>0</v>
      </c>
      <c r="X123" s="3">
        <f>'Annual Raw'!Y113</f>
        <v>0</v>
      </c>
      <c r="Y123" s="3">
        <f>'Annual Raw'!Z113</f>
        <v>0</v>
      </c>
      <c r="Z123" s="3">
        <f>'Annual Raw'!AA113</f>
        <v>0</v>
      </c>
      <c r="AA123" s="3">
        <f>'Annual Raw'!AB113</f>
        <v>17.670000000000002</v>
      </c>
      <c r="AB123" s="37"/>
      <c r="AC123" s="37"/>
      <c r="AD123" s="37"/>
      <c r="AE123" s="37"/>
      <c r="AI123" s="3">
        <f>'QTR Raw'!C50</f>
        <v>38.57</v>
      </c>
      <c r="AJ123" s="3">
        <f>'QTR Raw'!D50</f>
        <v>38.57</v>
      </c>
      <c r="AK123" s="3">
        <f>'QTR Raw'!E50</f>
        <v>38.57</v>
      </c>
      <c r="AL123" s="3">
        <f>'QTR Raw'!F50</f>
        <v>38.53</v>
      </c>
      <c r="AM123" s="3">
        <f>'QTR Raw'!G50</f>
        <v>38.479999999999997</v>
      </c>
      <c r="AN123" s="3">
        <f>'QTR Raw'!H50</f>
        <v>38.299999999999997</v>
      </c>
      <c r="AO123" s="3">
        <f>'QTR Raw'!I50</f>
        <v>38.24</v>
      </c>
      <c r="AP123" s="3">
        <f>'QTR Raw'!J50</f>
        <v>38.24</v>
      </c>
      <c r="AQ123" s="3">
        <f>'QTR Raw'!K50</f>
        <v>38.24</v>
      </c>
      <c r="AR123" s="3">
        <f>'QTR Raw'!L50</f>
        <v>38.24</v>
      </c>
      <c r="AS123" s="3">
        <f>'QTR Raw'!M50</f>
        <v>38.24</v>
      </c>
      <c r="AT123" s="3">
        <f>'QTR Raw'!N50</f>
        <v>38.200000000000003</v>
      </c>
      <c r="AU123" s="3">
        <f>'QTR Raw'!O50</f>
        <v>38.19</v>
      </c>
      <c r="AV123" s="3">
        <f>'QTR Raw'!P50</f>
        <v>36.49</v>
      </c>
      <c r="AW123" s="3">
        <f>'QTR Raw'!Q50</f>
        <v>36.49</v>
      </c>
      <c r="AX123" s="3">
        <f>'QTR Raw'!R50</f>
        <v>25.8</v>
      </c>
      <c r="AY123" s="3">
        <f>'QTR Raw'!S50</f>
        <v>0</v>
      </c>
      <c r="AZ123" s="3">
        <f>'QTR Raw'!T50</f>
        <v>0</v>
      </c>
      <c r="BA123" s="3">
        <f>'QTR Raw'!U50</f>
        <v>0</v>
      </c>
      <c r="BB123" s="3">
        <f>'QTR Raw'!V50</f>
        <v>1.93</v>
      </c>
      <c r="BC123" s="3">
        <f>'QTR Raw'!W50</f>
        <v>1.93</v>
      </c>
      <c r="BD123" s="3">
        <f>'QTR Raw'!X50</f>
        <v>1.92</v>
      </c>
      <c r="BE123" s="3">
        <f>'QTR Raw'!Y50</f>
        <v>1.92</v>
      </c>
      <c r="BF123" s="3">
        <f>'QTR Raw'!Z50</f>
        <v>1.92</v>
      </c>
      <c r="BG123" s="3">
        <f>'QTR Raw'!AA50</f>
        <v>1.92</v>
      </c>
      <c r="BH123" s="3">
        <f>'QTR Raw'!AB50</f>
        <v>1.92</v>
      </c>
      <c r="BI123" s="3">
        <f>'QTR Raw'!AC50</f>
        <v>0</v>
      </c>
      <c r="BJ123" s="3">
        <f>'QTR Raw'!AD50</f>
        <v>0</v>
      </c>
      <c r="BK123" s="3">
        <f>'QTR Raw'!AE50</f>
        <v>0</v>
      </c>
      <c r="BL123" s="3">
        <f>'QTR Raw'!AF50</f>
        <v>0</v>
      </c>
      <c r="BM123" s="3">
        <f>'QTR Raw'!AG50</f>
        <v>0</v>
      </c>
      <c r="BN123" s="3">
        <f>'QTR Raw'!AH50</f>
        <v>0</v>
      </c>
      <c r="BO123" s="3">
        <f>'QTR Raw'!AI50</f>
        <v>0</v>
      </c>
      <c r="BP123" s="3">
        <f>'QTR Raw'!AJ50</f>
        <v>0</v>
      </c>
      <c r="BQ123" s="3">
        <f>'QTR Raw'!AK50</f>
        <v>0</v>
      </c>
      <c r="BR123" s="3">
        <f>'QTR Raw'!AL50</f>
        <v>0</v>
      </c>
      <c r="BS123" s="3">
        <f>'QTR Raw'!AM50</f>
        <v>0</v>
      </c>
      <c r="BT123" s="3">
        <f>'QTR Raw'!AN50</f>
        <v>0</v>
      </c>
      <c r="BU123" s="3">
        <f>'QTR Raw'!AO50</f>
        <v>0</v>
      </c>
      <c r="BV123" s="3">
        <f>'QTR Raw'!AP50</f>
        <v>0</v>
      </c>
      <c r="BW123" s="3">
        <f>'QTR Raw'!AQ50</f>
        <v>0</v>
      </c>
      <c r="BX123" s="3">
        <f>'QTR Raw'!AR50</f>
        <v>0</v>
      </c>
      <c r="BY123" s="3">
        <f>'QTR Raw'!AS50</f>
        <v>0</v>
      </c>
      <c r="BZ123" s="3">
        <f>'QTR Raw'!AT50</f>
        <v>0</v>
      </c>
      <c r="CA123" s="3">
        <f>'QTR Raw'!AU50</f>
        <v>0</v>
      </c>
      <c r="CB123" s="3">
        <f>'QTR Raw'!AV50</f>
        <v>0</v>
      </c>
      <c r="CC123" s="3">
        <f>'QTR Raw'!AW50</f>
        <v>0</v>
      </c>
      <c r="CD123" s="3">
        <f>'QTR Raw'!AX50</f>
        <v>0</v>
      </c>
      <c r="CE123" s="3">
        <f>'QTR Raw'!AY50</f>
        <v>0</v>
      </c>
      <c r="CF123" s="3">
        <f>'QTR Raw'!AZ50</f>
        <v>0</v>
      </c>
      <c r="CG123" s="3">
        <f>'QTR Raw'!BA50</f>
        <v>0</v>
      </c>
      <c r="CH123" s="3">
        <f>'QTR Raw'!BB50</f>
        <v>0</v>
      </c>
      <c r="CI123" s="3">
        <f>'QTR Raw'!BC50</f>
        <v>0</v>
      </c>
      <c r="CJ123" s="3">
        <f>'QTR Raw'!BD50</f>
        <v>0</v>
      </c>
      <c r="CK123" s="3">
        <f>'QTR Raw'!BE50</f>
        <v>17.670000000000002</v>
      </c>
      <c r="CL123" s="3">
        <f>'QTR Raw'!BF50</f>
        <v>17.670000000000002</v>
      </c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E123" s="134"/>
    </row>
    <row r="124" spans="1:110" s="3" customFormat="1" x14ac:dyDescent="0.2">
      <c r="AB124" s="37"/>
      <c r="AC124" s="37"/>
      <c r="AD124" s="37"/>
      <c r="AE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E124" s="134"/>
    </row>
    <row r="125" spans="1:110" s="13" customFormat="1" x14ac:dyDescent="0.2">
      <c r="A125" s="13" t="s">
        <v>36</v>
      </c>
      <c r="AB125" s="37"/>
      <c r="AC125" s="37"/>
      <c r="AD125" s="37"/>
      <c r="AE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E125" s="134"/>
    </row>
    <row r="126" spans="1:110" s="13" customFormat="1" x14ac:dyDescent="0.2">
      <c r="A126" s="13" t="s">
        <v>457</v>
      </c>
      <c r="B126" s="13">
        <f>'Annual Raw'!C106</f>
        <v>0</v>
      </c>
      <c r="C126" s="13">
        <f>'Annual Raw'!D106</f>
        <v>0</v>
      </c>
      <c r="D126" s="13">
        <f>'Annual Raw'!E106</f>
        <v>2.8</v>
      </c>
      <c r="E126" s="13">
        <f>'Annual Raw'!F106</f>
        <v>11.67</v>
      </c>
      <c r="F126" s="13">
        <f>'Annual Raw'!G106</f>
        <v>33.024999999999999</v>
      </c>
      <c r="G126" s="13">
        <f>'Annual Raw'!H106</f>
        <v>21.71</v>
      </c>
      <c r="H126" s="13">
        <f>'Annual Raw'!I106</f>
        <v>26.22</v>
      </c>
      <c r="I126" s="13">
        <f>'Annual Raw'!J106</f>
        <v>22</v>
      </c>
      <c r="J126" s="13">
        <f>'Annual Raw'!K106</f>
        <v>11.82</v>
      </c>
      <c r="K126" s="13">
        <f>'Annual Raw'!L106</f>
        <v>30.47</v>
      </c>
      <c r="L126" s="13">
        <f>'Annual Raw'!M106</f>
        <v>44.45</v>
      </c>
      <c r="M126" s="13">
        <f>'Annual Raw'!N106</f>
        <v>36.950000000000003</v>
      </c>
      <c r="N126" s="13">
        <f>'Annual Raw'!O106</f>
        <v>35.200000000000003</v>
      </c>
      <c r="O126" s="13">
        <f>'Annual Raw'!P106</f>
        <v>39.950000000000003</v>
      </c>
      <c r="P126" s="13">
        <f>'Annual Raw'!Q106</f>
        <v>81.05</v>
      </c>
      <c r="Q126" s="13">
        <f>'Annual Raw'!R106</f>
        <v>178.5</v>
      </c>
      <c r="R126" s="13">
        <f>'Annual Raw'!S106</f>
        <v>379.6</v>
      </c>
      <c r="S126" s="13">
        <f>'Annual Raw'!T106</f>
        <v>562.75</v>
      </c>
      <c r="T126" s="13">
        <f>'Annual Raw'!U106</f>
        <v>489.1</v>
      </c>
      <c r="U126" s="13">
        <f>'Annual Raw'!V106</f>
        <v>250.95</v>
      </c>
      <c r="V126" s="13">
        <f>'Annual Raw'!W106</f>
        <v>1762.85</v>
      </c>
      <c r="W126" s="13">
        <f>'Annual Raw'!X106</f>
        <v>2902.15</v>
      </c>
      <c r="X126" s="13">
        <f>'Annual Raw'!Y106</f>
        <v>1942.65</v>
      </c>
      <c r="Y126" s="13">
        <f>'Annual Raw'!Z106</f>
        <v>2043.9</v>
      </c>
      <c r="Z126" s="13">
        <f>'Annual Raw'!AA106</f>
        <v>1207.25</v>
      </c>
      <c r="AA126" s="13">
        <f>'Annual Raw'!AB106</f>
        <v>977</v>
      </c>
      <c r="AB126" s="37">
        <f>+CP126</f>
        <v>2200</v>
      </c>
      <c r="AC126" s="37">
        <f>+CT126</f>
        <v>2200</v>
      </c>
      <c r="AD126" s="37">
        <f>+CX126</f>
        <v>2200</v>
      </c>
      <c r="AE126" s="37">
        <f>+DB126</f>
        <v>2200</v>
      </c>
      <c r="AJ126" s="13">
        <f>'QTR Share Price'!HP21</f>
        <v>58.95</v>
      </c>
      <c r="AK126" s="13">
        <f>'QTR Share Price'!HQ21</f>
        <v>54.1</v>
      </c>
      <c r="AL126" s="13">
        <f>'QTR Share Price'!HR21</f>
        <v>35.200000000000003</v>
      </c>
      <c r="AM126" s="13">
        <f>'QTR Share Price'!HS21</f>
        <v>33.450000000000003</v>
      </c>
      <c r="AN126" s="13">
        <f>'QTR Share Price'!HT21</f>
        <v>32.15</v>
      </c>
      <c r="AO126" s="13">
        <f>'QTR Share Price'!HU21</f>
        <v>49.8</v>
      </c>
      <c r="AP126" s="13">
        <f>'QTR Share Price'!HV21</f>
        <v>39.950000000000003</v>
      </c>
      <c r="AQ126" s="13">
        <f>'QTR Share Price'!HW21</f>
        <v>60.9</v>
      </c>
      <c r="AR126" s="13">
        <f>'QTR Share Price'!HX21</f>
        <v>78.55</v>
      </c>
      <c r="AS126" s="13">
        <f>'QTR Share Price'!HY21</f>
        <v>70.75</v>
      </c>
      <c r="AT126" s="13">
        <f>'QTR Share Price'!HZ21</f>
        <v>81.05</v>
      </c>
      <c r="AU126" s="13">
        <f>'QTR Share Price'!IA21</f>
        <v>115.1</v>
      </c>
      <c r="AV126" s="13">
        <f>'QTR Share Price'!IB21</f>
        <v>125.8</v>
      </c>
      <c r="AW126" s="13">
        <f>'QTR Share Price'!IC21</f>
        <v>164.6</v>
      </c>
      <c r="AX126" s="13">
        <f>'QTR Share Price'!ID21</f>
        <v>178.5</v>
      </c>
      <c r="AY126" s="13">
        <f>'QTR Share Price'!IE21</f>
        <v>277.89999999999998</v>
      </c>
      <c r="AZ126" s="13">
        <f>'QTR Share Price'!IF21</f>
        <v>295.89999999999998</v>
      </c>
      <c r="BA126" s="13">
        <f>'QTR Share Price'!IG21</f>
        <v>320.10000000000002</v>
      </c>
      <c r="BB126" s="13">
        <f>'QTR Share Price'!IH21</f>
        <v>379.6</v>
      </c>
      <c r="BC126" s="13">
        <f>'QTR Share Price'!II21</f>
        <v>336.3</v>
      </c>
      <c r="BD126" s="13">
        <f>'QTR Share Price'!IJ21</f>
        <v>337.05</v>
      </c>
      <c r="BE126" s="13">
        <f>'QTR Share Price'!IK21</f>
        <v>636.04999999999995</v>
      </c>
      <c r="BF126" s="13">
        <f>'QTR Share Price'!IL21</f>
        <v>562.75</v>
      </c>
      <c r="BG126" s="13">
        <f>'QTR Share Price'!IM21</f>
        <v>549.04999999999995</v>
      </c>
      <c r="BH126" s="13">
        <f>'QTR Share Price'!IN21</f>
        <v>469.5</v>
      </c>
      <c r="BI126" s="13">
        <f>'QTR Share Price'!IO21</f>
        <v>459.35</v>
      </c>
      <c r="BJ126" s="13">
        <f>'QTR Share Price'!IP21</f>
        <v>489.1</v>
      </c>
      <c r="BK126" s="13">
        <f>'QTR Share Price'!IQ21</f>
        <v>377.8</v>
      </c>
      <c r="BL126" s="13">
        <f>'QTR Share Price'!IR21</f>
        <v>332.95</v>
      </c>
      <c r="BM126" s="13">
        <f>'QTR Share Price'!IS21</f>
        <v>398.2</v>
      </c>
      <c r="BN126" s="13">
        <f>'QTR Share Price'!IT21</f>
        <v>250.95</v>
      </c>
      <c r="BO126" s="13">
        <f>'QTR Share Price'!IU21</f>
        <v>493.65</v>
      </c>
      <c r="BP126" s="13">
        <f>'QTR Share Price'!IV21</f>
        <v>807.9</v>
      </c>
      <c r="BQ126" s="13">
        <f>'QTR Share Price'!IW21</f>
        <v>925.45</v>
      </c>
      <c r="BR126" s="13">
        <f>'QTR Share Price'!IX21</f>
        <v>1762.85</v>
      </c>
      <c r="BS126" s="13">
        <f>'QTR Share Price'!IY21</f>
        <v>2666.85</v>
      </c>
      <c r="BT126" s="13">
        <f>'QTR Share Price'!IZ21</f>
        <v>4516.1000000000004</v>
      </c>
      <c r="BU126" s="13">
        <f>'QTR Share Price'!JA21</f>
        <v>3419.2</v>
      </c>
      <c r="BV126" s="13">
        <f>'QTR Share Price'!JB21</f>
        <v>2902.15</v>
      </c>
      <c r="BW126" s="13">
        <f>'QTR Share Price'!JC21</f>
        <v>2862.95</v>
      </c>
      <c r="BX126" s="13">
        <f>'QTR Share Price'!JD21</f>
        <v>3171.05</v>
      </c>
      <c r="BY126" s="13">
        <f>'QTR Share Price'!JE21</f>
        <v>2707.25</v>
      </c>
      <c r="BZ126" s="13">
        <f>'QTR Share Price'!JF21</f>
        <v>1942.65</v>
      </c>
      <c r="CA126" s="13">
        <f>'QTR Share Price'!JG21</f>
        <v>2316.25</v>
      </c>
      <c r="CB126" s="13">
        <f>'QTR Share Price'!JH21</f>
        <v>2173.0500000000002</v>
      </c>
      <c r="CC126" s="13">
        <f>'QTR Share Price'!JI21</f>
        <v>2668.4</v>
      </c>
      <c r="CD126" s="13">
        <f>'QTR Share Price'!JJ21</f>
        <v>2043.9</v>
      </c>
      <c r="CE126" s="13">
        <f>'QTR Share Price'!JK21</f>
        <v>2290.65</v>
      </c>
      <c r="CF126" s="13">
        <f>'QTR Share Price'!JL21</f>
        <v>2283</v>
      </c>
      <c r="CG126" s="13">
        <f>'QTR Share Price'!JM21</f>
        <v>1788</v>
      </c>
      <c r="CH126" s="13">
        <f>'QTR Share Price'!JN21</f>
        <v>1207.25</v>
      </c>
      <c r="CI126" s="13">
        <f>'QTR Share Price'!JO21</f>
        <v>1845.4</v>
      </c>
      <c r="CJ126" s="13">
        <f>'QTR Share Price'!JP21</f>
        <v>1391.35</v>
      </c>
      <c r="CK126" s="13">
        <f>'QTR Share Price'!JQ21</f>
        <v>1118.5999999999999</v>
      </c>
      <c r="CL126" s="13">
        <f>'QTR Share Price'!JR21</f>
        <v>977</v>
      </c>
      <c r="CM126" s="37">
        <v>2200</v>
      </c>
      <c r="CN126" s="37">
        <f t="shared" ref="CN126" si="1045">+CM126</f>
        <v>2200</v>
      </c>
      <c r="CO126" s="37">
        <f t="shared" ref="CO126" si="1046">+CN126</f>
        <v>2200</v>
      </c>
      <c r="CP126" s="37">
        <f t="shared" ref="CP126" si="1047">+CO126</f>
        <v>2200</v>
      </c>
      <c r="CQ126" s="37">
        <f t="shared" ref="CQ126" si="1048">+CP126</f>
        <v>2200</v>
      </c>
      <c r="CR126" s="37">
        <f t="shared" ref="CR126" si="1049">+CQ126</f>
        <v>2200</v>
      </c>
      <c r="CS126" s="37">
        <f t="shared" ref="CS126" si="1050">+CR126</f>
        <v>2200</v>
      </c>
      <c r="CT126" s="37">
        <f t="shared" ref="CT126" si="1051">+CS126</f>
        <v>2200</v>
      </c>
      <c r="CU126" s="37">
        <f t="shared" ref="CU126" si="1052">+CT126</f>
        <v>2200</v>
      </c>
      <c r="CV126" s="37">
        <f t="shared" ref="CV126" si="1053">+CU126</f>
        <v>2200</v>
      </c>
      <c r="CW126" s="37">
        <f t="shared" ref="CW126" si="1054">+CV126</f>
        <v>2200</v>
      </c>
      <c r="CX126" s="37">
        <f t="shared" ref="CX126" si="1055">+CW126</f>
        <v>2200</v>
      </c>
      <c r="CY126" s="37">
        <f t="shared" ref="CY126" si="1056">+CX126</f>
        <v>2200</v>
      </c>
      <c r="CZ126" s="37">
        <f t="shared" ref="CZ126" si="1057">+CY126</f>
        <v>2200</v>
      </c>
      <c r="DA126" s="37">
        <f t="shared" ref="DA126" si="1058">+CZ126</f>
        <v>2200</v>
      </c>
      <c r="DB126" s="37">
        <f t="shared" ref="DB126" si="1059">+DA126</f>
        <v>2200</v>
      </c>
      <c r="DE126" s="134"/>
      <c r="DF126" s="13">
        <v>977</v>
      </c>
    </row>
    <row r="127" spans="1:110" s="13" customFormat="1" x14ac:dyDescent="0.2">
      <c r="A127" s="13" t="s">
        <v>458</v>
      </c>
      <c r="B127" s="13">
        <f>'Annual Raw'!C107</f>
        <v>0</v>
      </c>
      <c r="C127" s="13">
        <f>'Annual Raw'!D107</f>
        <v>0</v>
      </c>
      <c r="D127" s="13">
        <f>'Annual Raw'!E107</f>
        <v>4.9749999999999996</v>
      </c>
      <c r="E127" s="13">
        <f>'Annual Raw'!F107</f>
        <v>15.49</v>
      </c>
      <c r="F127" s="13">
        <f>'Annual Raw'!G107</f>
        <v>39.1</v>
      </c>
      <c r="G127" s="13">
        <f>'Annual Raw'!H107</f>
        <v>52.49</v>
      </c>
      <c r="H127" s="13">
        <f>'Annual Raw'!I107</f>
        <v>42.5</v>
      </c>
      <c r="I127" s="13">
        <f>'Annual Raw'!J107</f>
        <v>47.4</v>
      </c>
      <c r="J127" s="13">
        <f>'Annual Raw'!K107</f>
        <v>27.4</v>
      </c>
      <c r="K127" s="13">
        <f>'Annual Raw'!L107</f>
        <v>39</v>
      </c>
      <c r="L127" s="13">
        <f>'Annual Raw'!M107</f>
        <v>57.6</v>
      </c>
      <c r="M127" s="13">
        <f>'Annual Raw'!N107</f>
        <v>54.65</v>
      </c>
      <c r="N127" s="13">
        <f>'Annual Raw'!O107</f>
        <v>66.7</v>
      </c>
      <c r="O127" s="13">
        <f>'Annual Raw'!P107</f>
        <v>54.8</v>
      </c>
      <c r="P127" s="13">
        <f>'Annual Raw'!Q107</f>
        <v>99</v>
      </c>
      <c r="Q127" s="13">
        <f>'Annual Raw'!R107</f>
        <v>184.9</v>
      </c>
      <c r="R127" s="13">
        <f>'Annual Raw'!S107</f>
        <v>400</v>
      </c>
      <c r="S127" s="13">
        <f>'Annual Raw'!T107</f>
        <v>781</v>
      </c>
      <c r="T127" s="13">
        <f>'Annual Raw'!U107</f>
        <v>727.05</v>
      </c>
      <c r="U127" s="13">
        <f>'Annual Raw'!V107</f>
        <v>539</v>
      </c>
      <c r="V127" s="13">
        <f>'Annual Raw'!W107</f>
        <v>1905.7</v>
      </c>
      <c r="W127" s="13">
        <f>'Annual Raw'!X107</f>
        <v>5220</v>
      </c>
      <c r="X127" s="13">
        <f>'Annual Raw'!Y107</f>
        <v>3841.85</v>
      </c>
      <c r="Y127" s="13">
        <f>'Annual Raw'!Z107</f>
        <v>2736.35</v>
      </c>
      <c r="Z127" s="13">
        <f>'Annual Raw'!AA107</f>
        <v>2550.15</v>
      </c>
      <c r="AA127" s="13">
        <f>'Annual Raw'!AB107</f>
        <v>1946</v>
      </c>
      <c r="AB127" s="37">
        <f>+MAX(CM127:CP127)</f>
        <v>2312.1564559606195</v>
      </c>
      <c r="AC127" s="37">
        <f>+MAX(CQ127:CT127)</f>
        <v>3087.8331453565138</v>
      </c>
      <c r="AD127" s="37">
        <f>+MAX(CU127:CX127)</f>
        <v>4377.9785097628319</v>
      </c>
      <c r="AE127" s="37">
        <f>+MAX(CY127:DB127)</f>
        <v>6662.1875115742678</v>
      </c>
      <c r="AJ127" s="13">
        <f>'QTR Share Price'!HP19</f>
        <v>59.65</v>
      </c>
      <c r="AK127" s="13">
        <f>'QTR Share Price'!HQ19</f>
        <v>66.7</v>
      </c>
      <c r="AL127" s="13">
        <f>'QTR Share Price'!HR19</f>
        <v>56.5</v>
      </c>
      <c r="AM127" s="13">
        <f>'QTR Share Price'!HS19</f>
        <v>41.8</v>
      </c>
      <c r="AN127" s="13">
        <f>'QTR Share Price'!HT19</f>
        <v>41</v>
      </c>
      <c r="AO127" s="13">
        <f>'QTR Share Price'!HU19</f>
        <v>54.8</v>
      </c>
      <c r="AP127" s="13">
        <f>'QTR Share Price'!HV19</f>
        <v>53.9</v>
      </c>
      <c r="AQ127" s="13">
        <f>'QTR Share Price'!HW19</f>
        <v>65.8</v>
      </c>
      <c r="AR127" s="13">
        <f>'QTR Share Price'!HX19</f>
        <v>99</v>
      </c>
      <c r="AS127" s="13">
        <f>'QTR Share Price'!HY19</f>
        <v>86.4</v>
      </c>
      <c r="AT127" s="13">
        <f>'QTR Share Price'!HZ19</f>
        <v>89.1</v>
      </c>
      <c r="AU127" s="13">
        <f>'QTR Share Price'!IA19</f>
        <v>128.4</v>
      </c>
      <c r="AV127" s="13">
        <f>'QTR Share Price'!IB19</f>
        <v>163.6</v>
      </c>
      <c r="AW127" s="13">
        <f>'QTR Share Price'!IC19</f>
        <v>168.4</v>
      </c>
      <c r="AX127" s="13">
        <f>'QTR Share Price'!ID19</f>
        <v>184.9</v>
      </c>
      <c r="AY127" s="13">
        <f>'QTR Share Price'!IE19</f>
        <v>282.5</v>
      </c>
      <c r="AZ127" s="13">
        <f>'QTR Share Price'!IF19</f>
        <v>329</v>
      </c>
      <c r="BA127" s="13">
        <f>'QTR Share Price'!IG19</f>
        <v>380</v>
      </c>
      <c r="BB127" s="13">
        <f>'QTR Share Price'!IH19</f>
        <v>400</v>
      </c>
      <c r="BC127" s="13">
        <f>'QTR Share Price'!II19</f>
        <v>401.1</v>
      </c>
      <c r="BD127" s="13">
        <f>'QTR Share Price'!IJ19</f>
        <v>390</v>
      </c>
      <c r="BE127" s="13">
        <f>'QTR Share Price'!IK19</f>
        <v>675</v>
      </c>
      <c r="BF127" s="13">
        <f>'QTR Share Price'!IL19</f>
        <v>781</v>
      </c>
      <c r="BG127" s="13">
        <f>'QTR Share Price'!IM19</f>
        <v>727.05</v>
      </c>
      <c r="BH127" s="13">
        <f>'QTR Share Price'!IN19</f>
        <v>601.45000000000005</v>
      </c>
      <c r="BI127" s="13">
        <f>'QTR Share Price'!IO19</f>
        <v>520</v>
      </c>
      <c r="BJ127" s="13">
        <f>'QTR Share Price'!IP19</f>
        <v>510.75</v>
      </c>
      <c r="BK127" s="13">
        <f>'QTR Share Price'!IQ19</f>
        <v>539</v>
      </c>
      <c r="BL127" s="13">
        <f>'QTR Share Price'!IR19</f>
        <v>382.55</v>
      </c>
      <c r="BM127" s="13">
        <f>'QTR Share Price'!IS19</f>
        <v>414.8</v>
      </c>
      <c r="BN127" s="13">
        <f>'QTR Share Price'!IT19</f>
        <v>486.6</v>
      </c>
      <c r="BO127" s="13">
        <f>'QTR Share Price'!IU19</f>
        <v>543.95000000000005</v>
      </c>
      <c r="BP127" s="13">
        <f>'QTR Share Price'!IV19</f>
        <v>995</v>
      </c>
      <c r="BQ127" s="13">
        <f>'QTR Share Price'!IW19</f>
        <v>1054</v>
      </c>
      <c r="BR127" s="13">
        <f>'QTR Share Price'!IX19</f>
        <v>1905.7</v>
      </c>
      <c r="BS127" s="13">
        <f>'QTR Share Price'!IY19</f>
        <v>2959.95</v>
      </c>
      <c r="BT127" s="13">
        <f>'QTR Share Price'!IZ19</f>
        <v>5220</v>
      </c>
      <c r="BU127" s="13">
        <f>'QTR Share Price'!JA19</f>
        <v>4799</v>
      </c>
      <c r="BV127" s="13">
        <f>'QTR Share Price'!JB19</f>
        <v>3936.95</v>
      </c>
      <c r="BW127" s="13">
        <f>'QTR Share Price'!JC19</f>
        <v>3505</v>
      </c>
      <c r="BX127" s="13">
        <f>'QTR Share Price'!JD19</f>
        <v>3841.85</v>
      </c>
      <c r="BY127" s="13">
        <f>'QTR Share Price'!JE19</f>
        <v>3267.25</v>
      </c>
      <c r="BZ127" s="13">
        <f>'QTR Share Price'!JF19</f>
        <v>2727.65</v>
      </c>
      <c r="CA127" s="13">
        <f>'QTR Share Price'!JG19</f>
        <v>2548.6999999999998</v>
      </c>
      <c r="CB127" s="13">
        <f>'QTR Share Price'!JH19</f>
        <v>2355</v>
      </c>
      <c r="CC127" s="13">
        <f>'QTR Share Price'!JI19</f>
        <v>2721.2</v>
      </c>
      <c r="CD127" s="13">
        <f>'QTR Share Price'!JJ19</f>
        <v>2736.35</v>
      </c>
      <c r="CE127" s="13">
        <f>'QTR Share Price'!JK19</f>
        <v>2508.5</v>
      </c>
      <c r="CF127" s="13">
        <f>'QTR Share Price'!JL19</f>
        <v>2550.15</v>
      </c>
      <c r="CG127" s="13">
        <f>'QTR Share Price'!JM19</f>
        <v>2370</v>
      </c>
      <c r="CH127" s="13">
        <f>'QTR Share Price'!JN19</f>
        <v>1980</v>
      </c>
      <c r="CI127" s="13">
        <f>'QTR Share Price'!JO19</f>
        <v>1856.45</v>
      </c>
      <c r="CJ127" s="13">
        <f>'QTR Share Price'!JP19</f>
        <v>1946</v>
      </c>
      <c r="CK127" s="13">
        <f>'QTR Share Price'!JQ19</f>
        <v>1456</v>
      </c>
      <c r="CL127" s="13">
        <f>'QTR Share Price'!JR19</f>
        <v>1333.9</v>
      </c>
      <c r="CM127" s="37">
        <f t="shared" ref="CM127:DB127" si="1060">+CM118*CM135</f>
        <v>1767.1167836026179</v>
      </c>
      <c r="CN127" s="37">
        <f t="shared" si="1060"/>
        <v>2058.8451644862585</v>
      </c>
      <c r="CO127" s="37">
        <f t="shared" si="1060"/>
        <v>2312.1564559606195</v>
      </c>
      <c r="CP127" s="37">
        <f t="shared" si="1060"/>
        <v>2311.4954727114678</v>
      </c>
      <c r="CQ127" s="37">
        <f t="shared" si="1060"/>
        <v>2527.0506218165324</v>
      </c>
      <c r="CR127" s="37">
        <f t="shared" si="1060"/>
        <v>2646.1356807413267</v>
      </c>
      <c r="CS127" s="37">
        <f t="shared" si="1060"/>
        <v>2778.3446516806275</v>
      </c>
      <c r="CT127" s="37">
        <f t="shared" si="1060"/>
        <v>3087.8331453565138</v>
      </c>
      <c r="CU127" s="37">
        <f t="shared" si="1060"/>
        <v>3323.5662557681862</v>
      </c>
      <c r="CV127" s="37">
        <f t="shared" si="1060"/>
        <v>3641.8973476961278</v>
      </c>
      <c r="CW127" s="37">
        <f t="shared" si="1060"/>
        <v>3978.3158229821825</v>
      </c>
      <c r="CX127" s="37">
        <f t="shared" si="1060"/>
        <v>4377.9785097628319</v>
      </c>
      <c r="CY127" s="37">
        <f t="shared" si="1060"/>
        <v>4899.1351089648251</v>
      </c>
      <c r="CZ127" s="37">
        <f t="shared" si="1060"/>
        <v>5440.2322931907574</v>
      </c>
      <c r="DA127" s="37">
        <f t="shared" si="1060"/>
        <v>5961.7936166204672</v>
      </c>
      <c r="DB127" s="37">
        <f t="shared" si="1060"/>
        <v>6662.1875115742678</v>
      </c>
      <c r="DE127" s="134"/>
      <c r="DF127" s="13">
        <v>1333.9</v>
      </c>
    </row>
    <row r="128" spans="1:110" s="13" customFormat="1" x14ac:dyDescent="0.2">
      <c r="A128" s="13" t="s">
        <v>459</v>
      </c>
      <c r="B128" s="13">
        <f>'Annual Raw'!C108</f>
        <v>0</v>
      </c>
      <c r="C128" s="13">
        <f>'Annual Raw'!D108</f>
        <v>0</v>
      </c>
      <c r="D128" s="13">
        <f>'Annual Raw'!E108</f>
        <v>1.8</v>
      </c>
      <c r="E128" s="13">
        <f>'Annual Raw'!F108</f>
        <v>2.41</v>
      </c>
      <c r="F128" s="13">
        <f>'Annual Raw'!G108</f>
        <v>8</v>
      </c>
      <c r="G128" s="13">
        <f>'Annual Raw'!H108</f>
        <v>17</v>
      </c>
      <c r="H128" s="13">
        <f>'Annual Raw'!I108</f>
        <v>15.5</v>
      </c>
      <c r="I128" s="13">
        <f>'Annual Raw'!J108</f>
        <v>18.3</v>
      </c>
      <c r="J128" s="13">
        <f>'Annual Raw'!K108</f>
        <v>10.199999999999999</v>
      </c>
      <c r="K128" s="13">
        <f>'Annual Raw'!L108</f>
        <v>12.2</v>
      </c>
      <c r="L128" s="13">
        <f>'Annual Raw'!M108</f>
        <v>27.44</v>
      </c>
      <c r="M128" s="13">
        <f>'Annual Raw'!N108</f>
        <v>31.05</v>
      </c>
      <c r="N128" s="13">
        <f>'Annual Raw'!O108</f>
        <v>34.85</v>
      </c>
      <c r="O128" s="13">
        <f>'Annual Raw'!P108</f>
        <v>28.4</v>
      </c>
      <c r="P128" s="13">
        <f>'Annual Raw'!Q108</f>
        <v>39.5</v>
      </c>
      <c r="Q128" s="13">
        <f>'Annual Raw'!R108</f>
        <v>80.75</v>
      </c>
      <c r="R128" s="13">
        <f>'Annual Raw'!S108</f>
        <v>173.1</v>
      </c>
      <c r="S128" s="13">
        <f>'Annual Raw'!T108</f>
        <v>271.10000000000002</v>
      </c>
      <c r="T128" s="13">
        <f>'Annual Raw'!U108</f>
        <v>368.5</v>
      </c>
      <c r="U128" s="13">
        <f>'Annual Raw'!V108</f>
        <v>204.1</v>
      </c>
      <c r="V128" s="13">
        <f>'Annual Raw'!W108</f>
        <v>241.5</v>
      </c>
      <c r="W128" s="13">
        <f>'Annual Raw'!X108</f>
        <v>1723.95</v>
      </c>
      <c r="X128" s="13">
        <f>'Annual Raw'!Y108</f>
        <v>1925.05</v>
      </c>
      <c r="Y128" s="13">
        <f>'Annual Raw'!Z108</f>
        <v>1872.9</v>
      </c>
      <c r="Z128" s="13">
        <f>'Annual Raw'!AA108</f>
        <v>1170.75</v>
      </c>
      <c r="AA128" s="13">
        <f>'Annual Raw'!AB108</f>
        <v>905.15</v>
      </c>
      <c r="AB128" s="37">
        <f>+MIN(CM128:CP128)</f>
        <v>1033.1735748876451</v>
      </c>
      <c r="AC128" s="37">
        <f>+MIN(CQ128:CT128)</f>
        <v>1477.4812559594577</v>
      </c>
      <c r="AD128" s="37">
        <f>+MIN(CU128:CX128)</f>
        <v>1943.1770790198923</v>
      </c>
      <c r="AE128" s="37">
        <f>+MIN(CY128:DB128)</f>
        <v>2864.3590403049479</v>
      </c>
      <c r="AJ128" s="13">
        <f>+'QTR Share Price'!HP20</f>
        <v>38.1</v>
      </c>
      <c r="AK128" s="13">
        <f>+'QTR Share Price'!HQ20</f>
        <v>50.05</v>
      </c>
      <c r="AL128" s="13">
        <f>+'QTR Share Price'!HR20</f>
        <v>34.85</v>
      </c>
      <c r="AM128" s="13">
        <f>+'QTR Share Price'!HS20</f>
        <v>31.25</v>
      </c>
      <c r="AN128" s="13">
        <f>+'QTR Share Price'!HT20</f>
        <v>28.4</v>
      </c>
      <c r="AO128" s="13">
        <f>+'QTR Share Price'!HU20</f>
        <v>31.6</v>
      </c>
      <c r="AP128" s="13">
        <f>+'QTR Share Price'!HV20</f>
        <v>35.1</v>
      </c>
      <c r="AQ128" s="13">
        <f>+'QTR Share Price'!HW20</f>
        <v>39.5</v>
      </c>
      <c r="AR128" s="13">
        <f>+'QTR Share Price'!HX20</f>
        <v>61.6</v>
      </c>
      <c r="AS128" s="13">
        <f>+'QTR Share Price'!HY20</f>
        <v>67</v>
      </c>
      <c r="AT128" s="13">
        <f>+'QTR Share Price'!HZ20</f>
        <v>69.099999999999994</v>
      </c>
      <c r="AU128" s="13">
        <f>+'QTR Share Price'!IA20</f>
        <v>80.75</v>
      </c>
      <c r="AV128" s="13">
        <f>+'QTR Share Price'!IB20</f>
        <v>106</v>
      </c>
      <c r="AW128" s="13">
        <f>+'QTR Share Price'!IC20</f>
        <v>119.3</v>
      </c>
      <c r="AX128" s="13">
        <f>+'QTR Share Price'!ID20</f>
        <v>115</v>
      </c>
      <c r="AY128" s="13">
        <f>+'QTR Share Price'!IE20</f>
        <v>173.1</v>
      </c>
      <c r="AZ128" s="13">
        <f>+'QTR Share Price'!IF20</f>
        <v>249.2</v>
      </c>
      <c r="BA128" s="13">
        <f>+'QTR Share Price'!IG20</f>
        <v>272.95</v>
      </c>
      <c r="BB128" s="13">
        <f>+'QTR Share Price'!IH20</f>
        <v>310</v>
      </c>
      <c r="BC128" s="13">
        <f>+'QTR Share Price'!II20</f>
        <v>320</v>
      </c>
      <c r="BD128" s="13">
        <f>+'QTR Share Price'!IJ20</f>
        <v>271.10000000000002</v>
      </c>
      <c r="BE128" s="13">
        <f>+'QTR Share Price'!IK20</f>
        <v>337</v>
      </c>
      <c r="BF128" s="13">
        <f>+'QTR Share Price'!IL20</f>
        <v>547</v>
      </c>
      <c r="BG128" s="13">
        <f>+'QTR Share Price'!IM20</f>
        <v>506.85</v>
      </c>
      <c r="BH128" s="13">
        <f>+'QTR Share Price'!IN20</f>
        <v>457.85</v>
      </c>
      <c r="BI128" s="13">
        <f>+'QTR Share Price'!IO20</f>
        <v>411.6</v>
      </c>
      <c r="BJ128" s="13">
        <f>+'QTR Share Price'!IP20</f>
        <v>368.5</v>
      </c>
      <c r="BK128" s="13">
        <f>+'QTR Share Price'!IQ20</f>
        <v>365.1</v>
      </c>
      <c r="BL128" s="13">
        <f>+'QTR Share Price'!IR20</f>
        <v>210</v>
      </c>
      <c r="BM128" s="13">
        <f>+'QTR Share Price'!IS20</f>
        <v>298</v>
      </c>
      <c r="BN128" s="13">
        <f>+'QTR Share Price'!IT20</f>
        <v>204.1</v>
      </c>
      <c r="BO128" s="13">
        <f>+'QTR Share Price'!IU20</f>
        <v>241.5</v>
      </c>
      <c r="BP128" s="13">
        <f>+'QTR Share Price'!IV20</f>
        <v>497.6</v>
      </c>
      <c r="BQ128" s="13">
        <f>+'QTR Share Price'!IW20</f>
        <v>787.1</v>
      </c>
      <c r="BR128" s="13">
        <f>+'QTR Share Price'!IX20</f>
        <v>928</v>
      </c>
      <c r="BS128" s="13">
        <f>+'QTR Share Price'!IY20</f>
        <v>1723.95</v>
      </c>
      <c r="BT128" s="13">
        <f>+'QTR Share Price'!IZ20</f>
        <v>2672.6</v>
      </c>
      <c r="BU128" s="13">
        <f>+'QTR Share Price'!JA20</f>
        <v>2880</v>
      </c>
      <c r="BV128" s="13">
        <f>+'QTR Share Price'!JB20</f>
        <v>2680.05</v>
      </c>
      <c r="BW128" s="13">
        <f>+'QTR Share Price'!JC20</f>
        <v>2700</v>
      </c>
      <c r="BX128" s="13">
        <f>+'QTR Share Price'!JD20</f>
        <v>2838</v>
      </c>
      <c r="BY128" s="13">
        <f>+'QTR Share Price'!JE20</f>
        <v>2592.1</v>
      </c>
      <c r="BZ128" s="13">
        <f>+'QTR Share Price'!JF20</f>
        <v>1925.05</v>
      </c>
      <c r="CA128" s="13">
        <f>+'QTR Share Price'!JG20</f>
        <v>1872.9</v>
      </c>
      <c r="CB128" s="13">
        <f>+'QTR Share Price'!JH20</f>
        <v>2031</v>
      </c>
      <c r="CC128" s="13">
        <f>+'QTR Share Price'!JI20</f>
        <v>2002</v>
      </c>
      <c r="CD128" s="13">
        <f>+'QTR Share Price'!JJ20</f>
        <v>2010</v>
      </c>
      <c r="CE128" s="13">
        <f>+'QTR Share Price'!JK20</f>
        <v>1965.05</v>
      </c>
      <c r="CF128" s="13">
        <f>+'QTR Share Price'!JL20</f>
        <v>2088.85</v>
      </c>
      <c r="CG128" s="13">
        <f>+'QTR Share Price'!JM20</f>
        <v>1712.2</v>
      </c>
      <c r="CH128" s="13">
        <f>+'QTR Share Price'!JN20</f>
        <v>1170.75</v>
      </c>
      <c r="CI128" s="13">
        <f>+'QTR Share Price'!JO20</f>
        <v>1112</v>
      </c>
      <c r="CJ128" s="13">
        <f>+'QTR Share Price'!JP20</f>
        <v>1386.25</v>
      </c>
      <c r="CK128" s="13">
        <f>+'QTR Share Price'!JQ20</f>
        <v>1079.1500000000001</v>
      </c>
      <c r="CL128" s="13">
        <f>+'QTR Share Price'!JR20</f>
        <v>905.15</v>
      </c>
      <c r="CM128" s="37">
        <f t="shared" ref="CM128:DB128" si="1061">+CM136*CM118</f>
        <v>1033.1735748876451</v>
      </c>
      <c r="CN128" s="37">
        <f t="shared" si="1061"/>
        <v>1203.7373185918159</v>
      </c>
      <c r="CO128" s="37">
        <f t="shared" si="1061"/>
        <v>1351.8398860058467</v>
      </c>
      <c r="CP128" s="37">
        <f t="shared" si="1061"/>
        <v>1351.4534313963923</v>
      </c>
      <c r="CQ128" s="37">
        <f t="shared" si="1061"/>
        <v>1477.4812559594577</v>
      </c>
      <c r="CR128" s="37">
        <f t="shared" si="1061"/>
        <v>1547.1062729287401</v>
      </c>
      <c r="CS128" s="37">
        <f t="shared" si="1061"/>
        <v>1624.4043985563503</v>
      </c>
      <c r="CT128" s="37">
        <f t="shared" si="1061"/>
        <v>1805.3518811250028</v>
      </c>
      <c r="CU128" s="37">
        <f t="shared" si="1061"/>
        <v>1943.1770790198923</v>
      </c>
      <c r="CV128" s="37">
        <f t="shared" si="1061"/>
        <v>2129.2945305074895</v>
      </c>
      <c r="CW128" s="37">
        <f t="shared" si="1061"/>
        <v>2325.9870649199215</v>
      </c>
      <c r="CX128" s="37">
        <f t="shared" si="1061"/>
        <v>2559.6563564358694</v>
      </c>
      <c r="CY128" s="37">
        <f t="shared" si="1061"/>
        <v>2864.3590403049479</v>
      </c>
      <c r="CZ128" s="37">
        <f t="shared" si="1061"/>
        <v>3180.7203116005644</v>
      </c>
      <c r="DA128" s="37">
        <f t="shared" si="1061"/>
        <v>3485.6596240734075</v>
      </c>
      <c r="DB128" s="37">
        <f t="shared" si="1061"/>
        <v>3895.1563087258164</v>
      </c>
      <c r="DE128" s="134"/>
      <c r="DF128" s="13">
        <v>905.15</v>
      </c>
    </row>
    <row r="129" spans="1:110" s="14" customFormat="1" x14ac:dyDescent="0.2">
      <c r="AB129" s="16"/>
      <c r="AC129" s="16"/>
      <c r="AD129" s="16"/>
      <c r="AE129" s="16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0" s="51" customFormat="1" x14ac:dyDescent="0.2">
      <c r="A130" s="51" t="s">
        <v>346</v>
      </c>
      <c r="AB130" s="48">
        <f t="shared" ref="AB130:AD130" si="1062">+AB127/AB126-1</f>
        <v>5.0980207254827103E-2</v>
      </c>
      <c r="AC130" s="48">
        <f t="shared" si="1062"/>
        <v>0.40356052061659708</v>
      </c>
      <c r="AD130" s="48">
        <f t="shared" si="1062"/>
        <v>0.98999023171037814</v>
      </c>
      <c r="AE130" s="48">
        <f t="shared" ref="AE130" si="1063">+AE127/AE126-1</f>
        <v>2.0282670507155762</v>
      </c>
      <c r="CM130" s="48">
        <f t="shared" ref="CM130:DB130" si="1064">+CM127/CM126-1</f>
        <v>-0.19676509836244638</v>
      </c>
      <c r="CN130" s="48">
        <f t="shared" si="1064"/>
        <v>-6.4161288869882482E-2</v>
      </c>
      <c r="CO130" s="48">
        <f t="shared" si="1064"/>
        <v>5.0980207254827103E-2</v>
      </c>
      <c r="CP130" s="48">
        <f t="shared" si="1064"/>
        <v>5.0679760323394385E-2</v>
      </c>
      <c r="CQ130" s="48">
        <f t="shared" si="1064"/>
        <v>0.14865937355296932</v>
      </c>
      <c r="CR130" s="48">
        <f t="shared" si="1064"/>
        <v>0.20278894579151219</v>
      </c>
      <c r="CS130" s="48">
        <f t="shared" si="1064"/>
        <v>0.26288393258210352</v>
      </c>
      <c r="CT130" s="48">
        <f t="shared" si="1064"/>
        <v>0.40356052061659708</v>
      </c>
      <c r="CU130" s="48">
        <f t="shared" si="1064"/>
        <v>0.51071193444008456</v>
      </c>
      <c r="CV130" s="48">
        <f t="shared" si="1064"/>
        <v>0.6554078853164218</v>
      </c>
      <c r="CW130" s="48">
        <f t="shared" si="1064"/>
        <v>0.80832537408281024</v>
      </c>
      <c r="CX130" s="48">
        <f t="shared" si="1064"/>
        <v>0.98999023171037814</v>
      </c>
      <c r="CY130" s="48">
        <f t="shared" si="1064"/>
        <v>1.2268795949840112</v>
      </c>
      <c r="CZ130" s="48">
        <f t="shared" si="1064"/>
        <v>1.4728328605412533</v>
      </c>
      <c r="DA130" s="48">
        <f t="shared" si="1064"/>
        <v>1.7099061893729397</v>
      </c>
      <c r="DB130" s="48">
        <f t="shared" si="1064"/>
        <v>2.0282670507155762</v>
      </c>
      <c r="DE130" s="129"/>
      <c r="DF130" s="51">
        <v>0.99181166837256907</v>
      </c>
    </row>
    <row r="131" spans="1:110" s="51" customFormat="1" x14ac:dyDescent="0.2">
      <c r="A131" s="51" t="s">
        <v>347</v>
      </c>
      <c r="AB131" s="48">
        <f t="shared" ref="AB131:AD131" si="1065">+AB128/AB126-1</f>
        <v>-0.53037564777834312</v>
      </c>
      <c r="AC131" s="48">
        <f t="shared" si="1065"/>
        <v>-0.3284176109275192</v>
      </c>
      <c r="AD131" s="48">
        <f t="shared" si="1065"/>
        <v>-0.11673769135459444</v>
      </c>
      <c r="AE131" s="48">
        <f t="shared" ref="AE131" si="1066">+AE128/AE126-1</f>
        <v>0.30198138195679447</v>
      </c>
      <c r="CM131" s="48">
        <f t="shared" ref="CM131:DB131" si="1067">+CM128/CM126-1</f>
        <v>-0.53037564777834312</v>
      </c>
      <c r="CN131" s="48">
        <f t="shared" si="1067"/>
        <v>-0.4528466733673564</v>
      </c>
      <c r="CO131" s="48">
        <f t="shared" si="1067"/>
        <v>-0.38552732454279692</v>
      </c>
      <c r="CP131" s="48">
        <f t="shared" si="1067"/>
        <v>-0.3857029857289126</v>
      </c>
      <c r="CQ131" s="48">
        <f t="shared" si="1067"/>
        <v>-0.3284176109275192</v>
      </c>
      <c r="CR131" s="48">
        <f t="shared" si="1067"/>
        <v>-0.29676987594148174</v>
      </c>
      <c r="CS131" s="48">
        <f t="shared" si="1067"/>
        <v>-0.26163436429256803</v>
      </c>
      <c r="CT131" s="48">
        <f t="shared" si="1067"/>
        <v>-0.17938550857954416</v>
      </c>
      <c r="CU131" s="48">
        <f t="shared" si="1067"/>
        <v>-0.11673769135459444</v>
      </c>
      <c r="CV131" s="48">
        <f t="shared" si="1067"/>
        <v>-3.2138849769322908E-2</v>
      </c>
      <c r="CW131" s="48">
        <f t="shared" si="1067"/>
        <v>5.7266847690873313E-2</v>
      </c>
      <c r="CX131" s="48">
        <f t="shared" si="1067"/>
        <v>0.16348016201630422</v>
      </c>
      <c r="CY131" s="48">
        <f t="shared" si="1067"/>
        <v>0.30198138195679447</v>
      </c>
      <c r="CZ131" s="48">
        <f t="shared" si="1067"/>
        <v>0.44578195981843827</v>
      </c>
      <c r="DA131" s="48">
        <f t="shared" si="1067"/>
        <v>0.58439073821518517</v>
      </c>
      <c r="DB131" s="48">
        <f t="shared" si="1067"/>
        <v>0.77052559487537109</v>
      </c>
      <c r="DE131" s="129"/>
      <c r="DF131" s="51">
        <v>-7.3541453428863868E-2</v>
      </c>
    </row>
    <row r="132" spans="1:110" s="14" customFormat="1" x14ac:dyDescent="0.2">
      <c r="AB132" s="16"/>
      <c r="AC132" s="16"/>
      <c r="AD132" s="16"/>
      <c r="AE132" s="16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E132" s="134"/>
    </row>
    <row r="133" spans="1:110" s="13" customFormat="1" x14ac:dyDescent="0.2">
      <c r="A133" s="13" t="s">
        <v>40</v>
      </c>
      <c r="AB133" s="37"/>
      <c r="AC133" s="37"/>
      <c r="AD133" s="37"/>
      <c r="AE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E133" s="134"/>
    </row>
    <row r="134" spans="1:110" s="13" customFormat="1" x14ac:dyDescent="0.2">
      <c r="A134" s="13" t="s">
        <v>460</v>
      </c>
      <c r="B134" s="13">
        <f t="shared" ref="B134:D134" si="1068">+B126/B118</f>
        <v>0</v>
      </c>
      <c r="C134" s="13">
        <f t="shared" si="1068"/>
        <v>0</v>
      </c>
      <c r="D134" s="13">
        <f t="shared" si="1068"/>
        <v>0.20313699844969663</v>
      </c>
      <c r="E134" s="13" t="e">
        <f t="shared" ref="E134:AE134" ca="1" si="1069">+E126/E118</f>
        <v>#DIV/0!</v>
      </c>
      <c r="F134" s="13" t="e">
        <f t="shared" ca="1" si="1069"/>
        <v>#DIV/0!</v>
      </c>
      <c r="G134" s="13" t="e">
        <f t="shared" ca="1" si="1069"/>
        <v>#DIV/0!</v>
      </c>
      <c r="H134" s="13" t="e">
        <f t="shared" ca="1" si="1069"/>
        <v>#DIV/0!</v>
      </c>
      <c r="I134" s="13" t="e">
        <f t="shared" ca="1" si="1069"/>
        <v>#DIV/0!</v>
      </c>
      <c r="J134" s="13" t="e">
        <f t="shared" ca="1" si="1069"/>
        <v>#DIV/0!</v>
      </c>
      <c r="K134" s="13" t="e">
        <f t="shared" ca="1" si="1069"/>
        <v>#DIV/0!</v>
      </c>
      <c r="L134" s="13" t="e">
        <f t="shared" ca="1" si="1069"/>
        <v>#DIV/0!</v>
      </c>
      <c r="M134" s="13" t="e">
        <f t="shared" ca="1" si="1069"/>
        <v>#DIV/0!</v>
      </c>
      <c r="N134" s="13" t="e">
        <f t="shared" ca="1" si="1069"/>
        <v>#DIV/0!</v>
      </c>
      <c r="O134" s="13" t="e">
        <f t="shared" ca="1" si="1069"/>
        <v>#DIV/0!</v>
      </c>
      <c r="P134" s="13" t="e">
        <f t="shared" ca="1" si="1069"/>
        <v>#DIV/0!</v>
      </c>
      <c r="Q134" s="13" t="e">
        <f t="shared" ca="1" si="1069"/>
        <v>#DIV/0!</v>
      </c>
      <c r="R134" s="13" t="e">
        <f t="shared" ca="1" si="1069"/>
        <v>#DIV/0!</v>
      </c>
      <c r="S134" s="13" t="e">
        <f t="shared" ca="1" si="1069"/>
        <v>#DIV/0!</v>
      </c>
      <c r="T134" s="13" t="e">
        <f t="shared" ca="1" si="1069"/>
        <v>#DIV/0!</v>
      </c>
      <c r="U134" s="13" t="e">
        <f t="shared" ca="1" si="1069"/>
        <v>#DIV/0!</v>
      </c>
      <c r="V134" s="13" t="e">
        <f t="shared" ca="1" si="1069"/>
        <v>#DIV/0!</v>
      </c>
      <c r="W134" s="13" t="e">
        <f t="shared" ca="1" si="1069"/>
        <v>#DIV/0!</v>
      </c>
      <c r="X134" s="13" t="e">
        <f t="shared" ca="1" si="1069"/>
        <v>#DIV/0!</v>
      </c>
      <c r="Y134" s="13" t="e">
        <f t="shared" ca="1" si="1069"/>
        <v>#DIV/0!</v>
      </c>
      <c r="Z134" s="13" t="e">
        <f t="shared" ref="Z134:AA134" ca="1" si="1070">+Z126/Z118</f>
        <v>#DIV/0!</v>
      </c>
      <c r="AA134" s="13" t="e">
        <f t="shared" ca="1" si="1070"/>
        <v>#DIV/0!</v>
      </c>
      <c r="AB134" s="37" t="e">
        <f t="shared" ca="1" si="1069"/>
        <v>#DIV/0!</v>
      </c>
      <c r="AC134" s="37" t="e">
        <f t="shared" ca="1" si="1069"/>
        <v>#DIV/0!</v>
      </c>
      <c r="AD134" s="37" t="e">
        <f t="shared" ca="1" si="1069"/>
        <v>#DIV/0!</v>
      </c>
      <c r="AE134" s="37" t="e">
        <f t="shared" ca="1" si="1069"/>
        <v>#DIV/0!</v>
      </c>
      <c r="AL134" s="13">
        <f t="shared" ref="AL134:BQ134" si="1071">+AL126/AL118</f>
        <v>3.6750555859891123</v>
      </c>
      <c r="AM134" s="13">
        <f t="shared" si="1071"/>
        <v>3.5915296924708398</v>
      </c>
      <c r="AN134" s="13">
        <f t="shared" si="1071"/>
        <v>3.1546335554209568</v>
      </c>
      <c r="AO134" s="13">
        <f t="shared" si="1071"/>
        <v>5.3525294410350002</v>
      </c>
      <c r="AP134" s="13">
        <f t="shared" si="1071"/>
        <v>3.8597882809005513</v>
      </c>
      <c r="AQ134" s="13">
        <f t="shared" si="1071"/>
        <v>5.7467889908256868</v>
      </c>
      <c r="AR134" s="13">
        <f t="shared" si="1071"/>
        <v>8.0314945720777615</v>
      </c>
      <c r="AS134" s="13">
        <f t="shared" si="1071"/>
        <v>6.8059143137080236</v>
      </c>
      <c r="AT134" s="13">
        <f t="shared" si="1071"/>
        <v>7.2222772277227678</v>
      </c>
      <c r="AU134" s="13">
        <f t="shared" si="1071"/>
        <v>9.354437365173327</v>
      </c>
      <c r="AV134" s="13">
        <f t="shared" si="1071"/>
        <v>9.5696844477836187</v>
      </c>
      <c r="AW134" s="13">
        <f t="shared" si="1071"/>
        <v>10.729383361834822</v>
      </c>
      <c r="AX134" s="13">
        <f t="shared" si="1071"/>
        <v>9.4388954171562851</v>
      </c>
      <c r="AY134" s="13">
        <f t="shared" si="1071"/>
        <v>12.305535055350552</v>
      </c>
      <c r="AZ134" s="13">
        <f t="shared" si="1071"/>
        <v>11.538839274968101</v>
      </c>
      <c r="BA134" s="13">
        <f t="shared" si="1071"/>
        <v>11.630601534113847</v>
      </c>
      <c r="BB134" s="13">
        <f t="shared" si="1071"/>
        <v>14.820263170578883</v>
      </c>
      <c r="BC134" s="13">
        <f t="shared" si="1071"/>
        <v>13.447185575534691</v>
      </c>
      <c r="BD134" s="13">
        <f t="shared" si="1071"/>
        <v>12.344758201261561</v>
      </c>
      <c r="BE134" s="13">
        <f t="shared" si="1071"/>
        <v>21.342854479737362</v>
      </c>
      <c r="BF134" s="13">
        <f t="shared" si="1071"/>
        <v>16.195539211767535</v>
      </c>
      <c r="BG134" s="13">
        <f t="shared" si="1071"/>
        <v>14.386752931661952</v>
      </c>
      <c r="BH134" s="13">
        <f t="shared" si="1071"/>
        <v>12.124047565913227</v>
      </c>
      <c r="BI134" s="13">
        <f t="shared" si="1071"/>
        <v>11.977932122363249</v>
      </c>
      <c r="BJ134" s="13">
        <f t="shared" si="1071"/>
        <v>13.483229813664595</v>
      </c>
      <c r="BK134" s="13">
        <f t="shared" si="1071"/>
        <v>11.901063643611334</v>
      </c>
      <c r="BL134" s="13">
        <f t="shared" si="1071"/>
        <v>10.442962245885772</v>
      </c>
      <c r="BM134" s="13">
        <f t="shared" si="1071"/>
        <v>12.84567286630292</v>
      </c>
      <c r="BN134" s="13">
        <f t="shared" si="1071"/>
        <v>7.7585999599225186</v>
      </c>
      <c r="BO134" s="13">
        <f t="shared" si="1071"/>
        <v>13.484407274076196</v>
      </c>
      <c r="BP134" s="13">
        <f t="shared" si="1071"/>
        <v>19.689167030222794</v>
      </c>
      <c r="BQ134" s="13">
        <f t="shared" si="1071"/>
        <v>16.25110022329655</v>
      </c>
      <c r="BR134" s="13">
        <f t="shared" ref="BR134:DB134" si="1072">+BR126/BR118</f>
        <v>23.979017015613387</v>
      </c>
      <c r="BS134" s="13">
        <f t="shared" si="1072"/>
        <v>29.229312549473303</v>
      </c>
      <c r="BT134" s="13">
        <f t="shared" si="1072"/>
        <v>44.393028018385657</v>
      </c>
      <c r="BU134" s="13">
        <f t="shared" si="1072"/>
        <v>32.186315697725107</v>
      </c>
      <c r="BV134" s="13">
        <f t="shared" si="1072"/>
        <v>25.522824865504578</v>
      </c>
      <c r="BW134" s="13">
        <f t="shared" si="1072"/>
        <v>23.132237897041623</v>
      </c>
      <c r="BX134" s="13">
        <f t="shared" si="1072"/>
        <v>24.82794768689466</v>
      </c>
      <c r="BY134" s="13">
        <f t="shared" si="1072"/>
        <v>22.675192331554779</v>
      </c>
      <c r="BZ134" s="13">
        <f t="shared" si="1072"/>
        <v>19.335907691740548</v>
      </c>
      <c r="CA134" s="13">
        <f t="shared" si="1072"/>
        <v>29.397489834770962</v>
      </c>
      <c r="CB134" s="13">
        <f t="shared" si="1072"/>
        <v>35.66292681197227</v>
      </c>
      <c r="CC134" s="13">
        <f t="shared" si="1072"/>
        <v>46.929656669833079</v>
      </c>
      <c r="CD134" s="13">
        <f t="shared" si="1072"/>
        <v>32.327244325115927</v>
      </c>
      <c r="CE134" s="13">
        <f t="shared" si="1072"/>
        <v>37.979980656155476</v>
      </c>
      <c r="CF134" s="13">
        <f t="shared" si="1072"/>
        <v>36.676517255057512</v>
      </c>
      <c r="CG134" s="13">
        <f t="shared" si="1072"/>
        <v>31.23127267630235</v>
      </c>
      <c r="CH134" s="13">
        <f t="shared" si="1072"/>
        <v>24.83186155320945</v>
      </c>
      <c r="CI134" s="13">
        <f t="shared" ref="CI134:CJ134" si="1073">+CI126/CI118</f>
        <v>39.277500049268525</v>
      </c>
      <c r="CJ134" s="13">
        <f t="shared" si="1073"/>
        <v>30.91761655898933</v>
      </c>
      <c r="CK134" s="13">
        <f t="shared" ref="CK134:CL134" si="1074">+CK126/CK118</f>
        <v>25.158716054867547</v>
      </c>
      <c r="CL134" s="13">
        <f t="shared" si="1074"/>
        <v>18.932296650717703</v>
      </c>
      <c r="CM134" s="37">
        <f t="shared" si="1072"/>
        <v>37.348974675825282</v>
      </c>
      <c r="CN134" s="37">
        <f t="shared" si="1072"/>
        <v>32.056805989326989</v>
      </c>
      <c r="CO134" s="37">
        <f t="shared" si="1072"/>
        <v>28.544781141369313</v>
      </c>
      <c r="CP134" s="37">
        <f t="shared" si="1072"/>
        <v>28.55294365884248</v>
      </c>
      <c r="CQ134" s="37">
        <f t="shared" si="1072"/>
        <v>26.117403201269031</v>
      </c>
      <c r="CR134" s="37">
        <f t="shared" si="1072"/>
        <v>24.942031688076479</v>
      </c>
      <c r="CS134" s="37">
        <f t="shared" si="1072"/>
        <v>23.755152176702211</v>
      </c>
      <c r="CT134" s="37">
        <f t="shared" si="1072"/>
        <v>21.374211912729436</v>
      </c>
      <c r="CU134" s="37">
        <f t="shared" si="1072"/>
        <v>19.85818693563105</v>
      </c>
      <c r="CV134" s="37">
        <f t="shared" si="1072"/>
        <v>18.122421830959002</v>
      </c>
      <c r="CW134" s="37">
        <f t="shared" si="1072"/>
        <v>16.589934770569769</v>
      </c>
      <c r="CX134" s="37">
        <f t="shared" si="1072"/>
        <v>15.075450885110769</v>
      </c>
      <c r="CY134" s="37">
        <f t="shared" si="1072"/>
        <v>13.471765634556183</v>
      </c>
      <c r="CZ134" s="37">
        <f t="shared" si="1072"/>
        <v>12.131834900250237</v>
      </c>
      <c r="DA134" s="37">
        <f t="shared" si="1072"/>
        <v>11.070493922500642</v>
      </c>
      <c r="DB134" s="37">
        <f t="shared" si="1072"/>
        <v>9.9066560173122884</v>
      </c>
      <c r="DE134" s="134"/>
      <c r="DF134" s="13">
        <v>20.505182682327145</v>
      </c>
    </row>
    <row r="135" spans="1:110" s="13" customFormat="1" x14ac:dyDescent="0.2">
      <c r="A135" s="13" t="s">
        <v>461</v>
      </c>
      <c r="B135" s="13">
        <f t="shared" ref="B135:D135" si="1075">+B127/B118</f>
        <v>0</v>
      </c>
      <c r="C135" s="13">
        <f t="shared" si="1075"/>
        <v>0</v>
      </c>
      <c r="D135" s="13">
        <f t="shared" si="1075"/>
        <v>0.36093091688830026</v>
      </c>
      <c r="E135" s="13" t="e">
        <f t="shared" ref="E135:AE135" ca="1" si="1076">+E127/E118</f>
        <v>#DIV/0!</v>
      </c>
      <c r="F135" s="13" t="e">
        <f t="shared" ca="1" si="1076"/>
        <v>#DIV/0!</v>
      </c>
      <c r="G135" s="13" t="e">
        <f t="shared" ca="1" si="1076"/>
        <v>#DIV/0!</v>
      </c>
      <c r="H135" s="13" t="e">
        <f t="shared" ca="1" si="1076"/>
        <v>#DIV/0!</v>
      </c>
      <c r="I135" s="13" t="e">
        <f t="shared" ca="1" si="1076"/>
        <v>#DIV/0!</v>
      </c>
      <c r="J135" s="13" t="e">
        <f t="shared" ca="1" si="1076"/>
        <v>#DIV/0!</v>
      </c>
      <c r="K135" s="13" t="e">
        <f t="shared" ca="1" si="1076"/>
        <v>#DIV/0!</v>
      </c>
      <c r="L135" s="13" t="e">
        <f t="shared" ca="1" si="1076"/>
        <v>#DIV/0!</v>
      </c>
      <c r="M135" s="13" t="e">
        <f t="shared" ca="1" si="1076"/>
        <v>#DIV/0!</v>
      </c>
      <c r="N135" s="13" t="e">
        <f t="shared" ca="1" si="1076"/>
        <v>#DIV/0!</v>
      </c>
      <c r="O135" s="13" t="e">
        <f t="shared" ca="1" si="1076"/>
        <v>#DIV/0!</v>
      </c>
      <c r="P135" s="13" t="e">
        <f t="shared" ca="1" si="1076"/>
        <v>#DIV/0!</v>
      </c>
      <c r="Q135" s="13" t="e">
        <f t="shared" ca="1" si="1076"/>
        <v>#DIV/0!</v>
      </c>
      <c r="R135" s="13" t="e">
        <f t="shared" ca="1" si="1076"/>
        <v>#DIV/0!</v>
      </c>
      <c r="S135" s="13" t="e">
        <f t="shared" ca="1" si="1076"/>
        <v>#DIV/0!</v>
      </c>
      <c r="T135" s="13" t="e">
        <f t="shared" ca="1" si="1076"/>
        <v>#DIV/0!</v>
      </c>
      <c r="U135" s="13" t="e">
        <f t="shared" ca="1" si="1076"/>
        <v>#DIV/0!</v>
      </c>
      <c r="V135" s="13" t="e">
        <f t="shared" ca="1" si="1076"/>
        <v>#DIV/0!</v>
      </c>
      <c r="W135" s="13" t="e">
        <f t="shared" ca="1" si="1076"/>
        <v>#DIV/0!</v>
      </c>
      <c r="X135" s="13" t="e">
        <f t="shared" ca="1" si="1076"/>
        <v>#DIV/0!</v>
      </c>
      <c r="Y135" s="13" t="e">
        <f t="shared" ca="1" si="1076"/>
        <v>#DIV/0!</v>
      </c>
      <c r="Z135" s="13" t="e">
        <f t="shared" ref="Z135:AA135" ca="1" si="1077">+Z127/Z118</f>
        <v>#DIV/0!</v>
      </c>
      <c r="AA135" s="13" t="e">
        <f t="shared" ca="1" si="1077"/>
        <v>#DIV/0!</v>
      </c>
      <c r="AB135" s="60" t="e">
        <f t="shared" ca="1" si="1076"/>
        <v>#DIV/0!</v>
      </c>
      <c r="AC135" s="60" t="e">
        <f t="shared" ca="1" si="1076"/>
        <v>#DIV/0!</v>
      </c>
      <c r="AD135" s="60" t="e">
        <f t="shared" ca="1" si="1076"/>
        <v>#DIV/0!</v>
      </c>
      <c r="AE135" s="60" t="e">
        <f t="shared" ca="1" si="1076"/>
        <v>#DIV/0!</v>
      </c>
      <c r="AL135" s="13">
        <f t="shared" ref="AL135:BQ135" si="1078">+AL127/AL118</f>
        <v>5.8988818354654775</v>
      </c>
      <c r="AM135" s="13">
        <f t="shared" si="1078"/>
        <v>4.488069989395548</v>
      </c>
      <c r="AN135" s="13">
        <f t="shared" si="1078"/>
        <v>4.0230163537250156</v>
      </c>
      <c r="AO135" s="13">
        <f t="shared" si="1078"/>
        <v>5.8899319953557834</v>
      </c>
      <c r="AP135" s="13">
        <f t="shared" si="1078"/>
        <v>5.207574176233785</v>
      </c>
      <c r="AQ135" s="13">
        <f t="shared" si="1078"/>
        <v>6.2091743119266036</v>
      </c>
      <c r="AR135" s="13">
        <f t="shared" si="1078"/>
        <v>10.122443827316339</v>
      </c>
      <c r="AS135" s="13">
        <f t="shared" si="1078"/>
        <v>8.3113921795671146</v>
      </c>
      <c r="AT135" s="13">
        <f t="shared" si="1078"/>
        <v>7.9396039603960347</v>
      </c>
      <c r="AU135" s="13">
        <f t="shared" si="1078"/>
        <v>10.435358450810211</v>
      </c>
      <c r="AV135" s="13">
        <f t="shared" si="1078"/>
        <v>12.445154019534181</v>
      </c>
      <c r="AW135" s="13">
        <f t="shared" si="1078"/>
        <v>10.977084800321895</v>
      </c>
      <c r="AX135" s="13">
        <f t="shared" si="1078"/>
        <v>9.7773207990599271</v>
      </c>
      <c r="AY135" s="13">
        <f t="shared" si="1078"/>
        <v>12.50922509225092</v>
      </c>
      <c r="AZ135" s="13">
        <f t="shared" si="1078"/>
        <v>12.82959824759887</v>
      </c>
      <c r="BA135" s="13">
        <f t="shared" si="1078"/>
        <v>13.80702462656439</v>
      </c>
      <c r="BB135" s="13">
        <f t="shared" si="1078"/>
        <v>15.616715669735386</v>
      </c>
      <c r="BC135" s="13">
        <f t="shared" si="1078"/>
        <v>16.038257907662697</v>
      </c>
      <c r="BD135" s="13">
        <f t="shared" si="1078"/>
        <v>14.284099387307547</v>
      </c>
      <c r="BE135" s="13">
        <f t="shared" si="1078"/>
        <v>22.649833776940053</v>
      </c>
      <c r="BF135" s="13">
        <f t="shared" si="1078"/>
        <v>22.476616835878179</v>
      </c>
      <c r="BG135" s="13">
        <f t="shared" si="1078"/>
        <v>19.050885564092201</v>
      </c>
      <c r="BH135" s="13">
        <f t="shared" si="1078"/>
        <v>15.531434309943581</v>
      </c>
      <c r="BI135" s="13">
        <f t="shared" si="1078"/>
        <v>13.559431160615848</v>
      </c>
      <c r="BJ135" s="13">
        <f t="shared" si="1078"/>
        <v>14.080064664341018</v>
      </c>
      <c r="BK135" s="13">
        <f t="shared" si="1078"/>
        <v>16.979018803352325</v>
      </c>
      <c r="BL135" s="13">
        <f t="shared" si="1078"/>
        <v>11.998664085188773</v>
      </c>
      <c r="BM135" s="13">
        <f t="shared" si="1078"/>
        <v>13.381178063642519</v>
      </c>
      <c r="BN135" s="13">
        <f t="shared" si="1078"/>
        <v>15.044171111768472</v>
      </c>
      <c r="BO135" s="13">
        <f t="shared" si="1078"/>
        <v>14.858388203653901</v>
      </c>
      <c r="BP135" s="13">
        <f t="shared" si="1078"/>
        <v>24.248943179937715</v>
      </c>
      <c r="BQ135" s="13">
        <f t="shared" si="1078"/>
        <v>18.508465757582325</v>
      </c>
      <c r="BR135" s="13">
        <f t="shared" ref="BR135:CH135" si="1079">+BR127/BR118</f>
        <v>25.922121976716362</v>
      </c>
      <c r="BS135" s="13">
        <f t="shared" si="1079"/>
        <v>32.441758509407542</v>
      </c>
      <c r="BT135" s="13">
        <f t="shared" si="1079"/>
        <v>51.312328393076577</v>
      </c>
      <c r="BU135" s="13">
        <f t="shared" si="1079"/>
        <v>45.17493245010025</v>
      </c>
      <c r="BV135" s="13">
        <f t="shared" si="1079"/>
        <v>34.623325932239283</v>
      </c>
      <c r="BW135" s="13">
        <f t="shared" si="1079"/>
        <v>28.319912617800135</v>
      </c>
      <c r="BX135" s="13">
        <f t="shared" si="1079"/>
        <v>30.080021072167337</v>
      </c>
      <c r="BY135" s="13">
        <f t="shared" si="1079"/>
        <v>27.365600570790413</v>
      </c>
      <c r="BZ135" s="13">
        <f t="shared" si="1079"/>
        <v>27.149300499511543</v>
      </c>
      <c r="CA135" s="13">
        <f t="shared" si="1079"/>
        <v>32.347709591745598</v>
      </c>
      <c r="CB135" s="13">
        <f t="shared" si="1079"/>
        <v>38.648992265338897</v>
      </c>
      <c r="CC135" s="13">
        <f t="shared" si="1079"/>
        <v>47.858260279549455</v>
      </c>
      <c r="CD135" s="13">
        <f t="shared" si="1079"/>
        <v>43.279345862826439</v>
      </c>
      <c r="CE135" s="13">
        <f t="shared" si="1079"/>
        <v>41.5920291078803</v>
      </c>
      <c r="CF135" s="13">
        <f t="shared" si="1079"/>
        <v>40.968296310987697</v>
      </c>
      <c r="CG135" s="13">
        <f t="shared" si="1079"/>
        <v>41.397156735367211</v>
      </c>
      <c r="CH135" s="13">
        <f t="shared" si="1079"/>
        <v>40.72651553145969</v>
      </c>
      <c r="CI135" s="13">
        <f t="shared" ref="CI135:CJ135" si="1080">+CI127/CI118</f>
        <v>39.512688287885851</v>
      </c>
      <c r="CJ135" s="13">
        <f t="shared" si="1080"/>
        <v>43.242664910908999</v>
      </c>
      <c r="CK135" s="13">
        <f t="shared" ref="CK135:CL135" si="1081">+CK127/CK118</f>
        <v>32.747264952518464</v>
      </c>
      <c r="CL135" s="13">
        <f t="shared" si="1081"/>
        <v>25.8483014354067</v>
      </c>
      <c r="CM135" s="60">
        <v>30</v>
      </c>
      <c r="CN135" s="60">
        <f t="shared" ref="CN135:CN136" si="1082">+CM135</f>
        <v>30</v>
      </c>
      <c r="CO135" s="60">
        <f t="shared" ref="CO135:CO136" si="1083">+CN135</f>
        <v>30</v>
      </c>
      <c r="CP135" s="60">
        <f t="shared" ref="CP135:CP136" si="1084">+CO135</f>
        <v>30</v>
      </c>
      <c r="CQ135" s="60">
        <f t="shared" ref="CQ135:CQ136" si="1085">+CP135</f>
        <v>30</v>
      </c>
      <c r="CR135" s="60">
        <f t="shared" ref="CR135:CR136" si="1086">+CQ135</f>
        <v>30</v>
      </c>
      <c r="CS135" s="60">
        <f t="shared" ref="CS135:CS136" si="1087">+CR135</f>
        <v>30</v>
      </c>
      <c r="CT135" s="60">
        <f t="shared" ref="CT135:CT136" si="1088">+CS135</f>
        <v>30</v>
      </c>
      <c r="CU135" s="60">
        <f t="shared" ref="CU135:CU136" si="1089">+CT135</f>
        <v>30</v>
      </c>
      <c r="CV135" s="60">
        <f t="shared" ref="CV135:CV136" si="1090">+CU135</f>
        <v>30</v>
      </c>
      <c r="CW135" s="60">
        <f t="shared" ref="CW135:CW136" si="1091">+CV135</f>
        <v>30</v>
      </c>
      <c r="CX135" s="60">
        <f t="shared" ref="CX135:CX136" si="1092">+CW135</f>
        <v>30</v>
      </c>
      <c r="CY135" s="60">
        <f t="shared" ref="CY135:CY136" si="1093">+CX135</f>
        <v>30</v>
      </c>
      <c r="CZ135" s="60">
        <f t="shared" ref="CZ135:CZ136" si="1094">+CY135</f>
        <v>30</v>
      </c>
      <c r="DA135" s="60">
        <f t="shared" ref="DA135:DA136" si="1095">+CZ135</f>
        <v>30</v>
      </c>
      <c r="DB135" s="60">
        <f t="shared" ref="DB135:DB136" si="1096">+DA135</f>
        <v>30</v>
      </c>
      <c r="DE135" s="136"/>
      <c r="DF135" s="13">
        <v>27.995765793199777</v>
      </c>
    </row>
    <row r="136" spans="1:110" s="13" customFormat="1" x14ac:dyDescent="0.2">
      <c r="A136" s="13" t="s">
        <v>462</v>
      </c>
      <c r="B136" s="13">
        <f t="shared" ref="B136:D136" si="1097">+B128/B118</f>
        <v>0</v>
      </c>
      <c r="C136" s="13">
        <f t="shared" si="1097"/>
        <v>0</v>
      </c>
      <c r="D136" s="13">
        <f t="shared" si="1097"/>
        <v>0.13058807043194784</v>
      </c>
      <c r="E136" s="13" t="e">
        <f t="shared" ref="E136:AE136" ca="1" si="1098">+E128/E118</f>
        <v>#DIV/0!</v>
      </c>
      <c r="F136" s="13" t="e">
        <f t="shared" ca="1" si="1098"/>
        <v>#DIV/0!</v>
      </c>
      <c r="G136" s="13" t="e">
        <f t="shared" ca="1" si="1098"/>
        <v>#DIV/0!</v>
      </c>
      <c r="H136" s="13" t="e">
        <f t="shared" ca="1" si="1098"/>
        <v>#DIV/0!</v>
      </c>
      <c r="I136" s="13" t="e">
        <f t="shared" ca="1" si="1098"/>
        <v>#DIV/0!</v>
      </c>
      <c r="J136" s="13" t="e">
        <f t="shared" ca="1" si="1098"/>
        <v>#DIV/0!</v>
      </c>
      <c r="K136" s="13" t="e">
        <f t="shared" ca="1" si="1098"/>
        <v>#DIV/0!</v>
      </c>
      <c r="L136" s="13" t="e">
        <f t="shared" ca="1" si="1098"/>
        <v>#DIV/0!</v>
      </c>
      <c r="M136" s="13" t="e">
        <f t="shared" ca="1" si="1098"/>
        <v>#DIV/0!</v>
      </c>
      <c r="N136" s="13" t="e">
        <f t="shared" ca="1" si="1098"/>
        <v>#DIV/0!</v>
      </c>
      <c r="O136" s="13" t="e">
        <f t="shared" ca="1" si="1098"/>
        <v>#DIV/0!</v>
      </c>
      <c r="P136" s="13" t="e">
        <f t="shared" ca="1" si="1098"/>
        <v>#DIV/0!</v>
      </c>
      <c r="Q136" s="13" t="e">
        <f t="shared" ca="1" si="1098"/>
        <v>#DIV/0!</v>
      </c>
      <c r="R136" s="13" t="e">
        <f t="shared" ca="1" si="1098"/>
        <v>#DIV/0!</v>
      </c>
      <c r="S136" s="13" t="e">
        <f t="shared" ca="1" si="1098"/>
        <v>#DIV/0!</v>
      </c>
      <c r="T136" s="13" t="e">
        <f t="shared" ca="1" si="1098"/>
        <v>#DIV/0!</v>
      </c>
      <c r="U136" s="13" t="e">
        <f t="shared" ca="1" si="1098"/>
        <v>#DIV/0!</v>
      </c>
      <c r="V136" s="13" t="e">
        <f t="shared" ca="1" si="1098"/>
        <v>#DIV/0!</v>
      </c>
      <c r="W136" s="13" t="e">
        <f t="shared" ca="1" si="1098"/>
        <v>#DIV/0!</v>
      </c>
      <c r="X136" s="13" t="e">
        <f t="shared" ca="1" si="1098"/>
        <v>#DIV/0!</v>
      </c>
      <c r="Y136" s="13" t="e">
        <f t="shared" ca="1" si="1098"/>
        <v>#DIV/0!</v>
      </c>
      <c r="Z136" s="13" t="e">
        <f t="shared" ref="Z136:AA136" ca="1" si="1099">+Z128/Z118</f>
        <v>#DIV/0!</v>
      </c>
      <c r="AA136" s="13" t="e">
        <f t="shared" ca="1" si="1099"/>
        <v>#DIV/0!</v>
      </c>
      <c r="AB136" s="60" t="e">
        <f t="shared" ca="1" si="1098"/>
        <v>#DIV/0!</v>
      </c>
      <c r="AC136" s="60" t="e">
        <f t="shared" ca="1" si="1098"/>
        <v>#DIV/0!</v>
      </c>
      <c r="AD136" s="60" t="e">
        <f t="shared" ca="1" si="1098"/>
        <v>#DIV/0!</v>
      </c>
      <c r="AE136" s="60" t="e">
        <f t="shared" ca="1" si="1098"/>
        <v>#DIV/0!</v>
      </c>
      <c r="AL136" s="13">
        <f t="shared" ref="AL136:BQ136" si="1100">+AL128/AL118</f>
        <v>3.6385138401056976</v>
      </c>
      <c r="AM136" s="13">
        <f t="shared" si="1100"/>
        <v>3.3553154825026525</v>
      </c>
      <c r="AN136" s="13">
        <f t="shared" si="1100"/>
        <v>2.7866747425802543</v>
      </c>
      <c r="AO136" s="13">
        <f t="shared" si="1100"/>
        <v>3.3963841433073498</v>
      </c>
      <c r="AP136" s="13">
        <f t="shared" si="1100"/>
        <v>3.3912032205158784</v>
      </c>
      <c r="AQ136" s="13">
        <f t="shared" si="1100"/>
        <v>3.727391874180864</v>
      </c>
      <c r="AR136" s="13">
        <f t="shared" si="1100"/>
        <v>6.2984094925523886</v>
      </c>
      <c r="AS136" s="13">
        <f t="shared" si="1100"/>
        <v>6.4451768059143122</v>
      </c>
      <c r="AT136" s="13">
        <f t="shared" si="1100"/>
        <v>6.1574257425742536</v>
      </c>
      <c r="AU136" s="13">
        <f t="shared" si="1100"/>
        <v>6.5627351627953621</v>
      </c>
      <c r="AV136" s="13">
        <f t="shared" si="1100"/>
        <v>8.0634861006761813</v>
      </c>
      <c r="AW136" s="13">
        <f t="shared" si="1100"/>
        <v>7.7765214767126016</v>
      </c>
      <c r="AX136" s="13">
        <f t="shared" si="1100"/>
        <v>6.0810810810810798</v>
      </c>
      <c r="AY136" s="13">
        <f t="shared" si="1100"/>
        <v>7.6649446494464932</v>
      </c>
      <c r="AZ136" s="13">
        <f t="shared" si="1100"/>
        <v>9.7177382471174418</v>
      </c>
      <c r="BA136" s="13">
        <f t="shared" si="1100"/>
        <v>9.9174404521598696</v>
      </c>
      <c r="BB136" s="13">
        <f t="shared" si="1100"/>
        <v>12.102954644044924</v>
      </c>
      <c r="BC136" s="13">
        <f t="shared" si="1100"/>
        <v>12.795418924088912</v>
      </c>
      <c r="BD136" s="13">
        <f t="shared" si="1100"/>
        <v>9.9292803689719911</v>
      </c>
      <c r="BE136" s="13">
        <f t="shared" si="1100"/>
        <v>11.308139233820441</v>
      </c>
      <c r="BF136" s="13">
        <f t="shared" si="1100"/>
        <v>15.742265568790478</v>
      </c>
      <c r="BG136" s="13">
        <f t="shared" si="1100"/>
        <v>13.280986655883547</v>
      </c>
      <c r="BH136" s="13">
        <f t="shared" si="1100"/>
        <v>11.823205917046584</v>
      </c>
      <c r="BI136" s="13">
        <f t="shared" si="1100"/>
        <v>10.732811280210544</v>
      </c>
      <c r="BJ136" s="13">
        <f t="shared" si="1100"/>
        <v>10.158597804815789</v>
      </c>
      <c r="BK136" s="13">
        <f t="shared" si="1100"/>
        <v>11.501001419487819</v>
      </c>
      <c r="BL136" s="13">
        <f t="shared" si="1100"/>
        <v>6.5866408518877071</v>
      </c>
      <c r="BM136" s="13">
        <f t="shared" si="1100"/>
        <v>9.6132860727229286</v>
      </c>
      <c r="BN136" s="13">
        <f t="shared" si="1100"/>
        <v>6.3101424659102854</v>
      </c>
      <c r="BO136" s="13">
        <f t="shared" si="1100"/>
        <v>6.5967474054277355</v>
      </c>
      <c r="BP136" s="13">
        <f t="shared" si="1100"/>
        <v>12.126908669685436</v>
      </c>
      <c r="BQ136" s="13">
        <f t="shared" si="1100"/>
        <v>13.821644589936477</v>
      </c>
      <c r="BR136" s="13">
        <f t="shared" ref="BR136:CH136" si="1101">+BR128/BR118</f>
        <v>12.623040979373869</v>
      </c>
      <c r="BS136" s="13">
        <f t="shared" si="1101"/>
        <v>18.894903489009319</v>
      </c>
      <c r="BT136" s="13">
        <f t="shared" si="1101"/>
        <v>26.271518939336485</v>
      </c>
      <c r="BU136" s="13">
        <f t="shared" si="1101"/>
        <v>27.110607513292088</v>
      </c>
      <c r="BV136" s="13">
        <f t="shared" si="1101"/>
        <v>23.569576617609545</v>
      </c>
      <c r="BW136" s="13">
        <f t="shared" si="1101"/>
        <v>21.815624555794681</v>
      </c>
      <c r="BX136" s="13">
        <f t="shared" si="1101"/>
        <v>22.220310476153653</v>
      </c>
      <c r="BY136" s="13">
        <f t="shared" si="1101"/>
        <v>21.71072713736195</v>
      </c>
      <c r="BZ136" s="13">
        <f t="shared" si="1101"/>
        <v>19.160728438980328</v>
      </c>
      <c r="CA136" s="13">
        <f t="shared" si="1101"/>
        <v>23.770559616424194</v>
      </c>
      <c r="CB136" s="13">
        <f t="shared" si="1101"/>
        <v>33.331678679789086</v>
      </c>
      <c r="CC136" s="13">
        <f t="shared" si="1101"/>
        <v>35.20955353507938</v>
      </c>
      <c r="CD136" s="13">
        <f t="shared" si="1101"/>
        <v>31.791066634122519</v>
      </c>
      <c r="CE136" s="13">
        <f t="shared" si="1101"/>
        <v>32.581389993398517</v>
      </c>
      <c r="CF136" s="13">
        <f t="shared" si="1101"/>
        <v>33.557487108290353</v>
      </c>
      <c r="CG136" s="13">
        <f t="shared" si="1101"/>
        <v>29.907262346960227</v>
      </c>
      <c r="CH136" s="13">
        <f t="shared" si="1101"/>
        <v>24.081094979018399</v>
      </c>
      <c r="CI136" s="13">
        <f t="shared" ref="CI136:CJ136" si="1102">+CI128/CI118</f>
        <v>23.667811886196269</v>
      </c>
      <c r="CJ136" s="13">
        <f t="shared" si="1102"/>
        <v>30.804287889387258</v>
      </c>
      <c r="CK136" s="13">
        <f t="shared" ref="CK136:CL136" si="1103">+CK128/CK118</f>
        <v>24.271436108180151</v>
      </c>
      <c r="CL136" s="13">
        <f t="shared" si="1103"/>
        <v>17.539988038277514</v>
      </c>
      <c r="CM136" s="60">
        <f t="shared" ref="CM136" si="1104">+CL136</f>
        <v>17.539988038277514</v>
      </c>
      <c r="CN136" s="60">
        <f t="shared" si="1082"/>
        <v>17.539988038277514</v>
      </c>
      <c r="CO136" s="60">
        <f t="shared" si="1083"/>
        <v>17.539988038277514</v>
      </c>
      <c r="CP136" s="60">
        <f t="shared" si="1084"/>
        <v>17.539988038277514</v>
      </c>
      <c r="CQ136" s="60">
        <f t="shared" si="1085"/>
        <v>17.539988038277514</v>
      </c>
      <c r="CR136" s="60">
        <f t="shared" si="1086"/>
        <v>17.539988038277514</v>
      </c>
      <c r="CS136" s="60">
        <f t="shared" si="1087"/>
        <v>17.539988038277514</v>
      </c>
      <c r="CT136" s="60">
        <f t="shared" si="1088"/>
        <v>17.539988038277514</v>
      </c>
      <c r="CU136" s="60">
        <f t="shared" si="1089"/>
        <v>17.539988038277514</v>
      </c>
      <c r="CV136" s="60">
        <f t="shared" si="1090"/>
        <v>17.539988038277514</v>
      </c>
      <c r="CW136" s="60">
        <f t="shared" si="1091"/>
        <v>17.539988038277514</v>
      </c>
      <c r="CX136" s="60">
        <f t="shared" si="1092"/>
        <v>17.539988038277514</v>
      </c>
      <c r="CY136" s="60">
        <f t="shared" si="1093"/>
        <v>17.539988038277514</v>
      </c>
      <c r="CZ136" s="60">
        <f t="shared" si="1094"/>
        <v>17.539988038277514</v>
      </c>
      <c r="DA136" s="60">
        <f t="shared" si="1095"/>
        <v>17.539988038277514</v>
      </c>
      <c r="DB136" s="60">
        <f t="shared" si="1096"/>
        <v>17.539988038277514</v>
      </c>
      <c r="DE136" s="136"/>
      <c r="DF136" s="13">
        <v>18.997201745044439</v>
      </c>
    </row>
    <row r="137" spans="1:110" s="13" customFormat="1" x14ac:dyDescent="0.2">
      <c r="AB137" s="60"/>
      <c r="AC137" s="60"/>
      <c r="AD137" s="60"/>
      <c r="AE137" s="60"/>
      <c r="CM137" s="60"/>
      <c r="CN137" s="60"/>
      <c r="CO137" s="60"/>
      <c r="CP137" s="60"/>
      <c r="CQ137" s="60"/>
      <c r="CR137" s="60"/>
      <c r="CS137" s="60"/>
      <c r="CT137" s="60"/>
      <c r="CU137" s="60"/>
      <c r="CV137" s="60"/>
      <c r="CW137" s="60"/>
      <c r="CX137" s="60"/>
      <c r="CY137" s="60"/>
      <c r="CZ137" s="60"/>
      <c r="DA137" s="60"/>
      <c r="DB137" s="60"/>
      <c r="DE137" s="136"/>
    </row>
    <row r="138" spans="1:110" s="13" customFormat="1" x14ac:dyDescent="0.2">
      <c r="A138" s="13" t="s">
        <v>463</v>
      </c>
      <c r="B138" s="13">
        <f t="shared" ref="B138:AD138" si="1105">+B127/C118</f>
        <v>0</v>
      </c>
      <c r="C138" s="13">
        <f t="shared" si="1105"/>
        <v>0</v>
      </c>
      <c r="D138" s="13" t="e">
        <f t="shared" ca="1" si="1105"/>
        <v>#DIV/0!</v>
      </c>
      <c r="E138" s="13" t="e">
        <f t="shared" ca="1" si="1105"/>
        <v>#DIV/0!</v>
      </c>
      <c r="F138" s="13" t="e">
        <f t="shared" ca="1" si="1105"/>
        <v>#DIV/0!</v>
      </c>
      <c r="G138" s="13" t="e">
        <f t="shared" ca="1" si="1105"/>
        <v>#DIV/0!</v>
      </c>
      <c r="H138" s="13" t="e">
        <f t="shared" ca="1" si="1105"/>
        <v>#DIV/0!</v>
      </c>
      <c r="I138" s="13" t="e">
        <f t="shared" ca="1" si="1105"/>
        <v>#DIV/0!</v>
      </c>
      <c r="J138" s="13" t="e">
        <f t="shared" ca="1" si="1105"/>
        <v>#DIV/0!</v>
      </c>
      <c r="K138" s="13" t="e">
        <f t="shared" ca="1" si="1105"/>
        <v>#DIV/0!</v>
      </c>
      <c r="L138" s="13" t="e">
        <f t="shared" ca="1" si="1105"/>
        <v>#DIV/0!</v>
      </c>
      <c r="M138" s="13" t="e">
        <f t="shared" ca="1" si="1105"/>
        <v>#DIV/0!</v>
      </c>
      <c r="N138" s="13" t="e">
        <f t="shared" ca="1" si="1105"/>
        <v>#DIV/0!</v>
      </c>
      <c r="O138" s="13" t="e">
        <f t="shared" ca="1" si="1105"/>
        <v>#DIV/0!</v>
      </c>
      <c r="P138" s="13" t="e">
        <f t="shared" ca="1" si="1105"/>
        <v>#DIV/0!</v>
      </c>
      <c r="Q138" s="13" t="e">
        <f t="shared" ca="1" si="1105"/>
        <v>#DIV/0!</v>
      </c>
      <c r="R138" s="13" t="e">
        <f t="shared" ca="1" si="1105"/>
        <v>#DIV/0!</v>
      </c>
      <c r="S138" s="13" t="e">
        <f t="shared" ca="1" si="1105"/>
        <v>#DIV/0!</v>
      </c>
      <c r="T138" s="13" t="e">
        <f t="shared" ca="1" si="1105"/>
        <v>#DIV/0!</v>
      </c>
      <c r="U138" s="13" t="e">
        <f t="shared" ca="1" si="1105"/>
        <v>#DIV/0!</v>
      </c>
      <c r="V138" s="13" t="e">
        <f t="shared" ca="1" si="1105"/>
        <v>#DIV/0!</v>
      </c>
      <c r="W138" s="13" t="e">
        <f t="shared" ca="1" si="1105"/>
        <v>#DIV/0!</v>
      </c>
      <c r="X138" s="13" t="e">
        <f t="shared" ca="1" si="1105"/>
        <v>#DIV/0!</v>
      </c>
      <c r="Y138" s="13" t="e">
        <f t="shared" ca="1" si="1105"/>
        <v>#DIV/0!</v>
      </c>
      <c r="Z138" s="13" t="e">
        <f t="shared" ref="Z138:AA138" ca="1" si="1106">+Z127/AA118</f>
        <v>#DIV/0!</v>
      </c>
      <c r="AA138" s="13" t="e">
        <f t="shared" ca="1" si="1106"/>
        <v>#DIV/0!</v>
      </c>
      <c r="AB138" s="37" t="e">
        <f t="shared" ca="1" si="1105"/>
        <v>#DIV/0!</v>
      </c>
      <c r="AC138" s="37" t="e">
        <f t="shared" ca="1" si="1105"/>
        <v>#DIV/0!</v>
      </c>
      <c r="AD138" s="37" t="e">
        <f t="shared" ca="1" si="1105"/>
        <v>#DIV/0!</v>
      </c>
      <c r="AE138" s="37"/>
      <c r="AL138" s="13">
        <f t="shared" ref="AL138:CI138" si="1107">+AL126/AP118</f>
        <v>3.400864768152676</v>
      </c>
      <c r="AM138" s="13">
        <f t="shared" si="1107"/>
        <v>3.1564875491480993</v>
      </c>
      <c r="AN138" s="13">
        <f t="shared" si="1107"/>
        <v>3.2872380711941442</v>
      </c>
      <c r="AO138" s="13">
        <f t="shared" si="1107"/>
        <v>4.7905941035004886</v>
      </c>
      <c r="AP138" s="13">
        <f t="shared" si="1107"/>
        <v>3.559900990099008</v>
      </c>
      <c r="AQ138" s="13">
        <f t="shared" si="1107"/>
        <v>4.949480760547833</v>
      </c>
      <c r="AR138" s="13">
        <f t="shared" si="1107"/>
        <v>5.9753474830954145</v>
      </c>
      <c r="AS138" s="13">
        <f t="shared" si="1107"/>
        <v>4.6118096770948585</v>
      </c>
      <c r="AT138" s="13">
        <f t="shared" si="1107"/>
        <v>4.2858401880140997</v>
      </c>
      <c r="AU138" s="13">
        <f t="shared" si="1107"/>
        <v>5.0966789667896668</v>
      </c>
      <c r="AV138" s="13">
        <f t="shared" si="1107"/>
        <v>4.9056640107840055</v>
      </c>
      <c r="AW138" s="13">
        <f t="shared" si="1107"/>
        <v>5.9806217198223646</v>
      </c>
      <c r="AX138" s="13">
        <f t="shared" si="1107"/>
        <v>6.9689593676194166</v>
      </c>
      <c r="AY138" s="13">
        <f t="shared" si="1107"/>
        <v>11.112021621888463</v>
      </c>
      <c r="AZ138" s="13">
        <f t="shared" si="1107"/>
        <v>10.837602586421289</v>
      </c>
      <c r="BA138" s="13">
        <f t="shared" si="1107"/>
        <v>10.741054506664462</v>
      </c>
      <c r="BB138" s="13">
        <f t="shared" si="1107"/>
        <v>10.924614277720048</v>
      </c>
      <c r="BC138" s="13">
        <f t="shared" si="1107"/>
        <v>8.8120663162151267</v>
      </c>
      <c r="BD138" s="13">
        <f t="shared" si="1107"/>
        <v>8.7037491631332333</v>
      </c>
      <c r="BE138" s="13">
        <f t="shared" si="1107"/>
        <v>16.585531134057131</v>
      </c>
      <c r="BF138" s="13">
        <f t="shared" si="1107"/>
        <v>15.51357100314813</v>
      </c>
      <c r="BG138" s="13">
        <f t="shared" si="1107"/>
        <v>17.295603476772904</v>
      </c>
      <c r="BH138" s="13">
        <f t="shared" si="1107"/>
        <v>14.725847047434661</v>
      </c>
      <c r="BI138" s="13">
        <f t="shared" si="1107"/>
        <v>14.81833207216536</v>
      </c>
      <c r="BJ138" s="13">
        <f t="shared" si="1107"/>
        <v>15.121463400669871</v>
      </c>
      <c r="BK138" s="13">
        <f t="shared" si="1107"/>
        <v>10.31988062016811</v>
      </c>
      <c r="BL138" s="13">
        <f t="shared" si="1107"/>
        <v>8.1142569163419722</v>
      </c>
      <c r="BM138" s="13">
        <f t="shared" si="1107"/>
        <v>6.9924772909575728</v>
      </c>
      <c r="BN138" s="13">
        <f t="shared" si="1107"/>
        <v>3.4135260062218453</v>
      </c>
      <c r="BO138" s="13">
        <f t="shared" si="1107"/>
        <v>5.4105218291420574</v>
      </c>
      <c r="BP138" s="13">
        <f t="shared" si="1107"/>
        <v>7.9416149633652422</v>
      </c>
      <c r="BQ138" s="13">
        <f t="shared" si="1107"/>
        <v>8.7116360149917238</v>
      </c>
      <c r="BR138" s="13">
        <f t="shared" si="1107"/>
        <v>15.503303348949826</v>
      </c>
      <c r="BS138" s="13">
        <f t="shared" si="1107"/>
        <v>21.547777165415201</v>
      </c>
      <c r="BT138" s="13">
        <f t="shared" si="1107"/>
        <v>35.359106462775728</v>
      </c>
      <c r="BU138" s="13">
        <f t="shared" si="1107"/>
        <v>28.638292592133009</v>
      </c>
      <c r="BV138" s="13">
        <f t="shared" si="1107"/>
        <v>28.886162977162549</v>
      </c>
      <c r="BW138" s="13">
        <f t="shared" si="1107"/>
        <v>36.336122405810045</v>
      </c>
      <c r="BX138" s="13">
        <f t="shared" si="1107"/>
        <v>52.041565572400394</v>
      </c>
      <c r="BY138" s="13">
        <f t="shared" si="1107"/>
        <v>47.61291898493689</v>
      </c>
      <c r="BZ138" s="13">
        <f t="shared" si="1107"/>
        <v>30.725828655113489</v>
      </c>
      <c r="CA138" s="13">
        <f t="shared" si="1107"/>
        <v>38.404439872883295</v>
      </c>
      <c r="CB138" s="13">
        <f t="shared" si="1107"/>
        <v>34.910164617215386</v>
      </c>
      <c r="CC138" s="13">
        <f t="shared" si="1107"/>
        <v>46.609355709980534</v>
      </c>
      <c r="CD138" s="13">
        <f t="shared" si="1107"/>
        <v>42.040871259974985</v>
      </c>
      <c r="CE138" s="13">
        <f t="shared" si="1107"/>
        <v>48.754202605319684</v>
      </c>
      <c r="CF138" s="13">
        <f t="shared" si="1107"/>
        <v>50.731245627751925</v>
      </c>
      <c r="CG138" s="13">
        <f t="shared" si="1107"/>
        <v>40.21436108180152</v>
      </c>
      <c r="CH138" s="13">
        <f t="shared" si="1107"/>
        <v>23.394078947368421</v>
      </c>
      <c r="CI138" s="13">
        <f t="shared" si="1107"/>
        <v>31.328999030349081</v>
      </c>
      <c r="CJ138" s="13">
        <f>+CJ126/CN118</f>
        <v>20.273744096931864</v>
      </c>
      <c r="CK138" s="13">
        <f>+CK126/CO118</f>
        <v>14.513723720334413</v>
      </c>
      <c r="CL138" s="13">
        <f>+CL126/CP118</f>
        <v>12.680102706676864</v>
      </c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E138" s="134"/>
      <c r="DF138" s="13">
        <v>13.587823593157346</v>
      </c>
    </row>
    <row r="139" spans="1:110" s="98" customFormat="1" x14ac:dyDescent="0.2">
      <c r="A139" s="98" t="s">
        <v>426</v>
      </c>
      <c r="AB139" s="99"/>
      <c r="AC139" s="99"/>
      <c r="AD139" s="99"/>
      <c r="AE139" s="99"/>
      <c r="AL139" s="174"/>
      <c r="AM139" s="174"/>
      <c r="AN139" s="174"/>
      <c r="AO139" s="174">
        <f t="shared" ref="AO139:CI139" si="1108">+CORREL(AL118:AO118,AL135:AO135)</f>
        <v>-0.59185410116375325</v>
      </c>
      <c r="AP139" s="174">
        <f t="shared" si="1108"/>
        <v>-0.3379648859882507</v>
      </c>
      <c r="AQ139" s="174">
        <f t="shared" si="1108"/>
        <v>-9.7071746143307922E-2</v>
      </c>
      <c r="AR139" s="174">
        <f t="shared" si="1108"/>
        <v>-0.26134322245440378</v>
      </c>
      <c r="AS139" s="174">
        <f t="shared" si="1108"/>
        <v>-0.77444976130758425</v>
      </c>
      <c r="AT139" s="174">
        <f t="shared" si="1108"/>
        <v>-0.62095323255691859</v>
      </c>
      <c r="AU139" s="174">
        <f t="shared" si="1108"/>
        <v>0.18027387089672597</v>
      </c>
      <c r="AV139" s="174">
        <f t="shared" si="1108"/>
        <v>0.93201710192561027</v>
      </c>
      <c r="AW139" s="174">
        <f t="shared" si="1108"/>
        <v>0.61026476566247689</v>
      </c>
      <c r="AX139" s="174">
        <f t="shared" si="1108"/>
        <v>-0.59457363369600869</v>
      </c>
      <c r="AY139" s="174">
        <f t="shared" si="1108"/>
        <v>-1.7760188842524921E-2</v>
      </c>
      <c r="AZ139" s="174">
        <f t="shared" si="1108"/>
        <v>0.75628625296700291</v>
      </c>
      <c r="BA139" s="174">
        <f t="shared" si="1108"/>
        <v>0.9548981814437747</v>
      </c>
      <c r="BB139" s="174">
        <f t="shared" si="1108"/>
        <v>0.44068282345320925</v>
      </c>
      <c r="BC139" s="174">
        <f t="shared" si="1108"/>
        <v>-0.48536966752976624</v>
      </c>
      <c r="BD139" s="174">
        <f t="shared" si="1108"/>
        <v>-0.99308335514628898</v>
      </c>
      <c r="BE139" s="174">
        <f t="shared" si="1108"/>
        <v>0.78344655151703235</v>
      </c>
      <c r="BF139" s="174">
        <f t="shared" si="1108"/>
        <v>0.78935694768097264</v>
      </c>
      <c r="BG139" s="174">
        <f t="shared" si="1108"/>
        <v>0.39634905844014234</v>
      </c>
      <c r="BH139" s="174">
        <f t="shared" si="1108"/>
        <v>-0.81949983770581014</v>
      </c>
      <c r="BI139" s="174">
        <f t="shared" si="1108"/>
        <v>-0.84465745244254997</v>
      </c>
      <c r="BJ139" s="174">
        <f t="shared" si="1108"/>
        <v>0.29562809816698726</v>
      </c>
      <c r="BK139" s="174">
        <f t="shared" si="1108"/>
        <v>-0.71921787329270026</v>
      </c>
      <c r="BL139" s="174">
        <f t="shared" si="1108"/>
        <v>-0.22242538716962101</v>
      </c>
      <c r="BM139" s="174">
        <f t="shared" si="1108"/>
        <v>7.8626544591229829E-3</v>
      </c>
      <c r="BN139" s="174">
        <f t="shared" si="1108"/>
        <v>0.22650703525572466</v>
      </c>
      <c r="BO139" s="174">
        <f t="shared" si="1108"/>
        <v>0.54913410672775598</v>
      </c>
      <c r="BP139" s="174">
        <f t="shared" si="1108"/>
        <v>0.88832052305054943</v>
      </c>
      <c r="BQ139" s="174">
        <f t="shared" si="1108"/>
        <v>0.33363203582133139</v>
      </c>
      <c r="BR139" s="174">
        <f t="shared" si="1108"/>
        <v>0.59161796858665816</v>
      </c>
      <c r="BS139" s="174">
        <f t="shared" si="1108"/>
        <v>0.73412287785038055</v>
      </c>
      <c r="BT139" s="174">
        <f t="shared" si="1108"/>
        <v>0.93137072721085934</v>
      </c>
      <c r="BU139" s="174">
        <f t="shared" si="1108"/>
        <v>0.90123884090595963</v>
      </c>
      <c r="BV139" s="174">
        <f t="shared" si="1108"/>
        <v>0.13102106967733998</v>
      </c>
      <c r="BW139" s="174">
        <f t="shared" si="1108"/>
        <v>-0.98157246450832802</v>
      </c>
      <c r="BX139" s="174">
        <f t="shared" si="1108"/>
        <v>-0.92619086219472335</v>
      </c>
      <c r="BY139" s="174">
        <f t="shared" si="1108"/>
        <v>-0.579130732308344</v>
      </c>
      <c r="BZ139" s="174">
        <f t="shared" si="1108"/>
        <v>0.74995354925241664</v>
      </c>
      <c r="CA139" s="174">
        <f t="shared" si="1108"/>
        <v>-0.49586916283912252</v>
      </c>
      <c r="CB139" s="174">
        <f t="shared" si="1108"/>
        <v>-0.9305409809058629</v>
      </c>
      <c r="CC139" s="174">
        <f t="shared" si="1108"/>
        <v>-0.9212957273110508</v>
      </c>
      <c r="CD139" s="174">
        <f t="shared" si="1108"/>
        <v>-0.88983227450364799</v>
      </c>
      <c r="CE139" s="174">
        <f t="shared" si="1108"/>
        <v>-0.61310949305630835</v>
      </c>
      <c r="CF139" s="174">
        <f t="shared" si="1108"/>
        <v>-0.78095247035275794</v>
      </c>
      <c r="CG139" s="174">
        <f t="shared" si="1108"/>
        <v>0.488922502831171</v>
      </c>
      <c r="CH139" s="174">
        <f t="shared" si="1108"/>
        <v>0.57708087583286327</v>
      </c>
      <c r="CI139" s="174">
        <f t="shared" si="1108"/>
        <v>0.72072780823673055</v>
      </c>
      <c r="CJ139" s="174">
        <f>+CORREL(CG118:CJ118,CG135:CJ135)</f>
        <v>-0.1186536730076153</v>
      </c>
      <c r="CK139" s="174">
        <f>+CORREL(CH118:CK118,CH135:CK135)</f>
        <v>0.40351148629422445</v>
      </c>
      <c r="CL139" s="174">
        <f>+CORREL(CI118:CL118,CI135:CL135)</f>
        <v>-0.70868323999465999</v>
      </c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E139" s="137"/>
      <c r="DF139" s="98">
        <v>-0.38112218796534308</v>
      </c>
    </row>
    <row r="140" spans="1:110" s="4" customFormat="1" x14ac:dyDescent="0.2">
      <c r="A140" s="3"/>
      <c r="AB140" s="17"/>
      <c r="AC140" s="17"/>
      <c r="AD140" s="17"/>
      <c r="AE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E140" s="119"/>
    </row>
    <row r="141" spans="1:110" s="161" customFormat="1" x14ac:dyDescent="0.2">
      <c r="A141" s="49" t="s">
        <v>505</v>
      </c>
      <c r="E141" s="161" t="e">
        <f t="shared" ref="E141:AE141" ca="1" si="1109">+E$169/E$114</f>
        <v>#DIV/0!</v>
      </c>
      <c r="F141" s="161" t="e">
        <f t="shared" ca="1" si="1109"/>
        <v>#DIV/0!</v>
      </c>
      <c r="G141" s="161" t="e">
        <f t="shared" ca="1" si="1109"/>
        <v>#DIV/0!</v>
      </c>
      <c r="H141" s="161" t="e">
        <f t="shared" ca="1" si="1109"/>
        <v>#DIV/0!</v>
      </c>
      <c r="I141" s="161" t="e">
        <f t="shared" ca="1" si="1109"/>
        <v>#DIV/0!</v>
      </c>
      <c r="J141" s="161" t="e">
        <f t="shared" ca="1" si="1109"/>
        <v>#DIV/0!</v>
      </c>
      <c r="K141" s="161" t="e">
        <f t="shared" ca="1" si="1109"/>
        <v>#DIV/0!</v>
      </c>
      <c r="L141" s="161" t="e">
        <f t="shared" ca="1" si="1109"/>
        <v>#DIV/0!</v>
      </c>
      <c r="M141" s="161" t="e">
        <f t="shared" ca="1" si="1109"/>
        <v>#DIV/0!</v>
      </c>
      <c r="N141" s="161" t="e">
        <f t="shared" ca="1" si="1109"/>
        <v>#DIV/0!</v>
      </c>
      <c r="O141" s="161" t="e">
        <f t="shared" ca="1" si="1109"/>
        <v>#DIV/0!</v>
      </c>
      <c r="P141" s="161" t="e">
        <f t="shared" ca="1" si="1109"/>
        <v>#DIV/0!</v>
      </c>
      <c r="Q141" s="161" t="e">
        <f t="shared" ca="1" si="1109"/>
        <v>#DIV/0!</v>
      </c>
      <c r="R141" s="161" t="e">
        <f t="shared" ca="1" si="1109"/>
        <v>#DIV/0!</v>
      </c>
      <c r="S141" s="161" t="e">
        <f t="shared" ca="1" si="1109"/>
        <v>#DIV/0!</v>
      </c>
      <c r="T141" s="161" t="e">
        <f t="shared" ca="1" si="1109"/>
        <v>#DIV/0!</v>
      </c>
      <c r="U141" s="161" t="e">
        <f t="shared" ca="1" si="1109"/>
        <v>#DIV/0!</v>
      </c>
      <c r="V141" s="161" t="e">
        <f t="shared" ca="1" si="1109"/>
        <v>#DIV/0!</v>
      </c>
      <c r="W141" s="161" t="e">
        <f t="shared" ca="1" si="1109"/>
        <v>#DIV/0!</v>
      </c>
      <c r="X141" s="161" t="e">
        <f t="shared" ca="1" si="1109"/>
        <v>#DIV/0!</v>
      </c>
      <c r="Y141" s="161" t="e">
        <f t="shared" ca="1" si="1109"/>
        <v>#DIV/0!</v>
      </c>
      <c r="Z141" s="161" t="e">
        <f t="shared" ca="1" si="1109"/>
        <v>#DIV/0!</v>
      </c>
      <c r="AA141" s="161" t="e">
        <f t="shared" ca="1" si="1109"/>
        <v>#DIV/0!</v>
      </c>
      <c r="AB141" s="21" t="e">
        <f t="shared" ca="1" si="1109"/>
        <v>#DIV/0!</v>
      </c>
      <c r="AC141" s="21" t="e">
        <f t="shared" ca="1" si="1109"/>
        <v>#DIV/0!</v>
      </c>
      <c r="AD141" s="21" t="e">
        <f t="shared" ca="1" si="1109"/>
        <v>#DIV/0!</v>
      </c>
      <c r="AE141" s="21" t="e">
        <f t="shared" ca="1" si="1109"/>
        <v>#DIV/0!</v>
      </c>
      <c r="AL141" s="161">
        <f t="shared" ref="AL141:BQ141" si="1110">+AL$169/AL$114</f>
        <v>53.234567901234563</v>
      </c>
      <c r="AM141" s="161">
        <f t="shared" si="1110"/>
        <v>55.8611111111111</v>
      </c>
      <c r="AN141" s="161">
        <f t="shared" si="1110"/>
        <v>59.478086419753083</v>
      </c>
      <c r="AO141" s="161">
        <f t="shared" si="1110"/>
        <v>60.774382716049374</v>
      </c>
      <c r="AP141" s="161">
        <f t="shared" si="1110"/>
        <v>62.419753086419746</v>
      </c>
      <c r="AQ141" s="161">
        <f t="shared" si="1110"/>
        <v>65.293209876543202</v>
      </c>
      <c r="AR141" s="161">
        <f t="shared" si="1110"/>
        <v>68.401234567901227</v>
      </c>
      <c r="AS141" s="161">
        <f t="shared" si="1110"/>
        <v>70.312654320987633</v>
      </c>
      <c r="AT141" s="161">
        <f t="shared" si="1110"/>
        <v>70.343518518518508</v>
      </c>
      <c r="AU141" s="161">
        <f t="shared" si="1110"/>
        <v>74.29907407407407</v>
      </c>
      <c r="AV141" s="161">
        <f t="shared" si="1110"/>
        <v>80.97345679012345</v>
      </c>
      <c r="AW141" s="161">
        <f t="shared" si="1110"/>
        <v>85.080246913580254</v>
      </c>
      <c r="AX141" s="161">
        <f t="shared" si="1110"/>
        <v>86.483950617283952</v>
      </c>
      <c r="AY141" s="161">
        <f t="shared" si="1110"/>
        <v>94.613580246913585</v>
      </c>
      <c r="AZ141" s="161">
        <f t="shared" si="1110"/>
        <v>104.86543209876542</v>
      </c>
      <c r="BA141" s="161">
        <f t="shared" si="1110"/>
        <v>110.92407407407407</v>
      </c>
      <c r="BB141" s="161">
        <f t="shared" si="1110"/>
        <v>111.870987654321</v>
      </c>
      <c r="BC141" s="161">
        <f t="shared" si="1110"/>
        <v>118.89413580246914</v>
      </c>
      <c r="BD141" s="161">
        <f t="shared" si="1110"/>
        <v>129.81574074074072</v>
      </c>
      <c r="BE141" s="161">
        <f t="shared" si="1110"/>
        <v>138.48425925925923</v>
      </c>
      <c r="BF141" s="161">
        <f t="shared" si="1110"/>
        <v>144.22253086419752</v>
      </c>
      <c r="BG141" s="161">
        <f t="shared" si="1110"/>
        <v>154.66203703703704</v>
      </c>
      <c r="BH141" s="161">
        <f t="shared" si="1110"/>
        <v>161.02716049382718</v>
      </c>
      <c r="BI141" s="161">
        <f t="shared" si="1110"/>
        <v>169.1358024691358</v>
      </c>
      <c r="BJ141" s="161">
        <f t="shared" si="1110"/>
        <v>177.30154320987654</v>
      </c>
      <c r="BK141" s="161">
        <f t="shared" si="1110"/>
        <v>183.2114197530864</v>
      </c>
      <c r="BL141" s="161">
        <f t="shared" si="1110"/>
        <v>189.52901234567901</v>
      </c>
      <c r="BM141" s="161">
        <f t="shared" si="1110"/>
        <v>196.75370370370371</v>
      </c>
      <c r="BN141" s="161">
        <f t="shared" si="1110"/>
        <v>203.12993827160491</v>
      </c>
      <c r="BO141" s="161">
        <f t="shared" si="1110"/>
        <v>213.30401234567901</v>
      </c>
      <c r="BP141" s="161">
        <f t="shared" si="1110"/>
        <v>226.97499999999999</v>
      </c>
      <c r="BQ141" s="161">
        <f t="shared" si="1110"/>
        <v>250.11388888888888</v>
      </c>
      <c r="BR141" s="161">
        <f t="shared" ref="BR141:DB141" si="1111">+BR$169/BR$114</f>
        <v>276.04629629629625</v>
      </c>
      <c r="BS141" s="161">
        <f t="shared" si="1111"/>
        <v>303.9429012345679</v>
      </c>
      <c r="BT141" s="161">
        <f t="shared" si="1111"/>
        <v>324.55740740740737</v>
      </c>
      <c r="BU141" s="161">
        <f t="shared" si="1111"/>
        <v>352.19783950617284</v>
      </c>
      <c r="BV141" s="161">
        <f t="shared" si="1111"/>
        <v>385.75555555555553</v>
      </c>
      <c r="BW141" s="161">
        <f t="shared" si="1111"/>
        <v>423.70864197530864</v>
      </c>
      <c r="BX141" s="161">
        <f t="shared" si="1111"/>
        <v>445.82006172839505</v>
      </c>
      <c r="BY141" s="161">
        <f t="shared" si="1111"/>
        <v>465.13209876543209</v>
      </c>
      <c r="BZ141" s="161">
        <f t="shared" si="1111"/>
        <v>479.70185185185181</v>
      </c>
      <c r="CA141" s="161">
        <f t="shared" si="1111"/>
        <v>495.97716049382711</v>
      </c>
      <c r="CB141" s="161">
        <f t="shared" si="1111"/>
        <v>496.45</v>
      </c>
      <c r="CC141" s="161">
        <f t="shared" si="1111"/>
        <v>511.6885802469136</v>
      </c>
      <c r="CD141" s="161">
        <f t="shared" si="1111"/>
        <v>531.43765432098758</v>
      </c>
      <c r="CE141" s="161">
        <f t="shared" si="1111"/>
        <v>544.79969135802457</v>
      </c>
      <c r="CF141" s="161">
        <f t="shared" si="1111"/>
        <v>546.44506172839499</v>
      </c>
      <c r="CG141" s="161">
        <f t="shared" si="1111"/>
        <v>556.68703703703693</v>
      </c>
      <c r="CH141" s="161">
        <f t="shared" si="1111"/>
        <v>569.46237654320987</v>
      </c>
      <c r="CI141" s="161">
        <f t="shared" si="1111"/>
        <v>581.19108024691354</v>
      </c>
      <c r="CJ141" s="161">
        <f t="shared" si="1111"/>
        <v>580.85617283950614</v>
      </c>
      <c r="CK141" s="161">
        <f t="shared" si="1111"/>
        <v>590.5580246913579</v>
      </c>
      <c r="CL141" s="161">
        <f t="shared" si="1111"/>
        <v>610.0172839506173</v>
      </c>
      <c r="CM141" s="21">
        <f t="shared" si="1111"/>
        <v>629.04494216947</v>
      </c>
      <c r="CN141" s="21">
        <f t="shared" si="1111"/>
        <v>649.43557955694939</v>
      </c>
      <c r="CO141" s="21">
        <f t="shared" si="1111"/>
        <v>667.58114112461328</v>
      </c>
      <c r="CP141" s="21">
        <f t="shared" si="1111"/>
        <v>687.06713304099958</v>
      </c>
      <c r="CQ141" s="21">
        <f t="shared" si="1111"/>
        <v>713.27996289668783</v>
      </c>
      <c r="CR141" s="21">
        <f t="shared" si="1111"/>
        <v>737.64010224832703</v>
      </c>
      <c r="CS141" s="21">
        <f t="shared" si="1111"/>
        <v>760.19262951396752</v>
      </c>
      <c r="CT141" s="21">
        <f t="shared" si="1111"/>
        <v>789.99490455288333</v>
      </c>
      <c r="CU141" s="21">
        <f t="shared" si="1111"/>
        <v>824.06550475562733</v>
      </c>
      <c r="CV141" s="21">
        <f t="shared" si="1111"/>
        <v>859.03668050486453</v>
      </c>
      <c r="CW141" s="21">
        <f t="shared" si="1111"/>
        <v>892.80315694670696</v>
      </c>
      <c r="CX141" s="21">
        <f t="shared" si="1111"/>
        <v>935.92752154497782</v>
      </c>
      <c r="CY141" s="21">
        <f t="shared" si="1111"/>
        <v>987.37000838778818</v>
      </c>
      <c r="CZ141" s="21">
        <f t="shared" si="1111"/>
        <v>1040.3777569445565</v>
      </c>
      <c r="DA141" s="21">
        <f t="shared" si="1111"/>
        <v>1091.5296108340558</v>
      </c>
      <c r="DB141" s="21">
        <f t="shared" si="1111"/>
        <v>1158.0004385974532</v>
      </c>
      <c r="DE141" s="22"/>
      <c r="DF141" s="161">
        <v>606.10760200738821</v>
      </c>
    </row>
    <row r="142" spans="1:110" s="161" customFormat="1" x14ac:dyDescent="0.2">
      <c r="A142" s="49" t="s">
        <v>501</v>
      </c>
      <c r="AB142" s="21"/>
      <c r="AC142" s="21"/>
      <c r="AD142" s="21"/>
      <c r="AE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E142" s="22"/>
    </row>
    <row r="143" spans="1:110" s="161" customFormat="1" x14ac:dyDescent="0.2">
      <c r="A143" s="49" t="s">
        <v>502</v>
      </c>
      <c r="E143" s="161" t="e">
        <f t="shared" ref="E143:AE145" ca="1" si="1112">+E126/E$141</f>
        <v>#DIV/0!</v>
      </c>
      <c r="F143" s="161" t="e">
        <f t="shared" ca="1" si="1112"/>
        <v>#DIV/0!</v>
      </c>
      <c r="G143" s="161" t="e">
        <f t="shared" ca="1" si="1112"/>
        <v>#DIV/0!</v>
      </c>
      <c r="H143" s="161" t="e">
        <f t="shared" ca="1" si="1112"/>
        <v>#DIV/0!</v>
      </c>
      <c r="I143" s="161" t="e">
        <f t="shared" ca="1" si="1112"/>
        <v>#DIV/0!</v>
      </c>
      <c r="J143" s="161" t="e">
        <f t="shared" ca="1" si="1112"/>
        <v>#DIV/0!</v>
      </c>
      <c r="K143" s="161" t="e">
        <f t="shared" ca="1" si="1112"/>
        <v>#DIV/0!</v>
      </c>
      <c r="L143" s="161" t="e">
        <f t="shared" ca="1" si="1112"/>
        <v>#DIV/0!</v>
      </c>
      <c r="M143" s="161" t="e">
        <f t="shared" ca="1" si="1112"/>
        <v>#DIV/0!</v>
      </c>
      <c r="N143" s="161" t="e">
        <f t="shared" ca="1" si="1112"/>
        <v>#DIV/0!</v>
      </c>
      <c r="O143" s="161" t="e">
        <f t="shared" ca="1" si="1112"/>
        <v>#DIV/0!</v>
      </c>
      <c r="P143" s="161" t="e">
        <f t="shared" ca="1" si="1112"/>
        <v>#DIV/0!</v>
      </c>
      <c r="Q143" s="161" t="e">
        <f t="shared" ca="1" si="1112"/>
        <v>#DIV/0!</v>
      </c>
      <c r="R143" s="161" t="e">
        <f t="shared" ca="1" si="1112"/>
        <v>#DIV/0!</v>
      </c>
      <c r="S143" s="161" t="e">
        <f t="shared" ca="1" si="1112"/>
        <v>#DIV/0!</v>
      </c>
      <c r="T143" s="161" t="e">
        <f t="shared" ca="1" si="1112"/>
        <v>#DIV/0!</v>
      </c>
      <c r="U143" s="161" t="e">
        <f t="shared" ca="1" si="1112"/>
        <v>#DIV/0!</v>
      </c>
      <c r="V143" s="161" t="e">
        <f t="shared" ca="1" si="1112"/>
        <v>#DIV/0!</v>
      </c>
      <c r="W143" s="161" t="e">
        <f t="shared" ca="1" si="1112"/>
        <v>#DIV/0!</v>
      </c>
      <c r="X143" s="161" t="e">
        <f t="shared" ca="1" si="1112"/>
        <v>#DIV/0!</v>
      </c>
      <c r="Y143" s="161" t="e">
        <f t="shared" ca="1" si="1112"/>
        <v>#DIV/0!</v>
      </c>
      <c r="Z143" s="161" t="e">
        <f t="shared" ca="1" si="1112"/>
        <v>#DIV/0!</v>
      </c>
      <c r="AA143" s="161" t="e">
        <f t="shared" ref="AA143" ca="1" si="1113">+AA126/AA$141</f>
        <v>#DIV/0!</v>
      </c>
      <c r="AB143" s="21" t="e">
        <f t="shared" ca="1" si="1112"/>
        <v>#DIV/0!</v>
      </c>
      <c r="AC143" s="21" t="e">
        <f t="shared" ca="1" si="1112"/>
        <v>#DIV/0!</v>
      </c>
      <c r="AD143" s="21" t="e">
        <f t="shared" ca="1" si="1112"/>
        <v>#DIV/0!</v>
      </c>
      <c r="AE143" s="21" t="e">
        <f t="shared" ca="1" si="1112"/>
        <v>#DIV/0!</v>
      </c>
      <c r="AL143" s="161">
        <f t="shared" ref="AL143:CI145" si="1114">+AL126/AL$141</f>
        <v>0.66122448979591852</v>
      </c>
      <c r="AM143" s="161">
        <f t="shared" si="1114"/>
        <v>0.59880656389855813</v>
      </c>
      <c r="AN143" s="161">
        <f t="shared" si="1114"/>
        <v>0.54053521112143177</v>
      </c>
      <c r="AO143" s="161">
        <f t="shared" si="1114"/>
        <v>0.8194242010268703</v>
      </c>
      <c r="AP143" s="161">
        <f t="shared" si="1114"/>
        <v>0.64002175632911407</v>
      </c>
      <c r="AQ143" s="161">
        <f t="shared" si="1114"/>
        <v>0.93271567005436073</v>
      </c>
      <c r="AR143" s="161">
        <f t="shared" si="1114"/>
        <v>1.1483710856420901</v>
      </c>
      <c r="AS143" s="161">
        <f t="shared" si="1114"/>
        <v>1.0062200137832349</v>
      </c>
      <c r="AT143" s="161">
        <f t="shared" si="1114"/>
        <v>1.1522028142317464</v>
      </c>
      <c r="AU143" s="161">
        <f t="shared" si="1114"/>
        <v>1.5491444736612539</v>
      </c>
      <c r="AV143" s="161">
        <f t="shared" si="1114"/>
        <v>1.5535955236055101</v>
      </c>
      <c r="AW143" s="161">
        <f t="shared" si="1114"/>
        <v>1.9346441268228975</v>
      </c>
      <c r="AX143" s="161">
        <f t="shared" si="1114"/>
        <v>2.0639667675441102</v>
      </c>
      <c r="AY143" s="161">
        <f t="shared" si="1114"/>
        <v>2.9372104857966774</v>
      </c>
      <c r="AZ143" s="161">
        <f t="shared" si="1114"/>
        <v>2.8217115409519549</v>
      </c>
      <c r="BA143" s="161">
        <f t="shared" si="1114"/>
        <v>2.8857576921150607</v>
      </c>
      <c r="BB143" s="161">
        <f t="shared" si="1114"/>
        <v>3.3931943210598625</v>
      </c>
      <c r="BC143" s="161">
        <f t="shared" si="1114"/>
        <v>2.8285667558804519</v>
      </c>
      <c r="BD143" s="161">
        <f t="shared" si="1114"/>
        <v>2.5963723511244576</v>
      </c>
      <c r="BE143" s="161">
        <f t="shared" si="1114"/>
        <v>4.5929407674357972</v>
      </c>
      <c r="BF143" s="161">
        <f t="shared" si="1114"/>
        <v>3.9019562105028882</v>
      </c>
      <c r="BG143" s="161">
        <f t="shared" si="1114"/>
        <v>3.5499985033076897</v>
      </c>
      <c r="BH143" s="161">
        <f t="shared" si="1114"/>
        <v>2.9156572006869474</v>
      </c>
      <c r="BI143" s="161">
        <f t="shared" si="1114"/>
        <v>2.71586496350365</v>
      </c>
      <c r="BJ143" s="161">
        <f t="shared" si="1114"/>
        <v>2.7585772303235925</v>
      </c>
      <c r="BK143" s="161">
        <f t="shared" si="1114"/>
        <v>2.0620985335366111</v>
      </c>
      <c r="BL143" s="161">
        <f t="shared" si="1114"/>
        <v>1.7567231310884355</v>
      </c>
      <c r="BM143" s="161">
        <f t="shared" si="1114"/>
        <v>2.0238500851788754</v>
      </c>
      <c r="BN143" s="161">
        <f t="shared" si="1114"/>
        <v>1.2354161190383217</v>
      </c>
      <c r="BO143" s="161">
        <f t="shared" si="1114"/>
        <v>2.3143024576583877</v>
      </c>
      <c r="BP143" s="161">
        <f t="shared" si="1114"/>
        <v>3.5594228439255424</v>
      </c>
      <c r="BQ143" s="161">
        <f t="shared" si="1114"/>
        <v>3.7001143923323823</v>
      </c>
      <c r="BR143" s="161">
        <f t="shared" si="1114"/>
        <v>6.3860664810653081</v>
      </c>
      <c r="BS143" s="161">
        <f t="shared" si="1114"/>
        <v>8.7741809042674728</v>
      </c>
      <c r="BT143" s="161">
        <f t="shared" si="1114"/>
        <v>13.914641591683264</v>
      </c>
      <c r="BU143" s="161">
        <f t="shared" si="1114"/>
        <v>9.7081799388496037</v>
      </c>
      <c r="BV143" s="161">
        <f t="shared" si="1114"/>
        <v>7.5232876317760251</v>
      </c>
      <c r="BW143" s="161">
        <f t="shared" si="1114"/>
        <v>6.7568836610295913</v>
      </c>
      <c r="BX143" s="161">
        <f t="shared" si="1114"/>
        <v>7.1128472498662134</v>
      </c>
      <c r="BY143" s="161">
        <f t="shared" si="1114"/>
        <v>5.820389534899153</v>
      </c>
      <c r="BZ143" s="161">
        <f t="shared" si="1114"/>
        <v>4.0497029404838658</v>
      </c>
      <c r="CA143" s="161">
        <f t="shared" si="1114"/>
        <v>4.6700739156895672</v>
      </c>
      <c r="CB143" s="161">
        <f t="shared" si="1114"/>
        <v>4.3771779635411425</v>
      </c>
      <c r="CC143" s="161">
        <f t="shared" si="1114"/>
        <v>5.2148906639901416</v>
      </c>
      <c r="CD143" s="161">
        <f t="shared" si="1114"/>
        <v>3.845982653621844</v>
      </c>
      <c r="CE143" s="161">
        <f t="shared" si="1114"/>
        <v>4.204572866570623</v>
      </c>
      <c r="CF143" s="161">
        <f t="shared" si="1114"/>
        <v>4.1779131332597572</v>
      </c>
      <c r="CG143" s="161">
        <f t="shared" si="1114"/>
        <v>3.2118585148248076</v>
      </c>
      <c r="CH143" s="161">
        <f t="shared" si="1114"/>
        <v>2.119982021162369</v>
      </c>
      <c r="CI143" s="161">
        <f t="shared" si="1114"/>
        <v>3.1752035822986122</v>
      </c>
      <c r="CJ143" s="161">
        <f t="shared" ref="CJ143:DB143" si="1115">+CJ126/CJ$141</f>
        <v>2.3953434000682261</v>
      </c>
      <c r="CK143" s="161">
        <f t="shared" ref="CK143:CL143" si="1116">+CK126/CK$141</f>
        <v>1.8941407164598456</v>
      </c>
      <c r="CL143" s="161">
        <f t="shared" si="1116"/>
        <v>1.6015939641459258</v>
      </c>
      <c r="CM143" s="21">
        <f t="shared" si="1115"/>
        <v>3.4973653749008311</v>
      </c>
      <c r="CN143" s="21">
        <f t="shared" si="1115"/>
        <v>3.3875569328998871</v>
      </c>
      <c r="CO143" s="21">
        <f t="shared" si="1115"/>
        <v>3.295479552184263</v>
      </c>
      <c r="CP143" s="21">
        <f t="shared" si="1115"/>
        <v>3.2020160683027732</v>
      </c>
      <c r="CQ143" s="21">
        <f t="shared" si="1115"/>
        <v>3.0843429150394486</v>
      </c>
      <c r="CR143" s="21">
        <f t="shared" si="1115"/>
        <v>2.9824842674556331</v>
      </c>
      <c r="CS143" s="21">
        <f t="shared" si="1115"/>
        <v>2.8940033283492625</v>
      </c>
      <c r="CT143" s="21">
        <f t="shared" si="1115"/>
        <v>2.7848280885370307</v>
      </c>
      <c r="CU143" s="21">
        <f t="shared" si="1115"/>
        <v>2.6696906827235773</v>
      </c>
      <c r="CV143" s="21">
        <f t="shared" si="1115"/>
        <v>2.5610082199365896</v>
      </c>
      <c r="CW143" s="21">
        <f t="shared" si="1115"/>
        <v>2.4641489928460478</v>
      </c>
      <c r="CX143" s="21">
        <f t="shared" si="1115"/>
        <v>2.3506093680933335</v>
      </c>
      <c r="CY143" s="21">
        <f t="shared" si="1115"/>
        <v>2.2281414072848293</v>
      </c>
      <c r="CZ143" s="21">
        <f t="shared" si="1115"/>
        <v>2.1146165278091789</v>
      </c>
      <c r="DA143" s="21">
        <f t="shared" si="1115"/>
        <v>2.0155202187496717</v>
      </c>
      <c r="DB143" s="21">
        <f t="shared" si="1115"/>
        <v>1.8998265688608853</v>
      </c>
      <c r="DE143" s="22"/>
      <c r="DF143" s="161">
        <v>1.6119250059960324</v>
      </c>
    </row>
    <row r="144" spans="1:110" s="161" customFormat="1" x14ac:dyDescent="0.2">
      <c r="A144" s="49" t="s">
        <v>503</v>
      </c>
      <c r="E144" s="161" t="e">
        <f t="shared" ca="1" si="1112"/>
        <v>#DIV/0!</v>
      </c>
      <c r="F144" s="161" t="e">
        <f t="shared" ca="1" si="1112"/>
        <v>#DIV/0!</v>
      </c>
      <c r="G144" s="161" t="e">
        <f t="shared" ca="1" si="1112"/>
        <v>#DIV/0!</v>
      </c>
      <c r="H144" s="161" t="e">
        <f t="shared" ca="1" si="1112"/>
        <v>#DIV/0!</v>
      </c>
      <c r="I144" s="161" t="e">
        <f t="shared" ca="1" si="1112"/>
        <v>#DIV/0!</v>
      </c>
      <c r="J144" s="161" t="e">
        <f t="shared" ca="1" si="1112"/>
        <v>#DIV/0!</v>
      </c>
      <c r="K144" s="161" t="e">
        <f t="shared" ca="1" si="1112"/>
        <v>#DIV/0!</v>
      </c>
      <c r="L144" s="161" t="e">
        <f t="shared" ca="1" si="1112"/>
        <v>#DIV/0!</v>
      </c>
      <c r="M144" s="161" t="e">
        <f t="shared" ca="1" si="1112"/>
        <v>#DIV/0!</v>
      </c>
      <c r="N144" s="161" t="e">
        <f t="shared" ca="1" si="1112"/>
        <v>#DIV/0!</v>
      </c>
      <c r="O144" s="161" t="e">
        <f t="shared" ca="1" si="1112"/>
        <v>#DIV/0!</v>
      </c>
      <c r="P144" s="161" t="e">
        <f t="shared" ca="1" si="1112"/>
        <v>#DIV/0!</v>
      </c>
      <c r="Q144" s="161" t="e">
        <f t="shared" ca="1" si="1112"/>
        <v>#DIV/0!</v>
      </c>
      <c r="R144" s="161" t="e">
        <f t="shared" ca="1" si="1112"/>
        <v>#DIV/0!</v>
      </c>
      <c r="S144" s="161" t="e">
        <f t="shared" ca="1" si="1112"/>
        <v>#DIV/0!</v>
      </c>
      <c r="T144" s="161" t="e">
        <f t="shared" ca="1" si="1112"/>
        <v>#DIV/0!</v>
      </c>
      <c r="U144" s="161" t="e">
        <f t="shared" ca="1" si="1112"/>
        <v>#DIV/0!</v>
      </c>
      <c r="V144" s="161" t="e">
        <f t="shared" ca="1" si="1112"/>
        <v>#DIV/0!</v>
      </c>
      <c r="W144" s="161" t="e">
        <f t="shared" ca="1" si="1112"/>
        <v>#DIV/0!</v>
      </c>
      <c r="X144" s="161" t="e">
        <f t="shared" ca="1" si="1112"/>
        <v>#DIV/0!</v>
      </c>
      <c r="Y144" s="161" t="e">
        <f t="shared" ca="1" si="1112"/>
        <v>#DIV/0!</v>
      </c>
      <c r="Z144" s="161" t="e">
        <f t="shared" ca="1" si="1112"/>
        <v>#DIV/0!</v>
      </c>
      <c r="AA144" s="161" t="e">
        <f t="shared" ref="AA144" ca="1" si="1117">+AA127/AA$141</f>
        <v>#DIV/0!</v>
      </c>
      <c r="AB144" s="21" t="e">
        <f t="shared" ca="1" si="1112"/>
        <v>#DIV/0!</v>
      </c>
      <c r="AC144" s="21" t="e">
        <f t="shared" ca="1" si="1112"/>
        <v>#DIV/0!</v>
      </c>
      <c r="AD144" s="21" t="e">
        <f t="shared" ca="1" si="1112"/>
        <v>#DIV/0!</v>
      </c>
      <c r="AE144" s="21" t="e">
        <f t="shared" ca="1" si="1112"/>
        <v>#DIV/0!</v>
      </c>
      <c r="AL144" s="161">
        <f t="shared" si="1114"/>
        <v>1.0613404452690167</v>
      </c>
      <c r="AM144" s="161">
        <f t="shared" si="1114"/>
        <v>0.74828443560417712</v>
      </c>
      <c r="AN144" s="161">
        <f t="shared" si="1114"/>
        <v>0.68932950718440766</v>
      </c>
      <c r="AO144" s="161">
        <f t="shared" si="1114"/>
        <v>0.90169570715406622</v>
      </c>
      <c r="AP144" s="161">
        <f t="shared" si="1114"/>
        <v>0.86350870253164569</v>
      </c>
      <c r="AQ144" s="161">
        <f t="shared" si="1114"/>
        <v>1.0077617584495393</v>
      </c>
      <c r="AR144" s="161">
        <f t="shared" si="1114"/>
        <v>1.4473422976265682</v>
      </c>
      <c r="AS144" s="161">
        <f t="shared" si="1114"/>
        <v>1.2287973030511872</v>
      </c>
      <c r="AT144" s="161">
        <f t="shared" si="1114"/>
        <v>1.2666412183596374</v>
      </c>
      <c r="AU144" s="161">
        <f t="shared" si="1114"/>
        <v>1.7281507421208082</v>
      </c>
      <c r="AV144" s="161">
        <f t="shared" si="1114"/>
        <v>2.0204151642437318</v>
      </c>
      <c r="AW144" s="161">
        <f t="shared" si="1114"/>
        <v>1.9793078429949937</v>
      </c>
      <c r="AX144" s="161">
        <f t="shared" si="1114"/>
        <v>2.1379689373608177</v>
      </c>
      <c r="AY144" s="161">
        <f t="shared" si="1114"/>
        <v>2.9858292991635893</v>
      </c>
      <c r="AZ144" s="161">
        <f t="shared" si="1114"/>
        <v>3.1373541634781792</v>
      </c>
      <c r="BA144" s="161">
        <f t="shared" si="1114"/>
        <v>3.425766707290606</v>
      </c>
      <c r="BB144" s="161">
        <f t="shared" si="1114"/>
        <v>3.5755472297785698</v>
      </c>
      <c r="BC144" s="161">
        <f t="shared" si="1114"/>
        <v>3.3735894314113866</v>
      </c>
      <c r="BD144" s="161">
        <f t="shared" si="1114"/>
        <v>3.0042581721956338</v>
      </c>
      <c r="BE144" s="161">
        <f t="shared" si="1114"/>
        <v>4.8742001698281001</v>
      </c>
      <c r="BF144" s="161">
        <f t="shared" si="1114"/>
        <v>5.41524264842782</v>
      </c>
      <c r="BG144" s="161">
        <f t="shared" si="1114"/>
        <v>4.7008950220013768</v>
      </c>
      <c r="BH144" s="161">
        <f t="shared" si="1114"/>
        <v>3.735084181795878</v>
      </c>
      <c r="BI144" s="161">
        <f t="shared" si="1114"/>
        <v>3.0744525547445258</v>
      </c>
      <c r="BJ144" s="161">
        <f t="shared" si="1114"/>
        <v>2.8806855865626146</v>
      </c>
      <c r="BK144" s="161">
        <f t="shared" si="1114"/>
        <v>2.9419563514458269</v>
      </c>
      <c r="BL144" s="161">
        <f t="shared" si="1114"/>
        <v>2.0184244895566334</v>
      </c>
      <c r="BM144" s="161">
        <f t="shared" si="1114"/>
        <v>2.1082195261983867</v>
      </c>
      <c r="BN144" s="161">
        <f t="shared" si="1114"/>
        <v>2.3955109923253533</v>
      </c>
      <c r="BO144" s="161">
        <f t="shared" si="1114"/>
        <v>2.5501161183901147</v>
      </c>
      <c r="BP144" s="161">
        <f t="shared" si="1114"/>
        <v>4.3837427029408529</v>
      </c>
      <c r="BQ144" s="161">
        <f t="shared" si="1114"/>
        <v>4.2140802523294942</v>
      </c>
      <c r="BR144" s="161">
        <f t="shared" si="1114"/>
        <v>6.9035521416831598</v>
      </c>
      <c r="BS144" s="161">
        <f t="shared" si="1114"/>
        <v>9.7385067655048108</v>
      </c>
      <c r="BT144" s="161">
        <f t="shared" si="1114"/>
        <v>16.083441267595187</v>
      </c>
      <c r="BU144" s="161">
        <f t="shared" si="1114"/>
        <v>13.625864391243347</v>
      </c>
      <c r="BV144" s="161">
        <f t="shared" si="1114"/>
        <v>10.205815427155942</v>
      </c>
      <c r="BW144" s="161">
        <f t="shared" si="1114"/>
        <v>8.2721937972750901</v>
      </c>
      <c r="BX144" s="161">
        <f t="shared" si="1114"/>
        <v>8.617490171046974</v>
      </c>
      <c r="BY144" s="161">
        <f t="shared" si="1114"/>
        <v>7.0243485854277425</v>
      </c>
      <c r="BZ144" s="161">
        <f t="shared" si="1114"/>
        <v>5.6861360644536161</v>
      </c>
      <c r="CA144" s="161">
        <f t="shared" si="1114"/>
        <v>5.1387446903045868</v>
      </c>
      <c r="CB144" s="161">
        <f t="shared" si="1114"/>
        <v>4.7436801289152983</v>
      </c>
      <c r="CC144" s="161">
        <f t="shared" si="1114"/>
        <v>5.3180784270911303</v>
      </c>
      <c r="CD144" s="161">
        <f t="shared" si="1114"/>
        <v>5.1489576956984848</v>
      </c>
      <c r="CE144" s="161">
        <f t="shared" si="1114"/>
        <v>4.6044446055889843</v>
      </c>
      <c r="CF144" s="161">
        <f t="shared" si="1114"/>
        <v>4.6668003402463292</v>
      </c>
      <c r="CG144" s="161">
        <f t="shared" si="1114"/>
        <v>4.2573292394489899</v>
      </c>
      <c r="CH144" s="161">
        <f t="shared" si="1114"/>
        <v>3.4769636793551379</v>
      </c>
      <c r="CI144" s="161">
        <f t="shared" si="1114"/>
        <v>3.1942162622511425</v>
      </c>
      <c r="CJ144" s="161">
        <f t="shared" ref="CJ144:CL145" si="1118">+CJ127/CJ$141</f>
        <v>3.3502269425613744</v>
      </c>
      <c r="CK144" s="161">
        <f t="shared" ref="CK144" si="1119">+CK127/CK$141</f>
        <v>2.465464762350738</v>
      </c>
      <c r="CL144" s="161">
        <f t="shared" si="1118"/>
        <v>2.1866593539142789</v>
      </c>
      <c r="CM144" s="94">
        <f t="shared" ref="CM144:DB144" si="1120">+CL144</f>
        <v>2.1866593539142789</v>
      </c>
      <c r="CN144" s="94">
        <f t="shared" si="1120"/>
        <v>2.1866593539142789</v>
      </c>
      <c r="CO144" s="94">
        <f t="shared" si="1120"/>
        <v>2.1866593539142789</v>
      </c>
      <c r="CP144" s="94">
        <f t="shared" si="1120"/>
        <v>2.1866593539142789</v>
      </c>
      <c r="CQ144" s="94">
        <f t="shared" si="1120"/>
        <v>2.1866593539142789</v>
      </c>
      <c r="CR144" s="94">
        <f t="shared" si="1120"/>
        <v>2.1866593539142789</v>
      </c>
      <c r="CS144" s="94">
        <f t="shared" si="1120"/>
        <v>2.1866593539142789</v>
      </c>
      <c r="CT144" s="94">
        <f t="shared" si="1120"/>
        <v>2.1866593539142789</v>
      </c>
      <c r="CU144" s="94">
        <f t="shared" si="1120"/>
        <v>2.1866593539142789</v>
      </c>
      <c r="CV144" s="94">
        <f t="shared" si="1120"/>
        <v>2.1866593539142789</v>
      </c>
      <c r="CW144" s="94">
        <f t="shared" si="1120"/>
        <v>2.1866593539142789</v>
      </c>
      <c r="CX144" s="94">
        <f t="shared" si="1120"/>
        <v>2.1866593539142789</v>
      </c>
      <c r="CY144" s="94">
        <f t="shared" si="1120"/>
        <v>2.1866593539142789</v>
      </c>
      <c r="CZ144" s="94">
        <f t="shared" si="1120"/>
        <v>2.1866593539142789</v>
      </c>
      <c r="DA144" s="94">
        <f t="shared" si="1120"/>
        <v>2.1866593539142789</v>
      </c>
      <c r="DB144" s="94">
        <f t="shared" si="1120"/>
        <v>2.1866593539142789</v>
      </c>
      <c r="DC144" s="94"/>
      <c r="DE144" s="22"/>
      <c r="DF144" s="161">
        <v>2.2007643454433037</v>
      </c>
    </row>
    <row r="145" spans="1:110" s="161" customFormat="1" x14ac:dyDescent="0.2">
      <c r="A145" s="49" t="s">
        <v>504</v>
      </c>
      <c r="E145" s="161" t="e">
        <f t="shared" ca="1" si="1112"/>
        <v>#DIV/0!</v>
      </c>
      <c r="F145" s="161" t="e">
        <f t="shared" ca="1" si="1112"/>
        <v>#DIV/0!</v>
      </c>
      <c r="G145" s="161" t="e">
        <f t="shared" ca="1" si="1112"/>
        <v>#DIV/0!</v>
      </c>
      <c r="H145" s="161" t="e">
        <f t="shared" ca="1" si="1112"/>
        <v>#DIV/0!</v>
      </c>
      <c r="I145" s="161" t="e">
        <f t="shared" ca="1" si="1112"/>
        <v>#DIV/0!</v>
      </c>
      <c r="J145" s="161" t="e">
        <f t="shared" ca="1" si="1112"/>
        <v>#DIV/0!</v>
      </c>
      <c r="K145" s="161" t="e">
        <f t="shared" ca="1" si="1112"/>
        <v>#DIV/0!</v>
      </c>
      <c r="L145" s="161" t="e">
        <f t="shared" ca="1" si="1112"/>
        <v>#DIV/0!</v>
      </c>
      <c r="M145" s="161" t="e">
        <f t="shared" ca="1" si="1112"/>
        <v>#DIV/0!</v>
      </c>
      <c r="N145" s="161" t="e">
        <f t="shared" ca="1" si="1112"/>
        <v>#DIV/0!</v>
      </c>
      <c r="O145" s="161" t="e">
        <f t="shared" ca="1" si="1112"/>
        <v>#DIV/0!</v>
      </c>
      <c r="P145" s="161" t="e">
        <f t="shared" ca="1" si="1112"/>
        <v>#DIV/0!</v>
      </c>
      <c r="Q145" s="161" t="e">
        <f t="shared" ca="1" si="1112"/>
        <v>#DIV/0!</v>
      </c>
      <c r="R145" s="161" t="e">
        <f t="shared" ca="1" si="1112"/>
        <v>#DIV/0!</v>
      </c>
      <c r="S145" s="161" t="e">
        <f t="shared" ca="1" si="1112"/>
        <v>#DIV/0!</v>
      </c>
      <c r="T145" s="161" t="e">
        <f t="shared" ca="1" si="1112"/>
        <v>#DIV/0!</v>
      </c>
      <c r="U145" s="161" t="e">
        <f t="shared" ca="1" si="1112"/>
        <v>#DIV/0!</v>
      </c>
      <c r="V145" s="161" t="e">
        <f t="shared" ca="1" si="1112"/>
        <v>#DIV/0!</v>
      </c>
      <c r="W145" s="161" t="e">
        <f t="shared" ca="1" si="1112"/>
        <v>#DIV/0!</v>
      </c>
      <c r="X145" s="161" t="e">
        <f t="shared" ca="1" si="1112"/>
        <v>#DIV/0!</v>
      </c>
      <c r="Y145" s="161" t="e">
        <f t="shared" ca="1" si="1112"/>
        <v>#DIV/0!</v>
      </c>
      <c r="Z145" s="161" t="e">
        <f t="shared" ca="1" si="1112"/>
        <v>#DIV/0!</v>
      </c>
      <c r="AA145" s="161" t="e">
        <f t="shared" ref="AA145" ca="1" si="1121">+AA128/AA$141</f>
        <v>#DIV/0!</v>
      </c>
      <c r="AB145" s="21" t="e">
        <f t="shared" ca="1" si="1112"/>
        <v>#DIV/0!</v>
      </c>
      <c r="AC145" s="21" t="e">
        <f t="shared" ca="1" si="1112"/>
        <v>#DIV/0!</v>
      </c>
      <c r="AD145" s="21" t="e">
        <f t="shared" ca="1" si="1112"/>
        <v>#DIV/0!</v>
      </c>
      <c r="AE145" s="21" t="e">
        <f t="shared" ca="1" si="1112"/>
        <v>#DIV/0!</v>
      </c>
      <c r="AL145" s="161">
        <f t="shared" si="1114"/>
        <v>0.65464981447124315</v>
      </c>
      <c r="AM145" s="161">
        <f t="shared" si="1114"/>
        <v>0.55942317255096974</v>
      </c>
      <c r="AN145" s="161">
        <f t="shared" si="1114"/>
        <v>0.47748678058627259</v>
      </c>
      <c r="AO145" s="161">
        <f t="shared" si="1114"/>
        <v>0.51995591872387759</v>
      </c>
      <c r="AP145" s="161">
        <f t="shared" si="1114"/>
        <v>0.5623219936708862</v>
      </c>
      <c r="AQ145" s="161">
        <f t="shared" si="1114"/>
        <v>0.60496336563460185</v>
      </c>
      <c r="AR145" s="161">
        <f t="shared" si="1114"/>
        <v>0.90056854074542025</v>
      </c>
      <c r="AS145" s="161">
        <f t="shared" si="1114"/>
        <v>0.95288679750497152</v>
      </c>
      <c r="AT145" s="161">
        <f t="shared" si="1114"/>
        <v>0.9823222018928276</v>
      </c>
      <c r="AU145" s="161">
        <f t="shared" si="1114"/>
        <v>1.08682377279015</v>
      </c>
      <c r="AV145" s="161">
        <f t="shared" si="1114"/>
        <v>1.3090709499378703</v>
      </c>
      <c r="AW145" s="161">
        <f t="shared" si="1114"/>
        <v>1.4022056156134366</v>
      </c>
      <c r="AX145" s="161">
        <f t="shared" si="1114"/>
        <v>1.3297264888939644</v>
      </c>
      <c r="AY145" s="161">
        <f t="shared" si="1114"/>
        <v>1.8295470856113887</v>
      </c>
      <c r="AZ145" s="161">
        <f t="shared" si="1114"/>
        <v>2.3763788982941101</v>
      </c>
      <c r="BA145" s="161">
        <f t="shared" si="1114"/>
        <v>2.46069216514466</v>
      </c>
      <c r="BB145" s="161">
        <f t="shared" si="1114"/>
        <v>2.7710491030783913</v>
      </c>
      <c r="BC145" s="161">
        <f t="shared" si="1114"/>
        <v>2.6914700026218989</v>
      </c>
      <c r="BD145" s="161">
        <f t="shared" si="1114"/>
        <v>2.0883445909800935</v>
      </c>
      <c r="BE145" s="161">
        <f t="shared" si="1114"/>
        <v>2.4334895662697331</v>
      </c>
      <c r="BF145" s="161">
        <f t="shared" si="1114"/>
        <v>3.7927499727144909</v>
      </c>
      <c r="BG145" s="161">
        <f t="shared" si="1114"/>
        <v>3.2771455084263779</v>
      </c>
      <c r="BH145" s="161">
        <f t="shared" si="1114"/>
        <v>2.8433091572620213</v>
      </c>
      <c r="BI145" s="161">
        <f t="shared" si="1114"/>
        <v>2.4335474452554746</v>
      </c>
      <c r="BJ145" s="161">
        <f t="shared" si="1114"/>
        <v>2.078380105038323</v>
      </c>
      <c r="BK145" s="161">
        <f t="shared" si="1114"/>
        <v>1.9927797104134908</v>
      </c>
      <c r="BL145" s="161">
        <f t="shared" si="1114"/>
        <v>1.1080097838371272</v>
      </c>
      <c r="BM145" s="161">
        <f t="shared" si="1114"/>
        <v>1.5145839411936337</v>
      </c>
      <c r="BN145" s="161">
        <f t="shared" si="1114"/>
        <v>1.0047755724077365</v>
      </c>
      <c r="BO145" s="161">
        <f t="shared" si="1114"/>
        <v>1.1321868601732008</v>
      </c>
      <c r="BP145" s="161">
        <f t="shared" si="1114"/>
        <v>2.1923119286265007</v>
      </c>
      <c r="BQ145" s="161">
        <f t="shared" si="1114"/>
        <v>3.1469663819815419</v>
      </c>
      <c r="BR145" s="161">
        <f t="shared" si="1114"/>
        <v>3.3617549391205186</v>
      </c>
      <c r="BS145" s="161">
        <f t="shared" si="1114"/>
        <v>5.6719534919143966</v>
      </c>
      <c r="BT145" s="161">
        <f t="shared" si="1114"/>
        <v>8.2345986842480645</v>
      </c>
      <c r="BU145" s="161">
        <f t="shared" si="1114"/>
        <v>8.177222222709073</v>
      </c>
      <c r="BV145" s="161">
        <f t="shared" si="1114"/>
        <v>6.9475344201854954</v>
      </c>
      <c r="BW145" s="161">
        <f t="shared" si="1114"/>
        <v>6.3723033531077728</v>
      </c>
      <c r="BX145" s="161">
        <f t="shared" si="1114"/>
        <v>6.365796974226301</v>
      </c>
      <c r="BY145" s="161">
        <f t="shared" si="1114"/>
        <v>5.5728254551342111</v>
      </c>
      <c r="BZ145" s="161">
        <f t="shared" si="1114"/>
        <v>4.0130134844560086</v>
      </c>
      <c r="CA145" s="161">
        <f t="shared" si="1114"/>
        <v>3.7761819478445724</v>
      </c>
      <c r="CB145" s="161">
        <f t="shared" si="1114"/>
        <v>4.0910464296505191</v>
      </c>
      <c r="CC145" s="161">
        <f t="shared" si="1114"/>
        <v>3.9125360175791721</v>
      </c>
      <c r="CD145" s="161">
        <f t="shared" si="1114"/>
        <v>3.7821934212925812</v>
      </c>
      <c r="CE145" s="161">
        <f t="shared" si="1114"/>
        <v>3.6069220140373268</v>
      </c>
      <c r="CF145" s="161">
        <f t="shared" si="1114"/>
        <v>3.8226166659700582</v>
      </c>
      <c r="CG145" s="161">
        <f t="shared" si="1114"/>
        <v>3.0756958328204895</v>
      </c>
      <c r="CH145" s="161">
        <f t="shared" si="1114"/>
        <v>2.0558864785883979</v>
      </c>
      <c r="CI145" s="161">
        <f t="shared" si="1114"/>
        <v>1.9133122268971803</v>
      </c>
      <c r="CJ145" s="161">
        <f t="shared" si="1118"/>
        <v>2.3865632575157787</v>
      </c>
      <c r="CK145" s="161">
        <f t="shared" ref="CK145" si="1122">+CK128/CK$141</f>
        <v>1.8273394905843401</v>
      </c>
      <c r="CL145" s="161">
        <f t="shared" si="1118"/>
        <v>1.4838104162197387</v>
      </c>
      <c r="CM145" s="94">
        <f t="shared" ref="CM145:DB145" si="1123">+CL145</f>
        <v>1.4838104162197387</v>
      </c>
      <c r="CN145" s="94">
        <f t="shared" si="1123"/>
        <v>1.4838104162197387</v>
      </c>
      <c r="CO145" s="94">
        <f t="shared" si="1123"/>
        <v>1.4838104162197387</v>
      </c>
      <c r="CP145" s="94">
        <f t="shared" si="1123"/>
        <v>1.4838104162197387</v>
      </c>
      <c r="CQ145" s="94">
        <f t="shared" si="1123"/>
        <v>1.4838104162197387</v>
      </c>
      <c r="CR145" s="94">
        <f t="shared" si="1123"/>
        <v>1.4838104162197387</v>
      </c>
      <c r="CS145" s="94">
        <f t="shared" si="1123"/>
        <v>1.4838104162197387</v>
      </c>
      <c r="CT145" s="94">
        <f t="shared" si="1123"/>
        <v>1.4838104162197387</v>
      </c>
      <c r="CU145" s="94">
        <f t="shared" si="1123"/>
        <v>1.4838104162197387</v>
      </c>
      <c r="CV145" s="94">
        <f t="shared" si="1123"/>
        <v>1.4838104162197387</v>
      </c>
      <c r="CW145" s="94">
        <f t="shared" si="1123"/>
        <v>1.4838104162197387</v>
      </c>
      <c r="CX145" s="94">
        <f t="shared" si="1123"/>
        <v>1.4838104162197387</v>
      </c>
      <c r="CY145" s="94">
        <f t="shared" si="1123"/>
        <v>1.4838104162197387</v>
      </c>
      <c r="CZ145" s="94">
        <f t="shared" si="1123"/>
        <v>1.4838104162197387</v>
      </c>
      <c r="DA145" s="94">
        <f t="shared" si="1123"/>
        <v>1.4838104162197387</v>
      </c>
      <c r="DB145" s="94">
        <f t="shared" si="1123"/>
        <v>1.4838104162197387</v>
      </c>
      <c r="DC145" s="94"/>
      <c r="DE145" s="22"/>
      <c r="DF145" s="161">
        <v>1.493381698236754</v>
      </c>
    </row>
    <row r="146" spans="1:110" s="4" customFormat="1" x14ac:dyDescent="0.2">
      <c r="A146" s="3"/>
      <c r="AB146" s="17"/>
      <c r="AC146" s="17"/>
      <c r="AD146" s="17"/>
      <c r="AE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E146" s="119"/>
    </row>
    <row r="147" spans="1:110" s="176" customFormat="1" x14ac:dyDescent="0.2">
      <c r="A147" s="176" t="s">
        <v>510</v>
      </c>
      <c r="E147" s="176">
        <f t="shared" ref="E147:Y147" si="1124">+E59</f>
        <v>70.905993999999993</v>
      </c>
      <c r="F147" s="176">
        <f t="shared" si="1124"/>
        <v>87.726872700000001</v>
      </c>
      <c r="G147" s="176">
        <f t="shared" si="1124"/>
        <v>128.613979</v>
      </c>
      <c r="H147" s="176">
        <f t="shared" si="1124"/>
        <v>175.5051129</v>
      </c>
      <c r="I147" s="176">
        <f t="shared" si="1124"/>
        <v>217.81951800000002</v>
      </c>
      <c r="J147" s="176">
        <f t="shared" si="1124"/>
        <v>251.68680639999999</v>
      </c>
      <c r="K147" s="176">
        <f t="shared" si="1124"/>
        <v>261.89582910000001</v>
      </c>
      <c r="L147" s="176">
        <f t="shared" si="1124"/>
        <v>346.7696699</v>
      </c>
      <c r="M147" s="176">
        <f t="shared" si="1124"/>
        <v>449.52356460000004</v>
      </c>
      <c r="N147" s="176">
        <f t="shared" si="1124"/>
        <v>511.79597789999997</v>
      </c>
      <c r="O147" s="176">
        <f t="shared" si="1124"/>
        <v>610.12630000000001</v>
      </c>
      <c r="P147" s="176">
        <f t="shared" si="1124"/>
        <v>618.77493589999995</v>
      </c>
      <c r="Q147" s="176">
        <f t="shared" si="1124"/>
        <v>643.14514020000001</v>
      </c>
      <c r="R147" s="176">
        <f t="shared" si="1124"/>
        <v>670.48458019999998</v>
      </c>
      <c r="S147" s="176">
        <f t="shared" si="1124"/>
        <v>861.23362299999997</v>
      </c>
      <c r="T147" s="176">
        <f t="shared" si="1124"/>
        <v>943.05127170000003</v>
      </c>
      <c r="U147" s="176">
        <f t="shared" si="1124"/>
        <v>935.77183890000003</v>
      </c>
      <c r="V147" s="176">
        <f t="shared" si="1124"/>
        <v>1311.4550999999999</v>
      </c>
      <c r="W147" s="176">
        <f t="shared" si="1124"/>
        <v>2322.8836000000001</v>
      </c>
      <c r="X147" s="176">
        <f t="shared" si="1124"/>
        <v>2355.3956000000003</v>
      </c>
      <c r="Y147" s="176">
        <f t="shared" si="1124"/>
        <v>1641.5130000000001</v>
      </c>
      <c r="Z147" s="176">
        <f>+Z59</f>
        <v>1397.0844</v>
      </c>
      <c r="AA147" s="176">
        <f>+AA59</f>
        <v>1291.5447000000001</v>
      </c>
      <c r="AB147" s="177">
        <f t="shared" ref="AA147:AE147" si="1125">+AB59</f>
        <v>1938.8986286618783</v>
      </c>
      <c r="AC147" s="177">
        <f t="shared" si="1125"/>
        <v>2932.1458359546518</v>
      </c>
      <c r="AD147" s="177">
        <f t="shared" si="1125"/>
        <v>4053.6394140488819</v>
      </c>
      <c r="AE147" s="177">
        <f t="shared" si="1125"/>
        <v>5648.3674289227565</v>
      </c>
      <c r="AL147" s="176">
        <f t="shared" ref="AL147:BQ147" si="1126">+SUM(AI57:AL57)</f>
        <v>511.79599999999994</v>
      </c>
      <c r="AM147" s="176">
        <f t="shared" si="1126"/>
        <v>515.33699999999999</v>
      </c>
      <c r="AN147" s="176">
        <f t="shared" si="1126"/>
        <v>550.34</v>
      </c>
      <c r="AO147" s="176">
        <f t="shared" si="1126"/>
        <v>580.10400000000004</v>
      </c>
      <c r="AP147" s="176">
        <f t="shared" si="1126"/>
        <v>610.12400000000002</v>
      </c>
      <c r="AQ147" s="176">
        <f t="shared" si="1126"/>
        <v>634.49400000000003</v>
      </c>
      <c r="AR147" s="176">
        <f t="shared" si="1126"/>
        <v>623.93000000000006</v>
      </c>
      <c r="AS147" s="176">
        <f t="shared" si="1126"/>
        <v>628.096</v>
      </c>
      <c r="AT147" s="176">
        <f t="shared" si="1126"/>
        <v>604.86599999999999</v>
      </c>
      <c r="AU147" s="176">
        <f t="shared" si="1126"/>
        <v>600.03199999999993</v>
      </c>
      <c r="AV147" s="176">
        <f t="shared" si="1126"/>
        <v>622.76400000000001</v>
      </c>
      <c r="AW147" s="176">
        <f t="shared" si="1126"/>
        <v>643.38499999999999</v>
      </c>
      <c r="AX147" s="176">
        <f t="shared" si="1126"/>
        <v>675.05</v>
      </c>
      <c r="AY147" s="176">
        <f t="shared" si="1126"/>
        <v>697.20600000000002</v>
      </c>
      <c r="AZ147" s="176">
        <f t="shared" si="1126"/>
        <v>696.17499999999995</v>
      </c>
      <c r="BA147" s="176">
        <f t="shared" si="1126"/>
        <v>714.09799999999996</v>
      </c>
      <c r="BB147" s="176">
        <f t="shared" si="1126"/>
        <v>727.30399999999997</v>
      </c>
      <c r="BC147" s="176">
        <f t="shared" si="1126"/>
        <v>745.58299999999997</v>
      </c>
      <c r="BD147" s="176">
        <f t="shared" si="1126"/>
        <v>774.62400000000002</v>
      </c>
      <c r="BE147" s="176">
        <f t="shared" si="1126"/>
        <v>813.24099999999999</v>
      </c>
      <c r="BF147" s="176">
        <f t="shared" si="1126"/>
        <v>875.43700000000001</v>
      </c>
      <c r="BG147" s="176">
        <f t="shared" si="1126"/>
        <v>935.25299999999993</v>
      </c>
      <c r="BH147" s="176">
        <f t="shared" si="1126"/>
        <v>950.40199999999993</v>
      </c>
      <c r="BI147" s="176">
        <f t="shared" si="1126"/>
        <v>970.37899999999991</v>
      </c>
      <c r="BJ147" s="176">
        <f t="shared" si="1126"/>
        <v>941.66300000000001</v>
      </c>
      <c r="BK147" s="176">
        <f t="shared" si="1126"/>
        <v>904.75299999999993</v>
      </c>
      <c r="BL147" s="176">
        <f t="shared" si="1126"/>
        <v>915.66499999999996</v>
      </c>
      <c r="BM147" s="176">
        <f t="shared" si="1126"/>
        <v>904.36599999999999</v>
      </c>
      <c r="BN147" s="176">
        <f t="shared" si="1126"/>
        <v>935.77199999999993</v>
      </c>
      <c r="BO147" s="176">
        <f t="shared" si="1126"/>
        <v>935.70499999999993</v>
      </c>
      <c r="BP147" s="176">
        <f t="shared" si="1126"/>
        <v>990.83699999999999</v>
      </c>
      <c r="BQ147" s="176">
        <f t="shared" si="1126"/>
        <v>1155.4490000000001</v>
      </c>
      <c r="BR147" s="176">
        <f t="shared" ref="BR147:CW147" si="1127">+SUM(BO57:BR57)</f>
        <v>1311.4560000000001</v>
      </c>
      <c r="BS147" s="176">
        <f t="shared" si="1127"/>
        <v>1539.2269999999999</v>
      </c>
      <c r="BT147" s="176">
        <f t="shared" si="1127"/>
        <v>1782.575</v>
      </c>
      <c r="BU147" s="176">
        <f t="shared" si="1127"/>
        <v>1955.3429999999998</v>
      </c>
      <c r="BV147" s="176">
        <f t="shared" si="1127"/>
        <v>2321.6750000000002</v>
      </c>
      <c r="BW147" s="176">
        <f t="shared" si="1127"/>
        <v>2541.1660000000002</v>
      </c>
      <c r="BX147" s="176">
        <f t="shared" si="1127"/>
        <v>2642.991</v>
      </c>
      <c r="BY147" s="176">
        <f t="shared" si="1127"/>
        <v>2664.0439999999999</v>
      </c>
      <c r="BZ147" s="176">
        <f t="shared" si="1127"/>
        <v>2355.0729999999999</v>
      </c>
      <c r="CA147" s="176">
        <f t="shared" si="1127"/>
        <v>2148.5739999999996</v>
      </c>
      <c r="CB147" s="176">
        <f t="shared" si="1127"/>
        <v>1901.56</v>
      </c>
      <c r="CC147" s="176">
        <f t="shared" si="1127"/>
        <v>1698.97</v>
      </c>
      <c r="CD147" s="176">
        <f t="shared" si="1127"/>
        <v>1641.5120000000002</v>
      </c>
      <c r="CE147" s="176">
        <f t="shared" si="1127"/>
        <v>1562.585</v>
      </c>
      <c r="CF147" s="176">
        <f t="shared" si="1127"/>
        <v>1528.9240000000002</v>
      </c>
      <c r="CG147" s="176">
        <f t="shared" si="1127"/>
        <v>1458.2940000000001</v>
      </c>
      <c r="CH147" s="176">
        <f t="shared" si="1127"/>
        <v>1397.085</v>
      </c>
      <c r="CI147" s="176">
        <f t="shared" si="1127"/>
        <v>1370.6799999999998</v>
      </c>
      <c r="CJ147" s="176">
        <f t="shared" si="1127"/>
        <v>1364.3490000000002</v>
      </c>
      <c r="CK147" s="176">
        <f t="shared" si="1127"/>
        <v>1382.922</v>
      </c>
      <c r="CL147" s="176">
        <f t="shared" si="1127"/>
        <v>1424.98</v>
      </c>
      <c r="CM147" s="177">
        <f t="shared" si="1127"/>
        <v>1525.4298449785638</v>
      </c>
      <c r="CN147" s="177">
        <f t="shared" si="1127"/>
        <v>1657.6078101402238</v>
      </c>
      <c r="CO147" s="177">
        <f t="shared" si="1127"/>
        <v>1785.035503216284</v>
      </c>
      <c r="CP147" s="177">
        <f t="shared" si="1127"/>
        <v>1938.8986286618783</v>
      </c>
      <c r="CQ147" s="177">
        <f t="shared" si="1127"/>
        <v>2173.8079376124074</v>
      </c>
      <c r="CR147" s="177">
        <f t="shared" si="1127"/>
        <v>2416.611380365046</v>
      </c>
      <c r="CS147" s="177">
        <f t="shared" si="1127"/>
        <v>2649.0074235771199</v>
      </c>
      <c r="CT147" s="177">
        <f t="shared" si="1127"/>
        <v>2932.1458359546518</v>
      </c>
      <c r="CU147" s="177">
        <f t="shared" si="1127"/>
        <v>3197.3207554228738</v>
      </c>
      <c r="CV147" s="177">
        <f t="shared" si="1127"/>
        <v>3471.3394912827293</v>
      </c>
      <c r="CW147" s="177">
        <f t="shared" si="1127"/>
        <v>3734.1823366928356</v>
      </c>
      <c r="CX147" s="177">
        <f t="shared" ref="CX147:DB147" si="1128">+SUM(CU57:CX57)</f>
        <v>4053.6394140488819</v>
      </c>
      <c r="CY147" s="177">
        <f t="shared" si="1128"/>
        <v>4430.711144572887</v>
      </c>
      <c r="CZ147" s="177">
        <f t="shared" si="1128"/>
        <v>4820.5059928730361</v>
      </c>
      <c r="DA147" s="177">
        <f t="shared" si="1128"/>
        <v>5193.6873317285426</v>
      </c>
      <c r="DB147" s="177">
        <f t="shared" si="1128"/>
        <v>5648.3674289227565</v>
      </c>
      <c r="DE147" s="178"/>
      <c r="DF147" s="176">
        <v>1470.9676641929498</v>
      </c>
    </row>
    <row r="148" spans="1:110" s="162" customFormat="1" x14ac:dyDescent="0.2">
      <c r="A148" s="162" t="s">
        <v>511</v>
      </c>
      <c r="E148" s="162" t="e">
        <f t="shared" ref="E148:AE148" ca="1" si="1129">+E147/E114</f>
        <v>#DIV/0!</v>
      </c>
      <c r="F148" s="162" t="e">
        <f t="shared" ca="1" si="1129"/>
        <v>#DIV/0!</v>
      </c>
      <c r="G148" s="162" t="e">
        <f t="shared" ca="1" si="1129"/>
        <v>#DIV/0!</v>
      </c>
      <c r="H148" s="162" t="e">
        <f t="shared" ca="1" si="1129"/>
        <v>#DIV/0!</v>
      </c>
      <c r="I148" s="162" t="e">
        <f t="shared" ca="1" si="1129"/>
        <v>#DIV/0!</v>
      </c>
      <c r="J148" s="162" t="e">
        <f t="shared" ca="1" si="1129"/>
        <v>#DIV/0!</v>
      </c>
      <c r="K148" s="162" t="e">
        <f t="shared" ca="1" si="1129"/>
        <v>#DIV/0!</v>
      </c>
      <c r="L148" s="162" t="e">
        <f t="shared" ca="1" si="1129"/>
        <v>#DIV/0!</v>
      </c>
      <c r="M148" s="162" t="e">
        <f t="shared" ca="1" si="1129"/>
        <v>#DIV/0!</v>
      </c>
      <c r="N148" s="162" t="e">
        <f t="shared" ca="1" si="1129"/>
        <v>#DIV/0!</v>
      </c>
      <c r="O148" s="162" t="e">
        <f t="shared" ca="1" si="1129"/>
        <v>#DIV/0!</v>
      </c>
      <c r="P148" s="162" t="e">
        <f t="shared" ca="1" si="1129"/>
        <v>#DIV/0!</v>
      </c>
      <c r="Q148" s="162" t="e">
        <f t="shared" ca="1" si="1129"/>
        <v>#DIV/0!</v>
      </c>
      <c r="R148" s="162" t="e">
        <f t="shared" ca="1" si="1129"/>
        <v>#DIV/0!</v>
      </c>
      <c r="S148" s="162" t="e">
        <f t="shared" ca="1" si="1129"/>
        <v>#DIV/0!</v>
      </c>
      <c r="T148" s="162" t="e">
        <f t="shared" ca="1" si="1129"/>
        <v>#DIV/0!</v>
      </c>
      <c r="U148" s="162" t="e">
        <f t="shared" ca="1" si="1129"/>
        <v>#DIV/0!</v>
      </c>
      <c r="V148" s="162" t="e">
        <f t="shared" ca="1" si="1129"/>
        <v>#DIV/0!</v>
      </c>
      <c r="W148" s="162" t="e">
        <f t="shared" ca="1" si="1129"/>
        <v>#DIV/0!</v>
      </c>
      <c r="X148" s="162" t="e">
        <f t="shared" ca="1" si="1129"/>
        <v>#DIV/0!</v>
      </c>
      <c r="Y148" s="162" t="e">
        <f t="shared" ca="1" si="1129"/>
        <v>#DIV/0!</v>
      </c>
      <c r="Z148" s="162" t="e">
        <f t="shared" ref="Z148:AA148" ca="1" si="1130">+Z147/Z114</f>
        <v>#DIV/0!</v>
      </c>
      <c r="AA148" s="162" t="e">
        <f t="shared" ca="1" si="1130"/>
        <v>#DIV/0!</v>
      </c>
      <c r="AB148" s="94" t="e">
        <f t="shared" ca="1" si="1129"/>
        <v>#DIV/0!</v>
      </c>
      <c r="AC148" s="94" t="e">
        <f t="shared" ca="1" si="1129"/>
        <v>#DIV/0!</v>
      </c>
      <c r="AD148" s="94" t="e">
        <f t="shared" ca="1" si="1129"/>
        <v>#DIV/0!</v>
      </c>
      <c r="AE148" s="94" t="e">
        <f t="shared" ca="1" si="1129"/>
        <v>#DIV/0!</v>
      </c>
      <c r="AL148" s="162">
        <f t="shared" ref="AL148:BQ148" si="1131">+AL147/AL114</f>
        <v>157.9617283950617</v>
      </c>
      <c r="AM148" s="162">
        <f t="shared" si="1131"/>
        <v>159.0546296296296</v>
      </c>
      <c r="AN148" s="162">
        <f t="shared" si="1131"/>
        <v>169.85802469135803</v>
      </c>
      <c r="AO148" s="162">
        <f t="shared" si="1131"/>
        <v>179.04444444444445</v>
      </c>
      <c r="AP148" s="162">
        <f t="shared" si="1131"/>
        <v>188.30987654320987</v>
      </c>
      <c r="AQ148" s="162">
        <f t="shared" si="1131"/>
        <v>195.83148148148149</v>
      </c>
      <c r="AR148" s="162">
        <f t="shared" si="1131"/>
        <v>192.57098765432099</v>
      </c>
      <c r="AS148" s="162">
        <f t="shared" si="1131"/>
        <v>193.85679012345679</v>
      </c>
      <c r="AT148" s="162">
        <f t="shared" si="1131"/>
        <v>186.68703703703702</v>
      </c>
      <c r="AU148" s="162">
        <f t="shared" si="1131"/>
        <v>185.19506172839502</v>
      </c>
      <c r="AV148" s="162">
        <f t="shared" si="1131"/>
        <v>192.21111111111111</v>
      </c>
      <c r="AW148" s="162">
        <f t="shared" si="1131"/>
        <v>198.57561728395061</v>
      </c>
      <c r="AX148" s="162">
        <f t="shared" si="1131"/>
        <v>208.34876543209873</v>
      </c>
      <c r="AY148" s="162">
        <f t="shared" si="1131"/>
        <v>215.18703703703702</v>
      </c>
      <c r="AZ148" s="162">
        <f t="shared" si="1131"/>
        <v>214.86882716049379</v>
      </c>
      <c r="BA148" s="162">
        <f t="shared" si="1131"/>
        <v>220.4006172839506</v>
      </c>
      <c r="BB148" s="162">
        <f t="shared" si="1131"/>
        <v>224.47654320987652</v>
      </c>
      <c r="BC148" s="162">
        <f t="shared" si="1131"/>
        <v>230.11820987654318</v>
      </c>
      <c r="BD148" s="162">
        <f t="shared" si="1131"/>
        <v>239.08148148148146</v>
      </c>
      <c r="BE148" s="162">
        <f t="shared" si="1131"/>
        <v>251.00030864197529</v>
      </c>
      <c r="BF148" s="162">
        <f t="shared" si="1131"/>
        <v>270.19660493827161</v>
      </c>
      <c r="BG148" s="162">
        <f t="shared" si="1131"/>
        <v>288.6583333333333</v>
      </c>
      <c r="BH148" s="162">
        <f t="shared" si="1131"/>
        <v>293.3339506172839</v>
      </c>
      <c r="BI148" s="162">
        <f t="shared" si="1131"/>
        <v>299.49969135802462</v>
      </c>
      <c r="BJ148" s="162">
        <f t="shared" si="1131"/>
        <v>290.63672839506171</v>
      </c>
      <c r="BK148" s="162">
        <f t="shared" si="1131"/>
        <v>279.24475308641973</v>
      </c>
      <c r="BL148" s="162">
        <f t="shared" si="1131"/>
        <v>282.61265432098764</v>
      </c>
      <c r="BM148" s="162">
        <f t="shared" si="1131"/>
        <v>279.12530864197527</v>
      </c>
      <c r="BN148" s="162">
        <f t="shared" si="1131"/>
        <v>288.81851851851849</v>
      </c>
      <c r="BO148" s="162">
        <f t="shared" si="1131"/>
        <v>288.79783950617281</v>
      </c>
      <c r="BP148" s="162">
        <f t="shared" si="1131"/>
        <v>305.81388888888887</v>
      </c>
      <c r="BQ148" s="162">
        <f t="shared" si="1131"/>
        <v>356.62006172839506</v>
      </c>
      <c r="BR148" s="162">
        <f t="shared" ref="BR148:CW148" si="1132">+BR147/BR114</f>
        <v>404.77037037037036</v>
      </c>
      <c r="BS148" s="162">
        <f t="shared" si="1132"/>
        <v>475.07006172839499</v>
      </c>
      <c r="BT148" s="162">
        <f t="shared" si="1132"/>
        <v>550.17746913580243</v>
      </c>
      <c r="BU148" s="162">
        <f t="shared" si="1132"/>
        <v>603.5009259259258</v>
      </c>
      <c r="BV148" s="162">
        <f t="shared" si="1132"/>
        <v>716.56635802469134</v>
      </c>
      <c r="BW148" s="162">
        <f t="shared" si="1132"/>
        <v>784.31049382716049</v>
      </c>
      <c r="BX148" s="162">
        <f t="shared" si="1132"/>
        <v>815.73796296296291</v>
      </c>
      <c r="BY148" s="162">
        <f t="shared" si="1132"/>
        <v>822.23580246913571</v>
      </c>
      <c r="BZ148" s="162">
        <f t="shared" si="1132"/>
        <v>726.87438271604924</v>
      </c>
      <c r="CA148" s="162">
        <f t="shared" si="1132"/>
        <v>663.14012345678998</v>
      </c>
      <c r="CB148" s="162">
        <f t="shared" si="1132"/>
        <v>586.90123456790116</v>
      </c>
      <c r="CC148" s="162">
        <f t="shared" si="1132"/>
        <v>524.37345679012344</v>
      </c>
      <c r="CD148" s="162">
        <f t="shared" si="1132"/>
        <v>506.6395061728395</v>
      </c>
      <c r="CE148" s="162">
        <f t="shared" si="1132"/>
        <v>482.27932098765427</v>
      </c>
      <c r="CF148" s="162">
        <f t="shared" si="1132"/>
        <v>471.89012345679015</v>
      </c>
      <c r="CG148" s="162">
        <f t="shared" si="1132"/>
        <v>450.09074074074073</v>
      </c>
      <c r="CH148" s="162">
        <f t="shared" si="1132"/>
        <v>431.19907407407408</v>
      </c>
      <c r="CI148" s="162">
        <f t="shared" si="1132"/>
        <v>423.04938271604931</v>
      </c>
      <c r="CJ148" s="162">
        <f t="shared" si="1132"/>
        <v>421.0953703703704</v>
      </c>
      <c r="CK148" s="162">
        <f t="shared" ref="CK148:CL148" si="1133">+CK147/CK114</f>
        <v>426.82777777777778</v>
      </c>
      <c r="CL148" s="162">
        <f t="shared" si="1133"/>
        <v>439.8086419753086</v>
      </c>
      <c r="CM148" s="50">
        <f t="shared" si="1132"/>
        <v>470.81168054893942</v>
      </c>
      <c r="CN148" s="50">
        <f t="shared" si="1132"/>
        <v>511.60734880871104</v>
      </c>
      <c r="CO148" s="50">
        <f t="shared" si="1132"/>
        <v>550.93688370872962</v>
      </c>
      <c r="CP148" s="50">
        <f t="shared" si="1132"/>
        <v>598.42550267341915</v>
      </c>
      <c r="CQ148" s="50">
        <f t="shared" si="1132"/>
        <v>670.9283758062985</v>
      </c>
      <c r="CR148" s="50">
        <f t="shared" si="1132"/>
        <v>745.86770998921168</v>
      </c>
      <c r="CS148" s="50">
        <f t="shared" si="1132"/>
        <v>817.59488382009863</v>
      </c>
      <c r="CT148" s="50">
        <f t="shared" si="1132"/>
        <v>904.98328270205297</v>
      </c>
      <c r="CU148" s="50">
        <f t="shared" si="1132"/>
        <v>986.82739364903512</v>
      </c>
      <c r="CV148" s="50">
        <f t="shared" si="1132"/>
        <v>1071.4010775563979</v>
      </c>
      <c r="CW148" s="50">
        <f t="shared" si="1132"/>
        <v>1152.525412559517</v>
      </c>
      <c r="CX148" s="50">
        <f t="shared" ref="CX148:DB148" si="1134">+CX147/CX114</f>
        <v>1251.1232759410129</v>
      </c>
      <c r="CY148" s="50">
        <f t="shared" si="1134"/>
        <v>1367.5034396829897</v>
      </c>
      <c r="CZ148" s="50">
        <f t="shared" si="1134"/>
        <v>1487.8104916274801</v>
      </c>
      <c r="DA148" s="50">
        <f t="shared" si="1134"/>
        <v>1602.9899172001674</v>
      </c>
      <c r="DB148" s="50">
        <f t="shared" si="1134"/>
        <v>1743.3232805317148</v>
      </c>
      <c r="DE148" s="163"/>
      <c r="DF148" s="162">
        <v>454.00236549165112</v>
      </c>
    </row>
    <row r="149" spans="1:110" s="162" customFormat="1" x14ac:dyDescent="0.2">
      <c r="AB149" s="94"/>
      <c r="AC149" s="94"/>
      <c r="AD149" s="94"/>
      <c r="AE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E149" s="163"/>
    </row>
    <row r="150" spans="1:110" s="162" customFormat="1" x14ac:dyDescent="0.2">
      <c r="A150" s="162" t="s">
        <v>506</v>
      </c>
      <c r="AB150" s="94"/>
      <c r="AC150" s="94"/>
      <c r="AD150" s="94"/>
      <c r="AE150" s="94"/>
      <c r="CM150" s="94"/>
      <c r="CN150" s="94"/>
      <c r="CO150" s="94"/>
      <c r="CP150" s="94"/>
      <c r="CQ150" s="94"/>
      <c r="CR150" s="94"/>
      <c r="CS150" s="94"/>
      <c r="CT150" s="94"/>
      <c r="CU150" s="94"/>
      <c r="CV150" s="94"/>
      <c r="CW150" s="94"/>
      <c r="CX150" s="94"/>
      <c r="CY150" s="94"/>
      <c r="CZ150" s="94"/>
      <c r="DA150" s="94"/>
      <c r="DB150" s="94"/>
      <c r="DE150" s="163"/>
    </row>
    <row r="151" spans="1:110" s="162" customFormat="1" x14ac:dyDescent="0.2">
      <c r="A151" s="162" t="s">
        <v>507</v>
      </c>
      <c r="E151" s="162" t="e">
        <f t="shared" ref="E151:AE153" ca="1" si="1135">+E126/E$148</f>
        <v>#DIV/0!</v>
      </c>
      <c r="F151" s="162" t="e">
        <f t="shared" ca="1" si="1135"/>
        <v>#DIV/0!</v>
      </c>
      <c r="G151" s="162" t="e">
        <f t="shared" ca="1" si="1135"/>
        <v>#DIV/0!</v>
      </c>
      <c r="H151" s="162" t="e">
        <f t="shared" ca="1" si="1135"/>
        <v>#DIV/0!</v>
      </c>
      <c r="I151" s="162" t="e">
        <f t="shared" ca="1" si="1135"/>
        <v>#DIV/0!</v>
      </c>
      <c r="J151" s="162" t="e">
        <f t="shared" ca="1" si="1135"/>
        <v>#DIV/0!</v>
      </c>
      <c r="K151" s="162" t="e">
        <f t="shared" ca="1" si="1135"/>
        <v>#DIV/0!</v>
      </c>
      <c r="L151" s="162" t="e">
        <f t="shared" ca="1" si="1135"/>
        <v>#DIV/0!</v>
      </c>
      <c r="M151" s="162" t="e">
        <f t="shared" ca="1" si="1135"/>
        <v>#DIV/0!</v>
      </c>
      <c r="N151" s="162" t="e">
        <f t="shared" ca="1" si="1135"/>
        <v>#DIV/0!</v>
      </c>
      <c r="O151" s="162" t="e">
        <f t="shared" ca="1" si="1135"/>
        <v>#DIV/0!</v>
      </c>
      <c r="P151" s="162" t="e">
        <f t="shared" ca="1" si="1135"/>
        <v>#DIV/0!</v>
      </c>
      <c r="Q151" s="162" t="e">
        <f t="shared" ca="1" si="1135"/>
        <v>#DIV/0!</v>
      </c>
      <c r="R151" s="162" t="e">
        <f t="shared" ca="1" si="1135"/>
        <v>#DIV/0!</v>
      </c>
      <c r="S151" s="162" t="e">
        <f t="shared" ca="1" si="1135"/>
        <v>#DIV/0!</v>
      </c>
      <c r="T151" s="162" t="e">
        <f t="shared" ca="1" si="1135"/>
        <v>#DIV/0!</v>
      </c>
      <c r="U151" s="162" t="e">
        <f t="shared" ca="1" si="1135"/>
        <v>#DIV/0!</v>
      </c>
      <c r="V151" s="162" t="e">
        <f t="shared" ca="1" si="1135"/>
        <v>#DIV/0!</v>
      </c>
      <c r="W151" s="162" t="e">
        <f t="shared" ca="1" si="1135"/>
        <v>#DIV/0!</v>
      </c>
      <c r="X151" s="162" t="e">
        <f t="shared" ca="1" si="1135"/>
        <v>#DIV/0!</v>
      </c>
      <c r="Y151" s="162" t="e">
        <f t="shared" ca="1" si="1135"/>
        <v>#DIV/0!</v>
      </c>
      <c r="Z151" s="162" t="e">
        <f ca="1">+Z126/Z$148</f>
        <v>#DIV/0!</v>
      </c>
      <c r="AA151" s="162" t="e">
        <f ca="1">+AA126/AA$148</f>
        <v>#DIV/0!</v>
      </c>
      <c r="AB151" s="50" t="e">
        <f t="shared" ref="AA151:AE151" ca="1" si="1136">+AB126/AB$148</f>
        <v>#DIV/0!</v>
      </c>
      <c r="AC151" s="50" t="e">
        <f t="shared" ca="1" si="1136"/>
        <v>#DIV/0!</v>
      </c>
      <c r="AD151" s="50" t="e">
        <f t="shared" ca="1" si="1136"/>
        <v>#DIV/0!</v>
      </c>
      <c r="AE151" s="50" t="e">
        <f t="shared" ca="1" si="1136"/>
        <v>#DIV/0!</v>
      </c>
      <c r="AL151" s="162">
        <f t="shared" ref="AL151:BQ151" si="1137">+AL126/AL148</f>
        <v>0.22283878732932658</v>
      </c>
      <c r="AM151" s="162">
        <f t="shared" si="1137"/>
        <v>0.21030510132204758</v>
      </c>
      <c r="AN151" s="162">
        <f t="shared" si="1137"/>
        <v>0.18927572046371333</v>
      </c>
      <c r="AO151" s="162">
        <f t="shared" si="1137"/>
        <v>0.27814322948988457</v>
      </c>
      <c r="AP151" s="162">
        <f t="shared" si="1137"/>
        <v>0.2121503169847441</v>
      </c>
      <c r="AQ151" s="162">
        <f t="shared" si="1137"/>
        <v>0.31098166412921158</v>
      </c>
      <c r="AR151" s="162">
        <f t="shared" si="1137"/>
        <v>0.40790152741493435</v>
      </c>
      <c r="AS151" s="162">
        <f t="shared" si="1137"/>
        <v>0.36496013348277972</v>
      </c>
      <c r="AT151" s="162">
        <f t="shared" si="1137"/>
        <v>0.43414905119481012</v>
      </c>
      <c r="AU151" s="162">
        <f t="shared" si="1137"/>
        <v>0.62150685296784181</v>
      </c>
      <c r="AV151" s="162">
        <f t="shared" si="1137"/>
        <v>0.65448869876871496</v>
      </c>
      <c r="AW151" s="162">
        <f t="shared" si="1137"/>
        <v>0.82890337822610105</v>
      </c>
      <c r="AX151" s="162">
        <f t="shared" si="1137"/>
        <v>0.85673653803421979</v>
      </c>
      <c r="AY151" s="162">
        <f t="shared" si="1137"/>
        <v>1.2914346692369256</v>
      </c>
      <c r="AZ151" s="162">
        <f t="shared" si="1137"/>
        <v>1.3771192588070529</v>
      </c>
      <c r="BA151" s="162">
        <f t="shared" si="1137"/>
        <v>1.4523552789673129</v>
      </c>
      <c r="BB151" s="162">
        <f t="shared" si="1137"/>
        <v>1.6910452850527429</v>
      </c>
      <c r="BC151" s="162">
        <f t="shared" si="1137"/>
        <v>1.461422806045739</v>
      </c>
      <c r="BD151" s="162">
        <f t="shared" si="1137"/>
        <v>1.4097704176477881</v>
      </c>
      <c r="BE151" s="162">
        <f t="shared" si="1137"/>
        <v>2.5340606290140313</v>
      </c>
      <c r="BF151" s="162">
        <f t="shared" si="1137"/>
        <v>2.0827426759435572</v>
      </c>
      <c r="BG151" s="162">
        <f t="shared" si="1137"/>
        <v>1.902075695025838</v>
      </c>
      <c r="BH151" s="162">
        <f t="shared" si="1137"/>
        <v>1.6005648136262343</v>
      </c>
      <c r="BI151" s="162">
        <f t="shared" si="1137"/>
        <v>1.5337244519924693</v>
      </c>
      <c r="BJ151" s="162">
        <f t="shared" si="1137"/>
        <v>1.6828568182035402</v>
      </c>
      <c r="BK151" s="162">
        <f t="shared" si="1137"/>
        <v>1.35293499993921</v>
      </c>
      <c r="BL151" s="162">
        <f t="shared" si="1137"/>
        <v>1.1781142666805</v>
      </c>
      <c r="BM151" s="162">
        <f t="shared" si="1137"/>
        <v>1.426599407761902</v>
      </c>
      <c r="BN151" s="162">
        <f t="shared" si="1137"/>
        <v>0.86888472833126018</v>
      </c>
      <c r="BO151" s="162">
        <f t="shared" si="1137"/>
        <v>1.70932719179656</v>
      </c>
      <c r="BP151" s="162">
        <f t="shared" si="1137"/>
        <v>2.6418028394175832</v>
      </c>
      <c r="BQ151" s="162">
        <f t="shared" si="1137"/>
        <v>2.5950587174336559</v>
      </c>
      <c r="BR151" s="162">
        <f t="shared" ref="BR151:DB151" si="1138">+BR126/BR148</f>
        <v>4.3551853817436497</v>
      </c>
      <c r="BS151" s="162">
        <f t="shared" si="1138"/>
        <v>5.6135930567746026</v>
      </c>
      <c r="BT151" s="162">
        <f t="shared" si="1138"/>
        <v>8.2084422815309335</v>
      </c>
      <c r="BU151" s="162">
        <f t="shared" si="1138"/>
        <v>5.6656085402919087</v>
      </c>
      <c r="BV151" s="162">
        <f t="shared" si="1138"/>
        <v>4.0500784993592989</v>
      </c>
      <c r="BW151" s="162">
        <f t="shared" si="1138"/>
        <v>3.6502762904902708</v>
      </c>
      <c r="BX151" s="162">
        <f t="shared" si="1138"/>
        <v>3.8873390034245299</v>
      </c>
      <c r="BY151" s="162">
        <f t="shared" si="1138"/>
        <v>3.2925469699449414</v>
      </c>
      <c r="BZ151" s="162">
        <f t="shared" si="1138"/>
        <v>2.6726076006985777</v>
      </c>
      <c r="CA151" s="162">
        <f t="shared" si="1138"/>
        <v>3.4928515378106604</v>
      </c>
      <c r="CB151" s="162">
        <f t="shared" si="1138"/>
        <v>3.7025820904941216</v>
      </c>
      <c r="CC151" s="162">
        <f t="shared" si="1138"/>
        <v>5.0887396481397555</v>
      </c>
      <c r="CD151" s="162">
        <f t="shared" si="1138"/>
        <v>4.0342294177563129</v>
      </c>
      <c r="CE151" s="162">
        <f t="shared" si="1138"/>
        <v>4.7496334599397798</v>
      </c>
      <c r="CF151" s="162">
        <f t="shared" si="1138"/>
        <v>4.8379906391684608</v>
      </c>
      <c r="CG151" s="162">
        <f t="shared" si="1138"/>
        <v>3.9725322877279892</v>
      </c>
      <c r="CH151" s="162">
        <f t="shared" si="1138"/>
        <v>2.7997509099303191</v>
      </c>
      <c r="CI151" s="162">
        <f t="shared" si="1138"/>
        <v>4.3621385005982445</v>
      </c>
      <c r="CJ151" s="162">
        <f t="shared" si="1138"/>
        <v>3.3041208664352006</v>
      </c>
      <c r="CK151" s="162">
        <f t="shared" ref="CK151:CL151" si="1139">+CK126/CK148</f>
        <v>2.620729151752593</v>
      </c>
      <c r="CL151" s="162">
        <f t="shared" si="1139"/>
        <v>2.2214206515179162</v>
      </c>
      <c r="CM151" s="50">
        <f t="shared" si="1138"/>
        <v>4.6727812645491849</v>
      </c>
      <c r="CN151" s="50">
        <f t="shared" si="1138"/>
        <v>4.3001727890006824</v>
      </c>
      <c r="CO151" s="50">
        <f t="shared" si="1138"/>
        <v>3.9931978871886535</v>
      </c>
      <c r="CP151" s="50">
        <f t="shared" si="1138"/>
        <v>3.6763139107067997</v>
      </c>
      <c r="CQ151" s="50">
        <f t="shared" si="1138"/>
        <v>3.2790385372449276</v>
      </c>
      <c r="CR151" s="50">
        <f t="shared" si="1138"/>
        <v>2.9495847192953573</v>
      </c>
      <c r="CS151" s="50">
        <f t="shared" si="1138"/>
        <v>2.6908191862953021</v>
      </c>
      <c r="CT151" s="50">
        <f t="shared" si="1138"/>
        <v>2.4309841320287728</v>
      </c>
      <c r="CU151" s="50">
        <f t="shared" si="1138"/>
        <v>2.2293665682150992</v>
      </c>
      <c r="CV151" s="50">
        <f t="shared" si="1138"/>
        <v>2.053386025164039</v>
      </c>
      <c r="CW151" s="50">
        <f t="shared" si="1138"/>
        <v>1.9088516192578018</v>
      </c>
      <c r="CX151" s="50">
        <f t="shared" si="1138"/>
        <v>1.7584198474329431</v>
      </c>
      <c r="CY151" s="50">
        <f t="shared" si="1138"/>
        <v>1.608771090557547</v>
      </c>
      <c r="CZ151" s="50">
        <f t="shared" si="1138"/>
        <v>1.4786829454290733</v>
      </c>
      <c r="DA151" s="50">
        <f t="shared" si="1138"/>
        <v>1.3724353324957834</v>
      </c>
      <c r="DB151" s="50">
        <f t="shared" si="1138"/>
        <v>1.2619575637910363</v>
      </c>
      <c r="DE151" s="106"/>
      <c r="DF151" s="162">
        <v>2.1519711663660188</v>
      </c>
    </row>
    <row r="152" spans="1:110" s="162" customFormat="1" x14ac:dyDescent="0.2">
      <c r="A152" s="162" t="s">
        <v>508</v>
      </c>
      <c r="E152" s="162" t="e">
        <f t="shared" ca="1" si="1135"/>
        <v>#DIV/0!</v>
      </c>
      <c r="F152" s="162" t="e">
        <f t="shared" ca="1" si="1135"/>
        <v>#DIV/0!</v>
      </c>
      <c r="G152" s="162" t="e">
        <f t="shared" ca="1" si="1135"/>
        <v>#DIV/0!</v>
      </c>
      <c r="H152" s="162" t="e">
        <f t="shared" ca="1" si="1135"/>
        <v>#DIV/0!</v>
      </c>
      <c r="I152" s="162" t="e">
        <f t="shared" ca="1" si="1135"/>
        <v>#DIV/0!</v>
      </c>
      <c r="J152" s="162" t="e">
        <f t="shared" ca="1" si="1135"/>
        <v>#DIV/0!</v>
      </c>
      <c r="K152" s="162" t="e">
        <f t="shared" ca="1" si="1135"/>
        <v>#DIV/0!</v>
      </c>
      <c r="L152" s="162" t="e">
        <f t="shared" ca="1" si="1135"/>
        <v>#DIV/0!</v>
      </c>
      <c r="M152" s="162" t="e">
        <f t="shared" ca="1" si="1135"/>
        <v>#DIV/0!</v>
      </c>
      <c r="N152" s="162" t="e">
        <f t="shared" ca="1" si="1135"/>
        <v>#DIV/0!</v>
      </c>
      <c r="O152" s="162" t="e">
        <f t="shared" ca="1" si="1135"/>
        <v>#DIV/0!</v>
      </c>
      <c r="P152" s="162" t="e">
        <f t="shared" ca="1" si="1135"/>
        <v>#DIV/0!</v>
      </c>
      <c r="Q152" s="162" t="e">
        <f t="shared" ca="1" si="1135"/>
        <v>#DIV/0!</v>
      </c>
      <c r="R152" s="162" t="e">
        <f t="shared" ca="1" si="1135"/>
        <v>#DIV/0!</v>
      </c>
      <c r="S152" s="162" t="e">
        <f t="shared" ca="1" si="1135"/>
        <v>#DIV/0!</v>
      </c>
      <c r="T152" s="162" t="e">
        <f t="shared" ca="1" si="1135"/>
        <v>#DIV/0!</v>
      </c>
      <c r="U152" s="162" t="e">
        <f t="shared" ca="1" si="1135"/>
        <v>#DIV/0!</v>
      </c>
      <c r="V152" s="162" t="e">
        <f t="shared" ca="1" si="1135"/>
        <v>#DIV/0!</v>
      </c>
      <c r="W152" s="162" t="e">
        <f t="shared" ca="1" si="1135"/>
        <v>#DIV/0!</v>
      </c>
      <c r="X152" s="162" t="e">
        <f t="shared" ca="1" si="1135"/>
        <v>#DIV/0!</v>
      </c>
      <c r="Y152" s="162" t="e">
        <f t="shared" ca="1" si="1135"/>
        <v>#DIV/0!</v>
      </c>
      <c r="Z152" s="162" t="e">
        <f t="shared" ref="Z152:AA153" ca="1" si="1140">+Z127/Z$148</f>
        <v>#DIV/0!</v>
      </c>
      <c r="AA152" s="162" t="e">
        <f t="shared" ca="1" si="1140"/>
        <v>#DIV/0!</v>
      </c>
      <c r="AB152" s="94" t="e">
        <f t="shared" ca="1" si="1135"/>
        <v>#DIV/0!</v>
      </c>
      <c r="AC152" s="94" t="e">
        <f t="shared" ca="1" si="1135"/>
        <v>#DIV/0!</v>
      </c>
      <c r="AD152" s="94" t="e">
        <f t="shared" ca="1" si="1135"/>
        <v>#DIV/0!</v>
      </c>
      <c r="AE152" s="94" t="e">
        <f t="shared" ca="1" si="1135"/>
        <v>#DIV/0!</v>
      </c>
      <c r="AL152" s="162">
        <f t="shared" ref="AL152:BQ152" si="1141">+AL127/AL148</f>
        <v>0.35768157625303837</v>
      </c>
      <c r="AM152" s="162">
        <f t="shared" si="1141"/>
        <v>0.26280278730228962</v>
      </c>
      <c r="AN152" s="162">
        <f t="shared" si="1141"/>
        <v>0.24137805720100303</v>
      </c>
      <c r="AO152" s="162">
        <f t="shared" si="1141"/>
        <v>0.30606925654710188</v>
      </c>
      <c r="AP152" s="162">
        <f t="shared" si="1141"/>
        <v>0.28623034006202019</v>
      </c>
      <c r="AQ152" s="162">
        <f t="shared" si="1141"/>
        <v>0.33600317733501023</v>
      </c>
      <c r="AR152" s="162">
        <f t="shared" si="1141"/>
        <v>0.51409613257897524</v>
      </c>
      <c r="AS152" s="162">
        <f t="shared" si="1141"/>
        <v>0.44568983085388225</v>
      </c>
      <c r="AT152" s="162">
        <f t="shared" si="1141"/>
        <v>0.47726934560712625</v>
      </c>
      <c r="AU152" s="162">
        <f t="shared" si="1141"/>
        <v>0.69332302277211899</v>
      </c>
      <c r="AV152" s="162">
        <f t="shared" si="1141"/>
        <v>0.85114746517139717</v>
      </c>
      <c r="AW152" s="162">
        <f t="shared" si="1141"/>
        <v>0.84803966520823459</v>
      </c>
      <c r="AX152" s="162">
        <f t="shared" si="1141"/>
        <v>0.8874542626472115</v>
      </c>
      <c r="AY152" s="162">
        <f t="shared" si="1141"/>
        <v>1.3128114215884545</v>
      </c>
      <c r="AZ152" s="162">
        <f t="shared" si="1141"/>
        <v>1.5311667325026037</v>
      </c>
      <c r="BA152" s="162">
        <f t="shared" si="1141"/>
        <v>1.724133102179253</v>
      </c>
      <c r="BB152" s="162">
        <f t="shared" si="1141"/>
        <v>1.7819233772947765</v>
      </c>
      <c r="BC152" s="162">
        <f t="shared" si="1141"/>
        <v>1.7430172093516085</v>
      </c>
      <c r="BD152" s="162">
        <f t="shared" si="1141"/>
        <v>1.6312430288759452</v>
      </c>
      <c r="BE152" s="162">
        <f t="shared" si="1141"/>
        <v>2.689239721066695</v>
      </c>
      <c r="BF152" s="162">
        <f t="shared" si="1141"/>
        <v>2.8904878363605833</v>
      </c>
      <c r="BG152" s="162">
        <f t="shared" si="1141"/>
        <v>2.5187216721036982</v>
      </c>
      <c r="BH152" s="162">
        <f t="shared" si="1141"/>
        <v>2.0503934124717755</v>
      </c>
      <c r="BI152" s="162">
        <f t="shared" si="1141"/>
        <v>1.7362288343008252</v>
      </c>
      <c r="BJ152" s="162">
        <f t="shared" si="1141"/>
        <v>1.757348435693024</v>
      </c>
      <c r="BK152" s="162">
        <f t="shared" si="1141"/>
        <v>1.9302063657152837</v>
      </c>
      <c r="BL152" s="162">
        <f t="shared" si="1141"/>
        <v>1.3536195005815446</v>
      </c>
      <c r="BM152" s="162">
        <f t="shared" si="1141"/>
        <v>1.4860709049212379</v>
      </c>
      <c r="BN152" s="162">
        <f t="shared" si="1141"/>
        <v>1.6847950141701187</v>
      </c>
      <c r="BO152" s="162">
        <f t="shared" si="1141"/>
        <v>1.88349746982222</v>
      </c>
      <c r="BP152" s="162">
        <f t="shared" si="1141"/>
        <v>3.253612854586577</v>
      </c>
      <c r="BQ152" s="162">
        <f t="shared" si="1141"/>
        <v>2.95552637978829</v>
      </c>
      <c r="BR152" s="162">
        <f t="shared" ref="BR152:CJ152" si="1142">+BR127/BR148</f>
        <v>4.7081015299026427</v>
      </c>
      <c r="BS152" s="162">
        <f t="shared" si="1142"/>
        <v>6.2305546875152276</v>
      </c>
      <c r="BT152" s="162">
        <f t="shared" si="1142"/>
        <v>9.4878476361443429</v>
      </c>
      <c r="BU152" s="162">
        <f t="shared" si="1142"/>
        <v>7.9519347756378309</v>
      </c>
      <c r="BV152" s="162">
        <f t="shared" si="1142"/>
        <v>5.4941876016238274</v>
      </c>
      <c r="BW152" s="162">
        <f t="shared" si="1142"/>
        <v>4.4688934134960094</v>
      </c>
      <c r="BX152" s="162">
        <f t="shared" si="1142"/>
        <v>4.7096618944218882</v>
      </c>
      <c r="BY152" s="162">
        <f t="shared" si="1142"/>
        <v>3.9736168021248903</v>
      </c>
      <c r="BZ152" s="162">
        <f t="shared" si="1142"/>
        <v>3.7525741240292771</v>
      </c>
      <c r="CA152" s="162">
        <f t="shared" si="1142"/>
        <v>3.8433807725496081</v>
      </c>
      <c r="CB152" s="162">
        <f t="shared" si="1142"/>
        <v>4.0126001809041005</v>
      </c>
      <c r="CC152" s="162">
        <f t="shared" si="1142"/>
        <v>5.1894312436358501</v>
      </c>
      <c r="CD152" s="162">
        <f t="shared" si="1142"/>
        <v>5.4009803157089316</v>
      </c>
      <c r="CE152" s="162">
        <f t="shared" si="1142"/>
        <v>5.2013426469600059</v>
      </c>
      <c r="CF152" s="162">
        <f t="shared" si="1142"/>
        <v>5.4041181903090019</v>
      </c>
      <c r="CG152" s="162">
        <f t="shared" si="1142"/>
        <v>5.2656048780287108</v>
      </c>
      <c r="CH152" s="162">
        <f t="shared" si="1142"/>
        <v>4.5918465948743279</v>
      </c>
      <c r="CI152" s="162">
        <f t="shared" si="1142"/>
        <v>4.3882583827005579</v>
      </c>
      <c r="CJ152" s="162">
        <f t="shared" si="1142"/>
        <v>4.6212809185919435</v>
      </c>
      <c r="CK152" s="162">
        <f t="shared" ref="CK152:CL152" si="1143">+CK127/CK148</f>
        <v>3.4112119121685822</v>
      </c>
      <c r="CL152" s="162">
        <f t="shared" si="1143"/>
        <v>3.0329099355780436</v>
      </c>
      <c r="CM152" s="94">
        <f t="shared" ref="CM152:DB152" si="1144">+CL152</f>
        <v>3.0329099355780436</v>
      </c>
      <c r="CN152" s="94">
        <f t="shared" si="1144"/>
        <v>3.0329099355780436</v>
      </c>
      <c r="CO152" s="94">
        <f t="shared" si="1144"/>
        <v>3.0329099355780436</v>
      </c>
      <c r="CP152" s="94">
        <f t="shared" si="1144"/>
        <v>3.0329099355780436</v>
      </c>
      <c r="CQ152" s="94">
        <f t="shared" si="1144"/>
        <v>3.0329099355780436</v>
      </c>
      <c r="CR152" s="94">
        <f t="shared" si="1144"/>
        <v>3.0329099355780436</v>
      </c>
      <c r="CS152" s="94">
        <f t="shared" si="1144"/>
        <v>3.0329099355780436</v>
      </c>
      <c r="CT152" s="94">
        <f t="shared" si="1144"/>
        <v>3.0329099355780436</v>
      </c>
      <c r="CU152" s="94">
        <f t="shared" si="1144"/>
        <v>3.0329099355780436</v>
      </c>
      <c r="CV152" s="94">
        <f t="shared" si="1144"/>
        <v>3.0329099355780436</v>
      </c>
      <c r="CW152" s="94">
        <f t="shared" si="1144"/>
        <v>3.0329099355780436</v>
      </c>
      <c r="CX152" s="94">
        <f t="shared" si="1144"/>
        <v>3.0329099355780436</v>
      </c>
      <c r="CY152" s="94">
        <f t="shared" si="1144"/>
        <v>3.0329099355780436</v>
      </c>
      <c r="CZ152" s="94">
        <f t="shared" si="1144"/>
        <v>3.0329099355780436</v>
      </c>
      <c r="DA152" s="94">
        <f t="shared" si="1144"/>
        <v>3.0329099355780436</v>
      </c>
      <c r="DB152" s="94">
        <f t="shared" si="1144"/>
        <v>3.0329099355780436</v>
      </c>
      <c r="DE152" s="163"/>
      <c r="DF152" s="162">
        <v>2.9380904184397467</v>
      </c>
    </row>
    <row r="153" spans="1:110" s="162" customFormat="1" x14ac:dyDescent="0.2">
      <c r="A153" s="162" t="s">
        <v>509</v>
      </c>
      <c r="E153" s="162" t="e">
        <f t="shared" ca="1" si="1135"/>
        <v>#DIV/0!</v>
      </c>
      <c r="F153" s="162" t="e">
        <f t="shared" ca="1" si="1135"/>
        <v>#DIV/0!</v>
      </c>
      <c r="G153" s="162" t="e">
        <f t="shared" ca="1" si="1135"/>
        <v>#DIV/0!</v>
      </c>
      <c r="H153" s="162" t="e">
        <f t="shared" ca="1" si="1135"/>
        <v>#DIV/0!</v>
      </c>
      <c r="I153" s="162" t="e">
        <f t="shared" ca="1" si="1135"/>
        <v>#DIV/0!</v>
      </c>
      <c r="J153" s="162" t="e">
        <f t="shared" ca="1" si="1135"/>
        <v>#DIV/0!</v>
      </c>
      <c r="K153" s="162" t="e">
        <f t="shared" ca="1" si="1135"/>
        <v>#DIV/0!</v>
      </c>
      <c r="L153" s="162" t="e">
        <f t="shared" ca="1" si="1135"/>
        <v>#DIV/0!</v>
      </c>
      <c r="M153" s="162" t="e">
        <f t="shared" ca="1" si="1135"/>
        <v>#DIV/0!</v>
      </c>
      <c r="N153" s="162" t="e">
        <f t="shared" ca="1" si="1135"/>
        <v>#DIV/0!</v>
      </c>
      <c r="O153" s="162" t="e">
        <f t="shared" ca="1" si="1135"/>
        <v>#DIV/0!</v>
      </c>
      <c r="P153" s="162" t="e">
        <f t="shared" ca="1" si="1135"/>
        <v>#DIV/0!</v>
      </c>
      <c r="Q153" s="162" t="e">
        <f t="shared" ca="1" si="1135"/>
        <v>#DIV/0!</v>
      </c>
      <c r="R153" s="162" t="e">
        <f t="shared" ca="1" si="1135"/>
        <v>#DIV/0!</v>
      </c>
      <c r="S153" s="162" t="e">
        <f t="shared" ca="1" si="1135"/>
        <v>#DIV/0!</v>
      </c>
      <c r="T153" s="162" t="e">
        <f t="shared" ca="1" si="1135"/>
        <v>#DIV/0!</v>
      </c>
      <c r="U153" s="162" t="e">
        <f t="shared" ca="1" si="1135"/>
        <v>#DIV/0!</v>
      </c>
      <c r="V153" s="162" t="e">
        <f t="shared" ca="1" si="1135"/>
        <v>#DIV/0!</v>
      </c>
      <c r="W153" s="162" t="e">
        <f t="shared" ca="1" si="1135"/>
        <v>#DIV/0!</v>
      </c>
      <c r="X153" s="162" t="e">
        <f t="shared" ca="1" si="1135"/>
        <v>#DIV/0!</v>
      </c>
      <c r="Y153" s="162" t="e">
        <f t="shared" ca="1" si="1135"/>
        <v>#DIV/0!</v>
      </c>
      <c r="Z153" s="162" t="e">
        <f t="shared" ca="1" si="1140"/>
        <v>#DIV/0!</v>
      </c>
      <c r="AA153" s="162" t="e">
        <f t="shared" ca="1" si="1140"/>
        <v>#DIV/0!</v>
      </c>
      <c r="AB153" s="94" t="e">
        <f t="shared" ca="1" si="1135"/>
        <v>#DIV/0!</v>
      </c>
      <c r="AC153" s="94" t="e">
        <f t="shared" ca="1" si="1135"/>
        <v>#DIV/0!</v>
      </c>
      <c r="AD153" s="94" t="e">
        <f t="shared" ca="1" si="1135"/>
        <v>#DIV/0!</v>
      </c>
      <c r="AE153" s="94" t="e">
        <f t="shared" ca="1" si="1135"/>
        <v>#DIV/0!</v>
      </c>
      <c r="AL153" s="162">
        <f t="shared" ref="AL153:BQ153" si="1145">+AL128/AL148</f>
        <v>0.22062306075076793</v>
      </c>
      <c r="AM153" s="162">
        <f t="shared" si="1145"/>
        <v>0.19647337567455864</v>
      </c>
      <c r="AN153" s="162">
        <f t="shared" si="1145"/>
        <v>0.1671984591343533</v>
      </c>
      <c r="AO153" s="162">
        <f t="shared" si="1145"/>
        <v>0.17649249100161352</v>
      </c>
      <c r="AP153" s="162">
        <f t="shared" si="1145"/>
        <v>0.18639489677508181</v>
      </c>
      <c r="AQ153" s="162">
        <f t="shared" si="1145"/>
        <v>0.20170403502633594</v>
      </c>
      <c r="AR153" s="162">
        <f t="shared" si="1145"/>
        <v>0.31988203804914012</v>
      </c>
      <c r="AS153" s="162">
        <f t="shared" si="1145"/>
        <v>0.34561595679641327</v>
      </c>
      <c r="AT153" s="162">
        <f t="shared" si="1145"/>
        <v>0.37013817936534704</v>
      </c>
      <c r="AU153" s="162">
        <f t="shared" si="1145"/>
        <v>0.43602674524025398</v>
      </c>
      <c r="AV153" s="162">
        <f t="shared" si="1145"/>
        <v>0.55147696398635759</v>
      </c>
      <c r="AW153" s="162">
        <f t="shared" si="1145"/>
        <v>0.60077869393908778</v>
      </c>
      <c r="AX153" s="162">
        <f t="shared" si="1145"/>
        <v>0.55195911413969345</v>
      </c>
      <c r="AY153" s="162">
        <f t="shared" si="1145"/>
        <v>0.80441648522818221</v>
      </c>
      <c r="AZ153" s="162">
        <f t="shared" si="1145"/>
        <v>1.1597773548317594</v>
      </c>
      <c r="BA153" s="162">
        <f t="shared" si="1145"/>
        <v>1.2384266585258608</v>
      </c>
      <c r="BB153" s="162">
        <f t="shared" si="1145"/>
        <v>1.3809906174034519</v>
      </c>
      <c r="BC153" s="162">
        <f t="shared" si="1145"/>
        <v>1.3905896459549107</v>
      </c>
      <c r="BD153" s="162">
        <f t="shared" si="1145"/>
        <v>1.1339230387904327</v>
      </c>
      <c r="BE153" s="162">
        <f t="shared" si="1145"/>
        <v>1.3426278311103352</v>
      </c>
      <c r="BF153" s="162">
        <f t="shared" si="1145"/>
        <v>2.024451788078411</v>
      </c>
      <c r="BG153" s="162">
        <f t="shared" si="1145"/>
        <v>1.7558820982129972</v>
      </c>
      <c r="BH153" s="162">
        <f t="shared" si="1145"/>
        <v>1.560848988112399</v>
      </c>
      <c r="BI153" s="162">
        <f t="shared" si="1145"/>
        <v>1.3742919003811918</v>
      </c>
      <c r="BJ153" s="162">
        <f t="shared" si="1145"/>
        <v>1.2679058219341739</v>
      </c>
      <c r="BK153" s="162">
        <f t="shared" si="1145"/>
        <v>1.3074551839010207</v>
      </c>
      <c r="BL153" s="162">
        <f t="shared" si="1145"/>
        <v>0.74306651450039041</v>
      </c>
      <c r="BM153" s="162">
        <f t="shared" si="1145"/>
        <v>1.0676208526194042</v>
      </c>
      <c r="BN153" s="162">
        <f t="shared" si="1145"/>
        <v>0.70667213808491813</v>
      </c>
      <c r="BO153" s="162">
        <f t="shared" si="1145"/>
        <v>0.83622509231007647</v>
      </c>
      <c r="BP153" s="162">
        <f t="shared" si="1145"/>
        <v>1.6271334235600812</v>
      </c>
      <c r="BQ153" s="162">
        <f t="shared" si="1145"/>
        <v>2.2071108287773846</v>
      </c>
      <c r="BR153" s="162">
        <f t="shared" ref="BR153:CJ153" si="1146">+BR128/BR148</f>
        <v>2.2926579313373838</v>
      </c>
      <c r="BS153" s="162">
        <f t="shared" si="1146"/>
        <v>3.6288331740542499</v>
      </c>
      <c r="BT153" s="162">
        <f t="shared" si="1146"/>
        <v>4.8577052858925995</v>
      </c>
      <c r="BU153" s="162">
        <f t="shared" si="1146"/>
        <v>4.7721550643544388</v>
      </c>
      <c r="BV153" s="162">
        <f t="shared" si="1146"/>
        <v>3.7401281402435744</v>
      </c>
      <c r="BW153" s="162">
        <f t="shared" si="1146"/>
        <v>3.442514184433445</v>
      </c>
      <c r="BX153" s="162">
        <f t="shared" si="1146"/>
        <v>3.4790583849888255</v>
      </c>
      <c r="BY153" s="162">
        <f t="shared" si="1146"/>
        <v>3.1525019857029393</v>
      </c>
      <c r="BZ153" s="162">
        <f t="shared" si="1146"/>
        <v>2.6483943385194433</v>
      </c>
      <c r="CA153" s="162">
        <f t="shared" si="1146"/>
        <v>2.824289970929557</v>
      </c>
      <c r="CB153" s="162">
        <f t="shared" si="1146"/>
        <v>3.4605481814930905</v>
      </c>
      <c r="CC153" s="162">
        <f t="shared" si="1146"/>
        <v>3.8178896625602574</v>
      </c>
      <c r="CD153" s="162">
        <f t="shared" si="1146"/>
        <v>3.9673179361466744</v>
      </c>
      <c r="CE153" s="162">
        <f t="shared" si="1146"/>
        <v>4.0745060268721387</v>
      </c>
      <c r="CF153" s="162">
        <f t="shared" si="1146"/>
        <v>4.4265601167880151</v>
      </c>
      <c r="CG153" s="162">
        <f t="shared" si="1146"/>
        <v>3.8041218025994761</v>
      </c>
      <c r="CH153" s="162">
        <f t="shared" si="1146"/>
        <v>2.7151032328025853</v>
      </c>
      <c r="CI153" s="162">
        <f t="shared" si="1146"/>
        <v>2.6285347418799434</v>
      </c>
      <c r="CJ153" s="162">
        <f t="shared" si="1146"/>
        <v>3.2920095957852422</v>
      </c>
      <c r="CK153" s="162">
        <f t="shared" ref="CK153:CL153" si="1147">+CK128/CK148</f>
        <v>2.5283031147092898</v>
      </c>
      <c r="CL153" s="162">
        <f t="shared" si="1147"/>
        <v>2.0580541481283947</v>
      </c>
      <c r="CM153" s="94">
        <f t="shared" ref="CM153:DB153" si="1148">+CL153</f>
        <v>2.0580541481283947</v>
      </c>
      <c r="CN153" s="94">
        <f t="shared" si="1148"/>
        <v>2.0580541481283947</v>
      </c>
      <c r="CO153" s="94">
        <f t="shared" si="1148"/>
        <v>2.0580541481283947</v>
      </c>
      <c r="CP153" s="94">
        <f t="shared" si="1148"/>
        <v>2.0580541481283947</v>
      </c>
      <c r="CQ153" s="94">
        <f t="shared" si="1148"/>
        <v>2.0580541481283947</v>
      </c>
      <c r="CR153" s="94">
        <f t="shared" si="1148"/>
        <v>2.0580541481283947</v>
      </c>
      <c r="CS153" s="94">
        <f t="shared" si="1148"/>
        <v>2.0580541481283947</v>
      </c>
      <c r="CT153" s="94">
        <f t="shared" si="1148"/>
        <v>2.0580541481283947</v>
      </c>
      <c r="CU153" s="94">
        <f t="shared" si="1148"/>
        <v>2.0580541481283947</v>
      </c>
      <c r="CV153" s="94">
        <f t="shared" si="1148"/>
        <v>2.0580541481283947</v>
      </c>
      <c r="CW153" s="94">
        <f t="shared" si="1148"/>
        <v>2.0580541481283947</v>
      </c>
      <c r="CX153" s="94">
        <f t="shared" si="1148"/>
        <v>2.0580541481283947</v>
      </c>
      <c r="CY153" s="94">
        <f t="shared" si="1148"/>
        <v>2.0580541481283947</v>
      </c>
      <c r="CZ153" s="94">
        <f t="shared" si="1148"/>
        <v>2.0580541481283947</v>
      </c>
      <c r="DA153" s="94">
        <f t="shared" si="1148"/>
        <v>2.0580541481283947</v>
      </c>
      <c r="DB153" s="94">
        <f t="shared" si="1148"/>
        <v>2.0580541481283947</v>
      </c>
      <c r="DE153" s="163"/>
      <c r="DF153" s="162">
        <v>1.9937120790544542</v>
      </c>
    </row>
    <row r="154" spans="1:110" s="4" customFormat="1" x14ac:dyDescent="0.2">
      <c r="A154" s="3"/>
      <c r="AB154" s="17"/>
      <c r="AC154" s="17"/>
      <c r="AD154" s="17"/>
      <c r="AE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E154" s="119"/>
    </row>
    <row r="155" spans="1:110" s="4" customFormat="1" x14ac:dyDescent="0.2">
      <c r="A155" s="3"/>
      <c r="AB155" s="17"/>
      <c r="AC155" s="17"/>
      <c r="AD155" s="17"/>
      <c r="AE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E155" s="119"/>
    </row>
    <row r="156" spans="1:110" s="161" customFormat="1" x14ac:dyDescent="0.2">
      <c r="A156" s="49" t="s">
        <v>340</v>
      </c>
      <c r="B156" s="161">
        <f t="shared" ref="B156:AE156" si="1149">+B127*B114</f>
        <v>0</v>
      </c>
      <c r="C156" s="161">
        <f t="shared" si="1149"/>
        <v>0</v>
      </c>
      <c r="D156" s="161">
        <f t="shared" si="1149"/>
        <v>1.4858832499999999</v>
      </c>
      <c r="E156" s="161" t="e">
        <f t="shared" ca="1" si="1149"/>
        <v>#DIV/0!</v>
      </c>
      <c r="F156" s="161" t="e">
        <f t="shared" ca="1" si="1149"/>
        <v>#DIV/0!</v>
      </c>
      <c r="G156" s="161" t="e">
        <f t="shared" ca="1" si="1149"/>
        <v>#DIV/0!</v>
      </c>
      <c r="H156" s="161" t="e">
        <f t="shared" ca="1" si="1149"/>
        <v>#DIV/0!</v>
      </c>
      <c r="I156" s="161" t="e">
        <f t="shared" ca="1" si="1149"/>
        <v>#DIV/0!</v>
      </c>
      <c r="J156" s="161" t="e">
        <f t="shared" ca="1" si="1149"/>
        <v>#DIV/0!</v>
      </c>
      <c r="K156" s="161" t="e">
        <f t="shared" ca="1" si="1149"/>
        <v>#DIV/0!</v>
      </c>
      <c r="L156" s="161" t="e">
        <f t="shared" ca="1" si="1149"/>
        <v>#DIV/0!</v>
      </c>
      <c r="M156" s="161" t="e">
        <f t="shared" ca="1" si="1149"/>
        <v>#DIV/0!</v>
      </c>
      <c r="N156" s="161" t="e">
        <f t="shared" ca="1" si="1149"/>
        <v>#DIV/0!</v>
      </c>
      <c r="O156" s="161" t="e">
        <f t="shared" ca="1" si="1149"/>
        <v>#DIV/0!</v>
      </c>
      <c r="P156" s="161" t="e">
        <f t="shared" ca="1" si="1149"/>
        <v>#DIV/0!</v>
      </c>
      <c r="Q156" s="161" t="e">
        <f t="shared" ca="1" si="1149"/>
        <v>#DIV/0!</v>
      </c>
      <c r="R156" s="161" t="e">
        <f t="shared" ca="1" si="1149"/>
        <v>#DIV/0!</v>
      </c>
      <c r="S156" s="161" t="e">
        <f t="shared" ca="1" si="1149"/>
        <v>#DIV/0!</v>
      </c>
      <c r="T156" s="161" t="e">
        <f t="shared" ca="1" si="1149"/>
        <v>#DIV/0!</v>
      </c>
      <c r="U156" s="161" t="e">
        <f t="shared" ca="1" si="1149"/>
        <v>#DIV/0!</v>
      </c>
      <c r="V156" s="161" t="e">
        <f t="shared" ca="1" si="1149"/>
        <v>#DIV/0!</v>
      </c>
      <c r="W156" s="161" t="e">
        <f t="shared" ca="1" si="1149"/>
        <v>#DIV/0!</v>
      </c>
      <c r="X156" s="161" t="e">
        <f t="shared" ca="1" si="1149"/>
        <v>#DIV/0!</v>
      </c>
      <c r="Y156" s="161" t="e">
        <f t="shared" ca="1" si="1149"/>
        <v>#DIV/0!</v>
      </c>
      <c r="Z156" s="161" t="e">
        <f t="shared" ca="1" si="1149"/>
        <v>#DIV/0!</v>
      </c>
      <c r="AA156" s="161" t="e">
        <f t="shared" ref="AA156" ca="1" si="1150">+AA127*AA114</f>
        <v>#DIV/0!</v>
      </c>
      <c r="AB156" s="21" t="e">
        <f t="shared" ca="1" si="1149"/>
        <v>#DIV/0!</v>
      </c>
      <c r="AC156" s="21" t="e">
        <f t="shared" ca="1" si="1149"/>
        <v>#DIV/0!</v>
      </c>
      <c r="AD156" s="21" t="e">
        <f t="shared" ca="1" si="1149"/>
        <v>#DIV/0!</v>
      </c>
      <c r="AE156" s="21" t="e">
        <f t="shared" ca="1" si="1149"/>
        <v>#DIV/0!</v>
      </c>
      <c r="AL156" s="161">
        <f t="shared" ref="AL156:BQ156" si="1151">+AL127*AL114</f>
        <v>183.06</v>
      </c>
      <c r="AM156" s="161">
        <f t="shared" si="1151"/>
        <v>135.43199999999999</v>
      </c>
      <c r="AN156" s="161">
        <f t="shared" si="1151"/>
        <v>132.84</v>
      </c>
      <c r="AO156" s="161">
        <f t="shared" si="1151"/>
        <v>177.55199999999999</v>
      </c>
      <c r="AP156" s="161">
        <f t="shared" si="1151"/>
        <v>174.636</v>
      </c>
      <c r="AQ156" s="161">
        <f t="shared" si="1151"/>
        <v>213.19200000000001</v>
      </c>
      <c r="AR156" s="161">
        <f t="shared" si="1151"/>
        <v>320.76000000000005</v>
      </c>
      <c r="AS156" s="161">
        <f t="shared" si="1151"/>
        <v>279.93600000000004</v>
      </c>
      <c r="AT156" s="161">
        <f t="shared" si="1151"/>
        <v>288.68400000000003</v>
      </c>
      <c r="AU156" s="161">
        <f t="shared" si="1151"/>
        <v>416.01600000000002</v>
      </c>
      <c r="AV156" s="161">
        <f t="shared" si="1151"/>
        <v>530.06399999999996</v>
      </c>
      <c r="AW156" s="161">
        <f t="shared" si="1151"/>
        <v>545.6160000000001</v>
      </c>
      <c r="AX156" s="161">
        <f t="shared" si="1151"/>
        <v>599.07600000000002</v>
      </c>
      <c r="AY156" s="161">
        <f t="shared" si="1151"/>
        <v>915.30000000000007</v>
      </c>
      <c r="AZ156" s="161">
        <f t="shared" si="1151"/>
        <v>1065.96</v>
      </c>
      <c r="BA156" s="161">
        <f t="shared" si="1151"/>
        <v>1231.2</v>
      </c>
      <c r="BB156" s="161">
        <f t="shared" si="1151"/>
        <v>1296</v>
      </c>
      <c r="BC156" s="161">
        <f t="shared" si="1151"/>
        <v>1299.5640000000001</v>
      </c>
      <c r="BD156" s="161">
        <f t="shared" si="1151"/>
        <v>1263.6000000000001</v>
      </c>
      <c r="BE156" s="161">
        <f t="shared" si="1151"/>
        <v>2187</v>
      </c>
      <c r="BF156" s="161">
        <f t="shared" si="1151"/>
        <v>2530.44</v>
      </c>
      <c r="BG156" s="161">
        <f t="shared" si="1151"/>
        <v>2355.6419999999998</v>
      </c>
      <c r="BH156" s="161">
        <f t="shared" si="1151"/>
        <v>1948.6980000000003</v>
      </c>
      <c r="BI156" s="161">
        <f t="shared" si="1151"/>
        <v>1684.8000000000002</v>
      </c>
      <c r="BJ156" s="161">
        <f t="shared" si="1151"/>
        <v>1654.8300000000002</v>
      </c>
      <c r="BK156" s="161">
        <f t="shared" si="1151"/>
        <v>1746.3600000000001</v>
      </c>
      <c r="BL156" s="161">
        <f t="shared" si="1151"/>
        <v>1239.4620000000002</v>
      </c>
      <c r="BM156" s="161">
        <f t="shared" si="1151"/>
        <v>1343.9520000000002</v>
      </c>
      <c r="BN156" s="161">
        <f t="shared" si="1151"/>
        <v>1576.5840000000003</v>
      </c>
      <c r="BO156" s="161">
        <f t="shared" si="1151"/>
        <v>1762.3980000000004</v>
      </c>
      <c r="BP156" s="161">
        <f t="shared" si="1151"/>
        <v>3223.8</v>
      </c>
      <c r="BQ156" s="161">
        <f t="shared" si="1151"/>
        <v>3414.96</v>
      </c>
      <c r="BR156" s="161">
        <f t="shared" ref="BR156:CJ156" si="1152">+BR127*BR114</f>
        <v>6174.4680000000008</v>
      </c>
      <c r="BS156" s="161">
        <f t="shared" si="1152"/>
        <v>9590.2379999999994</v>
      </c>
      <c r="BT156" s="161">
        <f t="shared" si="1152"/>
        <v>16912.800000000003</v>
      </c>
      <c r="BU156" s="161">
        <f t="shared" si="1152"/>
        <v>15548.76</v>
      </c>
      <c r="BV156" s="161">
        <f t="shared" si="1152"/>
        <v>12755.718000000001</v>
      </c>
      <c r="BW156" s="161">
        <f t="shared" si="1152"/>
        <v>11356.2</v>
      </c>
      <c r="BX156" s="161">
        <f t="shared" si="1152"/>
        <v>12447.594000000001</v>
      </c>
      <c r="BY156" s="161">
        <f t="shared" si="1152"/>
        <v>10585.890000000001</v>
      </c>
      <c r="BZ156" s="161">
        <f t="shared" si="1152"/>
        <v>8837.5860000000011</v>
      </c>
      <c r="CA156" s="161">
        <f t="shared" si="1152"/>
        <v>8257.7880000000005</v>
      </c>
      <c r="CB156" s="161">
        <f t="shared" si="1152"/>
        <v>7630.2000000000007</v>
      </c>
      <c r="CC156" s="161">
        <f t="shared" si="1152"/>
        <v>8816.6880000000001</v>
      </c>
      <c r="CD156" s="161">
        <f t="shared" si="1152"/>
        <v>8865.7739999999994</v>
      </c>
      <c r="CE156" s="161">
        <f t="shared" si="1152"/>
        <v>8127.5400000000009</v>
      </c>
      <c r="CF156" s="161">
        <f t="shared" si="1152"/>
        <v>8262.4860000000008</v>
      </c>
      <c r="CG156" s="161">
        <f t="shared" si="1152"/>
        <v>7678.8</v>
      </c>
      <c r="CH156" s="161">
        <f t="shared" si="1152"/>
        <v>6415.2000000000007</v>
      </c>
      <c r="CI156" s="161">
        <f t="shared" si="1152"/>
        <v>6014.8980000000001</v>
      </c>
      <c r="CJ156" s="161">
        <f t="shared" si="1152"/>
        <v>6305.04</v>
      </c>
      <c r="CK156" s="161">
        <f t="shared" ref="CK156:CL156" si="1153">+CK127*CK114</f>
        <v>4717.4400000000005</v>
      </c>
      <c r="CL156" s="161">
        <f t="shared" si="1153"/>
        <v>4321.8360000000002</v>
      </c>
      <c r="CM156" s="21">
        <f t="shared" ref="CM156:DB156" si="1154">+CM127*CM114</f>
        <v>5725.4583788724822</v>
      </c>
      <c r="CN156" s="21">
        <f t="shared" si="1154"/>
        <v>6670.658332935478</v>
      </c>
      <c r="CO156" s="21">
        <f t="shared" si="1154"/>
        <v>7491.3869173124076</v>
      </c>
      <c r="CP156" s="21">
        <f t="shared" si="1154"/>
        <v>7489.2453315851562</v>
      </c>
      <c r="CQ156" s="21">
        <f t="shared" si="1154"/>
        <v>8187.6440146855657</v>
      </c>
      <c r="CR156" s="21">
        <f t="shared" si="1154"/>
        <v>8573.4796056018986</v>
      </c>
      <c r="CS156" s="21">
        <f t="shared" si="1154"/>
        <v>9001.8366714452332</v>
      </c>
      <c r="CT156" s="21">
        <f t="shared" si="1154"/>
        <v>10004.579390955105</v>
      </c>
      <c r="CU156" s="21">
        <f t="shared" si="1154"/>
        <v>10768.354668688924</v>
      </c>
      <c r="CV156" s="21">
        <f t="shared" si="1154"/>
        <v>11799.747406535455</v>
      </c>
      <c r="CW156" s="21">
        <f t="shared" si="1154"/>
        <v>12889.743266462272</v>
      </c>
      <c r="CX156" s="21">
        <f t="shared" si="1154"/>
        <v>14184.650371631576</v>
      </c>
      <c r="CY156" s="21">
        <f t="shared" si="1154"/>
        <v>15873.197753046034</v>
      </c>
      <c r="CZ156" s="21">
        <f t="shared" si="1154"/>
        <v>17626.352629938054</v>
      </c>
      <c r="DA156" s="21">
        <f t="shared" si="1154"/>
        <v>19316.211317850317</v>
      </c>
      <c r="DB156" s="21">
        <f t="shared" si="1154"/>
        <v>21585.48753750063</v>
      </c>
      <c r="DE156" s="22"/>
      <c r="DF156" s="161">
        <v>4321.8360000000002</v>
      </c>
    </row>
    <row r="157" spans="1:110" s="161" customFormat="1" x14ac:dyDescent="0.2">
      <c r="A157" s="49" t="s">
        <v>341</v>
      </c>
      <c r="B157" s="161">
        <f t="shared" ref="B157:AE157" si="1155">+B128*B114</f>
        <v>0</v>
      </c>
      <c r="C157" s="161">
        <f t="shared" si="1155"/>
        <v>0</v>
      </c>
      <c r="D157" s="161">
        <f t="shared" si="1155"/>
        <v>0.53760600000000003</v>
      </c>
      <c r="E157" s="161" t="e">
        <f t="shared" ca="1" si="1155"/>
        <v>#DIV/0!</v>
      </c>
      <c r="F157" s="161" t="e">
        <f t="shared" ca="1" si="1155"/>
        <v>#DIV/0!</v>
      </c>
      <c r="G157" s="161" t="e">
        <f t="shared" ca="1" si="1155"/>
        <v>#DIV/0!</v>
      </c>
      <c r="H157" s="161" t="e">
        <f t="shared" ca="1" si="1155"/>
        <v>#DIV/0!</v>
      </c>
      <c r="I157" s="161" t="e">
        <f t="shared" ca="1" si="1155"/>
        <v>#DIV/0!</v>
      </c>
      <c r="J157" s="161" t="e">
        <f t="shared" ca="1" si="1155"/>
        <v>#DIV/0!</v>
      </c>
      <c r="K157" s="161" t="e">
        <f t="shared" ca="1" si="1155"/>
        <v>#DIV/0!</v>
      </c>
      <c r="L157" s="161" t="e">
        <f t="shared" ca="1" si="1155"/>
        <v>#DIV/0!</v>
      </c>
      <c r="M157" s="161" t="e">
        <f t="shared" ca="1" si="1155"/>
        <v>#DIV/0!</v>
      </c>
      <c r="N157" s="161" t="e">
        <f t="shared" ca="1" si="1155"/>
        <v>#DIV/0!</v>
      </c>
      <c r="O157" s="161" t="e">
        <f t="shared" ca="1" si="1155"/>
        <v>#DIV/0!</v>
      </c>
      <c r="P157" s="161" t="e">
        <f t="shared" ca="1" si="1155"/>
        <v>#DIV/0!</v>
      </c>
      <c r="Q157" s="161" t="e">
        <f t="shared" ca="1" si="1155"/>
        <v>#DIV/0!</v>
      </c>
      <c r="R157" s="161" t="e">
        <f t="shared" ca="1" si="1155"/>
        <v>#DIV/0!</v>
      </c>
      <c r="S157" s="161" t="e">
        <f t="shared" ca="1" si="1155"/>
        <v>#DIV/0!</v>
      </c>
      <c r="T157" s="161" t="e">
        <f t="shared" ca="1" si="1155"/>
        <v>#DIV/0!</v>
      </c>
      <c r="U157" s="161" t="e">
        <f t="shared" ca="1" si="1155"/>
        <v>#DIV/0!</v>
      </c>
      <c r="V157" s="161" t="e">
        <f t="shared" ca="1" si="1155"/>
        <v>#DIV/0!</v>
      </c>
      <c r="W157" s="161" t="e">
        <f t="shared" ca="1" si="1155"/>
        <v>#DIV/0!</v>
      </c>
      <c r="X157" s="161" t="e">
        <f t="shared" ca="1" si="1155"/>
        <v>#DIV/0!</v>
      </c>
      <c r="Y157" s="161" t="e">
        <f t="shared" ca="1" si="1155"/>
        <v>#DIV/0!</v>
      </c>
      <c r="Z157" s="161" t="e">
        <f t="shared" ca="1" si="1155"/>
        <v>#DIV/0!</v>
      </c>
      <c r="AA157" s="161" t="e">
        <f t="shared" ref="AA157" ca="1" si="1156">+AA128*AA114</f>
        <v>#DIV/0!</v>
      </c>
      <c r="AB157" s="21" t="e">
        <f t="shared" ca="1" si="1155"/>
        <v>#DIV/0!</v>
      </c>
      <c r="AC157" s="21" t="e">
        <f t="shared" ca="1" si="1155"/>
        <v>#DIV/0!</v>
      </c>
      <c r="AD157" s="21" t="e">
        <f t="shared" ca="1" si="1155"/>
        <v>#DIV/0!</v>
      </c>
      <c r="AE157" s="21" t="e">
        <f t="shared" ca="1" si="1155"/>
        <v>#DIV/0!</v>
      </c>
      <c r="AL157" s="161">
        <f t="shared" ref="AL157:BQ157" si="1157">+AL128*AL114</f>
        <v>112.91400000000002</v>
      </c>
      <c r="AM157" s="161">
        <f t="shared" si="1157"/>
        <v>101.25</v>
      </c>
      <c r="AN157" s="161">
        <f t="shared" si="1157"/>
        <v>92.016000000000005</v>
      </c>
      <c r="AO157" s="161">
        <f t="shared" si="1157"/>
        <v>102.38400000000001</v>
      </c>
      <c r="AP157" s="161">
        <f t="shared" si="1157"/>
        <v>113.72400000000002</v>
      </c>
      <c r="AQ157" s="161">
        <f t="shared" si="1157"/>
        <v>127.98</v>
      </c>
      <c r="AR157" s="161">
        <f t="shared" si="1157"/>
        <v>199.58400000000003</v>
      </c>
      <c r="AS157" s="161">
        <f t="shared" si="1157"/>
        <v>217.08</v>
      </c>
      <c r="AT157" s="161">
        <f t="shared" si="1157"/>
        <v>223.88399999999999</v>
      </c>
      <c r="AU157" s="161">
        <f t="shared" si="1157"/>
        <v>261.63</v>
      </c>
      <c r="AV157" s="161">
        <f t="shared" si="1157"/>
        <v>343.44</v>
      </c>
      <c r="AW157" s="161">
        <f t="shared" si="1157"/>
        <v>386.53200000000004</v>
      </c>
      <c r="AX157" s="161">
        <f t="shared" si="1157"/>
        <v>372.6</v>
      </c>
      <c r="AY157" s="161">
        <f t="shared" si="1157"/>
        <v>560.84400000000005</v>
      </c>
      <c r="AZ157" s="161">
        <f t="shared" si="1157"/>
        <v>807.40800000000002</v>
      </c>
      <c r="BA157" s="161">
        <f t="shared" si="1157"/>
        <v>884.35800000000006</v>
      </c>
      <c r="BB157" s="161">
        <f t="shared" si="1157"/>
        <v>1004.4000000000001</v>
      </c>
      <c r="BC157" s="161">
        <f t="shared" si="1157"/>
        <v>1036.8000000000002</v>
      </c>
      <c r="BD157" s="161">
        <f t="shared" si="1157"/>
        <v>878.36400000000015</v>
      </c>
      <c r="BE157" s="161">
        <f t="shared" si="1157"/>
        <v>1091.8800000000001</v>
      </c>
      <c r="BF157" s="161">
        <f t="shared" si="1157"/>
        <v>1772.2800000000002</v>
      </c>
      <c r="BG157" s="161">
        <f t="shared" si="1157"/>
        <v>1642.1940000000002</v>
      </c>
      <c r="BH157" s="161">
        <f t="shared" si="1157"/>
        <v>1483.4340000000002</v>
      </c>
      <c r="BI157" s="161">
        <f t="shared" si="1157"/>
        <v>1333.5840000000001</v>
      </c>
      <c r="BJ157" s="161">
        <f t="shared" si="1157"/>
        <v>1193.94</v>
      </c>
      <c r="BK157" s="161">
        <f t="shared" si="1157"/>
        <v>1182.9240000000002</v>
      </c>
      <c r="BL157" s="161">
        <f t="shared" si="1157"/>
        <v>680.40000000000009</v>
      </c>
      <c r="BM157" s="161">
        <f t="shared" si="1157"/>
        <v>965.5200000000001</v>
      </c>
      <c r="BN157" s="161">
        <f t="shared" si="1157"/>
        <v>661.28399999999999</v>
      </c>
      <c r="BO157" s="161">
        <f t="shared" si="1157"/>
        <v>782.46</v>
      </c>
      <c r="BP157" s="161">
        <f t="shared" si="1157"/>
        <v>1612.2240000000002</v>
      </c>
      <c r="BQ157" s="161">
        <f t="shared" si="1157"/>
        <v>2550.2040000000002</v>
      </c>
      <c r="BR157" s="161">
        <f t="shared" ref="BR157:CJ157" si="1158">+BR128*BR114</f>
        <v>3006.7200000000003</v>
      </c>
      <c r="BS157" s="161">
        <f t="shared" si="1158"/>
        <v>5585.5980000000009</v>
      </c>
      <c r="BT157" s="161">
        <f t="shared" si="1158"/>
        <v>8659.2240000000002</v>
      </c>
      <c r="BU157" s="161">
        <f t="shared" si="1158"/>
        <v>9331.2000000000007</v>
      </c>
      <c r="BV157" s="161">
        <f t="shared" si="1158"/>
        <v>8683.362000000001</v>
      </c>
      <c r="BW157" s="161">
        <f t="shared" si="1158"/>
        <v>8748</v>
      </c>
      <c r="BX157" s="161">
        <f t="shared" si="1158"/>
        <v>9195.1200000000008</v>
      </c>
      <c r="BY157" s="161">
        <f t="shared" si="1158"/>
        <v>8398.4040000000005</v>
      </c>
      <c r="BZ157" s="161">
        <f t="shared" si="1158"/>
        <v>6237.1620000000003</v>
      </c>
      <c r="CA157" s="161">
        <f t="shared" si="1158"/>
        <v>6068.1960000000008</v>
      </c>
      <c r="CB157" s="161">
        <f t="shared" si="1158"/>
        <v>6580.4400000000005</v>
      </c>
      <c r="CC157" s="161">
        <f t="shared" si="1158"/>
        <v>6486.4800000000005</v>
      </c>
      <c r="CD157" s="161">
        <f t="shared" si="1158"/>
        <v>6512.4000000000005</v>
      </c>
      <c r="CE157" s="161">
        <f t="shared" si="1158"/>
        <v>6366.7620000000006</v>
      </c>
      <c r="CF157" s="161">
        <f t="shared" si="1158"/>
        <v>6767.8739999999998</v>
      </c>
      <c r="CG157" s="161">
        <f t="shared" si="1158"/>
        <v>5547.5280000000002</v>
      </c>
      <c r="CH157" s="161">
        <f t="shared" si="1158"/>
        <v>3793.2300000000005</v>
      </c>
      <c r="CI157" s="161">
        <f t="shared" si="1158"/>
        <v>3602.88</v>
      </c>
      <c r="CJ157" s="161">
        <f t="shared" si="1158"/>
        <v>4491.4500000000007</v>
      </c>
      <c r="CK157" s="161">
        <f t="shared" ref="CK157:CL157" si="1159">+CK128*CK114</f>
        <v>3496.4460000000004</v>
      </c>
      <c r="CL157" s="161">
        <f t="shared" si="1159"/>
        <v>2932.6860000000001</v>
      </c>
      <c r="CM157" s="21">
        <f t="shared" ref="CM157:DB157" si="1160">+CM128*CM114</f>
        <v>3347.4823826359707</v>
      </c>
      <c r="CN157" s="21">
        <f t="shared" si="1160"/>
        <v>3900.1089122374838</v>
      </c>
      <c r="CO157" s="21">
        <f t="shared" si="1160"/>
        <v>4379.9612306589434</v>
      </c>
      <c r="CP157" s="21">
        <f t="shared" si="1160"/>
        <v>4378.709117724311</v>
      </c>
      <c r="CQ157" s="21">
        <f t="shared" si="1160"/>
        <v>4787.0392693086433</v>
      </c>
      <c r="CR157" s="21">
        <f t="shared" si="1160"/>
        <v>5012.6243242891178</v>
      </c>
      <c r="CS157" s="21">
        <f t="shared" si="1160"/>
        <v>5263.0702513225751</v>
      </c>
      <c r="CT157" s="21">
        <f t="shared" si="1160"/>
        <v>5849.3400948450098</v>
      </c>
      <c r="CU157" s="21">
        <f t="shared" si="1160"/>
        <v>6295.8937360244518</v>
      </c>
      <c r="CV157" s="21">
        <f t="shared" si="1160"/>
        <v>6898.9142788442668</v>
      </c>
      <c r="CW157" s="21">
        <f t="shared" si="1160"/>
        <v>7536.1980903405465</v>
      </c>
      <c r="CX157" s="21">
        <f t="shared" si="1160"/>
        <v>8293.2865948522176</v>
      </c>
      <c r="CY157" s="21">
        <f t="shared" si="1160"/>
        <v>9280.5232905880312</v>
      </c>
      <c r="CZ157" s="21">
        <f t="shared" si="1160"/>
        <v>10305.53380958583</v>
      </c>
      <c r="DA157" s="21">
        <f t="shared" si="1160"/>
        <v>11293.537181997841</v>
      </c>
      <c r="DB157" s="21">
        <f t="shared" si="1160"/>
        <v>12620.306440271646</v>
      </c>
      <c r="DE157" s="22"/>
      <c r="DF157" s="161">
        <v>2932.6860000000001</v>
      </c>
    </row>
    <row r="158" spans="1:110" s="161" customFormat="1" x14ac:dyDescent="0.2">
      <c r="A158" s="49" t="s">
        <v>80</v>
      </c>
      <c r="B158" s="161">
        <f>+B216</f>
        <v>15.9727684</v>
      </c>
      <c r="C158" s="161">
        <f t="shared" ref="C158:W158" si="1161">+C216</f>
        <v>12.999836200000001</v>
      </c>
      <c r="D158" s="161">
        <f t="shared" si="1161"/>
        <v>23.709729899999999</v>
      </c>
      <c r="E158" s="161">
        <f t="shared" si="1161"/>
        <v>31.682659399999999</v>
      </c>
      <c r="F158" s="161">
        <f t="shared" si="1161"/>
        <v>39.326256700000002</v>
      </c>
      <c r="G158" s="161">
        <f t="shared" si="1161"/>
        <v>51.4693836</v>
      </c>
      <c r="H158" s="161">
        <f t="shared" si="1161"/>
        <v>62.023357399999995</v>
      </c>
      <c r="I158" s="161">
        <f t="shared" si="1161"/>
        <v>77.901078200000001</v>
      </c>
      <c r="J158" s="161">
        <f t="shared" si="1161"/>
        <v>99.416416900000002</v>
      </c>
      <c r="K158" s="161">
        <f t="shared" si="1161"/>
        <v>96.066328900000002</v>
      </c>
      <c r="L158" s="161">
        <f t="shared" si="1161"/>
        <v>151.9860688</v>
      </c>
      <c r="M158" s="161">
        <f t="shared" si="1161"/>
        <v>207.49295180000001</v>
      </c>
      <c r="N158" s="161">
        <f t="shared" si="1161"/>
        <v>217.45273789999999</v>
      </c>
      <c r="O158" s="161">
        <f t="shared" si="1161"/>
        <v>231.934</v>
      </c>
      <c r="P158" s="161">
        <f t="shared" si="1161"/>
        <v>248.85600359999998</v>
      </c>
      <c r="Q158" s="161">
        <f t="shared" si="1161"/>
        <v>164.12489010000002</v>
      </c>
      <c r="R158" s="161">
        <f t="shared" si="1161"/>
        <v>101.4192439</v>
      </c>
      <c r="S158" s="161">
        <f t="shared" si="1161"/>
        <v>127.6774193</v>
      </c>
      <c r="T158" s="161">
        <f t="shared" si="1161"/>
        <v>207.00427719999999</v>
      </c>
      <c r="U158" s="161">
        <f t="shared" si="1161"/>
        <v>203.25362189999998</v>
      </c>
      <c r="V158" s="161">
        <f t="shared" si="1161"/>
        <v>107.42270000000001</v>
      </c>
      <c r="W158" s="161">
        <f t="shared" si="1161"/>
        <v>49.07820000000001</v>
      </c>
      <c r="X158" s="161">
        <f t="shared" ref="X158:Y158" si="1162">+X216</f>
        <v>-251.00049999999999</v>
      </c>
      <c r="Y158" s="161">
        <f t="shared" si="1162"/>
        <v>-320.09550000000002</v>
      </c>
      <c r="Z158" s="161">
        <f t="shared" ref="Z158:AA158" si="1163">+Z216</f>
        <v>-342.92729999999995</v>
      </c>
      <c r="AA158" s="161">
        <f t="shared" si="1163"/>
        <v>-270.93439999999998</v>
      </c>
      <c r="AB158" s="21">
        <f t="shared" ref="AA158:AD158" si="1164">+AB216</f>
        <v>97.09027369545575</v>
      </c>
      <c r="AC158" s="21">
        <f t="shared" si="1164"/>
        <v>459.28529959566504</v>
      </c>
      <c r="AD158" s="21">
        <f t="shared" si="1164"/>
        <v>424.82094225668635</v>
      </c>
      <c r="AE158" s="21">
        <f t="shared" ref="AE158" si="1165">+AE216</f>
        <v>341.36287098704003</v>
      </c>
      <c r="AL158" s="161">
        <f t="shared" ref="AL158:AM158" si="1166">+AL216</f>
        <v>186.69</v>
      </c>
      <c r="AM158" s="161">
        <f t="shared" si="1166"/>
        <v>176.96123409669212</v>
      </c>
      <c r="AN158" s="161">
        <f t="shared" ref="AN158:AO158" si="1167">+AN216</f>
        <v>177.41</v>
      </c>
      <c r="AO158" s="161">
        <f t="shared" si="1167"/>
        <v>156.43150083843639</v>
      </c>
      <c r="AP158" s="161">
        <f t="shared" ref="AP158:CD158" si="1168">+AP216</f>
        <v>195.73000000000002</v>
      </c>
      <c r="AQ158" s="161">
        <f t="shared" si="1168"/>
        <v>180.87839241982508</v>
      </c>
      <c r="AR158" s="161">
        <f t="shared" si="1168"/>
        <v>176.45999999999998</v>
      </c>
      <c r="AS158" s="161">
        <f t="shared" si="1168"/>
        <v>161.80092103688929</v>
      </c>
      <c r="AT158" s="161">
        <f t="shared" si="1168"/>
        <v>216.26499999999999</v>
      </c>
      <c r="AU158" s="161">
        <f t="shared" si="1168"/>
        <v>217.56868889188641</v>
      </c>
      <c r="AV158" s="161">
        <f t="shared" si="1168"/>
        <v>120.27799999999999</v>
      </c>
      <c r="AW158" s="161">
        <f t="shared" si="1168"/>
        <v>98.321925280918293</v>
      </c>
      <c r="AX158" s="161">
        <f t="shared" si="1168"/>
        <v>138.98999999999998</v>
      </c>
      <c r="AY158" s="161">
        <f t="shared" si="1168"/>
        <v>114.22940205629811</v>
      </c>
      <c r="AZ158" s="161">
        <f t="shared" si="1168"/>
        <v>82.459000000000003</v>
      </c>
      <c r="BA158" s="161">
        <f t="shared" si="1168"/>
        <v>69.170545643069133</v>
      </c>
      <c r="BB158" s="161">
        <f t="shared" si="1168"/>
        <v>79.516999999999996</v>
      </c>
      <c r="BC158" s="161">
        <f t="shared" si="1168"/>
        <v>62.926166127337041</v>
      </c>
      <c r="BD158" s="161">
        <f t="shared" si="1168"/>
        <v>37.346999999999994</v>
      </c>
      <c r="BE158" s="161">
        <f t="shared" si="1168"/>
        <v>22.496416343592262</v>
      </c>
      <c r="BF158" s="161">
        <f t="shared" si="1168"/>
        <v>117.99999999999999</v>
      </c>
      <c r="BG158" s="161">
        <f t="shared" si="1168"/>
        <v>87.564376733493376</v>
      </c>
      <c r="BH158" s="161">
        <f t="shared" si="1168"/>
        <v>60.335999999999999</v>
      </c>
      <c r="BI158" s="161">
        <f t="shared" si="1168"/>
        <v>58.155725803245858</v>
      </c>
      <c r="BJ158" s="161">
        <f t="shared" si="1168"/>
        <v>170.339</v>
      </c>
      <c r="BK158" s="161">
        <f t="shared" si="1168"/>
        <v>147.24632549940208</v>
      </c>
      <c r="BL158" s="161">
        <f t="shared" si="1168"/>
        <v>221.04499999999999</v>
      </c>
      <c r="BM158" s="161">
        <f t="shared" si="1168"/>
        <v>197.93262548349202</v>
      </c>
      <c r="BN158" s="161">
        <f t="shared" si="1168"/>
        <v>185.072</v>
      </c>
      <c r="BO158" s="161">
        <f t="shared" si="1168"/>
        <v>117.14669629534885</v>
      </c>
      <c r="BP158" s="161">
        <f t="shared" si="1168"/>
        <v>202.07599999999999</v>
      </c>
      <c r="BQ158" s="161">
        <f t="shared" si="1168"/>
        <v>236.83167773075772</v>
      </c>
      <c r="BR158" s="161">
        <f t="shared" si="1168"/>
        <v>80.150000000000006</v>
      </c>
      <c r="BS158" s="161">
        <f t="shared" si="1168"/>
        <v>19.752795574759489</v>
      </c>
      <c r="BT158" s="161">
        <f t="shared" si="1168"/>
        <v>155.78700000000001</v>
      </c>
      <c r="BU158" s="161">
        <f t="shared" si="1168"/>
        <v>107.59570929730484</v>
      </c>
      <c r="BV158" s="161">
        <f t="shared" si="1168"/>
        <v>49.078000000000003</v>
      </c>
      <c r="BW158" s="161">
        <f t="shared" si="1168"/>
        <v>-162.79772620539592</v>
      </c>
      <c r="BX158" s="161">
        <f t="shared" si="1168"/>
        <v>23.112000000000009</v>
      </c>
      <c r="BY158" s="161">
        <f t="shared" si="1168"/>
        <v>-96.171205214497974</v>
      </c>
      <c r="BZ158" s="161">
        <f t="shared" si="1168"/>
        <v>-250.99900000000002</v>
      </c>
      <c r="CA158" s="161">
        <f t="shared" si="1168"/>
        <v>-313.86296445868118</v>
      </c>
      <c r="CB158" s="161">
        <f t="shared" si="1168"/>
        <v>-300.93899999999996</v>
      </c>
      <c r="CC158" s="161">
        <f t="shared" si="1168"/>
        <v>-346.31833455789609</v>
      </c>
      <c r="CD158" s="161">
        <f t="shared" si="1168"/>
        <v>-320.09499999999997</v>
      </c>
      <c r="CE158" s="161">
        <f t="shared" ref="CE158:CF158" si="1169">+CE216</f>
        <v>-400.65852144891619</v>
      </c>
      <c r="CF158" s="161">
        <f t="shared" si="1169"/>
        <v>-301.88200000000001</v>
      </c>
      <c r="CG158" s="161">
        <f t="shared" ref="CG158:CH158" si="1170">+CG216</f>
        <v>-387.38085006471931</v>
      </c>
      <c r="CH158" s="161">
        <f t="shared" si="1170"/>
        <v>-342.92729999999995</v>
      </c>
      <c r="CI158" s="161">
        <f t="shared" ref="CI158:CJ158" si="1171">+CI216</f>
        <v>-386.41796389654343</v>
      </c>
      <c r="CJ158" s="161">
        <f t="shared" si="1171"/>
        <v>-155.01399999999998</v>
      </c>
      <c r="CK158" s="161">
        <f t="shared" ref="CK158:CL158" si="1172">+CK216</f>
        <v>-217.21103829077509</v>
      </c>
      <c r="CL158" s="161">
        <f t="shared" si="1172"/>
        <v>-138.44999999999999</v>
      </c>
      <c r="CM158" s="21">
        <f t="shared" ref="CM158:DB158" si="1173">+CM216</f>
        <v>-333.19498434084795</v>
      </c>
      <c r="CN158" s="21">
        <f t="shared" si="1173"/>
        <v>-225.47773318055306</v>
      </c>
      <c r="CO158" s="21">
        <f t="shared" si="1173"/>
        <v>-44.194690584906823</v>
      </c>
      <c r="CP158" s="21">
        <f t="shared" si="1173"/>
        <v>97.09027369545575</v>
      </c>
      <c r="CQ158" s="21">
        <f t="shared" si="1173"/>
        <v>295.47125555772465</v>
      </c>
      <c r="CR158" s="21">
        <f t="shared" si="1173"/>
        <v>319.9612261775103</v>
      </c>
      <c r="CS158" s="21">
        <f t="shared" si="1173"/>
        <v>282.13017877526136</v>
      </c>
      <c r="CT158" s="21">
        <f t="shared" si="1173"/>
        <v>459.28529959566504</v>
      </c>
      <c r="CU158" s="21">
        <f t="shared" si="1173"/>
        <v>526.86799691187264</v>
      </c>
      <c r="CV158" s="21">
        <f t="shared" si="1173"/>
        <v>451.72827414897137</v>
      </c>
      <c r="CW158" s="21">
        <f t="shared" si="1173"/>
        <v>284.43474554188725</v>
      </c>
      <c r="CX158" s="21">
        <f t="shared" si="1173"/>
        <v>424.82094225668635</v>
      </c>
      <c r="CY158" s="21">
        <f t="shared" si="1173"/>
        <v>520.10145831556076</v>
      </c>
      <c r="CZ158" s="21">
        <f t="shared" si="1173"/>
        <v>405.35818853413764</v>
      </c>
      <c r="DA158" s="21">
        <f t="shared" si="1173"/>
        <v>157.99501701087235</v>
      </c>
      <c r="DB158" s="21">
        <f t="shared" si="1173"/>
        <v>341.36287098704003</v>
      </c>
      <c r="DE158" s="22"/>
      <c r="DF158" s="161">
        <v>-85.253873838840263</v>
      </c>
    </row>
    <row r="159" spans="1:110" s="161" customFormat="1" x14ac:dyDescent="0.2">
      <c r="A159" s="49" t="s">
        <v>342</v>
      </c>
      <c r="B159" s="161">
        <f>+B156+B158</f>
        <v>15.9727684</v>
      </c>
      <c r="C159" s="161">
        <f t="shared" ref="C159:W159" si="1174">+C156+C158</f>
        <v>12.999836200000001</v>
      </c>
      <c r="D159" s="161">
        <f t="shared" si="1174"/>
        <v>25.19561315</v>
      </c>
      <c r="E159" s="161" t="e">
        <f t="shared" ca="1" si="1174"/>
        <v>#DIV/0!</v>
      </c>
      <c r="F159" s="161" t="e">
        <f t="shared" ca="1" si="1174"/>
        <v>#DIV/0!</v>
      </c>
      <c r="G159" s="161" t="e">
        <f t="shared" ca="1" si="1174"/>
        <v>#DIV/0!</v>
      </c>
      <c r="H159" s="161" t="e">
        <f t="shared" ca="1" si="1174"/>
        <v>#DIV/0!</v>
      </c>
      <c r="I159" s="161" t="e">
        <f t="shared" ca="1" si="1174"/>
        <v>#DIV/0!</v>
      </c>
      <c r="J159" s="161" t="e">
        <f t="shared" ca="1" si="1174"/>
        <v>#DIV/0!</v>
      </c>
      <c r="K159" s="161" t="e">
        <f t="shared" ca="1" si="1174"/>
        <v>#DIV/0!</v>
      </c>
      <c r="L159" s="161" t="e">
        <f t="shared" ca="1" si="1174"/>
        <v>#DIV/0!</v>
      </c>
      <c r="M159" s="161" t="e">
        <f t="shared" ca="1" si="1174"/>
        <v>#DIV/0!</v>
      </c>
      <c r="N159" s="161" t="e">
        <f t="shared" ca="1" si="1174"/>
        <v>#DIV/0!</v>
      </c>
      <c r="O159" s="161" t="e">
        <f t="shared" ca="1" si="1174"/>
        <v>#DIV/0!</v>
      </c>
      <c r="P159" s="161" t="e">
        <f t="shared" ca="1" si="1174"/>
        <v>#DIV/0!</v>
      </c>
      <c r="Q159" s="161" t="e">
        <f t="shared" ca="1" si="1174"/>
        <v>#DIV/0!</v>
      </c>
      <c r="R159" s="161" t="e">
        <f t="shared" ca="1" si="1174"/>
        <v>#DIV/0!</v>
      </c>
      <c r="S159" s="161" t="e">
        <f t="shared" ca="1" si="1174"/>
        <v>#DIV/0!</v>
      </c>
      <c r="T159" s="161" t="e">
        <f t="shared" ca="1" si="1174"/>
        <v>#DIV/0!</v>
      </c>
      <c r="U159" s="161" t="e">
        <f t="shared" ca="1" si="1174"/>
        <v>#DIV/0!</v>
      </c>
      <c r="V159" s="161" t="e">
        <f t="shared" ca="1" si="1174"/>
        <v>#DIV/0!</v>
      </c>
      <c r="W159" s="161" t="e">
        <f t="shared" ca="1" si="1174"/>
        <v>#DIV/0!</v>
      </c>
      <c r="X159" s="161" t="e">
        <f t="shared" ref="X159:Y159" ca="1" si="1175">+X156+X158</f>
        <v>#DIV/0!</v>
      </c>
      <c r="Y159" s="161" t="e">
        <f t="shared" ca="1" si="1175"/>
        <v>#DIV/0!</v>
      </c>
      <c r="Z159" s="161" t="e">
        <f t="shared" ref="Z159:AA159" ca="1" si="1176">+Z156+Z158</f>
        <v>#DIV/0!</v>
      </c>
      <c r="AA159" s="161" t="e">
        <f t="shared" ca="1" si="1176"/>
        <v>#DIV/0!</v>
      </c>
      <c r="AB159" s="21" t="e">
        <f t="shared" ref="AA159:AD159" ca="1" si="1177">+AB156+AB158</f>
        <v>#DIV/0!</v>
      </c>
      <c r="AC159" s="21" t="e">
        <f t="shared" ca="1" si="1177"/>
        <v>#DIV/0!</v>
      </c>
      <c r="AD159" s="21" t="e">
        <f t="shared" ca="1" si="1177"/>
        <v>#DIV/0!</v>
      </c>
      <c r="AE159" s="21" t="e">
        <f t="shared" ref="AE159" ca="1" si="1178">+AE156+AE158</f>
        <v>#DIV/0!</v>
      </c>
      <c r="AL159" s="161">
        <f t="shared" ref="AL159" si="1179">+AL156+AL158</f>
        <v>369.75</v>
      </c>
      <c r="AM159" s="161">
        <f t="shared" ref="AM159:AO159" si="1180">+AM156+AM158</f>
        <v>312.39323409669214</v>
      </c>
      <c r="AN159" s="161">
        <f t="shared" si="1180"/>
        <v>310.25</v>
      </c>
      <c r="AO159" s="161">
        <f t="shared" si="1180"/>
        <v>333.98350083843638</v>
      </c>
      <c r="AP159" s="161">
        <f t="shared" ref="AP159:CD159" si="1181">+AP156+AP158</f>
        <v>370.36599999999999</v>
      </c>
      <c r="AQ159" s="161">
        <f t="shared" si="1181"/>
        <v>394.07039241982511</v>
      </c>
      <c r="AR159" s="161">
        <f t="shared" si="1181"/>
        <v>497.22</v>
      </c>
      <c r="AS159" s="161">
        <f t="shared" si="1181"/>
        <v>441.73692103688933</v>
      </c>
      <c r="AT159" s="161">
        <f t="shared" si="1181"/>
        <v>504.94900000000001</v>
      </c>
      <c r="AU159" s="161">
        <f t="shared" si="1181"/>
        <v>633.58468889188646</v>
      </c>
      <c r="AV159" s="161">
        <f t="shared" si="1181"/>
        <v>650.34199999999998</v>
      </c>
      <c r="AW159" s="161">
        <f t="shared" si="1181"/>
        <v>643.93792528091842</v>
      </c>
      <c r="AX159" s="161">
        <f t="shared" si="1181"/>
        <v>738.06600000000003</v>
      </c>
      <c r="AY159" s="161">
        <f t="shared" si="1181"/>
        <v>1029.5294020562983</v>
      </c>
      <c r="AZ159" s="161">
        <f t="shared" si="1181"/>
        <v>1148.4190000000001</v>
      </c>
      <c r="BA159" s="161">
        <f t="shared" si="1181"/>
        <v>1300.3705456430691</v>
      </c>
      <c r="BB159" s="161">
        <f t="shared" si="1181"/>
        <v>1375.5170000000001</v>
      </c>
      <c r="BC159" s="161">
        <f t="shared" si="1181"/>
        <v>1362.490166127337</v>
      </c>
      <c r="BD159" s="161">
        <f t="shared" si="1181"/>
        <v>1300.9470000000001</v>
      </c>
      <c r="BE159" s="161">
        <f t="shared" si="1181"/>
        <v>2209.496416343592</v>
      </c>
      <c r="BF159" s="161">
        <f t="shared" si="1181"/>
        <v>2648.44</v>
      </c>
      <c r="BG159" s="161">
        <f t="shared" si="1181"/>
        <v>2443.206376733493</v>
      </c>
      <c r="BH159" s="161">
        <f t="shared" si="1181"/>
        <v>2009.0340000000003</v>
      </c>
      <c r="BI159" s="161">
        <f t="shared" si="1181"/>
        <v>1742.955725803246</v>
      </c>
      <c r="BJ159" s="161">
        <f t="shared" si="1181"/>
        <v>1825.1690000000001</v>
      </c>
      <c r="BK159" s="161">
        <f t="shared" si="1181"/>
        <v>1893.6063254994021</v>
      </c>
      <c r="BL159" s="161">
        <f t="shared" si="1181"/>
        <v>1460.5070000000003</v>
      </c>
      <c r="BM159" s="161">
        <f t="shared" si="1181"/>
        <v>1541.8846254834923</v>
      </c>
      <c r="BN159" s="161">
        <f t="shared" si="1181"/>
        <v>1761.6560000000004</v>
      </c>
      <c r="BO159" s="161">
        <f t="shared" si="1181"/>
        <v>1879.5446962953492</v>
      </c>
      <c r="BP159" s="161">
        <f t="shared" si="1181"/>
        <v>3425.8760000000002</v>
      </c>
      <c r="BQ159" s="161">
        <f t="shared" si="1181"/>
        <v>3651.7916777307578</v>
      </c>
      <c r="BR159" s="161">
        <f t="shared" si="1181"/>
        <v>6254.6180000000004</v>
      </c>
      <c r="BS159" s="161">
        <f t="shared" si="1181"/>
        <v>9609.9907955747585</v>
      </c>
      <c r="BT159" s="161">
        <f t="shared" si="1181"/>
        <v>17068.587000000003</v>
      </c>
      <c r="BU159" s="161">
        <f t="shared" si="1181"/>
        <v>15656.355709297304</v>
      </c>
      <c r="BV159" s="161">
        <f t="shared" si="1181"/>
        <v>12804.796</v>
      </c>
      <c r="BW159" s="161">
        <f t="shared" si="1181"/>
        <v>11193.402273794605</v>
      </c>
      <c r="BX159" s="161">
        <f t="shared" si="1181"/>
        <v>12470.706</v>
      </c>
      <c r="BY159" s="161">
        <f t="shared" si="1181"/>
        <v>10489.718794785504</v>
      </c>
      <c r="BZ159" s="161">
        <f t="shared" si="1181"/>
        <v>8586.5870000000014</v>
      </c>
      <c r="CA159" s="161">
        <f t="shared" si="1181"/>
        <v>7943.9250355413196</v>
      </c>
      <c r="CB159" s="161">
        <f t="shared" si="1181"/>
        <v>7329.2610000000004</v>
      </c>
      <c r="CC159" s="161">
        <f t="shared" si="1181"/>
        <v>8470.3696654421037</v>
      </c>
      <c r="CD159" s="161">
        <f t="shared" si="1181"/>
        <v>8545.6790000000001</v>
      </c>
      <c r="CE159" s="161">
        <f t="shared" ref="CE159:CF159" si="1182">+CE156+CE158</f>
        <v>7726.8814785510849</v>
      </c>
      <c r="CF159" s="161">
        <f t="shared" si="1182"/>
        <v>7960.6040000000012</v>
      </c>
      <c r="CG159" s="161">
        <f t="shared" ref="CG159:CH159" si="1183">+CG156+CG158</f>
        <v>7291.419149935281</v>
      </c>
      <c r="CH159" s="161">
        <f t="shared" si="1183"/>
        <v>6072.2727000000004</v>
      </c>
      <c r="CI159" s="161">
        <f t="shared" ref="CI159:CJ159" si="1184">+CI156+CI158</f>
        <v>5628.4800361034568</v>
      </c>
      <c r="CJ159" s="161">
        <f t="shared" si="1184"/>
        <v>6150.0259999999998</v>
      </c>
      <c r="CK159" s="161">
        <f t="shared" ref="CK159:CL159" si="1185">+CK156+CK158</f>
        <v>4500.2289617092256</v>
      </c>
      <c r="CL159" s="161">
        <f t="shared" si="1185"/>
        <v>4183.3860000000004</v>
      </c>
      <c r="CM159" s="21">
        <f t="shared" ref="CM159:DB159" si="1186">+CM156+CM158</f>
        <v>5392.2633945316338</v>
      </c>
      <c r="CN159" s="21">
        <f t="shared" si="1186"/>
        <v>6445.1805997549254</v>
      </c>
      <c r="CO159" s="21">
        <f t="shared" si="1186"/>
        <v>7447.1922267275004</v>
      </c>
      <c r="CP159" s="21">
        <f t="shared" si="1186"/>
        <v>7586.3356052806121</v>
      </c>
      <c r="CQ159" s="21">
        <f t="shared" si="1186"/>
        <v>8483.1152702432901</v>
      </c>
      <c r="CR159" s="21">
        <f t="shared" si="1186"/>
        <v>8893.4408317794096</v>
      </c>
      <c r="CS159" s="21">
        <f t="shared" si="1186"/>
        <v>9283.966850220495</v>
      </c>
      <c r="CT159" s="21">
        <f t="shared" si="1186"/>
        <v>10463.86469055077</v>
      </c>
      <c r="CU159" s="21">
        <f t="shared" si="1186"/>
        <v>11295.222665600797</v>
      </c>
      <c r="CV159" s="21">
        <f t="shared" si="1186"/>
        <v>12251.475680684425</v>
      </c>
      <c r="CW159" s="21">
        <f t="shared" si="1186"/>
        <v>13174.178012004159</v>
      </c>
      <c r="CX159" s="21">
        <f t="shared" si="1186"/>
        <v>14609.471313888263</v>
      </c>
      <c r="CY159" s="21">
        <f t="shared" si="1186"/>
        <v>16393.299211361595</v>
      </c>
      <c r="CZ159" s="21">
        <f t="shared" si="1186"/>
        <v>18031.710818472191</v>
      </c>
      <c r="DA159" s="21">
        <f t="shared" si="1186"/>
        <v>19474.206334861188</v>
      </c>
      <c r="DB159" s="21">
        <f t="shared" si="1186"/>
        <v>21926.850408487669</v>
      </c>
      <c r="DE159" s="22"/>
      <c r="DF159" s="161">
        <v>4236.58212616116</v>
      </c>
    </row>
    <row r="160" spans="1:110" s="161" customFormat="1" x14ac:dyDescent="0.2">
      <c r="A160" s="49" t="s">
        <v>345</v>
      </c>
      <c r="B160" s="161">
        <f>+B157+B158</f>
        <v>15.9727684</v>
      </c>
      <c r="C160" s="161">
        <f t="shared" ref="C160:W160" si="1187">+C157+C158</f>
        <v>12.999836200000001</v>
      </c>
      <c r="D160" s="161">
        <f t="shared" si="1187"/>
        <v>24.247335899999999</v>
      </c>
      <c r="E160" s="161" t="e">
        <f t="shared" ca="1" si="1187"/>
        <v>#DIV/0!</v>
      </c>
      <c r="F160" s="161" t="e">
        <f t="shared" ca="1" si="1187"/>
        <v>#DIV/0!</v>
      </c>
      <c r="G160" s="161" t="e">
        <f t="shared" ca="1" si="1187"/>
        <v>#DIV/0!</v>
      </c>
      <c r="H160" s="161" t="e">
        <f t="shared" ca="1" si="1187"/>
        <v>#DIV/0!</v>
      </c>
      <c r="I160" s="161" t="e">
        <f t="shared" ca="1" si="1187"/>
        <v>#DIV/0!</v>
      </c>
      <c r="J160" s="161" t="e">
        <f t="shared" ca="1" si="1187"/>
        <v>#DIV/0!</v>
      </c>
      <c r="K160" s="161" t="e">
        <f t="shared" ca="1" si="1187"/>
        <v>#DIV/0!</v>
      </c>
      <c r="L160" s="161" t="e">
        <f t="shared" ca="1" si="1187"/>
        <v>#DIV/0!</v>
      </c>
      <c r="M160" s="161" t="e">
        <f t="shared" ca="1" si="1187"/>
        <v>#DIV/0!</v>
      </c>
      <c r="N160" s="161" t="e">
        <f t="shared" ca="1" si="1187"/>
        <v>#DIV/0!</v>
      </c>
      <c r="O160" s="161" t="e">
        <f t="shared" ca="1" si="1187"/>
        <v>#DIV/0!</v>
      </c>
      <c r="P160" s="161" t="e">
        <f t="shared" ca="1" si="1187"/>
        <v>#DIV/0!</v>
      </c>
      <c r="Q160" s="161" t="e">
        <f t="shared" ca="1" si="1187"/>
        <v>#DIV/0!</v>
      </c>
      <c r="R160" s="161" t="e">
        <f t="shared" ca="1" si="1187"/>
        <v>#DIV/0!</v>
      </c>
      <c r="S160" s="161" t="e">
        <f t="shared" ca="1" si="1187"/>
        <v>#DIV/0!</v>
      </c>
      <c r="T160" s="161" t="e">
        <f t="shared" ca="1" si="1187"/>
        <v>#DIV/0!</v>
      </c>
      <c r="U160" s="161" t="e">
        <f t="shared" ca="1" si="1187"/>
        <v>#DIV/0!</v>
      </c>
      <c r="V160" s="161" t="e">
        <f t="shared" ca="1" si="1187"/>
        <v>#DIV/0!</v>
      </c>
      <c r="W160" s="161" t="e">
        <f t="shared" ca="1" si="1187"/>
        <v>#DIV/0!</v>
      </c>
      <c r="X160" s="161" t="e">
        <f t="shared" ref="X160:Y160" ca="1" si="1188">+X157+X158</f>
        <v>#DIV/0!</v>
      </c>
      <c r="Y160" s="161" t="e">
        <f t="shared" ca="1" si="1188"/>
        <v>#DIV/0!</v>
      </c>
      <c r="Z160" s="161" t="e">
        <f t="shared" ref="Z160:AA160" ca="1" si="1189">+Z157+Z158</f>
        <v>#DIV/0!</v>
      </c>
      <c r="AA160" s="161" t="e">
        <f t="shared" ca="1" si="1189"/>
        <v>#DIV/0!</v>
      </c>
      <c r="AB160" s="21" t="e">
        <f t="shared" ref="AA160:AD160" ca="1" si="1190">+AB157+AB158</f>
        <v>#DIV/0!</v>
      </c>
      <c r="AC160" s="21" t="e">
        <f t="shared" ca="1" si="1190"/>
        <v>#DIV/0!</v>
      </c>
      <c r="AD160" s="21" t="e">
        <f t="shared" ca="1" si="1190"/>
        <v>#DIV/0!</v>
      </c>
      <c r="AE160" s="21" t="e">
        <f t="shared" ref="AE160" ca="1" si="1191">+AE157+AE158</f>
        <v>#DIV/0!</v>
      </c>
      <c r="AL160" s="161">
        <f t="shared" ref="AL160:AM160" si="1192">+AL157+AL158</f>
        <v>299.60400000000004</v>
      </c>
      <c r="AM160" s="161">
        <f t="shared" si="1192"/>
        <v>278.21123409669212</v>
      </c>
      <c r="AN160" s="161">
        <f t="shared" ref="AN160:AO160" si="1193">+AN157+AN158</f>
        <v>269.42599999999999</v>
      </c>
      <c r="AO160" s="161">
        <f t="shared" si="1193"/>
        <v>258.81550083843638</v>
      </c>
      <c r="AP160" s="161">
        <f t="shared" ref="AP160:CD160" si="1194">+AP157+AP158</f>
        <v>309.45400000000006</v>
      </c>
      <c r="AQ160" s="161">
        <f t="shared" si="1194"/>
        <v>308.85839241982507</v>
      </c>
      <c r="AR160" s="161">
        <f t="shared" si="1194"/>
        <v>376.04399999999998</v>
      </c>
      <c r="AS160" s="161">
        <f t="shared" si="1194"/>
        <v>378.88092103688928</v>
      </c>
      <c r="AT160" s="161">
        <f t="shared" si="1194"/>
        <v>440.149</v>
      </c>
      <c r="AU160" s="161">
        <f t="shared" si="1194"/>
        <v>479.19868889188638</v>
      </c>
      <c r="AV160" s="161">
        <f t="shared" si="1194"/>
        <v>463.71799999999996</v>
      </c>
      <c r="AW160" s="161">
        <f t="shared" si="1194"/>
        <v>484.85392528091836</v>
      </c>
      <c r="AX160" s="161">
        <f t="shared" si="1194"/>
        <v>511.59000000000003</v>
      </c>
      <c r="AY160" s="161">
        <f t="shared" si="1194"/>
        <v>675.07340205629816</v>
      </c>
      <c r="AZ160" s="161">
        <f t="shared" si="1194"/>
        <v>889.86699999999996</v>
      </c>
      <c r="BA160" s="161">
        <f t="shared" si="1194"/>
        <v>953.52854564306915</v>
      </c>
      <c r="BB160" s="161">
        <f t="shared" si="1194"/>
        <v>1083.9170000000001</v>
      </c>
      <c r="BC160" s="161">
        <f t="shared" si="1194"/>
        <v>1099.7261661273371</v>
      </c>
      <c r="BD160" s="161">
        <f t="shared" si="1194"/>
        <v>915.71100000000013</v>
      </c>
      <c r="BE160" s="161">
        <f t="shared" si="1194"/>
        <v>1114.3764163435924</v>
      </c>
      <c r="BF160" s="161">
        <f t="shared" si="1194"/>
        <v>1890.2800000000002</v>
      </c>
      <c r="BG160" s="161">
        <f t="shared" si="1194"/>
        <v>1729.7583767334936</v>
      </c>
      <c r="BH160" s="161">
        <f t="shared" si="1194"/>
        <v>1543.7700000000002</v>
      </c>
      <c r="BI160" s="161">
        <f t="shared" si="1194"/>
        <v>1391.7397258032458</v>
      </c>
      <c r="BJ160" s="161">
        <f t="shared" si="1194"/>
        <v>1364.279</v>
      </c>
      <c r="BK160" s="161">
        <f t="shared" si="1194"/>
        <v>1330.1703254994022</v>
      </c>
      <c r="BL160" s="161">
        <f t="shared" si="1194"/>
        <v>901.44500000000005</v>
      </c>
      <c r="BM160" s="161">
        <f t="shared" si="1194"/>
        <v>1163.4526254834921</v>
      </c>
      <c r="BN160" s="161">
        <f t="shared" si="1194"/>
        <v>846.35599999999999</v>
      </c>
      <c r="BO160" s="161">
        <f t="shared" si="1194"/>
        <v>899.60669629534891</v>
      </c>
      <c r="BP160" s="161">
        <f t="shared" si="1194"/>
        <v>1814.3000000000002</v>
      </c>
      <c r="BQ160" s="161">
        <f t="shared" si="1194"/>
        <v>2787.0356777307579</v>
      </c>
      <c r="BR160" s="161">
        <f t="shared" si="1194"/>
        <v>3086.8700000000003</v>
      </c>
      <c r="BS160" s="161">
        <f t="shared" si="1194"/>
        <v>5605.35079557476</v>
      </c>
      <c r="BT160" s="161">
        <f t="shared" si="1194"/>
        <v>8815.0110000000004</v>
      </c>
      <c r="BU160" s="161">
        <f t="shared" si="1194"/>
        <v>9438.7957092973047</v>
      </c>
      <c r="BV160" s="161">
        <f t="shared" si="1194"/>
        <v>8732.44</v>
      </c>
      <c r="BW160" s="161">
        <f t="shared" si="1194"/>
        <v>8585.2022737946045</v>
      </c>
      <c r="BX160" s="161">
        <f t="shared" si="1194"/>
        <v>9218.232</v>
      </c>
      <c r="BY160" s="161">
        <f t="shared" si="1194"/>
        <v>8302.2327947855028</v>
      </c>
      <c r="BZ160" s="161">
        <f t="shared" si="1194"/>
        <v>5986.1630000000005</v>
      </c>
      <c r="CA160" s="161">
        <f t="shared" si="1194"/>
        <v>5754.33303554132</v>
      </c>
      <c r="CB160" s="161">
        <f t="shared" si="1194"/>
        <v>6279.5010000000002</v>
      </c>
      <c r="CC160" s="161">
        <f t="shared" si="1194"/>
        <v>6140.1616654421041</v>
      </c>
      <c r="CD160" s="161">
        <f t="shared" si="1194"/>
        <v>6192.3050000000003</v>
      </c>
      <c r="CE160" s="161">
        <f t="shared" ref="CE160:CF160" si="1195">+CE157+CE158</f>
        <v>5966.1034785510847</v>
      </c>
      <c r="CF160" s="161">
        <f t="shared" si="1195"/>
        <v>6465.9920000000002</v>
      </c>
      <c r="CG160" s="161">
        <f t="shared" ref="CG160:CH160" si="1196">+CG157+CG158</f>
        <v>5160.147149935281</v>
      </c>
      <c r="CH160" s="161">
        <f t="shared" si="1196"/>
        <v>3450.3027000000006</v>
      </c>
      <c r="CI160" s="161">
        <f t="shared" ref="CI160:CJ160" si="1197">+CI157+CI158</f>
        <v>3216.4620361034567</v>
      </c>
      <c r="CJ160" s="161">
        <f t="shared" si="1197"/>
        <v>4336.4360000000006</v>
      </c>
      <c r="CK160" s="161">
        <f t="shared" ref="CK160:CL160" si="1198">+CK157+CK158</f>
        <v>3279.2349617092254</v>
      </c>
      <c r="CL160" s="161">
        <f t="shared" si="1198"/>
        <v>2794.2360000000003</v>
      </c>
      <c r="CM160" s="21">
        <f t="shared" ref="CM160:DB160" si="1199">+CM157+CM158</f>
        <v>3014.2873982951228</v>
      </c>
      <c r="CN160" s="21">
        <f t="shared" si="1199"/>
        <v>3674.6311790569307</v>
      </c>
      <c r="CO160" s="21">
        <f t="shared" si="1199"/>
        <v>4335.7665400740361</v>
      </c>
      <c r="CP160" s="21">
        <f t="shared" si="1199"/>
        <v>4475.7993914197668</v>
      </c>
      <c r="CQ160" s="21">
        <f t="shared" si="1199"/>
        <v>5082.5105248663676</v>
      </c>
      <c r="CR160" s="21">
        <f t="shared" si="1199"/>
        <v>5332.5855504666279</v>
      </c>
      <c r="CS160" s="21">
        <f t="shared" si="1199"/>
        <v>5545.2004300978369</v>
      </c>
      <c r="CT160" s="21">
        <f t="shared" si="1199"/>
        <v>6308.6253944406744</v>
      </c>
      <c r="CU160" s="21">
        <f t="shared" si="1199"/>
        <v>6822.7617329363247</v>
      </c>
      <c r="CV160" s="21">
        <f t="shared" si="1199"/>
        <v>7350.6425529932385</v>
      </c>
      <c r="CW160" s="21">
        <f t="shared" si="1199"/>
        <v>7820.6328358824339</v>
      </c>
      <c r="CX160" s="21">
        <f t="shared" si="1199"/>
        <v>8718.1075371089046</v>
      </c>
      <c r="CY160" s="21">
        <f t="shared" si="1199"/>
        <v>9800.6247489035923</v>
      </c>
      <c r="CZ160" s="21">
        <f t="shared" si="1199"/>
        <v>10710.891998119967</v>
      </c>
      <c r="DA160" s="21">
        <f t="shared" si="1199"/>
        <v>11451.532199008714</v>
      </c>
      <c r="DB160" s="21">
        <f t="shared" si="1199"/>
        <v>12961.669311258687</v>
      </c>
      <c r="DE160" s="22"/>
      <c r="DF160" s="161">
        <v>2847.4321261611599</v>
      </c>
    </row>
    <row r="161" spans="1:110" s="161" customFormat="1" x14ac:dyDescent="0.2">
      <c r="A161" s="49" t="s">
        <v>13</v>
      </c>
      <c r="B161" s="161">
        <f t="shared" ref="B161:AE161" si="1200">+B77</f>
        <v>4.3198106999999979</v>
      </c>
      <c r="C161" s="161">
        <f t="shared" si="1200"/>
        <v>8.8859724</v>
      </c>
      <c r="D161" s="161">
        <f t="shared" si="1200"/>
        <v>9.2922031000000054</v>
      </c>
      <c r="E161" s="161">
        <f t="shared" si="1200"/>
        <v>14.405268899999992</v>
      </c>
      <c r="F161" s="161">
        <f t="shared" si="1200"/>
        <v>12.645600700000006</v>
      </c>
      <c r="G161" s="161">
        <f t="shared" si="1200"/>
        <v>18.748113999999987</v>
      </c>
      <c r="H161" s="161">
        <f t="shared" si="1200"/>
        <v>24.968620099999995</v>
      </c>
      <c r="I161" s="161">
        <f t="shared" si="1200"/>
        <v>29.577711000000015</v>
      </c>
      <c r="J161" s="161">
        <f t="shared" si="1200"/>
        <v>36.814284000000008</v>
      </c>
      <c r="K161" s="161">
        <f t="shared" si="1200"/>
        <v>46.092146800000037</v>
      </c>
      <c r="L161" s="161">
        <f t="shared" si="1200"/>
        <v>63.064491600000011</v>
      </c>
      <c r="M161" s="161">
        <f t="shared" si="1200"/>
        <v>79.294353800000081</v>
      </c>
      <c r="N161" s="161">
        <f t="shared" si="1200"/>
        <v>79.339939699999974</v>
      </c>
      <c r="O161" s="161">
        <f t="shared" si="1200"/>
        <v>87.355500000000035</v>
      </c>
      <c r="P161" s="161">
        <f t="shared" si="1200"/>
        <v>101.75903029999998</v>
      </c>
      <c r="Q161" s="161">
        <f t="shared" si="1200"/>
        <v>123.28103249999998</v>
      </c>
      <c r="R161" s="161">
        <f t="shared" si="1200"/>
        <v>149.08268930000003</v>
      </c>
      <c r="S161" s="161">
        <f t="shared" si="1200"/>
        <v>182.03483519999992</v>
      </c>
      <c r="T161" s="161">
        <f t="shared" si="1200"/>
        <v>191.55487319999995</v>
      </c>
      <c r="U161" s="161">
        <f t="shared" si="1200"/>
        <v>177.4848452</v>
      </c>
      <c r="V161" s="161">
        <f t="shared" si="1200"/>
        <v>367.93729999999999</v>
      </c>
      <c r="W161" s="161">
        <f t="shared" si="1200"/>
        <v>622.66859999999997</v>
      </c>
      <c r="X161" s="161">
        <f t="shared" si="1200"/>
        <v>609.1139000000004</v>
      </c>
      <c r="Y161" s="161">
        <f t="shared" si="1200"/>
        <v>323.73370000000011</v>
      </c>
      <c r="Z161" s="161">
        <f t="shared" si="1200"/>
        <v>232.15059999999994</v>
      </c>
      <c r="AA161" s="161">
        <f t="shared" ref="AA161" si="1201">+AA77</f>
        <v>247.26110000000028</v>
      </c>
      <c r="AB161" s="21">
        <f t="shared" si="1200"/>
        <v>405.9453755653754</v>
      </c>
      <c r="AC161" s="21">
        <f t="shared" si="1200"/>
        <v>629.76700910352338</v>
      </c>
      <c r="AD161" s="21">
        <f t="shared" si="1200"/>
        <v>868.50650744469999</v>
      </c>
      <c r="AE161" s="21">
        <f t="shared" si="1200"/>
        <v>1209.9130624514</v>
      </c>
      <c r="AL161" s="161">
        <f t="shared" ref="AL161:BQ161" si="1202">+SUM(AI77:AL77)</f>
        <v>80.22499999999998</v>
      </c>
      <c r="AM161" s="161">
        <f t="shared" si="1202"/>
        <v>79.924999999999983</v>
      </c>
      <c r="AN161" s="161">
        <f t="shared" si="1202"/>
        <v>84.617000000000004</v>
      </c>
      <c r="AO161" s="161">
        <f t="shared" si="1202"/>
        <v>87.538999999999987</v>
      </c>
      <c r="AP161" s="161">
        <f t="shared" si="1202"/>
        <v>91.029000000000011</v>
      </c>
      <c r="AQ161" s="161">
        <f t="shared" si="1202"/>
        <v>93.289000000000016</v>
      </c>
      <c r="AR161" s="161">
        <f t="shared" si="1202"/>
        <v>92.443999999999988</v>
      </c>
      <c r="AS161" s="161">
        <f t="shared" si="1202"/>
        <v>94.588000000000022</v>
      </c>
      <c r="AT161" s="161">
        <f t="shared" si="1202"/>
        <v>102.36000000000001</v>
      </c>
      <c r="AU161" s="161">
        <f t="shared" si="1202"/>
        <v>106.38400000000001</v>
      </c>
      <c r="AV161" s="161">
        <f t="shared" si="1202"/>
        <v>107.41900000000001</v>
      </c>
      <c r="AW161" s="161">
        <f t="shared" si="1202"/>
        <v>116.92500000000001</v>
      </c>
      <c r="AX161" s="161">
        <f t="shared" si="1202"/>
        <v>128.893</v>
      </c>
      <c r="AY161" s="161">
        <f t="shared" si="1202"/>
        <v>140.233</v>
      </c>
      <c r="AZ161" s="161">
        <f t="shared" si="1202"/>
        <v>151.95200000000003</v>
      </c>
      <c r="BA161" s="161">
        <f t="shared" si="1202"/>
        <v>157.44900000000001</v>
      </c>
      <c r="BB161" s="161">
        <f t="shared" si="1202"/>
        <v>154.756</v>
      </c>
      <c r="BC161" s="161">
        <f t="shared" si="1202"/>
        <v>155.00699999999998</v>
      </c>
      <c r="BD161" s="161">
        <f t="shared" si="1202"/>
        <v>166.85899999999998</v>
      </c>
      <c r="BE161" s="161">
        <f t="shared" si="1202"/>
        <v>180.84399999999997</v>
      </c>
      <c r="BF161" s="161">
        <f t="shared" si="1202"/>
        <v>189.52499999999992</v>
      </c>
      <c r="BG161" s="161">
        <f t="shared" si="1202"/>
        <v>207.62199999999999</v>
      </c>
      <c r="BH161" s="161">
        <f t="shared" si="1202"/>
        <v>200.89399999999995</v>
      </c>
      <c r="BI161" s="161">
        <f t="shared" si="1202"/>
        <v>192.91399999999996</v>
      </c>
      <c r="BJ161" s="161">
        <f t="shared" si="1202"/>
        <v>193.40700000000004</v>
      </c>
      <c r="BK161" s="161">
        <f t="shared" si="1202"/>
        <v>172.24700000000001</v>
      </c>
      <c r="BL161" s="161">
        <f t="shared" si="1202"/>
        <v>172.22099999999998</v>
      </c>
      <c r="BM161" s="161">
        <f t="shared" si="1202"/>
        <v>172.46600000000001</v>
      </c>
      <c r="BN161" s="161">
        <f t="shared" si="1202"/>
        <v>180.74699999999999</v>
      </c>
      <c r="BO161" s="161">
        <f t="shared" si="1202"/>
        <v>196.464</v>
      </c>
      <c r="BP161" s="161">
        <f t="shared" si="1202"/>
        <v>225.399</v>
      </c>
      <c r="BQ161" s="161">
        <f t="shared" si="1202"/>
        <v>299.93299999999999</v>
      </c>
      <c r="BR161" s="161">
        <f t="shared" ref="BR161:CW161" si="1203">+SUM(BO77:BR77)</f>
        <v>373.226</v>
      </c>
      <c r="BS161" s="161">
        <f t="shared" si="1203"/>
        <v>461.61799999999999</v>
      </c>
      <c r="BT161" s="161">
        <f t="shared" si="1203"/>
        <v>517.91300000000001</v>
      </c>
      <c r="BU161" s="161">
        <f t="shared" si="1203"/>
        <v>555.71899999999982</v>
      </c>
      <c r="BV161" s="161">
        <f t="shared" si="1203"/>
        <v>622.90999999999985</v>
      </c>
      <c r="BW161" s="161">
        <f t="shared" si="1203"/>
        <v>696.08399999999995</v>
      </c>
      <c r="BX161" s="161">
        <f t="shared" si="1203"/>
        <v>739.19200000000001</v>
      </c>
      <c r="BY161" s="161">
        <f t="shared" si="1203"/>
        <v>711.79300000000012</v>
      </c>
      <c r="BZ161" s="161">
        <f t="shared" si="1203"/>
        <v>608.80600000000004</v>
      </c>
      <c r="CA161" s="161">
        <f t="shared" si="1203"/>
        <v>492.05299999999988</v>
      </c>
      <c r="CB161" s="161">
        <f t="shared" si="1203"/>
        <v>372.73299999999995</v>
      </c>
      <c r="CC161" s="161">
        <f t="shared" si="1203"/>
        <v>319.15100000000007</v>
      </c>
      <c r="CD161" s="161">
        <f t="shared" si="1203"/>
        <v>323.73100000000005</v>
      </c>
      <c r="CE161" s="161">
        <f t="shared" si="1203"/>
        <v>291.78300000000007</v>
      </c>
      <c r="CF161" s="161">
        <f t="shared" si="1203"/>
        <v>298.68700000000001</v>
      </c>
      <c r="CG161" s="161">
        <f t="shared" si="1203"/>
        <v>270.19499999999999</v>
      </c>
      <c r="CH161" s="161">
        <f t="shared" si="1203"/>
        <v>232.149</v>
      </c>
      <c r="CI161" s="161">
        <f t="shared" si="1203"/>
        <v>220.75</v>
      </c>
      <c r="CJ161" s="161">
        <f t="shared" si="1203"/>
        <v>219.87600000000003</v>
      </c>
      <c r="CK161" s="161">
        <f t="shared" si="1203"/>
        <v>230.84700000000004</v>
      </c>
      <c r="CL161" s="161">
        <f t="shared" si="1203"/>
        <v>265.43300000000005</v>
      </c>
      <c r="CM161" s="21">
        <f t="shared" si="1203"/>
        <v>305.71920879152185</v>
      </c>
      <c r="CN161" s="21">
        <f t="shared" si="1203"/>
        <v>344.28809735968412</v>
      </c>
      <c r="CO161" s="21">
        <f t="shared" si="1203"/>
        <v>382.21946150554709</v>
      </c>
      <c r="CP161" s="21">
        <f t="shared" si="1203"/>
        <v>405.94537556537546</v>
      </c>
      <c r="CQ161" s="21">
        <f t="shared" si="1203"/>
        <v>462.9548252282342</v>
      </c>
      <c r="CR161" s="21">
        <f t="shared" si="1203"/>
        <v>516.35120640220566</v>
      </c>
      <c r="CS161" s="21">
        <f t="shared" si="1203"/>
        <v>569.03834736976489</v>
      </c>
      <c r="CT161" s="21">
        <f t="shared" si="1203"/>
        <v>629.76700910352372</v>
      </c>
      <c r="CU161" s="21">
        <f t="shared" si="1203"/>
        <v>683.73938228524662</v>
      </c>
      <c r="CV161" s="21">
        <f t="shared" si="1203"/>
        <v>743.44750299790894</v>
      </c>
      <c r="CW161" s="21">
        <f t="shared" si="1203"/>
        <v>800.41779782613048</v>
      </c>
      <c r="CX161" s="21">
        <f t="shared" ref="CX161:DB161" si="1204">+SUM(CU77:CX77)</f>
        <v>868.50650744469999</v>
      </c>
      <c r="CY161" s="21">
        <f t="shared" si="1204"/>
        <v>948.77244537843046</v>
      </c>
      <c r="CZ161" s="21">
        <f t="shared" si="1204"/>
        <v>1032.6247414545592</v>
      </c>
      <c r="DA161" s="21">
        <f t="shared" si="1204"/>
        <v>1112.6553544572787</v>
      </c>
      <c r="DB161" s="21">
        <f t="shared" si="1204"/>
        <v>1209.9130624514007</v>
      </c>
      <c r="DE161" s="22"/>
      <c r="DF161" s="161">
        <v>249.25467462944459</v>
      </c>
    </row>
    <row r="162" spans="1:110" s="161" customFormat="1" x14ac:dyDescent="0.2">
      <c r="A162" s="49" t="s">
        <v>343</v>
      </c>
      <c r="B162" s="161">
        <f>+B159/B161</f>
        <v>3.6975621177103912</v>
      </c>
      <c r="C162" s="161">
        <f t="shared" ref="C162:W162" si="1205">+C159/C161</f>
        <v>1.4629615775083884</v>
      </c>
      <c r="D162" s="161">
        <f t="shared" si="1205"/>
        <v>2.7114789548670095</v>
      </c>
      <c r="E162" s="161" t="e">
        <f t="shared" ca="1" si="1205"/>
        <v>#DIV/0!</v>
      </c>
      <c r="F162" s="161" t="e">
        <f t="shared" ca="1" si="1205"/>
        <v>#DIV/0!</v>
      </c>
      <c r="G162" s="161" t="e">
        <f t="shared" ca="1" si="1205"/>
        <v>#DIV/0!</v>
      </c>
      <c r="H162" s="161" t="e">
        <f t="shared" ca="1" si="1205"/>
        <v>#DIV/0!</v>
      </c>
      <c r="I162" s="161" t="e">
        <f t="shared" ca="1" si="1205"/>
        <v>#DIV/0!</v>
      </c>
      <c r="J162" s="161" t="e">
        <f t="shared" ca="1" si="1205"/>
        <v>#DIV/0!</v>
      </c>
      <c r="K162" s="161" t="e">
        <f t="shared" ca="1" si="1205"/>
        <v>#DIV/0!</v>
      </c>
      <c r="L162" s="161" t="e">
        <f t="shared" ca="1" si="1205"/>
        <v>#DIV/0!</v>
      </c>
      <c r="M162" s="161" t="e">
        <f t="shared" ca="1" si="1205"/>
        <v>#DIV/0!</v>
      </c>
      <c r="N162" s="161" t="e">
        <f t="shared" ca="1" si="1205"/>
        <v>#DIV/0!</v>
      </c>
      <c r="O162" s="161" t="e">
        <f t="shared" ca="1" si="1205"/>
        <v>#DIV/0!</v>
      </c>
      <c r="P162" s="161" t="e">
        <f t="shared" ca="1" si="1205"/>
        <v>#DIV/0!</v>
      </c>
      <c r="Q162" s="161" t="e">
        <f t="shared" ca="1" si="1205"/>
        <v>#DIV/0!</v>
      </c>
      <c r="R162" s="161" t="e">
        <f t="shared" ca="1" si="1205"/>
        <v>#DIV/0!</v>
      </c>
      <c r="S162" s="161" t="e">
        <f t="shared" ca="1" si="1205"/>
        <v>#DIV/0!</v>
      </c>
      <c r="T162" s="161" t="e">
        <f t="shared" ca="1" si="1205"/>
        <v>#DIV/0!</v>
      </c>
      <c r="U162" s="161" t="e">
        <f t="shared" ca="1" si="1205"/>
        <v>#DIV/0!</v>
      </c>
      <c r="V162" s="161" t="e">
        <f t="shared" ca="1" si="1205"/>
        <v>#DIV/0!</v>
      </c>
      <c r="W162" s="161" t="e">
        <f t="shared" ca="1" si="1205"/>
        <v>#DIV/0!</v>
      </c>
      <c r="X162" s="161" t="e">
        <f t="shared" ref="X162:Y162" ca="1" si="1206">+X159/X161</f>
        <v>#DIV/0!</v>
      </c>
      <c r="Y162" s="161" t="e">
        <f t="shared" ca="1" si="1206"/>
        <v>#DIV/0!</v>
      </c>
      <c r="Z162" s="161" t="e">
        <f t="shared" ref="Z162:AA162" ca="1" si="1207">+Z159/Z161</f>
        <v>#DIV/0!</v>
      </c>
      <c r="AA162" s="161" t="e">
        <f t="shared" ca="1" si="1207"/>
        <v>#DIV/0!</v>
      </c>
      <c r="AB162" s="21" t="e">
        <f t="shared" ref="AA162:AD162" ca="1" si="1208">+AB159/AB161</f>
        <v>#DIV/0!</v>
      </c>
      <c r="AC162" s="21" t="e">
        <f t="shared" ca="1" si="1208"/>
        <v>#DIV/0!</v>
      </c>
      <c r="AD162" s="21" t="e">
        <f t="shared" ca="1" si="1208"/>
        <v>#DIV/0!</v>
      </c>
      <c r="AE162" s="21" t="e">
        <f t="shared" ref="AE162" ca="1" si="1209">+AE159/AE161</f>
        <v>#DIV/0!</v>
      </c>
      <c r="AL162" s="161">
        <f t="shared" ref="AL162" si="1210">+AL159/AL161</f>
        <v>4.6089124337799952</v>
      </c>
      <c r="AM162" s="161">
        <f t="shared" ref="AM162:AO162" si="1211">+AM159/AM161</f>
        <v>3.9085797196958674</v>
      </c>
      <c r="AN162" s="161">
        <f t="shared" si="1211"/>
        <v>3.6665209118735005</v>
      </c>
      <c r="AO162" s="161">
        <f t="shared" si="1211"/>
        <v>3.8152537821820722</v>
      </c>
      <c r="AP162" s="161">
        <f t="shared" ref="AP162:CD162" si="1212">+AP159/AP161</f>
        <v>4.0686594382010126</v>
      </c>
      <c r="AQ162" s="161">
        <f t="shared" si="1212"/>
        <v>4.2241892658279649</v>
      </c>
      <c r="AR162" s="161">
        <f t="shared" si="1212"/>
        <v>5.3786075894595653</v>
      </c>
      <c r="AS162" s="161">
        <f t="shared" si="1212"/>
        <v>4.6701158818971669</v>
      </c>
      <c r="AT162" s="161">
        <f t="shared" si="1212"/>
        <v>4.9330695584212574</v>
      </c>
      <c r="AU162" s="161">
        <f t="shared" si="1212"/>
        <v>5.9556389014502784</v>
      </c>
      <c r="AV162" s="161">
        <f t="shared" si="1212"/>
        <v>6.0542548338748254</v>
      </c>
      <c r="AW162" s="161">
        <f t="shared" si="1212"/>
        <v>5.5072732544872212</v>
      </c>
      <c r="AX162" s="161">
        <f t="shared" si="1212"/>
        <v>5.7261914921679224</v>
      </c>
      <c r="AY162" s="161">
        <f t="shared" si="1212"/>
        <v>7.341562984863037</v>
      </c>
      <c r="AZ162" s="161">
        <f t="shared" si="1212"/>
        <v>7.5577748236285132</v>
      </c>
      <c r="BA162" s="161">
        <f t="shared" si="1212"/>
        <v>8.25899526604214</v>
      </c>
      <c r="BB162" s="161">
        <f t="shared" si="1212"/>
        <v>8.8882951226446796</v>
      </c>
      <c r="BC162" s="161">
        <f t="shared" si="1212"/>
        <v>8.7898621747878298</v>
      </c>
      <c r="BD162" s="161">
        <f t="shared" si="1212"/>
        <v>7.7966846259416647</v>
      </c>
      <c r="BE162" s="161">
        <f t="shared" si="1212"/>
        <v>12.217692687308357</v>
      </c>
      <c r="BF162" s="161">
        <f t="shared" si="1212"/>
        <v>13.974093127555738</v>
      </c>
      <c r="BG162" s="161">
        <f t="shared" si="1212"/>
        <v>11.767569798641247</v>
      </c>
      <c r="BH162" s="161">
        <f t="shared" si="1212"/>
        <v>10.000467908449236</v>
      </c>
      <c r="BI162" s="161">
        <f t="shared" si="1212"/>
        <v>9.0348845900413988</v>
      </c>
      <c r="BJ162" s="161">
        <f t="shared" si="1212"/>
        <v>9.4369335132647727</v>
      </c>
      <c r="BK162" s="161">
        <f t="shared" si="1212"/>
        <v>10.993551849956178</v>
      </c>
      <c r="BL162" s="161">
        <f t="shared" si="1212"/>
        <v>8.4804234094564563</v>
      </c>
      <c r="BM162" s="161">
        <f t="shared" si="1212"/>
        <v>8.940223728059399</v>
      </c>
      <c r="BN162" s="161">
        <f t="shared" si="1212"/>
        <v>9.7465296796074092</v>
      </c>
      <c r="BO162" s="161">
        <f t="shared" si="1212"/>
        <v>9.5668656664597549</v>
      </c>
      <c r="BP162" s="161">
        <f t="shared" si="1212"/>
        <v>15.199162374278503</v>
      </c>
      <c r="BQ162" s="161">
        <f t="shared" si="1212"/>
        <v>12.175358089075754</v>
      </c>
      <c r="BR162" s="161">
        <f t="shared" si="1212"/>
        <v>16.75825907091146</v>
      </c>
      <c r="BS162" s="161">
        <f t="shared" si="1212"/>
        <v>20.818059078230828</v>
      </c>
      <c r="BT162" s="161">
        <f t="shared" si="1212"/>
        <v>32.956475315352201</v>
      </c>
      <c r="BU162" s="161">
        <f t="shared" si="1212"/>
        <v>28.173151735494574</v>
      </c>
      <c r="BV162" s="161">
        <f t="shared" si="1212"/>
        <v>20.556414249249496</v>
      </c>
      <c r="BW162" s="161">
        <f t="shared" si="1212"/>
        <v>16.080533777237527</v>
      </c>
      <c r="BX162" s="161">
        <f t="shared" si="1212"/>
        <v>16.870726414788038</v>
      </c>
      <c r="BY162" s="161">
        <f t="shared" si="1212"/>
        <v>14.737035619605001</v>
      </c>
      <c r="BZ162" s="161">
        <f t="shared" si="1212"/>
        <v>14.103978935818636</v>
      </c>
      <c r="CA162" s="161">
        <f t="shared" si="1212"/>
        <v>16.144449958726643</v>
      </c>
      <c r="CB162" s="161">
        <f t="shared" si="1212"/>
        <v>19.663568828088742</v>
      </c>
      <c r="CC162" s="161">
        <f t="shared" si="1212"/>
        <v>26.540319990982645</v>
      </c>
      <c r="CD162" s="161">
        <f t="shared" si="1212"/>
        <v>26.397468886204901</v>
      </c>
      <c r="CE162" s="161">
        <f t="shared" ref="CE162:CF162" si="1213">+CE159/CE161</f>
        <v>26.48160269292962</v>
      </c>
      <c r="CF162" s="161">
        <f t="shared" si="1213"/>
        <v>26.65199355847426</v>
      </c>
      <c r="CG162" s="161">
        <f t="shared" ref="CG162:CH162" si="1214">+CG159/CG161</f>
        <v>26.985766390700352</v>
      </c>
      <c r="CH162" s="161">
        <f t="shared" si="1214"/>
        <v>26.156790251088744</v>
      </c>
      <c r="CI162" s="161">
        <f t="shared" ref="CI162:CJ162" si="1215">+CI159/CI161</f>
        <v>25.497078306244426</v>
      </c>
      <c r="CJ162" s="161">
        <f t="shared" si="1215"/>
        <v>27.970428787134562</v>
      </c>
      <c r="CK162" s="161">
        <f t="shared" ref="CK162:CL162" si="1216">+CK159/CK161</f>
        <v>19.494422547008298</v>
      </c>
      <c r="CL162" s="161">
        <f t="shared" si="1216"/>
        <v>15.760610022114808</v>
      </c>
      <c r="CM162" s="21">
        <f t="shared" ref="CM162:DB162" si="1217">+CM159/CM161</f>
        <v>17.637960715150101</v>
      </c>
      <c r="CN162" s="21">
        <f t="shared" si="1217"/>
        <v>18.720311997953058</v>
      </c>
      <c r="CO162" s="21">
        <f t="shared" si="1217"/>
        <v>19.484073880993158</v>
      </c>
      <c r="CP162" s="21">
        <f t="shared" si="1217"/>
        <v>18.688070025960602</v>
      </c>
      <c r="CQ162" s="21">
        <f t="shared" si="1217"/>
        <v>18.32385107134624</v>
      </c>
      <c r="CR162" s="21">
        <f t="shared" si="1217"/>
        <v>17.223627487474037</v>
      </c>
      <c r="CS162" s="21">
        <f t="shared" si="1217"/>
        <v>16.315186653295463</v>
      </c>
      <c r="CT162" s="21">
        <f t="shared" si="1217"/>
        <v>16.615453873085748</v>
      </c>
      <c r="CU162" s="21">
        <f t="shared" si="1217"/>
        <v>16.519777795816047</v>
      </c>
      <c r="CV162" s="21">
        <f t="shared" si="1217"/>
        <v>16.479274772302091</v>
      </c>
      <c r="CW162" s="21">
        <f t="shared" si="1217"/>
        <v>16.459126780768933</v>
      </c>
      <c r="CX162" s="21">
        <f t="shared" si="1217"/>
        <v>16.821372308276558</v>
      </c>
      <c r="CY162" s="21">
        <f t="shared" si="1217"/>
        <v>17.278430978065462</v>
      </c>
      <c r="CZ162" s="21">
        <f t="shared" si="1217"/>
        <v>17.462017027669368</v>
      </c>
      <c r="DA162" s="21">
        <f t="shared" si="1217"/>
        <v>17.502460449094002</v>
      </c>
      <c r="DB162" s="21">
        <f t="shared" si="1217"/>
        <v>18.122666073264597</v>
      </c>
      <c r="DE162" s="22"/>
      <c r="DF162" s="161">
        <v>16.997001690979278</v>
      </c>
    </row>
    <row r="163" spans="1:110" s="161" customFormat="1" x14ac:dyDescent="0.2">
      <c r="A163" s="49" t="s">
        <v>344</v>
      </c>
      <c r="B163" s="161">
        <f>+B160/B161</f>
        <v>3.6975621177103912</v>
      </c>
      <c r="C163" s="161">
        <f t="shared" ref="C163:W163" si="1218">+C160/C161</f>
        <v>1.4629615775083884</v>
      </c>
      <c r="D163" s="161">
        <f t="shared" si="1218"/>
        <v>2.6094281021472705</v>
      </c>
      <c r="E163" s="161" t="e">
        <f t="shared" ca="1" si="1218"/>
        <v>#DIV/0!</v>
      </c>
      <c r="F163" s="161" t="e">
        <f t="shared" ca="1" si="1218"/>
        <v>#DIV/0!</v>
      </c>
      <c r="G163" s="161" t="e">
        <f t="shared" ca="1" si="1218"/>
        <v>#DIV/0!</v>
      </c>
      <c r="H163" s="161" t="e">
        <f t="shared" ca="1" si="1218"/>
        <v>#DIV/0!</v>
      </c>
      <c r="I163" s="161" t="e">
        <f t="shared" ca="1" si="1218"/>
        <v>#DIV/0!</v>
      </c>
      <c r="J163" s="161" t="e">
        <f t="shared" ca="1" si="1218"/>
        <v>#DIV/0!</v>
      </c>
      <c r="K163" s="161" t="e">
        <f t="shared" ca="1" si="1218"/>
        <v>#DIV/0!</v>
      </c>
      <c r="L163" s="161" t="e">
        <f t="shared" ca="1" si="1218"/>
        <v>#DIV/0!</v>
      </c>
      <c r="M163" s="161" t="e">
        <f t="shared" ca="1" si="1218"/>
        <v>#DIV/0!</v>
      </c>
      <c r="N163" s="161" t="e">
        <f t="shared" ca="1" si="1218"/>
        <v>#DIV/0!</v>
      </c>
      <c r="O163" s="161" t="e">
        <f t="shared" ca="1" si="1218"/>
        <v>#DIV/0!</v>
      </c>
      <c r="P163" s="161" t="e">
        <f t="shared" ca="1" si="1218"/>
        <v>#DIV/0!</v>
      </c>
      <c r="Q163" s="161" t="e">
        <f t="shared" ca="1" si="1218"/>
        <v>#DIV/0!</v>
      </c>
      <c r="R163" s="161" t="e">
        <f t="shared" ca="1" si="1218"/>
        <v>#DIV/0!</v>
      </c>
      <c r="S163" s="161" t="e">
        <f t="shared" ca="1" si="1218"/>
        <v>#DIV/0!</v>
      </c>
      <c r="T163" s="161" t="e">
        <f t="shared" ca="1" si="1218"/>
        <v>#DIV/0!</v>
      </c>
      <c r="U163" s="161" t="e">
        <f t="shared" ca="1" si="1218"/>
        <v>#DIV/0!</v>
      </c>
      <c r="V163" s="161" t="e">
        <f t="shared" ca="1" si="1218"/>
        <v>#DIV/0!</v>
      </c>
      <c r="W163" s="161" t="e">
        <f t="shared" ca="1" si="1218"/>
        <v>#DIV/0!</v>
      </c>
      <c r="X163" s="161" t="e">
        <f t="shared" ref="X163:Y163" ca="1" si="1219">+X160/X161</f>
        <v>#DIV/0!</v>
      </c>
      <c r="Y163" s="161" t="e">
        <f t="shared" ca="1" si="1219"/>
        <v>#DIV/0!</v>
      </c>
      <c r="Z163" s="161" t="e">
        <f t="shared" ref="Z163:AA163" ca="1" si="1220">+Z160/Z161</f>
        <v>#DIV/0!</v>
      </c>
      <c r="AA163" s="161" t="e">
        <f t="shared" ca="1" si="1220"/>
        <v>#DIV/0!</v>
      </c>
      <c r="AB163" s="21" t="e">
        <f t="shared" ref="AA163:AD163" ca="1" si="1221">+AB160/AB161</f>
        <v>#DIV/0!</v>
      </c>
      <c r="AC163" s="21" t="e">
        <f t="shared" ca="1" si="1221"/>
        <v>#DIV/0!</v>
      </c>
      <c r="AD163" s="21" t="e">
        <f t="shared" ca="1" si="1221"/>
        <v>#DIV/0!</v>
      </c>
      <c r="AE163" s="21" t="e">
        <f t="shared" ref="AE163" ca="1" si="1222">+AE160/AE161</f>
        <v>#DIV/0!</v>
      </c>
      <c r="AL163" s="161">
        <f t="shared" ref="AL163:AM163" si="1223">+AL160/AL161</f>
        <v>3.7345465877220332</v>
      </c>
      <c r="AM163" s="161">
        <f t="shared" si="1223"/>
        <v>3.4809037734963049</v>
      </c>
      <c r="AN163" s="161">
        <f t="shared" ref="AN163:AO163" si="1224">+AN160/AN161</f>
        <v>3.1840646678563407</v>
      </c>
      <c r="AO163" s="161">
        <f t="shared" si="1224"/>
        <v>2.9565736510405238</v>
      </c>
      <c r="AP163" s="161">
        <f t="shared" ref="AP163:CD163" si="1225">+AP160/AP161</f>
        <v>3.3995100462489978</v>
      </c>
      <c r="AQ163" s="161">
        <f t="shared" si="1225"/>
        <v>3.31076967723767</v>
      </c>
      <c r="AR163" s="161">
        <f t="shared" si="1225"/>
        <v>4.0678032105923592</v>
      </c>
      <c r="AS163" s="161">
        <f t="shared" si="1225"/>
        <v>4.0055918407925866</v>
      </c>
      <c r="AT163" s="161">
        <f t="shared" si="1225"/>
        <v>4.3000097694411874</v>
      </c>
      <c r="AU163" s="161">
        <f t="shared" si="1225"/>
        <v>4.5044244331091736</v>
      </c>
      <c r="AV163" s="161">
        <f t="shared" si="1225"/>
        <v>4.3169085543525814</v>
      </c>
      <c r="AW163" s="161">
        <f t="shared" si="1225"/>
        <v>4.1467087900869641</v>
      </c>
      <c r="AX163" s="161">
        <f t="shared" si="1225"/>
        <v>3.9691061578208284</v>
      </c>
      <c r="AY163" s="161">
        <f t="shared" si="1225"/>
        <v>4.8139410984311688</v>
      </c>
      <c r="AZ163" s="161">
        <f t="shared" si="1225"/>
        <v>5.8562374960513832</v>
      </c>
      <c r="BA163" s="161">
        <f t="shared" si="1225"/>
        <v>6.0561105224108704</v>
      </c>
      <c r="BB163" s="161">
        <f t="shared" si="1225"/>
        <v>7.0040386156271817</v>
      </c>
      <c r="BC163" s="161">
        <f t="shared" si="1225"/>
        <v>7.0946871181774842</v>
      </c>
      <c r="BD163" s="161">
        <f t="shared" si="1225"/>
        <v>5.4879329254040847</v>
      </c>
      <c r="BE163" s="161">
        <f t="shared" si="1225"/>
        <v>6.1620867507000101</v>
      </c>
      <c r="BF163" s="161">
        <f t="shared" si="1225"/>
        <v>9.9737765466297379</v>
      </c>
      <c r="BG163" s="161">
        <f t="shared" si="1225"/>
        <v>8.3312865531277698</v>
      </c>
      <c r="BH163" s="161">
        <f t="shared" si="1225"/>
        <v>7.6845002837317224</v>
      </c>
      <c r="BI163" s="161">
        <f t="shared" si="1225"/>
        <v>7.2143013249595471</v>
      </c>
      <c r="BJ163" s="161">
        <f t="shared" si="1225"/>
        <v>7.0539277275382988</v>
      </c>
      <c r="BK163" s="161">
        <f t="shared" si="1225"/>
        <v>7.7224585943406971</v>
      </c>
      <c r="BL163" s="161">
        <f t="shared" si="1225"/>
        <v>5.2342339203697588</v>
      </c>
      <c r="BM163" s="161">
        <f t="shared" si="1225"/>
        <v>6.7459825442898422</v>
      </c>
      <c r="BN163" s="161">
        <f t="shared" si="1225"/>
        <v>4.6825452151349678</v>
      </c>
      <c r="BO163" s="161">
        <f t="shared" si="1225"/>
        <v>4.5789900251208815</v>
      </c>
      <c r="BP163" s="161">
        <f t="shared" si="1225"/>
        <v>8.0492814963686623</v>
      </c>
      <c r="BQ163" s="161">
        <f t="shared" si="1225"/>
        <v>9.2921941824699452</v>
      </c>
      <c r="BR163" s="161">
        <f t="shared" si="1225"/>
        <v>8.2707796348593092</v>
      </c>
      <c r="BS163" s="161">
        <f t="shared" si="1225"/>
        <v>12.142834108667254</v>
      </c>
      <c r="BT163" s="161">
        <f t="shared" si="1225"/>
        <v>17.020254367046203</v>
      </c>
      <c r="BU163" s="161">
        <f t="shared" si="1225"/>
        <v>16.984835338178662</v>
      </c>
      <c r="BV163" s="161">
        <f t="shared" si="1225"/>
        <v>14.018782809715693</v>
      </c>
      <c r="BW163" s="161">
        <f t="shared" si="1225"/>
        <v>12.333572203634338</v>
      </c>
      <c r="BX163" s="161">
        <f t="shared" si="1225"/>
        <v>12.470686912196019</v>
      </c>
      <c r="BY163" s="161">
        <f t="shared" si="1225"/>
        <v>11.66383034784762</v>
      </c>
      <c r="BZ163" s="161">
        <f t="shared" si="1225"/>
        <v>9.8326281278436802</v>
      </c>
      <c r="CA163" s="161">
        <f t="shared" si="1225"/>
        <v>11.694539075142965</v>
      </c>
      <c r="CB163" s="161">
        <f t="shared" si="1225"/>
        <v>16.847182835971061</v>
      </c>
      <c r="CC163" s="161">
        <f t="shared" si="1225"/>
        <v>19.239048805869643</v>
      </c>
      <c r="CD163" s="161">
        <f t="shared" si="1225"/>
        <v>19.127933376785045</v>
      </c>
      <c r="CE163" s="161">
        <f t="shared" ref="CE163:CF163" si="1226">+CE160/CE161</f>
        <v>20.447056471936623</v>
      </c>
      <c r="CF163" s="161">
        <f t="shared" si="1226"/>
        <v>21.648052978536061</v>
      </c>
      <c r="CG163" s="161">
        <f t="shared" ref="CG163:CH163" si="1227">+CG160/CG161</f>
        <v>19.097863209664432</v>
      </c>
      <c r="CH163" s="161">
        <f t="shared" si="1227"/>
        <v>14.862449116731067</v>
      </c>
      <c r="CI163" s="161">
        <f t="shared" ref="CI163:CJ163" si="1228">+CI160/CI161</f>
        <v>14.570609450072284</v>
      </c>
      <c r="CJ163" s="161">
        <f t="shared" si="1228"/>
        <v>19.722188870090413</v>
      </c>
      <c r="CK163" s="161">
        <f t="shared" ref="CK163:CL163" si="1229">+CK160/CK161</f>
        <v>14.205231004558105</v>
      </c>
      <c r="CL163" s="161">
        <f t="shared" si="1229"/>
        <v>10.527085931289628</v>
      </c>
      <c r="CM163" s="21">
        <f t="shared" ref="CM163:DB163" si="1230">+CM160/CM161</f>
        <v>9.8596598172888985</v>
      </c>
      <c r="CN163" s="21">
        <f t="shared" si="1230"/>
        <v>10.673128717598319</v>
      </c>
      <c r="CO163" s="21">
        <f t="shared" si="1230"/>
        <v>11.34365718322041</v>
      </c>
      <c r="CP163" s="21">
        <f t="shared" si="1230"/>
        <v>11.025619851405258</v>
      </c>
      <c r="CQ163" s="21">
        <f t="shared" si="1230"/>
        <v>10.978415706890447</v>
      </c>
      <c r="CR163" s="21">
        <f t="shared" si="1230"/>
        <v>10.327438929837367</v>
      </c>
      <c r="CS163" s="21">
        <f t="shared" si="1230"/>
        <v>9.7448624609028833</v>
      </c>
      <c r="CT163" s="21">
        <f t="shared" si="1230"/>
        <v>10.017395803919662</v>
      </c>
      <c r="CU163" s="21">
        <f t="shared" si="1230"/>
        <v>9.9785999018116573</v>
      </c>
      <c r="CV163" s="21">
        <f t="shared" si="1230"/>
        <v>9.8872382022297458</v>
      </c>
      <c r="CW163" s="21">
        <f t="shared" si="1230"/>
        <v>9.7706883294232529</v>
      </c>
      <c r="CX163" s="21">
        <f t="shared" si="1230"/>
        <v>10.038045152659963</v>
      </c>
      <c r="CY163" s="21">
        <f t="shared" si="1230"/>
        <v>10.329794880367213</v>
      </c>
      <c r="CZ163" s="21">
        <f t="shared" si="1230"/>
        <v>10.372492124324431</v>
      </c>
      <c r="DA163" s="21">
        <f t="shared" si="1230"/>
        <v>10.292074857802165</v>
      </c>
      <c r="DB163" s="21">
        <f t="shared" si="1230"/>
        <v>10.712893110681105</v>
      </c>
      <c r="DE163" s="22"/>
      <c r="DF163" s="161">
        <v>11.423786255540866</v>
      </c>
    </row>
    <row r="164" spans="1:110" s="10" customFormat="1" x14ac:dyDescent="0.2">
      <c r="A164" s="149" t="s">
        <v>490</v>
      </c>
      <c r="AB164" s="20"/>
      <c r="AC164" s="20"/>
      <c r="AD164" s="20"/>
      <c r="AE164" s="20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E164" s="126"/>
    </row>
    <row r="165" spans="1:110" x14ac:dyDescent="0.2">
      <c r="A165" s="152" t="s">
        <v>491</v>
      </c>
    </row>
    <row r="166" spans="1:110" s="23" customFormat="1" outlineLevel="1" x14ac:dyDescent="0.2">
      <c r="A166" s="23" t="s">
        <v>41</v>
      </c>
      <c r="B166" s="23">
        <f>'Annual Raw'!C41</f>
        <v>2.9838</v>
      </c>
      <c r="C166" s="23">
        <f>'Annual Raw'!D41</f>
        <v>2.9838</v>
      </c>
      <c r="D166" s="23">
        <f>'Annual Raw'!E41</f>
        <v>2.9866999999999999</v>
      </c>
      <c r="E166" s="23">
        <f>'Annual Raw'!F41</f>
        <v>3.0001000000000002</v>
      </c>
      <c r="F166" s="23">
        <f>'Annual Raw'!G41</f>
        <v>3.0001000000000002</v>
      </c>
      <c r="G166" s="23">
        <f>'Annual Raw'!H41</f>
        <v>3.0001000000000002</v>
      </c>
      <c r="H166" s="23">
        <f>'Annual Raw'!I41</f>
        <v>6.4802</v>
      </c>
      <c r="I166" s="23">
        <f>'Annual Raw'!J41</f>
        <v>6.4802</v>
      </c>
      <c r="J166" s="23">
        <f>'Annual Raw'!K41</f>
        <v>6.4802</v>
      </c>
      <c r="K166" s="23">
        <f>'Annual Raw'!L41</f>
        <v>6.4802</v>
      </c>
      <c r="L166" s="23">
        <f>'Annual Raw'!M41</f>
        <v>6.4802</v>
      </c>
      <c r="M166" s="23">
        <f>'Annual Raw'!N41</f>
        <v>6.4802</v>
      </c>
      <c r="N166" s="23">
        <f>'Annual Raw'!O41</f>
        <v>6.4802</v>
      </c>
      <c r="O166" s="23">
        <f>'Annual Raw'!P41</f>
        <v>6.4802</v>
      </c>
      <c r="P166" s="23">
        <f>'Annual Raw'!Q41</f>
        <v>6.4802</v>
      </c>
      <c r="Q166" s="23">
        <f>'Annual Raw'!R41</f>
        <v>6.4802</v>
      </c>
      <c r="R166" s="23">
        <f>'Annual Raw'!S41</f>
        <v>6.4802</v>
      </c>
      <c r="S166" s="23">
        <f>'Annual Raw'!T41</f>
        <v>6.4802</v>
      </c>
      <c r="T166" s="23">
        <f>'Annual Raw'!U41</f>
        <v>6.4802</v>
      </c>
      <c r="U166" s="23">
        <f>'Annual Raw'!V41</f>
        <v>6.4802</v>
      </c>
      <c r="V166" s="23">
        <f>'Annual Raw'!W41</f>
        <v>6.4802</v>
      </c>
      <c r="W166" s="23">
        <f>'Annual Raw'!X41</f>
        <v>6.4802</v>
      </c>
      <c r="X166" s="23">
        <f>'Annual Raw'!Y41</f>
        <v>6.4802</v>
      </c>
      <c r="Y166" s="23">
        <f>'Annual Raw'!Z41</f>
        <v>6.4802</v>
      </c>
      <c r="Z166" s="23">
        <f>'Annual Raw'!AA41</f>
        <v>6.4802</v>
      </c>
      <c r="AA166" s="23">
        <f>'Annual Raw'!AB41</f>
        <v>6.4802</v>
      </c>
      <c r="AB166" s="24">
        <f>+CP166</f>
        <v>6.48</v>
      </c>
      <c r="AC166" s="24">
        <f>+CT166</f>
        <v>6.48</v>
      </c>
      <c r="AD166" s="24">
        <f>+CX166</f>
        <v>6.48</v>
      </c>
      <c r="AE166" s="24">
        <f>+DB166</f>
        <v>6.48</v>
      </c>
      <c r="AJ166" s="23">
        <f>+'QTR Raw'!D56</f>
        <v>6.48</v>
      </c>
      <c r="AK166" s="23">
        <f t="shared" ref="AK166:CE166" si="1231">+AJ166</f>
        <v>6.48</v>
      </c>
      <c r="AL166" s="23">
        <f>+'QTR Raw'!F56</f>
        <v>6.48</v>
      </c>
      <c r="AM166" s="23">
        <f t="shared" si="1231"/>
        <v>6.48</v>
      </c>
      <c r="AN166" s="23">
        <f>+'QTR Raw'!H56</f>
        <v>6.48</v>
      </c>
      <c r="AO166" s="23">
        <f t="shared" si="1231"/>
        <v>6.48</v>
      </c>
      <c r="AP166" s="23">
        <f>+'QTR Raw'!J56</f>
        <v>6.48</v>
      </c>
      <c r="AQ166" s="23">
        <f t="shared" si="1231"/>
        <v>6.48</v>
      </c>
      <c r="AR166" s="23">
        <f>+'QTR Raw'!L56</f>
        <v>6.48</v>
      </c>
      <c r="AS166" s="23">
        <f t="shared" si="1231"/>
        <v>6.48</v>
      </c>
      <c r="AT166" s="23">
        <f>+'QTR Raw'!N56</f>
        <v>6.48</v>
      </c>
      <c r="AU166" s="23">
        <f t="shared" si="1231"/>
        <v>6.48</v>
      </c>
      <c r="AV166" s="23">
        <f>+'QTR Raw'!P56</f>
        <v>6.48</v>
      </c>
      <c r="AW166" s="23">
        <f t="shared" si="1231"/>
        <v>6.48</v>
      </c>
      <c r="AX166" s="23">
        <f>+'QTR Raw'!R56</f>
        <v>6.48</v>
      </c>
      <c r="AY166" s="23">
        <f t="shared" si="1231"/>
        <v>6.48</v>
      </c>
      <c r="AZ166" s="23">
        <f>+'QTR Raw'!T56</f>
        <v>6.48</v>
      </c>
      <c r="BA166" s="23">
        <f t="shared" si="1231"/>
        <v>6.48</v>
      </c>
      <c r="BB166" s="23">
        <f>+'QTR Raw'!V56</f>
        <v>6.48</v>
      </c>
      <c r="BC166" s="23">
        <f t="shared" si="1231"/>
        <v>6.48</v>
      </c>
      <c r="BD166" s="23">
        <f>+'QTR Raw'!X56</f>
        <v>6.48</v>
      </c>
      <c r="BE166" s="23">
        <f t="shared" si="1231"/>
        <v>6.48</v>
      </c>
      <c r="BF166" s="23">
        <f>+'QTR Raw'!Z56</f>
        <v>6.48</v>
      </c>
      <c r="BG166" s="23">
        <f t="shared" si="1231"/>
        <v>6.48</v>
      </c>
      <c r="BH166" s="23">
        <f>+'QTR Raw'!AB56</f>
        <v>6.48</v>
      </c>
      <c r="BI166" s="23">
        <f t="shared" si="1231"/>
        <v>6.48</v>
      </c>
      <c r="BJ166" s="23">
        <f>+'QTR Raw'!AD56</f>
        <v>6.48</v>
      </c>
      <c r="BK166" s="23">
        <f t="shared" si="1231"/>
        <v>6.48</v>
      </c>
      <c r="BL166" s="23">
        <f>+'QTR Raw'!AF56</f>
        <v>6.48</v>
      </c>
      <c r="BM166" s="23">
        <f t="shared" si="1231"/>
        <v>6.48</v>
      </c>
      <c r="BN166" s="23">
        <f>+'QTR Raw'!AH56</f>
        <v>6.48</v>
      </c>
      <c r="BO166" s="23">
        <f t="shared" si="1231"/>
        <v>6.48</v>
      </c>
      <c r="BP166" s="23">
        <f>+'QTR Raw'!AJ56</f>
        <v>6.48</v>
      </c>
      <c r="BQ166" s="23">
        <f t="shared" si="1231"/>
        <v>6.48</v>
      </c>
      <c r="BR166" s="23">
        <f>+'QTR Raw'!AL56</f>
        <v>6.48</v>
      </c>
      <c r="BS166" s="23">
        <f t="shared" si="1231"/>
        <v>6.48</v>
      </c>
      <c r="BT166" s="23">
        <f>+'QTR Raw'!AN56</f>
        <v>6.48</v>
      </c>
      <c r="BU166" s="23">
        <f t="shared" si="1231"/>
        <v>6.48</v>
      </c>
      <c r="BV166" s="23">
        <f>+'QTR Raw'!AP56</f>
        <v>6.48</v>
      </c>
      <c r="BW166" s="23">
        <f t="shared" si="1231"/>
        <v>6.48</v>
      </c>
      <c r="BX166" s="23">
        <f>+'QTR Raw'!AR56</f>
        <v>6.48</v>
      </c>
      <c r="BY166" s="23">
        <f t="shared" si="1231"/>
        <v>6.48</v>
      </c>
      <c r="BZ166" s="23">
        <f>+'QTR Raw'!AT56</f>
        <v>6.48</v>
      </c>
      <c r="CA166" s="23">
        <f t="shared" si="1231"/>
        <v>6.48</v>
      </c>
      <c r="CB166" s="23">
        <f>+'QTR Raw'!AV56</f>
        <v>6.48</v>
      </c>
      <c r="CC166" s="23">
        <f t="shared" si="1231"/>
        <v>6.48</v>
      </c>
      <c r="CD166" s="23">
        <f>+'QTR Raw'!AX56</f>
        <v>6.48</v>
      </c>
      <c r="CE166" s="23">
        <f t="shared" si="1231"/>
        <v>6.48</v>
      </c>
      <c r="CF166" s="23">
        <f>+'QTR Raw'!AZ56</f>
        <v>6.48</v>
      </c>
      <c r="CG166" s="23">
        <f t="shared" ref="CG166:CG167" si="1232">+CF166</f>
        <v>6.48</v>
      </c>
      <c r="CH166" s="23">
        <f>Z166</f>
        <v>6.4802</v>
      </c>
      <c r="CI166" s="23">
        <f>CH166</f>
        <v>6.4802</v>
      </c>
      <c r="CJ166" s="23">
        <f>+'QTR Raw'!BD56</f>
        <v>6.48</v>
      </c>
      <c r="CK166" s="23">
        <f t="shared" ref="CK166:DB166" si="1233">CJ166</f>
        <v>6.48</v>
      </c>
      <c r="CL166" s="23">
        <f>+'QTR Raw'!BF56</f>
        <v>6.48</v>
      </c>
      <c r="CM166" s="24">
        <f t="shared" si="1233"/>
        <v>6.48</v>
      </c>
      <c r="CN166" s="24">
        <f t="shared" si="1233"/>
        <v>6.48</v>
      </c>
      <c r="CO166" s="24">
        <f t="shared" si="1233"/>
        <v>6.48</v>
      </c>
      <c r="CP166" s="24">
        <f t="shared" si="1233"/>
        <v>6.48</v>
      </c>
      <c r="CQ166" s="24">
        <f t="shared" si="1233"/>
        <v>6.48</v>
      </c>
      <c r="CR166" s="24">
        <f t="shared" si="1233"/>
        <v>6.48</v>
      </c>
      <c r="CS166" s="24">
        <f t="shared" si="1233"/>
        <v>6.48</v>
      </c>
      <c r="CT166" s="24">
        <f t="shared" si="1233"/>
        <v>6.48</v>
      </c>
      <c r="CU166" s="24">
        <f t="shared" si="1233"/>
        <v>6.48</v>
      </c>
      <c r="CV166" s="24">
        <f t="shared" si="1233"/>
        <v>6.48</v>
      </c>
      <c r="CW166" s="24">
        <f t="shared" si="1233"/>
        <v>6.48</v>
      </c>
      <c r="CX166" s="24">
        <f t="shared" si="1233"/>
        <v>6.48</v>
      </c>
      <c r="CY166" s="24">
        <f t="shared" si="1233"/>
        <v>6.48</v>
      </c>
      <c r="CZ166" s="24">
        <f t="shared" si="1233"/>
        <v>6.48</v>
      </c>
      <c r="DA166" s="24">
        <f t="shared" si="1233"/>
        <v>6.48</v>
      </c>
      <c r="DB166" s="24">
        <f t="shared" si="1233"/>
        <v>6.48</v>
      </c>
      <c r="DE166" s="123"/>
      <c r="DF166" s="23">
        <v>6.48</v>
      </c>
    </row>
    <row r="167" spans="1:110" s="23" customFormat="1" outlineLevel="1" x14ac:dyDescent="0.2">
      <c r="A167" s="23" t="s">
        <v>42</v>
      </c>
      <c r="B167" s="23">
        <f>'Annual Raw'!C42</f>
        <v>0</v>
      </c>
      <c r="C167" s="23">
        <f>'Annual Raw'!D42</f>
        <v>0</v>
      </c>
      <c r="D167" s="23">
        <f>'Annual Raw'!E42</f>
        <v>0</v>
      </c>
      <c r="E167" s="23">
        <f>'Annual Raw'!F42</f>
        <v>0</v>
      </c>
      <c r="F167" s="23">
        <f>'Annual Raw'!G42</f>
        <v>0.30480000000000002</v>
      </c>
      <c r="G167" s="23">
        <f>'Annual Raw'!H42</f>
        <v>0.30480000000000002</v>
      </c>
      <c r="H167" s="23">
        <f>'Annual Raw'!I42</f>
        <v>0</v>
      </c>
      <c r="I167" s="23">
        <f>'Annual Raw'!J42</f>
        <v>0</v>
      </c>
      <c r="J167" s="23">
        <f>'Annual Raw'!K42</f>
        <v>0</v>
      </c>
      <c r="K167" s="23">
        <f>'Annual Raw'!L42</f>
        <v>0</v>
      </c>
      <c r="L167" s="23">
        <f>'Annual Raw'!M42</f>
        <v>0</v>
      </c>
      <c r="M167" s="23">
        <f>'Annual Raw'!N42</f>
        <v>0</v>
      </c>
      <c r="N167" s="23">
        <f>'Annual Raw'!O42</f>
        <v>0</v>
      </c>
      <c r="O167" s="23">
        <f>'Annual Raw'!P42</f>
        <v>0</v>
      </c>
      <c r="P167" s="23">
        <f>'Annual Raw'!Q42</f>
        <v>0</v>
      </c>
      <c r="Q167" s="23">
        <f>'Annual Raw'!R42</f>
        <v>0</v>
      </c>
      <c r="R167" s="23">
        <f>'Annual Raw'!S42</f>
        <v>0</v>
      </c>
      <c r="S167" s="23">
        <f>'Annual Raw'!T42</f>
        <v>0</v>
      </c>
      <c r="T167" s="23">
        <f>'Annual Raw'!U42</f>
        <v>0</v>
      </c>
      <c r="U167" s="23">
        <f>'Annual Raw'!V42</f>
        <v>0</v>
      </c>
      <c r="V167" s="23">
        <f>'Annual Raw'!W42</f>
        <v>0</v>
      </c>
      <c r="W167" s="23">
        <f>'Annual Raw'!X42</f>
        <v>0</v>
      </c>
      <c r="X167" s="23">
        <f>'Annual Raw'!Y42</f>
        <v>0</v>
      </c>
      <c r="Y167" s="23">
        <f>'Annual Raw'!Z42</f>
        <v>0</v>
      </c>
      <c r="Z167" s="23">
        <f>'Annual Raw'!AA42</f>
        <v>0</v>
      </c>
      <c r="AA167" s="23">
        <f>'Annual Raw'!AB42</f>
        <v>0</v>
      </c>
      <c r="AB167" s="24">
        <f t="shared" ref="AB167:AB168" si="1234">+CP167</f>
        <v>0</v>
      </c>
      <c r="AC167" s="24">
        <f t="shared" ref="AC167:AC168" si="1235">+CT167</f>
        <v>0</v>
      </c>
      <c r="AD167" s="24">
        <f t="shared" ref="AD167:AD168" si="1236">+CX167</f>
        <v>0</v>
      </c>
      <c r="AE167" s="24">
        <f t="shared" ref="AE167:AE168" si="1237">+DB167</f>
        <v>0</v>
      </c>
      <c r="AJ167" s="23">
        <f>+'QTR Raw'!D57</f>
        <v>0</v>
      </c>
      <c r="AK167" s="23">
        <f t="shared" ref="AK167:CE167" si="1238">+AJ167</f>
        <v>0</v>
      </c>
      <c r="AL167" s="23">
        <f>+'QTR Raw'!F57</f>
        <v>0</v>
      </c>
      <c r="AM167" s="23">
        <f t="shared" si="1238"/>
        <v>0</v>
      </c>
      <c r="AN167" s="23">
        <f>+'QTR Raw'!H57</f>
        <v>0</v>
      </c>
      <c r="AO167" s="23">
        <f t="shared" si="1238"/>
        <v>0</v>
      </c>
      <c r="AP167" s="23">
        <f>+'QTR Raw'!J57</f>
        <v>0</v>
      </c>
      <c r="AQ167" s="23">
        <f t="shared" si="1238"/>
        <v>0</v>
      </c>
      <c r="AR167" s="23">
        <f>+'QTR Raw'!L57</f>
        <v>0</v>
      </c>
      <c r="AS167" s="23">
        <f t="shared" si="1238"/>
        <v>0</v>
      </c>
      <c r="AT167" s="23">
        <f>+'QTR Raw'!N57</f>
        <v>0</v>
      </c>
      <c r="AU167" s="23">
        <f t="shared" si="1238"/>
        <v>0</v>
      </c>
      <c r="AV167" s="23">
        <f>+'QTR Raw'!P57</f>
        <v>0</v>
      </c>
      <c r="AW167" s="23">
        <f t="shared" si="1238"/>
        <v>0</v>
      </c>
      <c r="AX167" s="23">
        <f>+'QTR Raw'!R57</f>
        <v>0</v>
      </c>
      <c r="AY167" s="23">
        <f t="shared" si="1238"/>
        <v>0</v>
      </c>
      <c r="AZ167" s="23">
        <f>+'QTR Raw'!T57</f>
        <v>0</v>
      </c>
      <c r="BA167" s="23">
        <f t="shared" si="1238"/>
        <v>0</v>
      </c>
      <c r="BB167" s="23">
        <f>+'QTR Raw'!V57</f>
        <v>0</v>
      </c>
      <c r="BC167" s="23">
        <f t="shared" si="1238"/>
        <v>0</v>
      </c>
      <c r="BD167" s="23">
        <f>+'QTR Raw'!X57</f>
        <v>0</v>
      </c>
      <c r="BE167" s="23">
        <f t="shared" si="1238"/>
        <v>0</v>
      </c>
      <c r="BF167" s="23">
        <f>+'QTR Raw'!Z57</f>
        <v>0</v>
      </c>
      <c r="BG167" s="23">
        <f t="shared" si="1238"/>
        <v>0</v>
      </c>
      <c r="BH167" s="23">
        <f>+'QTR Raw'!AB57</f>
        <v>0</v>
      </c>
      <c r="BI167" s="23">
        <f t="shared" si="1238"/>
        <v>0</v>
      </c>
      <c r="BJ167" s="23">
        <f>+'QTR Raw'!AD57</f>
        <v>0</v>
      </c>
      <c r="BK167" s="23">
        <f t="shared" si="1238"/>
        <v>0</v>
      </c>
      <c r="BL167" s="23">
        <f>+'QTR Raw'!AF57</f>
        <v>0</v>
      </c>
      <c r="BM167" s="23">
        <f t="shared" si="1238"/>
        <v>0</v>
      </c>
      <c r="BN167" s="23">
        <f>+'QTR Raw'!AH57</f>
        <v>0</v>
      </c>
      <c r="BO167" s="23">
        <f t="shared" si="1238"/>
        <v>0</v>
      </c>
      <c r="BP167" s="23">
        <f>+'QTR Raw'!AJ57</f>
        <v>0</v>
      </c>
      <c r="BQ167" s="23">
        <f t="shared" si="1238"/>
        <v>0</v>
      </c>
      <c r="BR167" s="23">
        <f>+'QTR Raw'!AL57</f>
        <v>0</v>
      </c>
      <c r="BS167" s="23">
        <f t="shared" si="1238"/>
        <v>0</v>
      </c>
      <c r="BT167" s="23">
        <f>+'QTR Raw'!AN57</f>
        <v>0</v>
      </c>
      <c r="BU167" s="23">
        <f t="shared" si="1238"/>
        <v>0</v>
      </c>
      <c r="BV167" s="23">
        <f>+'QTR Raw'!AP57</f>
        <v>0</v>
      </c>
      <c r="BW167" s="23">
        <f t="shared" si="1238"/>
        <v>0</v>
      </c>
      <c r="BX167" s="23">
        <f>+'QTR Raw'!AR57</f>
        <v>0</v>
      </c>
      <c r="BY167" s="23">
        <f t="shared" si="1238"/>
        <v>0</v>
      </c>
      <c r="BZ167" s="23">
        <f>+'QTR Raw'!AT57</f>
        <v>0</v>
      </c>
      <c r="CA167" s="23">
        <f t="shared" si="1238"/>
        <v>0</v>
      </c>
      <c r="CB167" s="23">
        <f>+'QTR Raw'!AV57</f>
        <v>0</v>
      </c>
      <c r="CC167" s="23">
        <f t="shared" si="1238"/>
        <v>0</v>
      </c>
      <c r="CD167" s="23">
        <f>+'QTR Raw'!AX57</f>
        <v>0</v>
      </c>
      <c r="CE167" s="23">
        <f t="shared" si="1238"/>
        <v>0</v>
      </c>
      <c r="CF167" s="23">
        <f>+'QTR Raw'!AZ57</f>
        <v>0</v>
      </c>
      <c r="CG167" s="23">
        <f t="shared" si="1232"/>
        <v>0</v>
      </c>
      <c r="CH167" s="23">
        <f t="shared" ref="CH167:CH168" si="1239">Z167</f>
        <v>0</v>
      </c>
      <c r="CI167" s="23">
        <f>CH167</f>
        <v>0</v>
      </c>
      <c r="CJ167" s="23">
        <f>+'QTR Raw'!BD57</f>
        <v>0</v>
      </c>
      <c r="CK167" s="23">
        <f t="shared" ref="CK167:DB167" si="1240">CJ167</f>
        <v>0</v>
      </c>
      <c r="CL167" s="23">
        <f>+'QTR Raw'!BF57</f>
        <v>0</v>
      </c>
      <c r="CM167" s="24">
        <f t="shared" si="1240"/>
        <v>0</v>
      </c>
      <c r="CN167" s="24">
        <f t="shared" si="1240"/>
        <v>0</v>
      </c>
      <c r="CO167" s="24">
        <f t="shared" si="1240"/>
        <v>0</v>
      </c>
      <c r="CP167" s="24">
        <f t="shared" si="1240"/>
        <v>0</v>
      </c>
      <c r="CQ167" s="24">
        <f t="shared" si="1240"/>
        <v>0</v>
      </c>
      <c r="CR167" s="24">
        <f t="shared" si="1240"/>
        <v>0</v>
      </c>
      <c r="CS167" s="24">
        <f t="shared" si="1240"/>
        <v>0</v>
      </c>
      <c r="CT167" s="24">
        <f t="shared" si="1240"/>
        <v>0</v>
      </c>
      <c r="CU167" s="24">
        <f t="shared" si="1240"/>
        <v>0</v>
      </c>
      <c r="CV167" s="24">
        <f t="shared" si="1240"/>
        <v>0</v>
      </c>
      <c r="CW167" s="24">
        <f t="shared" si="1240"/>
        <v>0</v>
      </c>
      <c r="CX167" s="24">
        <f t="shared" si="1240"/>
        <v>0</v>
      </c>
      <c r="CY167" s="24">
        <f t="shared" si="1240"/>
        <v>0</v>
      </c>
      <c r="CZ167" s="24">
        <f t="shared" si="1240"/>
        <v>0</v>
      </c>
      <c r="DA167" s="24">
        <f t="shared" si="1240"/>
        <v>0</v>
      </c>
      <c r="DB167" s="24">
        <f t="shared" si="1240"/>
        <v>0</v>
      </c>
      <c r="DE167" s="123"/>
      <c r="DF167" s="23">
        <v>0</v>
      </c>
    </row>
    <row r="168" spans="1:110" s="23" customFormat="1" outlineLevel="1" x14ac:dyDescent="0.2">
      <c r="A168" s="23" t="s">
        <v>43</v>
      </c>
      <c r="B168" s="23">
        <f>'Annual Raw'!C43</f>
        <v>8.3546300000000002</v>
      </c>
      <c r="C168" s="23">
        <f>'Annual Raw'!D43</f>
        <v>9.1170688999999996</v>
      </c>
      <c r="D168" s="23">
        <f>'Annual Raw'!E43</f>
        <v>12.391534</v>
      </c>
      <c r="E168" s="23">
        <f>'Annual Raw'!F43</f>
        <v>18.5555609</v>
      </c>
      <c r="F168" s="23">
        <f>'Annual Raw'!G43</f>
        <v>22.1263398</v>
      </c>
      <c r="G168" s="23">
        <f>'Annual Raw'!H43</f>
        <v>29.2008592</v>
      </c>
      <c r="H168" s="23">
        <f>'Annual Raw'!I43</f>
        <v>37.689778199999999</v>
      </c>
      <c r="I168" s="23">
        <f>'Annual Raw'!J43</f>
        <v>49.570689899999998</v>
      </c>
      <c r="J168" s="23">
        <f>'Annual Raw'!K43</f>
        <v>63.153710400000001</v>
      </c>
      <c r="K168" s="23">
        <f>'Annual Raw'!L43</f>
        <v>81.675311899999997</v>
      </c>
      <c r="L168" s="23">
        <f>'Annual Raw'!M43</f>
        <v>105.997809</v>
      </c>
      <c r="M168" s="23">
        <f>'Annual Raw'!N43</f>
        <v>138.62584709999999</v>
      </c>
      <c r="N168" s="23">
        <f>'Annual Raw'!O43</f>
        <v>164.89910019999999</v>
      </c>
      <c r="O168" s="23">
        <f>'Annual Raw'!P43</f>
        <v>194.64089999999999</v>
      </c>
      <c r="P168" s="23">
        <f>'Annual Raw'!Q43</f>
        <v>221.4329907</v>
      </c>
      <c r="Q168" s="23">
        <f>'Annual Raw'!R43</f>
        <v>271.7427113</v>
      </c>
      <c r="R168" s="23">
        <f>'Annual Raw'!S43</f>
        <v>355.9818593</v>
      </c>
      <c r="S168" s="23">
        <f>'Annual Raw'!T43</f>
        <v>460.58333329999999</v>
      </c>
      <c r="T168" s="23">
        <f>'Annual Raw'!U43</f>
        <v>567.97690909999994</v>
      </c>
      <c r="U168" s="23">
        <f>'Annual Raw'!V43</f>
        <v>651.66114760000005</v>
      </c>
      <c r="V168" s="23">
        <f>'Annual Raw'!W43</f>
        <v>887.90959999999995</v>
      </c>
      <c r="W168" s="23">
        <f>'Annual Raw'!X43</f>
        <v>1243.3680999999999</v>
      </c>
      <c r="X168" s="23">
        <f>'Annual Raw'!Y43</f>
        <v>1547.7541000000001</v>
      </c>
      <c r="Y168" s="23">
        <f>'Annual Raw'!Z43</f>
        <v>1715.3779999999999</v>
      </c>
      <c r="Z168" s="23">
        <f>'Annual Raw'!AA43</f>
        <v>1838.5779</v>
      </c>
      <c r="AA168" s="23">
        <f>'Annual Raw'!AB43</f>
        <v>1778.4862000000001</v>
      </c>
      <c r="AB168" s="24">
        <f t="shared" si="1234"/>
        <v>2219.6175110528388</v>
      </c>
      <c r="AC168" s="24">
        <f t="shared" si="1235"/>
        <v>2553.1034907513422</v>
      </c>
      <c r="AD168" s="24">
        <f t="shared" si="1236"/>
        <v>3025.9251698057283</v>
      </c>
      <c r="AE168" s="24">
        <f t="shared" si="1237"/>
        <v>3745.4414210557488</v>
      </c>
      <c r="AJ168" s="23">
        <f>+'QTR Raw'!D58</f>
        <v>157.97300000000001</v>
      </c>
      <c r="AK168" s="23">
        <f>+AJ168+AK97</f>
        <v>165.166</v>
      </c>
      <c r="AL168" s="23">
        <f>+'QTR Raw'!F58</f>
        <v>166</v>
      </c>
      <c r="AM168" s="23">
        <f>+AL168+AM97</f>
        <v>174.51</v>
      </c>
      <c r="AN168" s="23">
        <f>+'QTR Raw'!H58</f>
        <v>186.22900000000001</v>
      </c>
      <c r="AO168" s="23">
        <f>+AN168+AO97</f>
        <v>190.429</v>
      </c>
      <c r="AP168" s="23">
        <f>+'QTR Raw'!J58</f>
        <v>195.76</v>
      </c>
      <c r="AQ168" s="23">
        <f>+AP168+AQ97</f>
        <v>205.07</v>
      </c>
      <c r="AR168" s="23">
        <f>+'QTR Raw'!L58</f>
        <v>215.14</v>
      </c>
      <c r="AS168" s="23">
        <f>+AR168+AS97</f>
        <v>221.33299999999997</v>
      </c>
      <c r="AT168" s="23">
        <f>+'QTR Raw'!N58</f>
        <v>221.43299999999999</v>
      </c>
      <c r="AU168" s="23">
        <f>+AT168+AU97</f>
        <v>234.249</v>
      </c>
      <c r="AV168" s="23">
        <f>+'QTR Raw'!P58</f>
        <v>255.874</v>
      </c>
      <c r="AW168" s="23">
        <f>+AV168+AW97</f>
        <v>269.18</v>
      </c>
      <c r="AX168" s="23">
        <f>+'QTR Raw'!R58</f>
        <v>273.72800000000001</v>
      </c>
      <c r="AY168" s="23">
        <f>+AX168+AY97</f>
        <v>300.06800000000004</v>
      </c>
      <c r="AZ168" s="23">
        <f>+'QTR Raw'!T58</f>
        <v>333.28399999999999</v>
      </c>
      <c r="BA168" s="23">
        <f>+AZ168+BA97</f>
        <v>352.91399999999999</v>
      </c>
      <c r="BB168" s="23">
        <f>+'QTR Raw'!V58</f>
        <v>355.98200000000003</v>
      </c>
      <c r="BC168" s="23">
        <f>+BB168+BC97</f>
        <v>378.73700000000002</v>
      </c>
      <c r="BD168" s="23">
        <f>+'QTR Raw'!X58</f>
        <v>414.12299999999999</v>
      </c>
      <c r="BE168" s="23">
        <f>+BD168+BE97</f>
        <v>442.20899999999995</v>
      </c>
      <c r="BF168" s="23">
        <f>+'QTR Raw'!Z58</f>
        <v>460.80099999999999</v>
      </c>
      <c r="BG168" s="23">
        <f>+BF168+BG97</f>
        <v>494.625</v>
      </c>
      <c r="BH168" s="23">
        <f>+'QTR Raw'!AB58</f>
        <v>515.24800000000005</v>
      </c>
      <c r="BI168" s="23">
        <f>+BH168+BI97</f>
        <v>541.52</v>
      </c>
      <c r="BJ168" s="23">
        <f>+'QTR Raw'!AD58</f>
        <v>567.97699999999998</v>
      </c>
      <c r="BK168" s="23">
        <f>+BJ168+BK97</f>
        <v>587.125</v>
      </c>
      <c r="BL168" s="23">
        <f>+'QTR Raw'!AF58</f>
        <v>607.59400000000005</v>
      </c>
      <c r="BM168" s="23">
        <f>+BL168+BM97</f>
        <v>631.00200000000007</v>
      </c>
      <c r="BN168" s="23">
        <f>+'QTR Raw'!AH58</f>
        <v>651.66099999999994</v>
      </c>
      <c r="BO168" s="23">
        <f>+BN168+BO97</f>
        <v>684.625</v>
      </c>
      <c r="BP168" s="23">
        <f>+'QTR Raw'!AJ58</f>
        <v>728.91899999999998</v>
      </c>
      <c r="BQ168" s="23">
        <f>+BP168+BQ97</f>
        <v>803.88900000000001</v>
      </c>
      <c r="BR168" s="23">
        <f>+'QTR Raw'!AL58</f>
        <v>887.91</v>
      </c>
      <c r="BS168" s="23">
        <f>+BR168+BS97</f>
        <v>978.29499999999996</v>
      </c>
      <c r="BT168" s="23">
        <f>+'QTR Raw'!AN58</f>
        <v>1045.086</v>
      </c>
      <c r="BU168" s="23">
        <f>+BT168+BU97</f>
        <v>1134.6410000000001</v>
      </c>
      <c r="BV168" s="23">
        <f>+'QTR Raw'!AP58</f>
        <v>1243.3679999999999</v>
      </c>
      <c r="BW168" s="23">
        <f>+BV168+BW97</f>
        <v>1366.336</v>
      </c>
      <c r="BX168" s="23">
        <f>+'QTR Raw'!AR58</f>
        <v>1437.9770000000001</v>
      </c>
      <c r="BY168" s="23">
        <f>+BX168+BY97</f>
        <v>1500.548</v>
      </c>
      <c r="BZ168" s="23">
        <f>+'QTR Raw'!AT58</f>
        <v>1547.7539999999999</v>
      </c>
      <c r="CA168" s="23">
        <f>+BZ168+CA97</f>
        <v>1600.4859999999999</v>
      </c>
      <c r="CB168" s="23">
        <f>+'QTR Raw'!AV58</f>
        <v>1602.018</v>
      </c>
      <c r="CC168" s="23">
        <f>+CB168+CC97</f>
        <v>1651.3910000000001</v>
      </c>
      <c r="CD168" s="23">
        <f>+'QTR Raw'!AX58</f>
        <v>1715.3779999999999</v>
      </c>
      <c r="CE168" s="23">
        <f>+CD168+CE97</f>
        <v>1758.6709999999998</v>
      </c>
      <c r="CF168" s="23">
        <f>+'QTR Raw'!AZ58</f>
        <v>1764.002</v>
      </c>
      <c r="CG168" s="23">
        <f>+CF168+CG97</f>
        <v>1797.1859999999999</v>
      </c>
      <c r="CH168" s="23">
        <f t="shared" si="1239"/>
        <v>1838.5779</v>
      </c>
      <c r="CI168" s="23">
        <f>CH168+CI97</f>
        <v>1876.5789</v>
      </c>
      <c r="CJ168" s="23">
        <f>+'QTR Raw'!BD58</f>
        <v>1875.4939999999999</v>
      </c>
      <c r="CK168" s="23">
        <f t="shared" ref="CK168:DB168" si="1241">CJ168+CK97</f>
        <v>1906.9279999999999</v>
      </c>
      <c r="CL168" s="23">
        <f>+'QTR Raw'!BF58</f>
        <v>1969.9760000000001</v>
      </c>
      <c r="CM168" s="24">
        <f t="shared" si="1241"/>
        <v>2031.6256126290828</v>
      </c>
      <c r="CN168" s="24">
        <f t="shared" si="1241"/>
        <v>2097.6912777645161</v>
      </c>
      <c r="CO168" s="24">
        <f t="shared" si="1241"/>
        <v>2156.4828972437472</v>
      </c>
      <c r="CP168" s="24">
        <f t="shared" si="1241"/>
        <v>2219.6175110528388</v>
      </c>
      <c r="CQ168" s="24">
        <f t="shared" si="1241"/>
        <v>2304.5470797852686</v>
      </c>
      <c r="CR168" s="24">
        <f t="shared" si="1241"/>
        <v>2383.4739312845795</v>
      </c>
      <c r="CS168" s="24">
        <f t="shared" si="1241"/>
        <v>2456.544119625255</v>
      </c>
      <c r="CT168" s="24">
        <f t="shared" si="1241"/>
        <v>2553.1034907513422</v>
      </c>
      <c r="CU168" s="24">
        <f t="shared" si="1241"/>
        <v>2663.4922354082328</v>
      </c>
      <c r="CV168" s="24">
        <f t="shared" si="1241"/>
        <v>2776.7988448357614</v>
      </c>
      <c r="CW168" s="24">
        <f t="shared" si="1241"/>
        <v>2886.2022285073308</v>
      </c>
      <c r="CX168" s="24">
        <f t="shared" si="1241"/>
        <v>3025.9251698057283</v>
      </c>
      <c r="CY168" s="24">
        <f t="shared" si="1241"/>
        <v>3192.598827176434</v>
      </c>
      <c r="CZ168" s="24">
        <f t="shared" si="1241"/>
        <v>3364.3439325003633</v>
      </c>
      <c r="DA168" s="24">
        <f t="shared" si="1241"/>
        <v>3530.0759391023412</v>
      </c>
      <c r="DB168" s="24">
        <f t="shared" si="1241"/>
        <v>3745.4414210557488</v>
      </c>
      <c r="DE168" s="123"/>
      <c r="DF168" s="23">
        <v>1957.3086305039378</v>
      </c>
    </row>
    <row r="169" spans="1:110" s="22" customFormat="1" x14ac:dyDescent="0.2">
      <c r="A169" s="22" t="s">
        <v>44</v>
      </c>
      <c r="B169" s="22">
        <f>B166+B167+B168</f>
        <v>11.338430000000001</v>
      </c>
      <c r="C169" s="22">
        <f t="shared" ref="C169:V169" si="1242">C166+C167+C168</f>
        <v>12.1008689</v>
      </c>
      <c r="D169" s="22">
        <f t="shared" si="1242"/>
        <v>15.378233999999999</v>
      </c>
      <c r="E169" s="22">
        <f t="shared" si="1242"/>
        <v>21.555660899999999</v>
      </c>
      <c r="F169" s="22">
        <f t="shared" si="1242"/>
        <v>25.4312398</v>
      </c>
      <c r="G169" s="22">
        <f t="shared" si="1242"/>
        <v>32.5057592</v>
      </c>
      <c r="H169" s="22">
        <f t="shared" si="1242"/>
        <v>44.169978200000003</v>
      </c>
      <c r="I169" s="22">
        <f t="shared" si="1242"/>
        <v>56.050889900000001</v>
      </c>
      <c r="J169" s="22">
        <f t="shared" si="1242"/>
        <v>69.633910400000005</v>
      </c>
      <c r="K169" s="22">
        <f t="shared" si="1242"/>
        <v>88.155511899999993</v>
      </c>
      <c r="L169" s="22">
        <f t="shared" si="1242"/>
        <v>112.478009</v>
      </c>
      <c r="M169" s="22">
        <f>M166+M167+M168</f>
        <v>145.10604709999998</v>
      </c>
      <c r="N169" s="22">
        <f t="shared" si="1242"/>
        <v>171.37930019999999</v>
      </c>
      <c r="O169" s="22">
        <f t="shared" si="1242"/>
        <v>201.12109999999998</v>
      </c>
      <c r="P169" s="22">
        <f t="shared" si="1242"/>
        <v>227.9131907</v>
      </c>
      <c r="Q169" s="22">
        <f t="shared" si="1242"/>
        <v>278.22291130000002</v>
      </c>
      <c r="R169" s="22">
        <f t="shared" si="1242"/>
        <v>362.46205930000002</v>
      </c>
      <c r="S169" s="22">
        <f t="shared" si="1242"/>
        <v>467.06353330000002</v>
      </c>
      <c r="T169" s="22">
        <f t="shared" si="1242"/>
        <v>574.45710909999991</v>
      </c>
      <c r="U169" s="22">
        <f t="shared" si="1242"/>
        <v>658.14134760000002</v>
      </c>
      <c r="V169" s="22">
        <f t="shared" si="1242"/>
        <v>894.38979999999992</v>
      </c>
      <c r="W169" s="22">
        <f t="shared" ref="W169" si="1243">W166+W167+W168</f>
        <v>1249.8482999999999</v>
      </c>
      <c r="X169" s="22">
        <f t="shared" ref="X169:Y169" si="1244">X166+X167+X168</f>
        <v>1554.2343000000001</v>
      </c>
      <c r="Y169" s="22">
        <f t="shared" si="1244"/>
        <v>1721.8581999999999</v>
      </c>
      <c r="Z169" s="22">
        <f t="shared" ref="Z169:AA169" si="1245">Z166+Z167+Z168</f>
        <v>1845.0581</v>
      </c>
      <c r="AA169" s="22">
        <f t="shared" si="1245"/>
        <v>1784.9664</v>
      </c>
      <c r="AB169" s="21">
        <f t="shared" ref="AA169:AD169" si="1246">AB166+AB167+AB168</f>
        <v>2226.0975110528389</v>
      </c>
      <c r="AC169" s="21">
        <f t="shared" si="1246"/>
        <v>2559.5834907513422</v>
      </c>
      <c r="AD169" s="21">
        <f t="shared" si="1246"/>
        <v>3032.4051698057283</v>
      </c>
      <c r="AE169" s="21">
        <f t="shared" ref="AE169" si="1247">AE166+AE167+AE168</f>
        <v>3751.9214210557489</v>
      </c>
      <c r="AJ169" s="22">
        <f t="shared" ref="AJ169" si="1248">AJ166+AJ167+AJ168</f>
        <v>164.453</v>
      </c>
      <c r="AK169" s="22">
        <f t="shared" ref="AK169" si="1249">AK166+AK167+AK168</f>
        <v>171.64599999999999</v>
      </c>
      <c r="AL169" s="22">
        <f t="shared" ref="AL169:AM169" si="1250">AL166+AL167+AL168</f>
        <v>172.48</v>
      </c>
      <c r="AM169" s="22">
        <f t="shared" si="1250"/>
        <v>180.98999999999998</v>
      </c>
      <c r="AN169" s="22">
        <f t="shared" ref="AN169:AO169" si="1251">AN166+AN167+AN168</f>
        <v>192.709</v>
      </c>
      <c r="AO169" s="22">
        <f t="shared" si="1251"/>
        <v>196.90899999999999</v>
      </c>
      <c r="AP169" s="22">
        <f t="shared" ref="AP169:CE169" si="1252">AP166+AP167+AP168</f>
        <v>202.23999999999998</v>
      </c>
      <c r="AQ169" s="22">
        <f t="shared" si="1252"/>
        <v>211.54999999999998</v>
      </c>
      <c r="AR169" s="22">
        <f t="shared" si="1252"/>
        <v>221.61999999999998</v>
      </c>
      <c r="AS169" s="22">
        <f t="shared" si="1252"/>
        <v>227.81299999999996</v>
      </c>
      <c r="AT169" s="22">
        <f t="shared" si="1252"/>
        <v>227.91299999999998</v>
      </c>
      <c r="AU169" s="22">
        <f t="shared" si="1252"/>
        <v>240.72899999999998</v>
      </c>
      <c r="AV169" s="22">
        <f t="shared" si="1252"/>
        <v>262.35399999999998</v>
      </c>
      <c r="AW169" s="22">
        <f t="shared" si="1252"/>
        <v>275.66000000000003</v>
      </c>
      <c r="AX169" s="22">
        <f t="shared" si="1252"/>
        <v>280.20800000000003</v>
      </c>
      <c r="AY169" s="22">
        <f t="shared" si="1252"/>
        <v>306.54800000000006</v>
      </c>
      <c r="AZ169" s="22">
        <f t="shared" si="1252"/>
        <v>339.76400000000001</v>
      </c>
      <c r="BA169" s="22">
        <f t="shared" si="1252"/>
        <v>359.39400000000001</v>
      </c>
      <c r="BB169" s="22">
        <f t="shared" si="1252"/>
        <v>362.46200000000005</v>
      </c>
      <c r="BC169" s="22">
        <f t="shared" si="1252"/>
        <v>385.21700000000004</v>
      </c>
      <c r="BD169" s="22">
        <f t="shared" si="1252"/>
        <v>420.60300000000001</v>
      </c>
      <c r="BE169" s="22">
        <f t="shared" si="1252"/>
        <v>448.68899999999996</v>
      </c>
      <c r="BF169" s="22">
        <f t="shared" si="1252"/>
        <v>467.28100000000001</v>
      </c>
      <c r="BG169" s="22">
        <f t="shared" si="1252"/>
        <v>501.10500000000002</v>
      </c>
      <c r="BH169" s="22">
        <f t="shared" si="1252"/>
        <v>521.72800000000007</v>
      </c>
      <c r="BI169" s="22">
        <f t="shared" si="1252"/>
        <v>548</v>
      </c>
      <c r="BJ169" s="22">
        <f t="shared" si="1252"/>
        <v>574.45699999999999</v>
      </c>
      <c r="BK169" s="22">
        <f t="shared" si="1252"/>
        <v>593.60500000000002</v>
      </c>
      <c r="BL169" s="22">
        <f t="shared" si="1252"/>
        <v>614.07400000000007</v>
      </c>
      <c r="BM169" s="22">
        <f t="shared" si="1252"/>
        <v>637.48200000000008</v>
      </c>
      <c r="BN169" s="22">
        <f t="shared" si="1252"/>
        <v>658.14099999999996</v>
      </c>
      <c r="BO169" s="22">
        <f t="shared" si="1252"/>
        <v>691.10500000000002</v>
      </c>
      <c r="BP169" s="22">
        <f t="shared" si="1252"/>
        <v>735.399</v>
      </c>
      <c r="BQ169" s="22">
        <f t="shared" si="1252"/>
        <v>810.36900000000003</v>
      </c>
      <c r="BR169" s="22">
        <f t="shared" si="1252"/>
        <v>894.39</v>
      </c>
      <c r="BS169" s="22">
        <f t="shared" si="1252"/>
        <v>984.77499999999998</v>
      </c>
      <c r="BT169" s="22">
        <f t="shared" si="1252"/>
        <v>1051.566</v>
      </c>
      <c r="BU169" s="22">
        <f t="shared" si="1252"/>
        <v>1141.1210000000001</v>
      </c>
      <c r="BV169" s="22">
        <f t="shared" si="1252"/>
        <v>1249.848</v>
      </c>
      <c r="BW169" s="22">
        <f t="shared" si="1252"/>
        <v>1372.816</v>
      </c>
      <c r="BX169" s="22">
        <f t="shared" si="1252"/>
        <v>1444.4570000000001</v>
      </c>
      <c r="BY169" s="22">
        <f t="shared" si="1252"/>
        <v>1507.028</v>
      </c>
      <c r="BZ169" s="22">
        <f t="shared" si="1252"/>
        <v>1554.2339999999999</v>
      </c>
      <c r="CA169" s="22">
        <f t="shared" si="1252"/>
        <v>1606.9659999999999</v>
      </c>
      <c r="CB169" s="22">
        <f t="shared" si="1252"/>
        <v>1608.498</v>
      </c>
      <c r="CC169" s="22">
        <f t="shared" si="1252"/>
        <v>1657.8710000000001</v>
      </c>
      <c r="CD169" s="22">
        <f t="shared" si="1252"/>
        <v>1721.8579999999999</v>
      </c>
      <c r="CE169" s="22">
        <f t="shared" si="1252"/>
        <v>1765.1509999999998</v>
      </c>
      <c r="CF169" s="22">
        <f t="shared" ref="CF169:CG169" si="1253">CF166+CF167+CF168</f>
        <v>1770.482</v>
      </c>
      <c r="CG169" s="22">
        <f t="shared" si="1253"/>
        <v>1803.6659999999999</v>
      </c>
      <c r="CH169" s="22">
        <f t="shared" ref="CH169:CI169" si="1254">CH166+CH167+CH168</f>
        <v>1845.0581</v>
      </c>
      <c r="CI169" s="22">
        <f t="shared" si="1254"/>
        <v>1883.0590999999999</v>
      </c>
      <c r="CJ169" s="22">
        <f t="shared" ref="CJ169:DB169" si="1255">CJ166+CJ167+CJ168</f>
        <v>1881.9739999999999</v>
      </c>
      <c r="CK169" s="22">
        <f t="shared" si="1255"/>
        <v>1913.4079999999999</v>
      </c>
      <c r="CL169" s="22">
        <f t="shared" ref="CL169" si="1256">CL166+CL167+CL168</f>
        <v>1976.4560000000001</v>
      </c>
      <c r="CM169" s="21">
        <f t="shared" si="1255"/>
        <v>2038.1056126290828</v>
      </c>
      <c r="CN169" s="21">
        <f t="shared" si="1255"/>
        <v>2104.1712777645162</v>
      </c>
      <c r="CO169" s="21">
        <f t="shared" si="1255"/>
        <v>2162.9628972437472</v>
      </c>
      <c r="CP169" s="21">
        <f t="shared" si="1255"/>
        <v>2226.0975110528389</v>
      </c>
      <c r="CQ169" s="21">
        <f t="shared" si="1255"/>
        <v>2311.0270797852686</v>
      </c>
      <c r="CR169" s="21">
        <f t="shared" si="1255"/>
        <v>2389.9539312845795</v>
      </c>
      <c r="CS169" s="21">
        <f t="shared" si="1255"/>
        <v>2463.024119625255</v>
      </c>
      <c r="CT169" s="21">
        <f t="shared" si="1255"/>
        <v>2559.5834907513422</v>
      </c>
      <c r="CU169" s="21">
        <f t="shared" si="1255"/>
        <v>2669.9722354082328</v>
      </c>
      <c r="CV169" s="21">
        <f t="shared" si="1255"/>
        <v>2783.2788448357614</v>
      </c>
      <c r="CW169" s="21">
        <f t="shared" si="1255"/>
        <v>2892.6822285073308</v>
      </c>
      <c r="CX169" s="21">
        <f t="shared" si="1255"/>
        <v>3032.4051698057283</v>
      </c>
      <c r="CY169" s="21">
        <f t="shared" si="1255"/>
        <v>3199.0788271764341</v>
      </c>
      <c r="CZ169" s="21">
        <f t="shared" si="1255"/>
        <v>3370.8239325003633</v>
      </c>
      <c r="DA169" s="21">
        <f t="shared" si="1255"/>
        <v>3536.5559391023412</v>
      </c>
      <c r="DB169" s="21">
        <f t="shared" si="1255"/>
        <v>3751.9214210557489</v>
      </c>
      <c r="DE169" s="126"/>
      <c r="DF169" s="22">
        <v>1963.7886305039378</v>
      </c>
    </row>
    <row r="170" spans="1:110" s="22" customFormat="1" x14ac:dyDescent="0.2">
      <c r="AB170" s="21"/>
      <c r="AC170" s="21"/>
      <c r="AD170" s="21"/>
      <c r="AE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E170" s="126"/>
    </row>
    <row r="171" spans="1:110" s="23" customFormat="1" x14ac:dyDescent="0.2">
      <c r="A171" s="23" t="s">
        <v>23</v>
      </c>
      <c r="B171" s="23">
        <f>'Annual Raw'!C45</f>
        <v>0</v>
      </c>
      <c r="C171" s="23">
        <f>'Annual Raw'!D45</f>
        <v>0</v>
      </c>
      <c r="D171" s="23">
        <f>'Annual Raw'!E45</f>
        <v>0</v>
      </c>
      <c r="E171" s="23">
        <f>'Annual Raw'!F45</f>
        <v>0</v>
      </c>
      <c r="F171" s="23">
        <f>'Annual Raw'!G45</f>
        <v>0</v>
      </c>
      <c r="G171" s="23">
        <f>'Annual Raw'!H45</f>
        <v>0</v>
      </c>
      <c r="H171" s="23">
        <f>'Annual Raw'!I45</f>
        <v>0</v>
      </c>
      <c r="I171" s="23">
        <f>'Annual Raw'!J45</f>
        <v>0</v>
      </c>
      <c r="J171" s="23">
        <f>'Annual Raw'!K45</f>
        <v>0</v>
      </c>
      <c r="K171" s="23">
        <f>'Annual Raw'!L45</f>
        <v>0</v>
      </c>
      <c r="L171" s="23">
        <f>'Annual Raw'!M45</f>
        <v>0</v>
      </c>
      <c r="M171" s="23">
        <f>'Annual Raw'!N45</f>
        <v>0</v>
      </c>
      <c r="N171" s="23">
        <f>'Annual Raw'!O45</f>
        <v>0</v>
      </c>
      <c r="O171" s="23">
        <f>'Annual Raw'!P45</f>
        <v>0</v>
      </c>
      <c r="P171" s="23">
        <f>'Annual Raw'!Q45</f>
        <v>1.9853059</v>
      </c>
      <c r="Q171" s="23">
        <f>'Annual Raw'!R45</f>
        <v>1.9853059</v>
      </c>
      <c r="R171" s="23">
        <f>'Annual Raw'!S45</f>
        <v>0</v>
      </c>
      <c r="S171" s="23">
        <f>'Annual Raw'!T45</f>
        <v>18</v>
      </c>
      <c r="T171" s="23">
        <f>'Annual Raw'!U45</f>
        <v>17.555511500000001</v>
      </c>
      <c r="U171" s="23">
        <f>'Annual Raw'!V45</f>
        <v>10.228017100000001</v>
      </c>
      <c r="V171" s="23">
        <f>'Annual Raw'!W45</f>
        <v>15.5311</v>
      </c>
      <c r="W171" s="23">
        <f>'Annual Raw'!X45</f>
        <v>65.013099999999994</v>
      </c>
      <c r="X171" s="23">
        <f>'Annual Raw'!Y45</f>
        <v>143.92509999999999</v>
      </c>
      <c r="Y171" s="23">
        <f>'Annual Raw'!Z45</f>
        <v>171.3836</v>
      </c>
      <c r="Z171" s="23">
        <f>'Annual Raw'!AA45</f>
        <v>173.31469999999999</v>
      </c>
      <c r="AA171" s="23">
        <f>'Annual Raw'!AB45</f>
        <v>0</v>
      </c>
      <c r="AB171" s="24">
        <f>+CP171</f>
        <v>175.26300000000001</v>
      </c>
      <c r="AC171" s="24">
        <f>+CT171</f>
        <v>175.26300000000001</v>
      </c>
      <c r="AD171" s="24">
        <f>+CX171</f>
        <v>175.26300000000001</v>
      </c>
      <c r="AE171" s="24">
        <f>+DB171</f>
        <v>175.26300000000001</v>
      </c>
      <c r="AJ171" s="23">
        <f>+'QTR Raw'!D60</f>
        <v>0</v>
      </c>
      <c r="AK171" s="23">
        <f t="shared" ref="AK171:CE171" si="1257">+AJ171</f>
        <v>0</v>
      </c>
      <c r="AL171" s="23">
        <f>+'QTR Raw'!F60</f>
        <v>0</v>
      </c>
      <c r="AM171" s="23">
        <f t="shared" si="1257"/>
        <v>0</v>
      </c>
      <c r="AN171" s="23">
        <f>+'QTR Raw'!H60</f>
        <v>0</v>
      </c>
      <c r="AO171" s="23">
        <f t="shared" si="1257"/>
        <v>0</v>
      </c>
      <c r="AP171" s="23">
        <f>+'QTR Raw'!J60</f>
        <v>0</v>
      </c>
      <c r="AQ171" s="23">
        <f t="shared" si="1257"/>
        <v>0</v>
      </c>
      <c r="AR171" s="23">
        <f>+'QTR Raw'!L60</f>
        <v>0</v>
      </c>
      <c r="AS171" s="23">
        <f t="shared" si="1257"/>
        <v>0</v>
      </c>
      <c r="AT171" s="23">
        <f>+'QTR Raw'!N60</f>
        <v>1.9850000000000001</v>
      </c>
      <c r="AU171" s="23">
        <f t="shared" si="1257"/>
        <v>1.9850000000000001</v>
      </c>
      <c r="AV171" s="23">
        <f>+'QTR Raw'!P60</f>
        <v>0</v>
      </c>
      <c r="AW171" s="23">
        <f t="shared" si="1257"/>
        <v>0</v>
      </c>
      <c r="AX171" s="23">
        <f>+'QTR Raw'!R60</f>
        <v>0</v>
      </c>
      <c r="AY171" s="23">
        <f t="shared" si="1257"/>
        <v>0</v>
      </c>
      <c r="AZ171" s="23">
        <f>+'QTR Raw'!T60</f>
        <v>0</v>
      </c>
      <c r="BA171" s="23">
        <f t="shared" si="1257"/>
        <v>0</v>
      </c>
      <c r="BB171" s="23">
        <f>+'QTR Raw'!V60</f>
        <v>0</v>
      </c>
      <c r="BC171" s="23">
        <f t="shared" si="1257"/>
        <v>0</v>
      </c>
      <c r="BD171" s="23">
        <f>+'QTR Raw'!X60</f>
        <v>0</v>
      </c>
      <c r="BE171" s="23">
        <f t="shared" si="1257"/>
        <v>0</v>
      </c>
      <c r="BF171" s="23">
        <f>+'QTR Raw'!Z60</f>
        <v>18</v>
      </c>
      <c r="BG171" s="23">
        <f t="shared" si="1257"/>
        <v>18</v>
      </c>
      <c r="BH171" s="22">
        <f>+'QTR Raw'!AB60</f>
        <v>0</v>
      </c>
      <c r="BI171" s="23">
        <f t="shared" si="1257"/>
        <v>0</v>
      </c>
      <c r="BJ171" s="23">
        <f>+'QTR Raw'!AD60</f>
        <v>17.556000000000001</v>
      </c>
      <c r="BK171" s="23">
        <f t="shared" si="1257"/>
        <v>17.556000000000001</v>
      </c>
      <c r="BL171" s="23">
        <f>+'QTR Raw'!AF60</f>
        <v>14.202999999999999</v>
      </c>
      <c r="BM171" s="23">
        <f t="shared" si="1257"/>
        <v>14.202999999999999</v>
      </c>
      <c r="BN171" s="23">
        <f>+'QTR Raw'!AH60</f>
        <v>10.228</v>
      </c>
      <c r="BO171" s="23">
        <f t="shared" si="1257"/>
        <v>10.228</v>
      </c>
      <c r="BP171" s="23">
        <f>+'QTR Raw'!AJ60</f>
        <v>7.2889999999999997</v>
      </c>
      <c r="BQ171" s="23">
        <f t="shared" si="1257"/>
        <v>7.2889999999999997</v>
      </c>
      <c r="BR171" s="23">
        <f>+'QTR Raw'!AL60</f>
        <v>15.531000000000001</v>
      </c>
      <c r="BS171" s="23">
        <f t="shared" si="1257"/>
        <v>15.531000000000001</v>
      </c>
      <c r="BT171" s="23">
        <f>+'QTR Raw'!AN60</f>
        <v>30.856000000000002</v>
      </c>
      <c r="BU171" s="23">
        <f t="shared" si="1257"/>
        <v>30.856000000000002</v>
      </c>
      <c r="BV171" s="23">
        <f>+'QTR Raw'!AP60</f>
        <v>65.013000000000005</v>
      </c>
      <c r="BW171" s="23">
        <f t="shared" si="1257"/>
        <v>65.013000000000005</v>
      </c>
      <c r="BX171" s="23">
        <f>+'QTR Raw'!AR60</f>
        <v>114.935</v>
      </c>
      <c r="BY171" s="23">
        <f t="shared" si="1257"/>
        <v>114.935</v>
      </c>
      <c r="BZ171" s="23">
        <f>+'QTR Raw'!AT60</f>
        <v>143.92500000000001</v>
      </c>
      <c r="CA171" s="23">
        <f t="shared" si="1257"/>
        <v>143.92500000000001</v>
      </c>
      <c r="CB171" s="23">
        <f>+'QTR Raw'!AV60</f>
        <v>160.703</v>
      </c>
      <c r="CC171" s="23">
        <f t="shared" si="1257"/>
        <v>160.703</v>
      </c>
      <c r="CD171" s="23">
        <f>+'QTR Raw'!AX60</f>
        <v>171.38399999999999</v>
      </c>
      <c r="CE171" s="23">
        <f t="shared" si="1257"/>
        <v>171.38399999999999</v>
      </c>
      <c r="CF171" s="23">
        <f>+'QTR Raw'!AZ60</f>
        <v>174.124</v>
      </c>
      <c r="CG171" s="23">
        <f t="shared" ref="CG171:CI171" si="1258">+CF171</f>
        <v>174.124</v>
      </c>
      <c r="CH171" s="23">
        <f t="shared" ref="CH171:CH176" si="1259">Z171</f>
        <v>173.31469999999999</v>
      </c>
      <c r="CI171" s="23">
        <f t="shared" si="1258"/>
        <v>173.31469999999999</v>
      </c>
      <c r="CJ171" s="23">
        <f>+'QTR Raw'!BD60</f>
        <v>174.387</v>
      </c>
      <c r="CK171" s="23">
        <f t="shared" ref="CK171" si="1260">+CJ171</f>
        <v>174.387</v>
      </c>
      <c r="CL171" s="23">
        <f>+'QTR Raw'!BF60</f>
        <v>175.26300000000001</v>
      </c>
      <c r="CM171" s="24">
        <f t="shared" ref="CM171" si="1261">+CL171</f>
        <v>175.26300000000001</v>
      </c>
      <c r="CN171" s="24">
        <f t="shared" ref="CN171" si="1262">+CM171</f>
        <v>175.26300000000001</v>
      </c>
      <c r="CO171" s="24">
        <f t="shared" ref="CO171" si="1263">+CN171</f>
        <v>175.26300000000001</v>
      </c>
      <c r="CP171" s="24">
        <f t="shared" ref="CP171" si="1264">+CO171</f>
        <v>175.26300000000001</v>
      </c>
      <c r="CQ171" s="24">
        <f t="shared" ref="CQ171" si="1265">+CP171</f>
        <v>175.26300000000001</v>
      </c>
      <c r="CR171" s="24">
        <f t="shared" ref="CR171" si="1266">+CQ171</f>
        <v>175.26300000000001</v>
      </c>
      <c r="CS171" s="24">
        <f t="shared" ref="CS171" si="1267">+CR171</f>
        <v>175.26300000000001</v>
      </c>
      <c r="CT171" s="24">
        <f t="shared" ref="CT171" si="1268">+CS171</f>
        <v>175.26300000000001</v>
      </c>
      <c r="CU171" s="24">
        <f t="shared" ref="CU171" si="1269">+CT171</f>
        <v>175.26300000000001</v>
      </c>
      <c r="CV171" s="24">
        <f t="shared" ref="CV171" si="1270">+CU171</f>
        <v>175.26300000000001</v>
      </c>
      <c r="CW171" s="24">
        <f t="shared" ref="CW171" si="1271">+CV171</f>
        <v>175.26300000000001</v>
      </c>
      <c r="CX171" s="24">
        <f t="shared" ref="CX171" si="1272">+CW171</f>
        <v>175.26300000000001</v>
      </c>
      <c r="CY171" s="24">
        <f t="shared" ref="CY171" si="1273">+CX171</f>
        <v>175.26300000000001</v>
      </c>
      <c r="CZ171" s="24">
        <f t="shared" ref="CZ171" si="1274">+CY171</f>
        <v>175.26300000000001</v>
      </c>
      <c r="DA171" s="24">
        <f t="shared" ref="DA171" si="1275">+CZ171</f>
        <v>175.26300000000001</v>
      </c>
      <c r="DB171" s="24">
        <f t="shared" ref="DB171" si="1276">+DA171</f>
        <v>175.26300000000001</v>
      </c>
      <c r="DE171" s="123"/>
      <c r="DF171" s="23">
        <v>174.387</v>
      </c>
    </row>
    <row r="172" spans="1:110" s="23" customFormat="1" x14ac:dyDescent="0.2">
      <c r="AB172" s="24"/>
      <c r="AC172" s="24"/>
      <c r="AD172" s="24"/>
      <c r="AE172" s="24"/>
      <c r="BH172" s="22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45</v>
      </c>
      <c r="B173" s="23">
        <f>'Annual Raw'!C47</f>
        <v>13.2206934</v>
      </c>
      <c r="C173" s="23">
        <f>'Annual Raw'!D47</f>
        <v>11.5757361</v>
      </c>
      <c r="D173" s="23">
        <f>'Annual Raw'!E47</f>
        <v>21.371320399999998</v>
      </c>
      <c r="E173" s="23">
        <f>'Annual Raw'!F47</f>
        <v>31.5809152</v>
      </c>
      <c r="F173" s="23">
        <f>'Annual Raw'!G47</f>
        <v>36.1602405</v>
      </c>
      <c r="G173" s="23">
        <f>'Annual Raw'!H47</f>
        <v>53.541065600000003</v>
      </c>
      <c r="H173" s="23">
        <f>'Annual Raw'!I47</f>
        <v>66.417642799999996</v>
      </c>
      <c r="I173" s="23">
        <f>'Annual Raw'!J47</f>
        <v>83.414495299999999</v>
      </c>
      <c r="J173" s="23">
        <f>'Annual Raw'!K47</f>
        <v>101.7856791</v>
      </c>
      <c r="K173" s="23">
        <f>'Annual Raw'!L47</f>
        <v>99.687430800000001</v>
      </c>
      <c r="L173" s="23">
        <f>'Annual Raw'!M47</f>
        <v>64.147614300000001</v>
      </c>
      <c r="M173" s="23">
        <f>'Annual Raw'!N47</f>
        <v>86.147454800000006</v>
      </c>
      <c r="N173" s="23">
        <f>'Annual Raw'!O47</f>
        <v>103.7245638</v>
      </c>
      <c r="O173" s="23">
        <f>'Annual Raw'!P47</f>
        <v>83.371399999999994</v>
      </c>
      <c r="P173" s="23">
        <f>'Annual Raw'!Q47</f>
        <v>65.9779166</v>
      </c>
      <c r="Q173" s="23">
        <f>'Annual Raw'!R47</f>
        <v>35.950136700000002</v>
      </c>
      <c r="R173" s="23">
        <f>'Annual Raw'!S47</f>
        <v>15.006645600000001</v>
      </c>
      <c r="S173" s="23">
        <f>'Annual Raw'!T47</f>
        <v>40.680078600000002</v>
      </c>
      <c r="T173" s="23">
        <f>'Annual Raw'!U47</f>
        <v>83.332008500000001</v>
      </c>
      <c r="U173" s="23">
        <f>'Annual Raw'!V47</f>
        <v>115.9084476</v>
      </c>
      <c r="V173" s="23">
        <f>'Annual Raw'!W47</f>
        <v>84.849000000000004</v>
      </c>
      <c r="W173" s="23">
        <f>'Annual Raw'!X47</f>
        <v>57.574300000000001</v>
      </c>
      <c r="X173" s="23">
        <f>'Annual Raw'!Y47</f>
        <v>30.302499999999998</v>
      </c>
      <c r="Y173" s="23">
        <f>'Annual Raw'!Z47</f>
        <v>10.6061</v>
      </c>
      <c r="Z173" s="23">
        <f>'Annual Raw'!AA47</f>
        <v>1.5152000000000001</v>
      </c>
      <c r="AA173" s="23">
        <f>'Annual Raw'!AB47</f>
        <v>0</v>
      </c>
      <c r="AB173" s="24">
        <f t="shared" ref="AB173:AB176" si="1277">+CP173</f>
        <v>0</v>
      </c>
      <c r="AC173" s="24">
        <f t="shared" ref="AC173:AC176" si="1278">+CT173</f>
        <v>0</v>
      </c>
      <c r="AD173" s="24">
        <f t="shared" ref="AD173:AD176" si="1279">+CX173</f>
        <v>0</v>
      </c>
      <c r="AE173" s="24">
        <f t="shared" ref="AE173:AE176" si="1280">+DB173</f>
        <v>0</v>
      </c>
      <c r="AJ173" s="23">
        <f>+'QTR Raw'!D62</f>
        <v>0</v>
      </c>
      <c r="AK173" s="23">
        <f t="shared" ref="AK173:CC176" si="1281">+AJ173</f>
        <v>0</v>
      </c>
      <c r="AL173" s="23">
        <f>+'QTR Raw'!F62</f>
        <v>0</v>
      </c>
      <c r="AM173" s="23">
        <f t="shared" si="1281"/>
        <v>0</v>
      </c>
      <c r="AN173" s="23">
        <f>+'QTR Raw'!H62</f>
        <v>0</v>
      </c>
      <c r="AO173" s="23">
        <f t="shared" si="1281"/>
        <v>0</v>
      </c>
      <c r="AP173" s="23">
        <f>+'QTR Raw'!J62</f>
        <v>0</v>
      </c>
      <c r="AQ173" s="23">
        <f t="shared" si="1281"/>
        <v>0</v>
      </c>
      <c r="AR173" s="23">
        <f>+'QTR Raw'!L62</f>
        <v>0</v>
      </c>
      <c r="AS173" s="23">
        <f t="shared" si="1281"/>
        <v>0</v>
      </c>
      <c r="AT173" s="23">
        <f>+'QTR Raw'!N62</f>
        <v>0</v>
      </c>
      <c r="AU173" s="23">
        <f t="shared" si="1281"/>
        <v>0</v>
      </c>
      <c r="AV173" s="23">
        <f>+'QTR Raw'!P62</f>
        <v>0</v>
      </c>
      <c r="AW173" s="23">
        <f t="shared" si="1281"/>
        <v>0</v>
      </c>
      <c r="AX173" s="23">
        <f>+'QTR Raw'!R62</f>
        <v>0</v>
      </c>
      <c r="AY173" s="23">
        <f t="shared" si="1281"/>
        <v>0</v>
      </c>
      <c r="AZ173" s="23">
        <f>+'QTR Raw'!T62</f>
        <v>0</v>
      </c>
      <c r="BA173" s="23">
        <f t="shared" si="1281"/>
        <v>0</v>
      </c>
      <c r="BB173" s="23">
        <f>+'QTR Raw'!V62</f>
        <v>0</v>
      </c>
      <c r="BC173" s="23">
        <f t="shared" si="1281"/>
        <v>0</v>
      </c>
      <c r="BD173" s="23">
        <f>+'QTR Raw'!X62</f>
        <v>0</v>
      </c>
      <c r="BE173" s="23">
        <f t="shared" si="1281"/>
        <v>0</v>
      </c>
      <c r="BF173" s="23">
        <f>+'QTR Raw'!Z62</f>
        <v>0</v>
      </c>
      <c r="BG173" s="23">
        <f t="shared" si="1281"/>
        <v>0</v>
      </c>
      <c r="BH173" s="22">
        <f>+'QTR Raw'!AB62</f>
        <v>0</v>
      </c>
      <c r="BI173" s="23">
        <f t="shared" si="1281"/>
        <v>0</v>
      </c>
      <c r="BJ173" s="23">
        <f>+'QTR Raw'!AD62</f>
        <v>0</v>
      </c>
      <c r="BK173" s="23">
        <f t="shared" si="1281"/>
        <v>0</v>
      </c>
      <c r="BL173" s="23">
        <f>+'QTR Raw'!AF62</f>
        <v>0</v>
      </c>
      <c r="BM173" s="23">
        <f t="shared" si="1281"/>
        <v>0</v>
      </c>
      <c r="BN173" s="23">
        <f>+'QTR Raw'!AH62</f>
        <v>0</v>
      </c>
      <c r="BO173" s="23">
        <f t="shared" si="1281"/>
        <v>0</v>
      </c>
      <c r="BP173" s="23">
        <f>+'QTR Raw'!AJ62</f>
        <v>0</v>
      </c>
      <c r="BQ173" s="23">
        <f t="shared" si="1281"/>
        <v>0</v>
      </c>
      <c r="BR173" s="23">
        <f>+'QTR Raw'!AL62</f>
        <v>0</v>
      </c>
      <c r="BS173" s="23">
        <f t="shared" si="1281"/>
        <v>0</v>
      </c>
      <c r="BT173" s="23">
        <f>+'QTR Raw'!AN62</f>
        <v>0</v>
      </c>
      <c r="BU173" s="23">
        <f t="shared" si="1281"/>
        <v>0</v>
      </c>
      <c r="BV173" s="23">
        <f>+'QTR Raw'!AP62</f>
        <v>0</v>
      </c>
      <c r="BW173" s="23">
        <f t="shared" si="1281"/>
        <v>0</v>
      </c>
      <c r="BX173" s="23">
        <f>+'QTR Raw'!AR62</f>
        <v>0</v>
      </c>
      <c r="BY173" s="23">
        <f t="shared" si="1281"/>
        <v>0</v>
      </c>
      <c r="BZ173" s="23">
        <f>+'QTR Raw'!AT62</f>
        <v>0</v>
      </c>
      <c r="CA173" s="23">
        <f t="shared" si="1281"/>
        <v>0</v>
      </c>
      <c r="CB173" s="23">
        <f>+'QTR Raw'!AV62</f>
        <v>0</v>
      </c>
      <c r="CC173" s="23">
        <f t="shared" si="1281"/>
        <v>0</v>
      </c>
      <c r="CD173" s="23">
        <f>+'QTR Raw'!AX62</f>
        <v>0</v>
      </c>
      <c r="CE173" s="23">
        <f t="shared" ref="CE173:CE176" si="1282">+CD173</f>
        <v>0</v>
      </c>
      <c r="CF173" s="23">
        <f>+'QTR Raw'!AZ62</f>
        <v>0</v>
      </c>
      <c r="CG173" s="23">
        <f t="shared" ref="CG173:CI176" si="1283">+CF173</f>
        <v>0</v>
      </c>
      <c r="CH173" s="23">
        <f t="shared" si="1259"/>
        <v>1.5152000000000001</v>
      </c>
      <c r="CI173" s="23">
        <f t="shared" si="1283"/>
        <v>1.5152000000000001</v>
      </c>
      <c r="CJ173" s="23">
        <f>+'QTR Raw'!BD62</f>
        <v>0</v>
      </c>
      <c r="CK173" s="23">
        <f t="shared" ref="CK173:CK176" si="1284">+CJ173</f>
        <v>0</v>
      </c>
      <c r="CL173" s="23">
        <f>+'QTR Raw'!BF62</f>
        <v>0</v>
      </c>
      <c r="CM173" s="24">
        <f t="shared" ref="CM173:CM176" si="1285">+CL173</f>
        <v>0</v>
      </c>
      <c r="CN173" s="24">
        <f t="shared" ref="CN173:CN176" si="1286">+CM173</f>
        <v>0</v>
      </c>
      <c r="CO173" s="24">
        <f t="shared" ref="CO173:CO176" si="1287">+CN173</f>
        <v>0</v>
      </c>
      <c r="CP173" s="24">
        <f t="shared" ref="CP173:CP175" si="1288">+CO173</f>
        <v>0</v>
      </c>
      <c r="CQ173" s="24">
        <f t="shared" ref="CQ173:CQ175" si="1289">+CP173</f>
        <v>0</v>
      </c>
      <c r="CR173" s="24">
        <f t="shared" ref="CR173:CR176" si="1290">+CQ173</f>
        <v>0</v>
      </c>
      <c r="CS173" s="24">
        <f t="shared" ref="CS173:CS176" si="1291">+CR173</f>
        <v>0</v>
      </c>
      <c r="CT173" s="24">
        <f t="shared" ref="CT173:CT176" si="1292">+CS173</f>
        <v>0</v>
      </c>
      <c r="CU173" s="24">
        <f t="shared" ref="CU173:CU176" si="1293">+CT173</f>
        <v>0</v>
      </c>
      <c r="CV173" s="24">
        <f t="shared" ref="CV173:CV176" si="1294">+CU173</f>
        <v>0</v>
      </c>
      <c r="CW173" s="24">
        <f t="shared" ref="CW173:CW176" si="1295">+CV173</f>
        <v>0</v>
      </c>
      <c r="CX173" s="24">
        <f t="shared" ref="CX173:CX176" si="1296">+CW173</f>
        <v>0</v>
      </c>
      <c r="CY173" s="24">
        <f t="shared" ref="CY173:CY176" si="1297">+CX173</f>
        <v>0</v>
      </c>
      <c r="CZ173" s="24">
        <f t="shared" ref="CZ173:CZ176" si="1298">+CY173</f>
        <v>0</v>
      </c>
      <c r="DA173" s="24">
        <f t="shared" ref="DA173:DA176" si="1299">+CZ173</f>
        <v>0</v>
      </c>
      <c r="DB173" s="24">
        <f t="shared" ref="DB173:DB176" si="1300">+DA173</f>
        <v>0</v>
      </c>
      <c r="DE173" s="123"/>
      <c r="DF173" s="23">
        <v>0</v>
      </c>
    </row>
    <row r="174" spans="1:110" s="23" customFormat="1" outlineLevel="1" x14ac:dyDescent="0.2">
      <c r="A174" s="23" t="s">
        <v>46</v>
      </c>
      <c r="B174" s="23">
        <f>'Annual Raw'!C48</f>
        <v>2.9953580999999998</v>
      </c>
      <c r="C174" s="23">
        <f>'Annual Raw'!D48</f>
        <v>2.3263864000000001</v>
      </c>
      <c r="D174" s="23">
        <f>'Annual Raw'!E48</f>
        <v>3.2937626</v>
      </c>
      <c r="E174" s="23">
        <f>'Annual Raw'!F48</f>
        <v>3.0320483999999999</v>
      </c>
      <c r="F174" s="23">
        <f>'Annual Raw'!G48</f>
        <v>5.2589774</v>
      </c>
      <c r="G174" s="23">
        <f>'Annual Raw'!H48</f>
        <v>0</v>
      </c>
      <c r="H174" s="23">
        <f>'Annual Raw'!I48</f>
        <v>0</v>
      </c>
      <c r="I174" s="23">
        <f>'Annual Raw'!J48</f>
        <v>0</v>
      </c>
      <c r="J174" s="23">
        <f>'Annual Raw'!K48</f>
        <v>0</v>
      </c>
      <c r="K174" s="23">
        <f>'Annual Raw'!L48</f>
        <v>0</v>
      </c>
      <c r="L174" s="23">
        <f>'Annual Raw'!M48</f>
        <v>0</v>
      </c>
      <c r="M174" s="23">
        <f>'Annual Raw'!N48</f>
        <v>0</v>
      </c>
      <c r="N174" s="23">
        <f>'Annual Raw'!O48</f>
        <v>0</v>
      </c>
      <c r="O174" s="23">
        <f>'Annual Raw'!P48</f>
        <v>5.5551000000000004</v>
      </c>
      <c r="P174" s="23">
        <f>'Annual Raw'!Q48</f>
        <v>8.8227103000000007</v>
      </c>
      <c r="Q174" s="23">
        <f>'Annual Raw'!R48</f>
        <v>10.4420786</v>
      </c>
      <c r="R174" s="23">
        <f>'Annual Raw'!S48</f>
        <v>1.8083526000000001</v>
      </c>
      <c r="S174" s="23">
        <f>'Annual Raw'!T48</f>
        <v>1.8083526000000001</v>
      </c>
      <c r="T174" s="23">
        <f>'Annual Raw'!U48</f>
        <v>0</v>
      </c>
      <c r="U174" s="23">
        <f>'Annual Raw'!V48</f>
        <v>4</v>
      </c>
      <c r="V174" s="23">
        <f>'Annual Raw'!W48</f>
        <v>4</v>
      </c>
      <c r="W174" s="23">
        <f>'Annual Raw'!X48</f>
        <v>0</v>
      </c>
      <c r="X174" s="23">
        <f>'Annual Raw'!Y48</f>
        <v>0</v>
      </c>
      <c r="Y174" s="23">
        <f>'Annual Raw'!Z48</f>
        <v>0</v>
      </c>
      <c r="Z174" s="23">
        <f>'Annual Raw'!AA48</f>
        <v>0</v>
      </c>
      <c r="AA174" s="23">
        <f>'Annual Raw'!AB48</f>
        <v>0</v>
      </c>
      <c r="AB174" s="24">
        <f t="shared" si="1277"/>
        <v>64.834000000000003</v>
      </c>
      <c r="AC174" s="24">
        <f t="shared" si="1278"/>
        <v>64.834000000000003</v>
      </c>
      <c r="AD174" s="24">
        <f t="shared" si="1279"/>
        <v>64.834000000000003</v>
      </c>
      <c r="AE174" s="24">
        <f t="shared" si="1280"/>
        <v>64.834000000000003</v>
      </c>
      <c r="AJ174" s="23">
        <f>+'QTR Raw'!D63</f>
        <v>99.498999999999995</v>
      </c>
      <c r="AK174" s="23">
        <f t="shared" si="1281"/>
        <v>99.498999999999995</v>
      </c>
      <c r="AL174" s="23">
        <f>+'QTR Raw'!F63</f>
        <v>103.73</v>
      </c>
      <c r="AM174" s="23">
        <f t="shared" si="1281"/>
        <v>103.73</v>
      </c>
      <c r="AN174" s="23">
        <f>+'QTR Raw'!H63</f>
        <v>101.011</v>
      </c>
      <c r="AO174" s="23">
        <f t="shared" si="1281"/>
        <v>101.011</v>
      </c>
      <c r="AP174" s="23">
        <f>+'QTR Raw'!J63</f>
        <v>85.95</v>
      </c>
      <c r="AQ174" s="23">
        <f t="shared" si="1281"/>
        <v>85.95</v>
      </c>
      <c r="AR174" s="23">
        <f>+'QTR Raw'!L63</f>
        <v>75.67</v>
      </c>
      <c r="AS174" s="23">
        <f t="shared" si="1281"/>
        <v>75.67</v>
      </c>
      <c r="AT174" s="23">
        <f>+'QTR Raw'!N63</f>
        <v>74.801000000000002</v>
      </c>
      <c r="AU174" s="23">
        <f t="shared" si="1281"/>
        <v>74.801000000000002</v>
      </c>
      <c r="AV174" s="23">
        <f>+'QTR Raw'!P63</f>
        <v>47.735999999999997</v>
      </c>
      <c r="AW174" s="23">
        <f t="shared" si="1281"/>
        <v>47.735999999999997</v>
      </c>
      <c r="AX174" s="23">
        <f>+'QTR Raw'!R63</f>
        <v>46.392000000000003</v>
      </c>
      <c r="AY174" s="23">
        <f t="shared" si="1281"/>
        <v>46.392000000000003</v>
      </c>
      <c r="AZ174" s="23">
        <f>+'QTR Raw'!T63</f>
        <v>32.433</v>
      </c>
      <c r="BA174" s="23">
        <f t="shared" si="1281"/>
        <v>32.433</v>
      </c>
      <c r="BB174" s="23">
        <f>+'QTR Raw'!V63</f>
        <v>16.815000000000001</v>
      </c>
      <c r="BC174" s="23">
        <f t="shared" si="1281"/>
        <v>16.815000000000001</v>
      </c>
      <c r="BD174" s="23">
        <f>+'QTR Raw'!X63</f>
        <v>8.6869999999999994</v>
      </c>
      <c r="BE174" s="23">
        <f t="shared" si="1281"/>
        <v>8.6869999999999994</v>
      </c>
      <c r="BF174" s="23">
        <f>+'QTR Raw'!Z63</f>
        <v>42.488</v>
      </c>
      <c r="BG174" s="23">
        <f t="shared" si="1281"/>
        <v>42.488</v>
      </c>
      <c r="BH174" s="23">
        <f>+'QTR Raw'!AB63</f>
        <v>2.2850000000000001</v>
      </c>
      <c r="BI174" s="23">
        <f t="shared" si="1281"/>
        <v>2.2850000000000001</v>
      </c>
      <c r="BJ174" s="23">
        <f>+'QTR Raw'!AD63</f>
        <v>83.331999999999994</v>
      </c>
      <c r="BK174" s="23">
        <f t="shared" si="1281"/>
        <v>83.331999999999994</v>
      </c>
      <c r="BL174" s="23">
        <f>+'QTR Raw'!AF63</f>
        <v>78.242000000000004</v>
      </c>
      <c r="BM174" s="23">
        <f t="shared" si="1281"/>
        <v>78.242000000000004</v>
      </c>
      <c r="BN174" s="23">
        <f>+'QTR Raw'!AH63</f>
        <v>119.908</v>
      </c>
      <c r="BO174" s="23">
        <f t="shared" si="1281"/>
        <v>119.908</v>
      </c>
      <c r="BP174" s="23">
        <f>+'QTR Raw'!AJ63</f>
        <v>111.111</v>
      </c>
      <c r="BQ174" s="23">
        <f t="shared" si="1281"/>
        <v>111.111</v>
      </c>
      <c r="BR174" s="23">
        <f>+'QTR Raw'!AL63</f>
        <v>88.849000000000004</v>
      </c>
      <c r="BS174" s="23">
        <f t="shared" si="1281"/>
        <v>88.849000000000004</v>
      </c>
      <c r="BT174" s="23">
        <f>+'QTR Raw'!AN63</f>
        <v>71.212999999999994</v>
      </c>
      <c r="BU174" s="23">
        <f t="shared" si="1281"/>
        <v>71.212999999999994</v>
      </c>
      <c r="BV174" s="23">
        <f>+'QTR Raw'!AP63</f>
        <v>57.573999999999998</v>
      </c>
      <c r="BW174" s="23">
        <f t="shared" si="1281"/>
        <v>57.573999999999998</v>
      </c>
      <c r="BX174" s="23">
        <f>+'QTR Raw'!AR63</f>
        <v>43.938000000000002</v>
      </c>
      <c r="BY174" s="23">
        <f t="shared" si="1281"/>
        <v>43.938000000000002</v>
      </c>
      <c r="BZ174" s="23">
        <f>+'QTR Raw'!AT63</f>
        <v>30.303000000000001</v>
      </c>
      <c r="CA174" s="23">
        <f t="shared" si="1281"/>
        <v>30.303000000000001</v>
      </c>
      <c r="CB174" s="23">
        <f>+'QTR Raw'!AV63</f>
        <v>16.667000000000002</v>
      </c>
      <c r="CC174" s="23">
        <f t="shared" si="1281"/>
        <v>16.667000000000002</v>
      </c>
      <c r="CD174" s="23">
        <f>+'QTR Raw'!AX63</f>
        <v>10.606</v>
      </c>
      <c r="CE174" s="23">
        <f t="shared" si="1282"/>
        <v>10.606</v>
      </c>
      <c r="CF174" s="23">
        <f>+'QTR Raw'!AZ63</f>
        <v>6.0609999999999999</v>
      </c>
      <c r="CG174" s="23">
        <f t="shared" si="1283"/>
        <v>6.0609999999999999</v>
      </c>
      <c r="CH174" s="23">
        <f t="shared" si="1259"/>
        <v>0</v>
      </c>
      <c r="CI174" s="23">
        <f t="shared" si="1283"/>
        <v>0</v>
      </c>
      <c r="CJ174" s="23">
        <f>+'QTR Raw'!BD63</f>
        <v>0</v>
      </c>
      <c r="CK174" s="23">
        <f t="shared" si="1284"/>
        <v>0</v>
      </c>
      <c r="CL174" s="23">
        <f>+'QTR Raw'!BF63</f>
        <v>64.834000000000003</v>
      </c>
      <c r="CM174" s="24">
        <f t="shared" si="1285"/>
        <v>64.834000000000003</v>
      </c>
      <c r="CN174" s="24">
        <f t="shared" si="1286"/>
        <v>64.834000000000003</v>
      </c>
      <c r="CO174" s="24">
        <f t="shared" si="1287"/>
        <v>64.834000000000003</v>
      </c>
      <c r="CP174" s="24">
        <f t="shared" si="1288"/>
        <v>64.834000000000003</v>
      </c>
      <c r="CQ174" s="24">
        <f t="shared" si="1289"/>
        <v>64.834000000000003</v>
      </c>
      <c r="CR174" s="24">
        <f t="shared" si="1290"/>
        <v>64.834000000000003</v>
      </c>
      <c r="CS174" s="24">
        <f t="shared" si="1291"/>
        <v>64.834000000000003</v>
      </c>
      <c r="CT174" s="24">
        <f t="shared" si="1292"/>
        <v>64.834000000000003</v>
      </c>
      <c r="CU174" s="24">
        <f t="shared" si="1293"/>
        <v>64.834000000000003</v>
      </c>
      <c r="CV174" s="24">
        <f t="shared" si="1294"/>
        <v>64.834000000000003</v>
      </c>
      <c r="CW174" s="24">
        <f t="shared" si="1295"/>
        <v>64.834000000000003</v>
      </c>
      <c r="CX174" s="24">
        <f t="shared" si="1296"/>
        <v>64.834000000000003</v>
      </c>
      <c r="CY174" s="24">
        <f t="shared" si="1297"/>
        <v>64.834000000000003</v>
      </c>
      <c r="CZ174" s="24">
        <f t="shared" si="1298"/>
        <v>64.834000000000003</v>
      </c>
      <c r="DA174" s="24">
        <f t="shared" si="1299"/>
        <v>64.834000000000003</v>
      </c>
      <c r="DB174" s="24">
        <f t="shared" si="1300"/>
        <v>64.834000000000003</v>
      </c>
      <c r="DE174" s="123"/>
      <c r="DF174" s="23">
        <v>0</v>
      </c>
    </row>
    <row r="175" spans="1:110" s="23" customFormat="1" outlineLevel="1" x14ac:dyDescent="0.2">
      <c r="A175" s="23" t="s">
        <v>47</v>
      </c>
      <c r="B175" s="23">
        <f>'Annual Raw'!C87+'Annual Raw'!C88+'Annual Raw'!C89+'Annual Raw'!C90</f>
        <v>0</v>
      </c>
      <c r="C175" s="23">
        <f>'Annual Raw'!D87+'Annual Raw'!D88+'Annual Raw'!D89+'Annual Raw'!D90</f>
        <v>0</v>
      </c>
      <c r="D175" s="23">
        <f>'Annual Raw'!E87+'Annual Raw'!E88+'Annual Raw'!E89+'Annual Raw'!E90</f>
        <v>0</v>
      </c>
      <c r="E175" s="23">
        <f>'Annual Raw'!F87+'Annual Raw'!F88+'Annual Raw'!F89+'Annual Raw'!F90</f>
        <v>0</v>
      </c>
      <c r="F175" s="23">
        <f>'Annual Raw'!G87+'Annual Raw'!G88+'Annual Raw'!G89+'Annual Raw'!G90</f>
        <v>0</v>
      </c>
      <c r="G175" s="23">
        <f>'Annual Raw'!H87+'Annual Raw'!H88+'Annual Raw'!H89+'Annual Raw'!H90</f>
        <v>0</v>
      </c>
      <c r="H175" s="23">
        <f>'Annual Raw'!I87+'Annual Raw'!I88+'Annual Raw'!I89+'Annual Raw'!I90</f>
        <v>0</v>
      </c>
      <c r="I175" s="23">
        <f>'Annual Raw'!J87+'Annual Raw'!J88+'Annual Raw'!J89+'Annual Raw'!J90</f>
        <v>0</v>
      </c>
      <c r="J175" s="23">
        <f>'Annual Raw'!K87+'Annual Raw'!K88+'Annual Raw'!K89+'Annual Raw'!K90</f>
        <v>0</v>
      </c>
      <c r="K175" s="23">
        <f>'Annual Raw'!L87+'Annual Raw'!L88+'Annual Raw'!L89+'Annual Raw'!L90</f>
        <v>0</v>
      </c>
      <c r="L175" s="23">
        <f>'Annual Raw'!M87+'Annual Raw'!M88+'Annual Raw'!M89+'Annual Raw'!M90</f>
        <v>17.111799999999999</v>
      </c>
      <c r="M175" s="23">
        <f>'Annual Raw'!N87+'Annual Raw'!N88+'Annual Raw'!N89+'Annual Raw'!N90</f>
        <v>18.611799999999999</v>
      </c>
      <c r="N175" s="23">
        <f>'Annual Raw'!O87+'Annual Raw'!O88+'Annual Raw'!O89+'Annual Raw'!O90</f>
        <v>30.765201000000001</v>
      </c>
      <c r="O175" s="23">
        <f>'Annual Raw'!P87+'Annual Raw'!P88+'Annual Raw'!P89+'Annual Raw'!P90</f>
        <v>33.232599999999998</v>
      </c>
      <c r="P175" s="23">
        <f>'Annual Raw'!Q87+'Annual Raw'!Q88+'Annual Raw'!Q89+'Annual Raw'!Q90</f>
        <v>32.5910571</v>
      </c>
      <c r="Q175" s="23">
        <f>'Annual Raw'!R87+'Annual Raw'!R88+'Annual Raw'!R89+'Annual Raw'!R90</f>
        <v>25.134657199999999</v>
      </c>
      <c r="R175" s="23">
        <f>'Annual Raw'!S87+'Annual Raw'!S88+'Annual Raw'!S89+'Annual Raw'!S90</f>
        <v>21.9019333</v>
      </c>
      <c r="S175" s="23">
        <f>'Annual Raw'!T87+'Annual Raw'!T88+'Annual Raw'!T89+'Annual Raw'!T90</f>
        <v>9.6773492000000001</v>
      </c>
      <c r="T175" s="23">
        <f>'Annual Raw'!U87+'Annual Raw'!U88+'Annual Raw'!U89+'Annual Raw'!U90</f>
        <v>36.665832899999998</v>
      </c>
      <c r="U175" s="23">
        <f>'Annual Raw'!V87+'Annual Raw'!V88+'Annual Raw'!V89+'Annual Raw'!V90</f>
        <v>18.181060599999999</v>
      </c>
      <c r="V175" s="23">
        <f>'Annual Raw'!W87+'Annual Raw'!W88+'Annual Raw'!W89+'Annual Raw'!W90</f>
        <v>27.2727</v>
      </c>
      <c r="W175" s="23">
        <f>'Annual Raw'!X87+'Annual Raw'!X88+'Annual Raw'!X89+'Annual Raw'!X90</f>
        <v>27.271799999999999</v>
      </c>
      <c r="X175" s="23">
        <f>'Annual Raw'!Y87+'Annual Raw'!Y88+'Annual Raw'!Y89+'Annual Raw'!Y90</f>
        <v>27.271799999999999</v>
      </c>
      <c r="Y175" s="23">
        <f>'Annual Raw'!Z87+'Annual Raw'!Z88+'Annual Raw'!Z89+'Annual Raw'!Z90</f>
        <v>9.0908999999999995</v>
      </c>
      <c r="Z175" s="23">
        <f>'Annual Raw'!AA87+'Annual Raw'!AA88+'Annual Raw'!AA89+'Annual Raw'!AA90</f>
        <v>9.0908999999999995</v>
      </c>
      <c r="AA175" s="23">
        <f>'Annual Raw'!AB87+'Annual Raw'!AB88+'Annual Raw'!AB89+'Annual Raw'!AB90</f>
        <v>0</v>
      </c>
      <c r="AB175" s="24">
        <f t="shared" si="1277"/>
        <v>0</v>
      </c>
      <c r="AC175" s="24">
        <f t="shared" si="1278"/>
        <v>0</v>
      </c>
      <c r="AD175" s="24">
        <f t="shared" si="1279"/>
        <v>0</v>
      </c>
      <c r="AE175" s="24">
        <f t="shared" si="1280"/>
        <v>0</v>
      </c>
      <c r="AJ175" s="23">
        <f>+'QTR Raw'!D90</f>
        <v>0</v>
      </c>
      <c r="AK175" s="23">
        <f t="shared" si="1281"/>
        <v>0</v>
      </c>
      <c r="AL175" s="23">
        <f>+'QTR Raw'!F90</f>
        <v>0</v>
      </c>
      <c r="AM175" s="23">
        <f t="shared" si="1281"/>
        <v>0</v>
      </c>
      <c r="AN175" s="23">
        <f>+'QTR Raw'!H90</f>
        <v>0</v>
      </c>
      <c r="AO175" s="23">
        <f t="shared" si="1281"/>
        <v>0</v>
      </c>
      <c r="AP175" s="23">
        <f>+'QTR Raw'!J90</f>
        <v>0</v>
      </c>
      <c r="AQ175" s="23">
        <f t="shared" si="1281"/>
        <v>0</v>
      </c>
      <c r="AR175" s="23">
        <f>+'QTR Raw'!L90</f>
        <v>0</v>
      </c>
      <c r="AS175" s="23">
        <f t="shared" si="1281"/>
        <v>0</v>
      </c>
      <c r="AT175" s="23">
        <f>+'QTR Raw'!N90</f>
        <v>0</v>
      </c>
      <c r="AU175" s="23">
        <f t="shared" si="1281"/>
        <v>0</v>
      </c>
      <c r="AV175" s="23">
        <f>+'QTR Raw'!P90</f>
        <v>0</v>
      </c>
      <c r="AW175" s="23">
        <f t="shared" si="1281"/>
        <v>0</v>
      </c>
      <c r="AX175" s="23">
        <f>+'QTR Raw'!R90</f>
        <v>0</v>
      </c>
      <c r="AY175" s="23">
        <f t="shared" si="1281"/>
        <v>0</v>
      </c>
      <c r="AZ175" s="23">
        <f>+'QTR Raw'!T90</f>
        <v>0</v>
      </c>
      <c r="BA175" s="23">
        <f t="shared" si="1281"/>
        <v>0</v>
      </c>
      <c r="BB175" s="23">
        <f>+'QTR Raw'!V90</f>
        <v>0</v>
      </c>
      <c r="BC175" s="23">
        <f t="shared" si="1281"/>
        <v>0</v>
      </c>
      <c r="BD175" s="23">
        <f>+'QTR Raw'!X90</f>
        <v>0</v>
      </c>
      <c r="BE175" s="23">
        <f t="shared" si="1281"/>
        <v>0</v>
      </c>
      <c r="BF175" s="23">
        <f>+'QTR Raw'!Z90</f>
        <v>0</v>
      </c>
      <c r="BG175" s="23">
        <f t="shared" si="1281"/>
        <v>0</v>
      </c>
      <c r="BH175" s="22">
        <f>+'QTR Raw'!AB90</f>
        <v>0</v>
      </c>
      <c r="BI175" s="23">
        <f t="shared" si="1281"/>
        <v>0</v>
      </c>
      <c r="BJ175" s="23">
        <f>+'QTR Raw'!AD90</f>
        <v>0</v>
      </c>
      <c r="BK175" s="23">
        <f t="shared" si="1281"/>
        <v>0</v>
      </c>
      <c r="BL175" s="23">
        <f>+'QTR Raw'!AF90</f>
        <v>0</v>
      </c>
      <c r="BM175" s="23">
        <f t="shared" si="1281"/>
        <v>0</v>
      </c>
      <c r="BN175" s="23">
        <f>+'QTR Raw'!AH90</f>
        <v>0</v>
      </c>
      <c r="BO175" s="23">
        <f t="shared" si="1281"/>
        <v>0</v>
      </c>
      <c r="BP175" s="23">
        <f>+'QTR Raw'!AJ90</f>
        <v>0</v>
      </c>
      <c r="BQ175" s="23">
        <f t="shared" si="1281"/>
        <v>0</v>
      </c>
      <c r="BR175" s="23">
        <f>+'QTR Raw'!AL90</f>
        <v>0</v>
      </c>
      <c r="BS175" s="23">
        <f t="shared" si="1281"/>
        <v>0</v>
      </c>
      <c r="BT175" s="23">
        <f>+'QTR Raw'!AN90</f>
        <v>0</v>
      </c>
      <c r="BU175" s="23">
        <f t="shared" si="1281"/>
        <v>0</v>
      </c>
      <c r="BV175" s="23">
        <f>+'QTR Raw'!AP90</f>
        <v>0</v>
      </c>
      <c r="BW175" s="23">
        <f t="shared" si="1281"/>
        <v>0</v>
      </c>
      <c r="BX175" s="23">
        <f>+'QTR Raw'!AR90</f>
        <v>0</v>
      </c>
      <c r="BY175" s="23">
        <f t="shared" si="1281"/>
        <v>0</v>
      </c>
      <c r="BZ175" s="23">
        <f>+'QTR Raw'!AT90</f>
        <v>0</v>
      </c>
      <c r="CA175" s="23">
        <f t="shared" si="1281"/>
        <v>0</v>
      </c>
      <c r="CB175" s="23">
        <f>+'QTR Raw'!AV90</f>
        <v>0</v>
      </c>
      <c r="CC175" s="23">
        <f t="shared" si="1281"/>
        <v>0</v>
      </c>
      <c r="CD175" s="23">
        <f>+'QTR Raw'!AX90</f>
        <v>0</v>
      </c>
      <c r="CE175" s="23">
        <f t="shared" si="1282"/>
        <v>0</v>
      </c>
      <c r="CF175" s="23">
        <f>+'QTR Raw'!AZ90</f>
        <v>0</v>
      </c>
      <c r="CG175" s="23">
        <f t="shared" si="1283"/>
        <v>0</v>
      </c>
      <c r="CH175" s="23">
        <f>+Z175</f>
        <v>9.0908999999999995</v>
      </c>
      <c r="CI175" s="23">
        <f t="shared" si="1283"/>
        <v>9.0908999999999995</v>
      </c>
      <c r="CJ175" s="23">
        <f>+'QTR Raw'!BD90</f>
        <v>0</v>
      </c>
      <c r="CK175" s="23">
        <f t="shared" si="1284"/>
        <v>0</v>
      </c>
      <c r="CL175" s="23">
        <f>+'QTR Raw'!BF90</f>
        <v>0</v>
      </c>
      <c r="CM175" s="24">
        <f t="shared" si="1285"/>
        <v>0</v>
      </c>
      <c r="CN175" s="24">
        <f t="shared" si="1286"/>
        <v>0</v>
      </c>
      <c r="CO175" s="24">
        <f t="shared" si="1287"/>
        <v>0</v>
      </c>
      <c r="CP175" s="24">
        <f t="shared" si="1288"/>
        <v>0</v>
      </c>
      <c r="CQ175" s="24">
        <f t="shared" si="1289"/>
        <v>0</v>
      </c>
      <c r="CR175" s="24">
        <f t="shared" si="1290"/>
        <v>0</v>
      </c>
      <c r="CS175" s="24">
        <f t="shared" si="1291"/>
        <v>0</v>
      </c>
      <c r="CT175" s="24">
        <f t="shared" si="1292"/>
        <v>0</v>
      </c>
      <c r="CU175" s="24">
        <f t="shared" si="1293"/>
        <v>0</v>
      </c>
      <c r="CV175" s="24">
        <f t="shared" si="1294"/>
        <v>0</v>
      </c>
      <c r="CW175" s="24">
        <f t="shared" si="1295"/>
        <v>0</v>
      </c>
      <c r="CX175" s="24">
        <f t="shared" si="1296"/>
        <v>0</v>
      </c>
      <c r="CY175" s="24">
        <f t="shared" si="1297"/>
        <v>0</v>
      </c>
      <c r="CZ175" s="24">
        <f t="shared" si="1298"/>
        <v>0</v>
      </c>
      <c r="DA175" s="24">
        <f t="shared" si="1299"/>
        <v>0</v>
      </c>
      <c r="DB175" s="24">
        <f t="shared" si="1300"/>
        <v>0</v>
      </c>
      <c r="DE175" s="123"/>
      <c r="DF175" s="23">
        <v>0</v>
      </c>
    </row>
    <row r="176" spans="1:110" s="23" customFormat="1" outlineLevel="1" x14ac:dyDescent="0.2">
      <c r="A176" s="23" t="s">
        <v>48</v>
      </c>
      <c r="B176" s="23">
        <f>'Annual Raw'!C56</f>
        <v>0</v>
      </c>
      <c r="C176" s="23">
        <f>'Annual Raw'!D56</f>
        <v>0</v>
      </c>
      <c r="D176" s="23">
        <f>'Annual Raw'!E56</f>
        <v>0</v>
      </c>
      <c r="E176" s="23">
        <f>'Annual Raw'!F56</f>
        <v>0</v>
      </c>
      <c r="F176" s="23">
        <f>'Annual Raw'!G56</f>
        <v>0</v>
      </c>
      <c r="G176" s="23">
        <f>'Annual Raw'!H56</f>
        <v>0</v>
      </c>
      <c r="H176" s="23">
        <f>'Annual Raw'!I56</f>
        <v>0</v>
      </c>
      <c r="I176" s="23">
        <f>'Annual Raw'!J56</f>
        <v>0</v>
      </c>
      <c r="J176" s="23">
        <f>'Annual Raw'!K56</f>
        <v>0</v>
      </c>
      <c r="K176" s="23">
        <f>'Annual Raw'!L56</f>
        <v>0</v>
      </c>
      <c r="L176" s="23">
        <f>'Annual Raw'!M56</f>
        <v>83.597550699999999</v>
      </c>
      <c r="M176" s="23">
        <f>'Annual Raw'!N56</f>
        <v>111.0523958</v>
      </c>
      <c r="N176" s="23">
        <f>'Annual Raw'!O56</f>
        <v>105.58053270000001</v>
      </c>
      <c r="O176" s="23">
        <f>'Annual Raw'!P56</f>
        <v>139.46</v>
      </c>
      <c r="P176" s="23">
        <f>'Annual Raw'!Q56</f>
        <v>148.46099889999999</v>
      </c>
      <c r="Q176" s="23">
        <f>'Annual Raw'!R56</f>
        <v>101.1662419</v>
      </c>
      <c r="R176" s="23">
        <f>'Annual Raw'!S56</f>
        <v>66.207444499999994</v>
      </c>
      <c r="S176" s="23">
        <f>'Annual Raw'!T56</f>
        <v>99.680900100000002</v>
      </c>
      <c r="T176" s="23">
        <f>'Annual Raw'!U56</f>
        <v>107.4057311</v>
      </c>
      <c r="U176" s="23">
        <f>'Annual Raw'!V56</f>
        <v>121.4762054</v>
      </c>
      <c r="V176" s="23">
        <f>'Annual Raw'!W56</f>
        <v>10.9452</v>
      </c>
      <c r="W176" s="23">
        <f>'Annual Raw'!X56</f>
        <v>15.7912</v>
      </c>
      <c r="X176" s="23">
        <f>'Annual Raw'!Y56</f>
        <v>0</v>
      </c>
      <c r="Y176" s="23">
        <f>'Annual Raw'!Z56</f>
        <v>0</v>
      </c>
      <c r="Z176" s="23">
        <f>'Annual Raw'!AA56</f>
        <v>0</v>
      </c>
      <c r="AA176" s="23">
        <f>'Annual Raw'!AB56</f>
        <v>0</v>
      </c>
      <c r="AB176" s="24">
        <f t="shared" si="1277"/>
        <v>218.077</v>
      </c>
      <c r="AC176" s="24">
        <f t="shared" si="1278"/>
        <v>418.077</v>
      </c>
      <c r="AD176" s="24">
        <f t="shared" si="1279"/>
        <v>418.077</v>
      </c>
      <c r="AE176" s="24">
        <f t="shared" si="1280"/>
        <v>418.077</v>
      </c>
      <c r="AJ176" s="23">
        <f>+'QTR Raw'!D88</f>
        <v>96.308999999999997</v>
      </c>
      <c r="AK176" s="23">
        <f t="shared" si="1281"/>
        <v>96.308999999999997</v>
      </c>
      <c r="AL176" s="23">
        <f>+'QTR Raw'!F88</f>
        <v>105.58</v>
      </c>
      <c r="AM176" s="23">
        <f t="shared" si="1281"/>
        <v>105.58</v>
      </c>
      <c r="AN176" s="23">
        <f>+'QTR Raw'!H88</f>
        <v>108.13</v>
      </c>
      <c r="AO176" s="23">
        <f t="shared" si="1281"/>
        <v>108.13</v>
      </c>
      <c r="AP176" s="23">
        <f>+'QTR Raw'!J88</f>
        <v>139.46</v>
      </c>
      <c r="AQ176" s="23">
        <f t="shared" si="1281"/>
        <v>139.46</v>
      </c>
      <c r="AR176" s="23">
        <f>+'QTR Raw'!L88</f>
        <v>137.16999999999999</v>
      </c>
      <c r="AS176" s="23">
        <f t="shared" si="1281"/>
        <v>137.16999999999999</v>
      </c>
      <c r="AT176" s="23">
        <f>+'QTR Raw'!N88</f>
        <v>148.46100000000001</v>
      </c>
      <c r="AU176" s="23">
        <f t="shared" si="1281"/>
        <v>148.46100000000001</v>
      </c>
      <c r="AV176" s="23">
        <f>+'QTR Raw'!P88</f>
        <v>106.905</v>
      </c>
      <c r="AW176" s="23">
        <f t="shared" si="1281"/>
        <v>106.905</v>
      </c>
      <c r="AX176" s="23">
        <f>+'QTR Raw'!R88</f>
        <v>101.166</v>
      </c>
      <c r="AY176" s="23">
        <f t="shared" si="1281"/>
        <v>101.166</v>
      </c>
      <c r="AZ176" s="23">
        <f>+'QTR Raw'!T88</f>
        <v>55.651000000000003</v>
      </c>
      <c r="BA176" s="23">
        <f t="shared" si="1281"/>
        <v>55.651000000000003</v>
      </c>
      <c r="BB176" s="23">
        <f>+'QTR Raw'!V88</f>
        <v>66.206999999999994</v>
      </c>
      <c r="BC176" s="23">
        <f t="shared" si="1281"/>
        <v>66.206999999999994</v>
      </c>
      <c r="BD176" s="23">
        <f>+'QTR Raw'!X88</f>
        <v>37.847000000000001</v>
      </c>
      <c r="BE176" s="23">
        <f t="shared" si="1281"/>
        <v>37.847000000000001</v>
      </c>
      <c r="BF176" s="23">
        <f>+'QTR Raw'!Z88</f>
        <v>99.680999999999997</v>
      </c>
      <c r="BG176" s="23">
        <f t="shared" si="1281"/>
        <v>99.680999999999997</v>
      </c>
      <c r="BH176" s="23">
        <f>+'QTR Raw'!AB88</f>
        <v>136.39500000000001</v>
      </c>
      <c r="BI176" s="23">
        <f t="shared" si="1281"/>
        <v>136.39500000000001</v>
      </c>
      <c r="BJ176" s="23">
        <f>+'QTR Raw'!AD88</f>
        <v>107.40600000000001</v>
      </c>
      <c r="BK176" s="23">
        <f t="shared" si="1281"/>
        <v>107.40600000000001</v>
      </c>
      <c r="BL176" s="23">
        <f>+'QTR Raw'!AF88</f>
        <v>150.167</v>
      </c>
      <c r="BM176" s="23">
        <f t="shared" si="1281"/>
        <v>150.167</v>
      </c>
      <c r="BN176" s="23">
        <f>+'QTR Raw'!AH88</f>
        <v>121.476</v>
      </c>
      <c r="BO176" s="23">
        <f t="shared" si="1281"/>
        <v>121.476</v>
      </c>
      <c r="BP176" s="23">
        <f>+'QTR Raw'!AJ88</f>
        <v>96.706999999999994</v>
      </c>
      <c r="BQ176" s="23">
        <f t="shared" si="1281"/>
        <v>96.706999999999994</v>
      </c>
      <c r="BR176" s="23">
        <f>+'QTR Raw'!AL88</f>
        <v>10.945</v>
      </c>
      <c r="BS176" s="23">
        <f t="shared" si="1281"/>
        <v>10.945</v>
      </c>
      <c r="BT176" s="23">
        <f>+'QTR Raw'!AN88</f>
        <v>93.25</v>
      </c>
      <c r="BU176" s="23">
        <f t="shared" si="1281"/>
        <v>93.25</v>
      </c>
      <c r="BV176" s="23">
        <f>+'QTR Raw'!AP88</f>
        <v>43.063000000000002</v>
      </c>
      <c r="BW176" s="23">
        <f t="shared" si="1281"/>
        <v>43.063000000000002</v>
      </c>
      <c r="BX176" s="23">
        <f>+'QTR Raw'!AR88</f>
        <v>67.272000000000006</v>
      </c>
      <c r="BY176" s="23">
        <f t="shared" si="1281"/>
        <v>67.272000000000006</v>
      </c>
      <c r="BZ176" s="23">
        <f>+'QTR Raw'!AT88</f>
        <v>27.271999999999998</v>
      </c>
      <c r="CA176" s="23">
        <f t="shared" si="1281"/>
        <v>27.271999999999998</v>
      </c>
      <c r="CB176" s="23">
        <f>+'QTR Raw'!AV88</f>
        <v>27.271999999999998</v>
      </c>
      <c r="CC176" s="23">
        <f t="shared" si="1281"/>
        <v>27.271999999999998</v>
      </c>
      <c r="CD176" s="23">
        <f>+'QTR Raw'!AX88</f>
        <v>9.0909999999999993</v>
      </c>
      <c r="CE176" s="23">
        <f t="shared" si="1282"/>
        <v>9.0909999999999993</v>
      </c>
      <c r="CF176" s="23">
        <f>+'QTR Raw'!AZ88</f>
        <v>9.0909999999999993</v>
      </c>
      <c r="CG176" s="23">
        <f t="shared" si="1283"/>
        <v>9.0909999999999993</v>
      </c>
      <c r="CH176" s="23">
        <f t="shared" si="1259"/>
        <v>0</v>
      </c>
      <c r="CI176" s="23">
        <f t="shared" si="1283"/>
        <v>0</v>
      </c>
      <c r="CJ176" s="23">
        <f>+'QTR Raw'!BD88</f>
        <v>31.061</v>
      </c>
      <c r="CK176" s="23">
        <f t="shared" si="1284"/>
        <v>31.061</v>
      </c>
      <c r="CL176" s="23">
        <f>+'QTR Raw'!BF88</f>
        <v>68.076999999999998</v>
      </c>
      <c r="CM176" s="24">
        <f t="shared" si="1285"/>
        <v>68.076999999999998</v>
      </c>
      <c r="CN176" s="24">
        <f t="shared" si="1286"/>
        <v>68.076999999999998</v>
      </c>
      <c r="CO176" s="24">
        <f t="shared" si="1287"/>
        <v>68.076999999999998</v>
      </c>
      <c r="CP176" s="24">
        <f>+CO176+150</f>
        <v>218.077</v>
      </c>
      <c r="CQ176" s="24">
        <f>+CP176+200</f>
        <v>418.077</v>
      </c>
      <c r="CR176" s="24">
        <f t="shared" si="1290"/>
        <v>418.077</v>
      </c>
      <c r="CS176" s="24">
        <f t="shared" si="1291"/>
        <v>418.077</v>
      </c>
      <c r="CT176" s="24">
        <f t="shared" si="1292"/>
        <v>418.077</v>
      </c>
      <c r="CU176" s="24">
        <f t="shared" si="1293"/>
        <v>418.077</v>
      </c>
      <c r="CV176" s="24">
        <f t="shared" si="1294"/>
        <v>418.077</v>
      </c>
      <c r="CW176" s="24">
        <f t="shared" si="1295"/>
        <v>418.077</v>
      </c>
      <c r="CX176" s="24">
        <f t="shared" si="1296"/>
        <v>418.077</v>
      </c>
      <c r="CY176" s="24">
        <f t="shared" si="1297"/>
        <v>418.077</v>
      </c>
      <c r="CZ176" s="24">
        <f t="shared" si="1298"/>
        <v>418.077</v>
      </c>
      <c r="DA176" s="24">
        <f t="shared" si="1299"/>
        <v>418.077</v>
      </c>
      <c r="DB176" s="24">
        <f t="shared" si="1300"/>
        <v>418.077</v>
      </c>
      <c r="DE176" s="123"/>
      <c r="DF176" s="23">
        <v>31.061</v>
      </c>
    </row>
    <row r="177" spans="1:110" s="22" customFormat="1" x14ac:dyDescent="0.2">
      <c r="A177" s="22" t="s">
        <v>49</v>
      </c>
      <c r="B177" s="22">
        <f>SUM(B173:B176)</f>
        <v>16.216051499999999</v>
      </c>
      <c r="C177" s="22">
        <f t="shared" ref="C177:V177" si="1301">SUM(C173:C176)</f>
        <v>13.902122500000001</v>
      </c>
      <c r="D177" s="22">
        <f t="shared" si="1301"/>
        <v>24.665082999999999</v>
      </c>
      <c r="E177" s="22">
        <f t="shared" si="1301"/>
        <v>34.6129636</v>
      </c>
      <c r="F177" s="22">
        <f t="shared" si="1301"/>
        <v>41.4192179</v>
      </c>
      <c r="G177" s="22">
        <f t="shared" si="1301"/>
        <v>53.541065600000003</v>
      </c>
      <c r="H177" s="22">
        <f t="shared" si="1301"/>
        <v>66.417642799999996</v>
      </c>
      <c r="I177" s="22">
        <f t="shared" si="1301"/>
        <v>83.414495299999999</v>
      </c>
      <c r="J177" s="22">
        <f t="shared" si="1301"/>
        <v>101.7856791</v>
      </c>
      <c r="K177" s="22">
        <f t="shared" si="1301"/>
        <v>99.687430800000001</v>
      </c>
      <c r="L177" s="22">
        <f t="shared" si="1301"/>
        <v>164.856965</v>
      </c>
      <c r="M177" s="22">
        <f t="shared" si="1301"/>
        <v>215.81165060000001</v>
      </c>
      <c r="N177" s="22">
        <f t="shared" si="1301"/>
        <v>240.07029749999998</v>
      </c>
      <c r="O177" s="22">
        <f t="shared" si="1301"/>
        <v>261.6191</v>
      </c>
      <c r="P177" s="22">
        <f t="shared" si="1301"/>
        <v>255.85268289999999</v>
      </c>
      <c r="Q177" s="22">
        <f t="shared" si="1301"/>
        <v>172.69311440000001</v>
      </c>
      <c r="R177" s="22">
        <f t="shared" si="1301"/>
        <v>104.924376</v>
      </c>
      <c r="S177" s="22">
        <f t="shared" si="1301"/>
        <v>151.84668049999999</v>
      </c>
      <c r="T177" s="22">
        <f t="shared" si="1301"/>
        <v>227.4035725</v>
      </c>
      <c r="U177" s="22">
        <f t="shared" si="1301"/>
        <v>259.56571359999998</v>
      </c>
      <c r="V177" s="22">
        <f t="shared" si="1301"/>
        <v>127.0669</v>
      </c>
      <c r="W177" s="22">
        <f t="shared" ref="W177" si="1302">SUM(W173:W176)</f>
        <v>100.63730000000001</v>
      </c>
      <c r="X177" s="22">
        <f t="shared" ref="X177:Y177" si="1303">SUM(X173:X176)</f>
        <v>57.574299999999994</v>
      </c>
      <c r="Y177" s="22">
        <f t="shared" si="1303"/>
        <v>19.696999999999999</v>
      </c>
      <c r="Z177" s="22">
        <f t="shared" ref="Z177:AA177" si="1304">SUM(Z173:Z176)</f>
        <v>10.6061</v>
      </c>
      <c r="AA177" s="22">
        <f t="shared" si="1304"/>
        <v>0</v>
      </c>
      <c r="AB177" s="21">
        <f t="shared" ref="AA177:AD177" si="1305">SUM(AB173:AB176)</f>
        <v>282.911</v>
      </c>
      <c r="AC177" s="21">
        <f t="shared" si="1305"/>
        <v>482.911</v>
      </c>
      <c r="AD177" s="21">
        <f t="shared" si="1305"/>
        <v>482.911</v>
      </c>
      <c r="AE177" s="21">
        <f t="shared" ref="AE177" si="1306">SUM(AE173:AE176)</f>
        <v>482.911</v>
      </c>
      <c r="AJ177" s="22">
        <f t="shared" ref="AJ177" si="1307">SUM(AJ173:AJ176)</f>
        <v>195.80799999999999</v>
      </c>
      <c r="AK177" s="22">
        <f t="shared" ref="AK177" si="1308">SUM(AK173:AK176)</f>
        <v>195.80799999999999</v>
      </c>
      <c r="AL177" s="22">
        <f t="shared" ref="AL177:AM177" si="1309">SUM(AL173:AL176)</f>
        <v>209.31</v>
      </c>
      <c r="AM177" s="22">
        <f t="shared" si="1309"/>
        <v>209.31</v>
      </c>
      <c r="AN177" s="22">
        <f t="shared" ref="AN177:AO177" si="1310">SUM(AN173:AN176)</f>
        <v>209.14099999999999</v>
      </c>
      <c r="AO177" s="22">
        <f t="shared" si="1310"/>
        <v>209.14099999999999</v>
      </c>
      <c r="AP177" s="22">
        <f t="shared" ref="AP177:CE177" si="1311">SUM(AP173:AP176)</f>
        <v>225.41000000000003</v>
      </c>
      <c r="AQ177" s="22">
        <f t="shared" si="1311"/>
        <v>225.41000000000003</v>
      </c>
      <c r="AR177" s="22">
        <f t="shared" si="1311"/>
        <v>212.83999999999997</v>
      </c>
      <c r="AS177" s="22">
        <f t="shared" si="1311"/>
        <v>212.83999999999997</v>
      </c>
      <c r="AT177" s="22">
        <f t="shared" si="1311"/>
        <v>223.262</v>
      </c>
      <c r="AU177" s="22">
        <f t="shared" si="1311"/>
        <v>223.262</v>
      </c>
      <c r="AV177" s="22">
        <f t="shared" si="1311"/>
        <v>154.64099999999999</v>
      </c>
      <c r="AW177" s="22">
        <f t="shared" si="1311"/>
        <v>154.64099999999999</v>
      </c>
      <c r="AX177" s="22">
        <f t="shared" si="1311"/>
        <v>147.55799999999999</v>
      </c>
      <c r="AY177" s="22">
        <f t="shared" si="1311"/>
        <v>147.55799999999999</v>
      </c>
      <c r="AZ177" s="22">
        <f t="shared" si="1311"/>
        <v>88.084000000000003</v>
      </c>
      <c r="BA177" s="22">
        <f t="shared" si="1311"/>
        <v>88.084000000000003</v>
      </c>
      <c r="BB177" s="22">
        <f t="shared" si="1311"/>
        <v>83.021999999999991</v>
      </c>
      <c r="BC177" s="22">
        <f t="shared" si="1311"/>
        <v>83.021999999999991</v>
      </c>
      <c r="BD177" s="22">
        <f t="shared" si="1311"/>
        <v>46.533999999999999</v>
      </c>
      <c r="BE177" s="22">
        <f t="shared" si="1311"/>
        <v>46.533999999999999</v>
      </c>
      <c r="BF177" s="22">
        <f t="shared" si="1311"/>
        <v>142.16899999999998</v>
      </c>
      <c r="BG177" s="22">
        <f t="shared" si="1311"/>
        <v>142.16899999999998</v>
      </c>
      <c r="BH177" s="22">
        <f t="shared" ref="BH177" si="1312">SUM(BH173:BH176)</f>
        <v>138.68</v>
      </c>
      <c r="BI177" s="22">
        <f t="shared" si="1311"/>
        <v>138.68</v>
      </c>
      <c r="BJ177" s="22">
        <f t="shared" si="1311"/>
        <v>190.738</v>
      </c>
      <c r="BK177" s="22">
        <f t="shared" si="1311"/>
        <v>190.738</v>
      </c>
      <c r="BL177" s="22">
        <f t="shared" si="1311"/>
        <v>228.40899999999999</v>
      </c>
      <c r="BM177" s="22">
        <f t="shared" si="1311"/>
        <v>228.40899999999999</v>
      </c>
      <c r="BN177" s="22">
        <f t="shared" si="1311"/>
        <v>241.38400000000001</v>
      </c>
      <c r="BO177" s="22">
        <f t="shared" si="1311"/>
        <v>241.38400000000001</v>
      </c>
      <c r="BP177" s="22">
        <f t="shared" si="1311"/>
        <v>207.81799999999998</v>
      </c>
      <c r="BQ177" s="22">
        <f t="shared" si="1311"/>
        <v>207.81799999999998</v>
      </c>
      <c r="BR177" s="22">
        <f t="shared" si="1311"/>
        <v>99.794000000000011</v>
      </c>
      <c r="BS177" s="22">
        <f t="shared" si="1311"/>
        <v>99.794000000000011</v>
      </c>
      <c r="BT177" s="22">
        <f t="shared" si="1311"/>
        <v>164.46299999999999</v>
      </c>
      <c r="BU177" s="22">
        <f t="shared" si="1311"/>
        <v>164.46299999999999</v>
      </c>
      <c r="BV177" s="22">
        <f t="shared" si="1311"/>
        <v>100.637</v>
      </c>
      <c r="BW177" s="22">
        <f t="shared" si="1311"/>
        <v>100.637</v>
      </c>
      <c r="BX177" s="22">
        <f t="shared" si="1311"/>
        <v>111.21000000000001</v>
      </c>
      <c r="BY177" s="22">
        <f t="shared" si="1311"/>
        <v>111.21000000000001</v>
      </c>
      <c r="BZ177" s="22">
        <f t="shared" si="1311"/>
        <v>57.575000000000003</v>
      </c>
      <c r="CA177" s="22">
        <f t="shared" si="1311"/>
        <v>57.575000000000003</v>
      </c>
      <c r="CB177" s="22">
        <f t="shared" si="1311"/>
        <v>43.939</v>
      </c>
      <c r="CC177" s="22">
        <f t="shared" si="1311"/>
        <v>43.939</v>
      </c>
      <c r="CD177" s="22">
        <f t="shared" si="1311"/>
        <v>19.696999999999999</v>
      </c>
      <c r="CE177" s="22">
        <f t="shared" si="1311"/>
        <v>19.696999999999999</v>
      </c>
      <c r="CF177" s="22">
        <f t="shared" ref="CF177:CG177" si="1313">SUM(CF173:CF176)</f>
        <v>15.151999999999999</v>
      </c>
      <c r="CG177" s="22">
        <f t="shared" si="1313"/>
        <v>15.151999999999999</v>
      </c>
      <c r="CH177" s="22">
        <f t="shared" ref="CH177:CI177" si="1314">SUM(CH173:CH176)</f>
        <v>10.6061</v>
      </c>
      <c r="CI177" s="22">
        <f t="shared" si="1314"/>
        <v>10.6061</v>
      </c>
      <c r="CJ177" s="22">
        <f t="shared" ref="CJ177:DB177" si="1315">SUM(CJ173:CJ176)</f>
        <v>31.061</v>
      </c>
      <c r="CK177" s="22">
        <f t="shared" si="1315"/>
        <v>31.061</v>
      </c>
      <c r="CL177" s="22">
        <f t="shared" ref="CL177" si="1316">SUM(CL173:CL176)</f>
        <v>132.911</v>
      </c>
      <c r="CM177" s="21">
        <f t="shared" si="1315"/>
        <v>132.911</v>
      </c>
      <c r="CN177" s="21">
        <f t="shared" si="1315"/>
        <v>132.911</v>
      </c>
      <c r="CO177" s="21">
        <f t="shared" si="1315"/>
        <v>132.911</v>
      </c>
      <c r="CP177" s="21">
        <f t="shared" si="1315"/>
        <v>282.911</v>
      </c>
      <c r="CQ177" s="21">
        <f t="shared" si="1315"/>
        <v>482.911</v>
      </c>
      <c r="CR177" s="21">
        <f t="shared" si="1315"/>
        <v>482.911</v>
      </c>
      <c r="CS177" s="21">
        <f t="shared" si="1315"/>
        <v>482.911</v>
      </c>
      <c r="CT177" s="21">
        <f t="shared" si="1315"/>
        <v>482.911</v>
      </c>
      <c r="CU177" s="21">
        <f t="shared" si="1315"/>
        <v>482.911</v>
      </c>
      <c r="CV177" s="21">
        <f t="shared" si="1315"/>
        <v>482.911</v>
      </c>
      <c r="CW177" s="21">
        <f t="shared" si="1315"/>
        <v>482.911</v>
      </c>
      <c r="CX177" s="21">
        <f t="shared" si="1315"/>
        <v>482.911</v>
      </c>
      <c r="CY177" s="21">
        <f t="shared" si="1315"/>
        <v>482.911</v>
      </c>
      <c r="CZ177" s="21">
        <f t="shared" si="1315"/>
        <v>482.911</v>
      </c>
      <c r="DA177" s="21">
        <f t="shared" si="1315"/>
        <v>482.911</v>
      </c>
      <c r="DB177" s="21">
        <f t="shared" si="1315"/>
        <v>482.911</v>
      </c>
      <c r="DE177" s="126"/>
      <c r="DF177" s="22">
        <v>31.061</v>
      </c>
    </row>
    <row r="178" spans="1:110" s="26" customFormat="1" x14ac:dyDescent="0.2">
      <c r="A178" s="26" t="s">
        <v>437</v>
      </c>
      <c r="B178" s="26">
        <f>B177+B169+B171</f>
        <v>27.554481500000001</v>
      </c>
      <c r="C178" s="26">
        <f t="shared" ref="C178:V178" si="1317">C177+C169+C171</f>
        <v>26.002991399999999</v>
      </c>
      <c r="D178" s="26">
        <f>D177+D169+D171</f>
        <v>40.043317000000002</v>
      </c>
      <c r="E178" s="26">
        <f t="shared" si="1317"/>
        <v>56.1686245</v>
      </c>
      <c r="F178" s="26">
        <f t="shared" si="1317"/>
        <v>66.850457699999993</v>
      </c>
      <c r="G178" s="26">
        <f t="shared" si="1317"/>
        <v>86.046824799999996</v>
      </c>
      <c r="H178" s="26">
        <f t="shared" si="1317"/>
        <v>110.587621</v>
      </c>
      <c r="I178" s="26">
        <f t="shared" si="1317"/>
        <v>139.46538520000001</v>
      </c>
      <c r="J178" s="26">
        <f t="shared" si="1317"/>
        <v>171.4195895</v>
      </c>
      <c r="K178" s="26">
        <f t="shared" si="1317"/>
        <v>187.84294269999998</v>
      </c>
      <c r="L178" s="26">
        <f t="shared" si="1317"/>
        <v>277.33497399999999</v>
      </c>
      <c r="M178" s="26">
        <f t="shared" si="1317"/>
        <v>360.91769769999996</v>
      </c>
      <c r="N178" s="26">
        <f t="shared" si="1317"/>
        <v>411.44959769999997</v>
      </c>
      <c r="O178" s="26">
        <f t="shared" si="1317"/>
        <v>462.74019999999996</v>
      </c>
      <c r="P178" s="26">
        <f t="shared" si="1317"/>
        <v>485.75117949999998</v>
      </c>
      <c r="Q178" s="26">
        <f t="shared" si="1317"/>
        <v>452.90133160000005</v>
      </c>
      <c r="R178" s="26">
        <f t="shared" si="1317"/>
        <v>467.38643530000002</v>
      </c>
      <c r="S178" s="26">
        <f t="shared" si="1317"/>
        <v>636.91021380000007</v>
      </c>
      <c r="T178" s="26">
        <f t="shared" si="1317"/>
        <v>819.41619309999987</v>
      </c>
      <c r="U178" s="26">
        <f t="shared" si="1317"/>
        <v>927.93507829999999</v>
      </c>
      <c r="V178" s="26">
        <f t="shared" si="1317"/>
        <v>1036.9877999999999</v>
      </c>
      <c r="W178" s="26">
        <f t="shared" ref="W178" si="1318">W177+W169+W171</f>
        <v>1415.4986999999999</v>
      </c>
      <c r="X178" s="26">
        <f t="shared" ref="X178:Y178" si="1319">X177+X169+X171</f>
        <v>1755.7337</v>
      </c>
      <c r="Y178" s="26">
        <f t="shared" si="1319"/>
        <v>1912.9387999999999</v>
      </c>
      <c r="Z178" s="26">
        <f t="shared" ref="Z178:AA178" si="1320">Z177+Z169+Z171</f>
        <v>2028.9788999999998</v>
      </c>
      <c r="AA178" s="26">
        <f t="shared" si="1320"/>
        <v>1784.9664</v>
      </c>
      <c r="AB178" s="27">
        <f t="shared" ref="AA178:AD178" si="1321">AB177+AB169+AB171</f>
        <v>2684.2715110528388</v>
      </c>
      <c r="AC178" s="27">
        <f t="shared" si="1321"/>
        <v>3217.7574907513422</v>
      </c>
      <c r="AD178" s="27">
        <f t="shared" si="1321"/>
        <v>3690.5791698057283</v>
      </c>
      <c r="AE178" s="27">
        <f t="shared" ref="AE178" si="1322">AE177+AE169+AE171</f>
        <v>4410.0954210557484</v>
      </c>
      <c r="AJ178" s="26">
        <f t="shared" ref="AJ178" si="1323">AJ177+AJ169+AJ171</f>
        <v>360.26099999999997</v>
      </c>
      <c r="AK178" s="26">
        <f t="shared" ref="AK178" si="1324">AK177+AK169+AK171</f>
        <v>367.45399999999995</v>
      </c>
      <c r="AL178" s="26">
        <f t="shared" ref="AL178" si="1325">AL177+AL169+AL171</f>
        <v>381.78999999999996</v>
      </c>
      <c r="AM178" s="26">
        <f t="shared" ref="AM178:AO178" si="1326">AM177+AM169+AM171</f>
        <v>390.29999999999995</v>
      </c>
      <c r="AN178" s="26">
        <f t="shared" si="1326"/>
        <v>401.85</v>
      </c>
      <c r="AO178" s="26">
        <f t="shared" si="1326"/>
        <v>406.04999999999995</v>
      </c>
      <c r="AP178" s="26">
        <f t="shared" ref="AP178:CE178" si="1327">AP177+AP169+AP171</f>
        <v>427.65</v>
      </c>
      <c r="AQ178" s="26">
        <f t="shared" si="1327"/>
        <v>436.96000000000004</v>
      </c>
      <c r="AR178" s="26">
        <f t="shared" si="1327"/>
        <v>434.45999999999992</v>
      </c>
      <c r="AS178" s="26">
        <f t="shared" si="1327"/>
        <v>440.65299999999991</v>
      </c>
      <c r="AT178" s="26">
        <f t="shared" si="1327"/>
        <v>453.15999999999997</v>
      </c>
      <c r="AU178" s="26">
        <f t="shared" si="1327"/>
        <v>465.976</v>
      </c>
      <c r="AV178" s="26">
        <f t="shared" si="1327"/>
        <v>416.995</v>
      </c>
      <c r="AW178" s="26">
        <f t="shared" si="1327"/>
        <v>430.30100000000004</v>
      </c>
      <c r="AX178" s="26">
        <f t="shared" si="1327"/>
        <v>427.76600000000002</v>
      </c>
      <c r="AY178" s="26">
        <f t="shared" si="1327"/>
        <v>454.10600000000005</v>
      </c>
      <c r="AZ178" s="26">
        <f t="shared" si="1327"/>
        <v>427.84800000000001</v>
      </c>
      <c r="BA178" s="26">
        <f t="shared" si="1327"/>
        <v>447.47800000000001</v>
      </c>
      <c r="BB178" s="26">
        <f t="shared" si="1327"/>
        <v>445.48400000000004</v>
      </c>
      <c r="BC178" s="26">
        <f t="shared" si="1327"/>
        <v>468.23900000000003</v>
      </c>
      <c r="BD178" s="26">
        <f t="shared" si="1327"/>
        <v>467.137</v>
      </c>
      <c r="BE178" s="26">
        <f t="shared" si="1327"/>
        <v>495.22299999999996</v>
      </c>
      <c r="BF178" s="26">
        <f t="shared" si="1327"/>
        <v>627.45000000000005</v>
      </c>
      <c r="BG178" s="26">
        <f t="shared" si="1327"/>
        <v>661.274</v>
      </c>
      <c r="BH178" s="26">
        <f t="shared" ref="BH178" si="1328">BH177+BH169+BH171</f>
        <v>660.40800000000013</v>
      </c>
      <c r="BI178" s="26">
        <f t="shared" si="1327"/>
        <v>686.68000000000006</v>
      </c>
      <c r="BJ178" s="26">
        <f t="shared" si="1327"/>
        <v>782.75099999999998</v>
      </c>
      <c r="BK178" s="26">
        <f t="shared" si="1327"/>
        <v>801.89900000000011</v>
      </c>
      <c r="BL178" s="26">
        <f t="shared" si="1327"/>
        <v>856.68600000000004</v>
      </c>
      <c r="BM178" s="26">
        <f t="shared" si="1327"/>
        <v>880.09400000000005</v>
      </c>
      <c r="BN178" s="26">
        <f t="shared" si="1327"/>
        <v>909.75299999999993</v>
      </c>
      <c r="BO178" s="26">
        <f t="shared" si="1327"/>
        <v>942.71699999999998</v>
      </c>
      <c r="BP178" s="26">
        <f t="shared" si="1327"/>
        <v>950.50599999999997</v>
      </c>
      <c r="BQ178" s="26">
        <f t="shared" si="1327"/>
        <v>1025.4760000000001</v>
      </c>
      <c r="BR178" s="26">
        <f t="shared" si="1327"/>
        <v>1009.7149999999999</v>
      </c>
      <c r="BS178" s="26">
        <f t="shared" si="1327"/>
        <v>1100.0999999999999</v>
      </c>
      <c r="BT178" s="26">
        <f t="shared" si="1327"/>
        <v>1246.885</v>
      </c>
      <c r="BU178" s="26">
        <f t="shared" si="1327"/>
        <v>1336.44</v>
      </c>
      <c r="BV178" s="26">
        <f t="shared" si="1327"/>
        <v>1415.4979999999998</v>
      </c>
      <c r="BW178" s="26">
        <f t="shared" si="1327"/>
        <v>1538.4659999999999</v>
      </c>
      <c r="BX178" s="26">
        <f t="shared" si="1327"/>
        <v>1670.6020000000001</v>
      </c>
      <c r="BY178" s="26">
        <f t="shared" si="1327"/>
        <v>1733.173</v>
      </c>
      <c r="BZ178" s="26">
        <f t="shared" si="1327"/>
        <v>1755.7339999999999</v>
      </c>
      <c r="CA178" s="26">
        <f t="shared" si="1327"/>
        <v>1808.4659999999999</v>
      </c>
      <c r="CB178" s="26">
        <f t="shared" si="1327"/>
        <v>1813.14</v>
      </c>
      <c r="CC178" s="26">
        <f t="shared" si="1327"/>
        <v>1862.5130000000001</v>
      </c>
      <c r="CD178" s="26">
        <f t="shared" si="1327"/>
        <v>1912.9389999999999</v>
      </c>
      <c r="CE178" s="26">
        <f t="shared" si="1327"/>
        <v>1956.2319999999997</v>
      </c>
      <c r="CF178" s="26">
        <f t="shared" ref="CF178:CG178" si="1329">CF177+CF169+CF171</f>
        <v>1959.758</v>
      </c>
      <c r="CG178" s="26">
        <f t="shared" si="1329"/>
        <v>1992.942</v>
      </c>
      <c r="CH178" s="26">
        <f t="shared" ref="CH178:CI178" si="1330">CH177+CH169+CH171</f>
        <v>2028.9788999999998</v>
      </c>
      <c r="CI178" s="26">
        <f t="shared" si="1330"/>
        <v>2066.9798999999998</v>
      </c>
      <c r="CJ178" s="26">
        <f t="shared" ref="CJ178:DB178" si="1331">CJ177+CJ169+CJ171</f>
        <v>2087.422</v>
      </c>
      <c r="CK178" s="26">
        <f t="shared" si="1331"/>
        <v>2118.8559999999998</v>
      </c>
      <c r="CL178" s="26">
        <f t="shared" ref="CL178" si="1332">CL177+CL169+CL171</f>
        <v>2284.63</v>
      </c>
      <c r="CM178" s="27">
        <f t="shared" si="1331"/>
        <v>2346.2796126290827</v>
      </c>
      <c r="CN178" s="27">
        <f t="shared" si="1331"/>
        <v>2412.3452777645161</v>
      </c>
      <c r="CO178" s="27">
        <f t="shared" si="1331"/>
        <v>2471.1368972437472</v>
      </c>
      <c r="CP178" s="27">
        <f t="shared" si="1331"/>
        <v>2684.2715110528388</v>
      </c>
      <c r="CQ178" s="27">
        <f t="shared" si="1331"/>
        <v>2969.2010797852686</v>
      </c>
      <c r="CR178" s="27">
        <f t="shared" si="1331"/>
        <v>3048.1279312845795</v>
      </c>
      <c r="CS178" s="27">
        <f t="shared" si="1331"/>
        <v>3121.198119625255</v>
      </c>
      <c r="CT178" s="27">
        <f t="shared" si="1331"/>
        <v>3217.7574907513422</v>
      </c>
      <c r="CU178" s="27">
        <f t="shared" si="1331"/>
        <v>3328.1462354082328</v>
      </c>
      <c r="CV178" s="27">
        <f t="shared" si="1331"/>
        <v>3441.4528448357614</v>
      </c>
      <c r="CW178" s="27">
        <f t="shared" si="1331"/>
        <v>3550.8562285073308</v>
      </c>
      <c r="CX178" s="27">
        <f t="shared" si="1331"/>
        <v>3690.5791698057283</v>
      </c>
      <c r="CY178" s="27">
        <f t="shared" si="1331"/>
        <v>3857.252827176434</v>
      </c>
      <c r="CZ178" s="27">
        <f t="shared" si="1331"/>
        <v>4028.9979325003633</v>
      </c>
      <c r="DA178" s="27">
        <f t="shared" si="1331"/>
        <v>4194.7299391023416</v>
      </c>
      <c r="DB178" s="27">
        <f t="shared" si="1331"/>
        <v>4410.0954210557484</v>
      </c>
      <c r="DE178" s="121"/>
      <c r="DF178" s="26">
        <v>2169.2366305039377</v>
      </c>
    </row>
    <row r="179" spans="1:110" s="23" customFormat="1" x14ac:dyDescent="0.2"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3" customFormat="1" outlineLevel="1" x14ac:dyDescent="0.2">
      <c r="A180" s="23" t="s">
        <v>50</v>
      </c>
      <c r="B180" s="23">
        <f>'Annual Raw'!C62</f>
        <v>23.1167449</v>
      </c>
      <c r="C180" s="23">
        <f>'Annual Raw'!D62</f>
        <v>26.002201400000001</v>
      </c>
      <c r="D180" s="23">
        <f>'Annual Raw'!E62</f>
        <v>40.6940381</v>
      </c>
      <c r="E180" s="23">
        <f>'Annual Raw'!F62-E184</f>
        <v>54.6780562</v>
      </c>
      <c r="F180" s="23">
        <f>'Annual Raw'!G62-F184</f>
        <v>62.958629600000002</v>
      </c>
      <c r="G180" s="23">
        <f>'Annual Raw'!H62-G184</f>
        <v>74.428243499999994</v>
      </c>
      <c r="H180" s="23">
        <f>'Annual Raw'!I62-H184</f>
        <v>82.610227899999998</v>
      </c>
      <c r="I180" s="23">
        <f>'Annual Raw'!J62-I184</f>
        <v>98.268885999999995</v>
      </c>
      <c r="J180" s="23">
        <f>'Annual Raw'!K62-J184</f>
        <v>109.4825336</v>
      </c>
      <c r="K180" s="23">
        <f>'Annual Raw'!L62-K184</f>
        <v>159.6217523</v>
      </c>
      <c r="L180" s="23">
        <f>'Annual Raw'!M62-L184</f>
        <v>207.1622581</v>
      </c>
      <c r="M180" s="23">
        <f>'Annual Raw'!N62-M184</f>
        <v>253.22717019999999</v>
      </c>
      <c r="N180" s="23">
        <f>'Annual Raw'!O62-N184</f>
        <v>303.99353409999998</v>
      </c>
      <c r="O180" s="23">
        <f>'Annual Raw'!P62-O184</f>
        <v>415.84690000000001</v>
      </c>
      <c r="P180" s="23">
        <f>'Annual Raw'!Q62-P184</f>
        <v>448.42306300000001</v>
      </c>
      <c r="Q180" s="23">
        <f>'Annual Raw'!R62-Q184</f>
        <v>468.9108592</v>
      </c>
      <c r="R180" s="23">
        <f>'Annual Raw'!S62-R184</f>
        <v>461.74301229999998</v>
      </c>
      <c r="S180" s="23">
        <f>'Annual Raw'!T62-S184</f>
        <v>479.10073039999997</v>
      </c>
      <c r="T180" s="23">
        <f>'Annual Raw'!U62-T184</f>
        <v>501.88369340000003</v>
      </c>
      <c r="U180" s="23">
        <f>'Annual Raw'!V62-U184</f>
        <v>786.39623170000004</v>
      </c>
      <c r="V180" s="23">
        <f>'Annual Raw'!W62-V184</f>
        <v>789.57209999999998</v>
      </c>
      <c r="W180" s="23">
        <f>'Annual Raw'!X62-W184</f>
        <v>961.80769999999995</v>
      </c>
      <c r="X180" s="23">
        <f>'Annual Raw'!Y62-X184</f>
        <v>1095.8032000000001</v>
      </c>
      <c r="Y180" s="23">
        <f>'Annual Raw'!Z62-Y184</f>
        <v>1254.5155</v>
      </c>
      <c r="Z180" s="23">
        <f>'Annual Raw'!AA62-Z184</f>
        <v>1408.9176</v>
      </c>
      <c r="AA180" s="23">
        <f>'Annual Raw'!AB62-AA184</f>
        <v>1265.9652000000001</v>
      </c>
      <c r="AB180" s="24">
        <f t="shared" ref="AB180:AB186" si="1333">+CP180</f>
        <v>2354.4147000000003</v>
      </c>
      <c r="AC180" s="24">
        <f t="shared" ref="AC180:AC186" si="1334">+CT180</f>
        <v>2754.4147000000003</v>
      </c>
      <c r="AD180" s="24">
        <f t="shared" ref="AD180:AD186" si="1335">+CX180</f>
        <v>2854.4147000000003</v>
      </c>
      <c r="AE180" s="24">
        <f t="shared" ref="AE180:AE186" si="1336">+DB180</f>
        <v>2954.4147000000003</v>
      </c>
      <c r="AJ180" s="23">
        <f>+'QTR Raw'!D68</f>
        <v>190.18700000000001</v>
      </c>
      <c r="AL180" s="23">
        <f>+'QTR Raw'!F68</f>
        <v>234.05</v>
      </c>
      <c r="AN180" s="23">
        <f>+'QTR Raw'!H68</f>
        <v>227.01900000000001</v>
      </c>
      <c r="AP180" s="23">
        <f>+'QTR Raw'!J68</f>
        <v>325.08</v>
      </c>
      <c r="AR180" s="23">
        <f>+'QTR Raw'!L68</f>
        <v>320.7</v>
      </c>
      <c r="AT180" s="23">
        <f>+'QTR Raw'!N68</f>
        <v>341.10500000000002</v>
      </c>
      <c r="AV180" s="23">
        <f>+'QTR Raw'!P68</f>
        <v>312.673</v>
      </c>
      <c r="AX180" s="23">
        <f>+'QTR Raw'!R68</f>
        <v>340.815</v>
      </c>
      <c r="AZ180" s="23">
        <f>+'QTR Raw'!T68</f>
        <v>315.45600000000002</v>
      </c>
      <c r="BB180" s="23">
        <f>+'QTR Raw'!V68</f>
        <v>325.48</v>
      </c>
      <c r="BD180" s="23">
        <f>+'QTR Raw'!X68</f>
        <v>302.67099999999999</v>
      </c>
      <c r="BF180" s="23">
        <f>+'QTR Raw'!Z68</f>
        <v>316.05799999999999</v>
      </c>
      <c r="BH180" s="23">
        <f>+'QTR Raw'!AB68</f>
        <v>308.27699999999999</v>
      </c>
      <c r="BJ180" s="23">
        <f>+'QTR Raw'!AD68</f>
        <v>319.74599999999998</v>
      </c>
      <c r="BL180" s="23">
        <f>+'QTR Raw'!AF68</f>
        <v>583.649</v>
      </c>
      <c r="BN180" s="23">
        <f>+'QTR Raw'!AH68</f>
        <v>573.00099999999998</v>
      </c>
      <c r="BP180" s="23">
        <f>+'QTR Raw'!AJ68</f>
        <v>556.74800000000005</v>
      </c>
      <c r="BR180" s="23">
        <f>+'QTR Raw'!AL68</f>
        <v>542.91700000000003</v>
      </c>
      <c r="BT180" s="23">
        <f>+'QTR Raw'!AN68</f>
        <v>665.34299999999996</v>
      </c>
      <c r="BV180" s="23">
        <f>+'QTR Raw'!AP68</f>
        <v>676.14800000000002</v>
      </c>
      <c r="BX180" s="23">
        <f>+'QTR Raw'!AR68</f>
        <v>784.1</v>
      </c>
      <c r="BZ180" s="23">
        <f>+'QTR Raw'!AT68</f>
        <v>775.28300000000002</v>
      </c>
      <c r="CB180" s="23">
        <f>+'QTR Raw'!AV68</f>
        <v>765.97199999999998</v>
      </c>
      <c r="CD180" s="23">
        <f>+'QTR Raw'!AX68</f>
        <v>892.98</v>
      </c>
      <c r="CF180" s="23">
        <f>+'QTR Raw'!AZ68</f>
        <v>882.33699999999999</v>
      </c>
      <c r="CH180" s="23">
        <f t="shared" ref="CH180:CH186" si="1337">Z180</f>
        <v>1408.9176</v>
      </c>
      <c r="CI180" s="23">
        <f>CH180</f>
        <v>1408.9176</v>
      </c>
      <c r="CJ180" s="23">
        <f>+CJ181+CJ183</f>
        <v>1491.1457</v>
      </c>
      <c r="CK180" s="23">
        <f>+CJ180</f>
        <v>1491.1457</v>
      </c>
      <c r="CL180" s="23">
        <f>+CL181+CL183</f>
        <v>1504.4147</v>
      </c>
      <c r="CM180" s="24">
        <f>+CL180+200</f>
        <v>1704.4147</v>
      </c>
      <c r="CN180" s="24">
        <f>+CM180+100</f>
        <v>1804.4147</v>
      </c>
      <c r="CO180" s="24">
        <f>+CN180+450</f>
        <v>2254.4147000000003</v>
      </c>
      <c r="CP180" s="24">
        <f>+CO180+100</f>
        <v>2354.4147000000003</v>
      </c>
      <c r="CQ180" s="24">
        <f t="shared" ref="CQ180:CT180" si="1338">+CP180+100</f>
        <v>2454.4147000000003</v>
      </c>
      <c r="CR180" s="24">
        <f t="shared" si="1338"/>
        <v>2554.4147000000003</v>
      </c>
      <c r="CS180" s="24">
        <f t="shared" si="1338"/>
        <v>2654.4147000000003</v>
      </c>
      <c r="CT180" s="24">
        <f t="shared" si="1338"/>
        <v>2754.4147000000003</v>
      </c>
      <c r="CU180" s="24">
        <f>+CT180+25</f>
        <v>2779.4147000000003</v>
      </c>
      <c r="CV180" s="24">
        <f t="shared" ref="CV180:DB180" si="1339">+CU180+25</f>
        <v>2804.4147000000003</v>
      </c>
      <c r="CW180" s="24">
        <f t="shared" si="1339"/>
        <v>2829.4147000000003</v>
      </c>
      <c r="CX180" s="24">
        <f t="shared" si="1339"/>
        <v>2854.4147000000003</v>
      </c>
      <c r="CY180" s="24">
        <f t="shared" si="1339"/>
        <v>2879.4147000000003</v>
      </c>
      <c r="CZ180" s="24">
        <f t="shared" si="1339"/>
        <v>2904.4147000000003</v>
      </c>
      <c r="DA180" s="24">
        <f t="shared" si="1339"/>
        <v>2929.4147000000003</v>
      </c>
      <c r="DB180" s="24">
        <f t="shared" si="1339"/>
        <v>2954.4147000000003</v>
      </c>
      <c r="DE180" s="123"/>
      <c r="DF180" s="23">
        <v>1491.1457</v>
      </c>
    </row>
    <row r="181" spans="1:110" s="23" customFormat="1" outlineLevel="1" x14ac:dyDescent="0.2">
      <c r="A181" s="23" t="s">
        <v>51</v>
      </c>
      <c r="B181" s="23">
        <f>'Annual Raw'!C63</f>
        <v>6.7231024000000001</v>
      </c>
      <c r="C181" s="23">
        <f>'Annual Raw'!D63</f>
        <v>7.9247135999999996</v>
      </c>
      <c r="D181" s="23">
        <f>'Annual Raw'!E63</f>
        <v>9.3806948999999999</v>
      </c>
      <c r="E181" s="23">
        <f>'Annual Raw'!F63</f>
        <v>12.9549013</v>
      </c>
      <c r="F181" s="23">
        <f>'Annual Raw'!G63</f>
        <v>15.711427199999999</v>
      </c>
      <c r="G181" s="23">
        <f>'Annual Raw'!H63</f>
        <v>18.923605800000001</v>
      </c>
      <c r="H181" s="23">
        <f>'Annual Raw'!I63</f>
        <v>22.694224699999999</v>
      </c>
      <c r="I181" s="23">
        <f>'Annual Raw'!J63</f>
        <v>27.1443893</v>
      </c>
      <c r="J181" s="23">
        <f>'Annual Raw'!K63</f>
        <v>32.003626599999997</v>
      </c>
      <c r="K181" s="23">
        <f>'Annual Raw'!L63</f>
        <v>38.878186900000003</v>
      </c>
      <c r="L181" s="23">
        <f>'Annual Raw'!M63</f>
        <v>47.099207900000003</v>
      </c>
      <c r="M181" s="23">
        <f>'Annual Raw'!N63</f>
        <v>57.231545500000003</v>
      </c>
      <c r="N181" s="23">
        <f>'Annual Raw'!O63</f>
        <v>69.608715900000007</v>
      </c>
      <c r="O181" s="23">
        <f>'Annual Raw'!P63</f>
        <v>90.461200000000005</v>
      </c>
      <c r="P181" s="23">
        <f>'Annual Raw'!Q63</f>
        <v>107.3180047</v>
      </c>
      <c r="Q181" s="23">
        <f>'Annual Raw'!R63</f>
        <v>128.09585580000001</v>
      </c>
      <c r="R181" s="23">
        <f>'Annual Raw'!S63</f>
        <v>136.26292169999999</v>
      </c>
      <c r="S181" s="23">
        <f>'Annual Raw'!T63</f>
        <v>163.04302910000001</v>
      </c>
      <c r="T181" s="23">
        <f>'Annual Raw'!U63</f>
        <v>182.13745349999999</v>
      </c>
      <c r="U181" s="23">
        <f>'Annual Raw'!V63</f>
        <v>213.39525420000001</v>
      </c>
      <c r="V181" s="23">
        <f>'Annual Raw'!W63</f>
        <v>246.65539999999999</v>
      </c>
      <c r="W181" s="23">
        <f>'Annual Raw'!X63</f>
        <v>285.65940000000001</v>
      </c>
      <c r="X181" s="23">
        <f>'Annual Raw'!Y63</f>
        <v>320.52069999999998</v>
      </c>
      <c r="Y181" s="23">
        <f>'Annual Raw'!Z63</f>
        <v>363.45119999999997</v>
      </c>
      <c r="Z181" s="23">
        <f>'Annual Raw'!AA63</f>
        <v>410.44170000000003</v>
      </c>
      <c r="AA181" s="23">
        <f>'Annual Raw'!AB63</f>
        <v>387.51220000000001</v>
      </c>
      <c r="AB181" s="24">
        <f t="shared" si="1333"/>
        <v>542.88071038253497</v>
      </c>
      <c r="AC181" s="24">
        <f t="shared" si="1334"/>
        <v>658.06188037355093</v>
      </c>
      <c r="AD181" s="24">
        <f t="shared" si="1335"/>
        <v>783.26875225484571</v>
      </c>
      <c r="AE181" s="24">
        <f t="shared" si="1336"/>
        <v>906.99690208362995</v>
      </c>
      <c r="AJ181" s="23">
        <f>+'QTR Raw'!D69</f>
        <v>0</v>
      </c>
      <c r="AL181" s="23">
        <f>+'QTR Raw'!F69</f>
        <v>0</v>
      </c>
      <c r="AN181" s="23">
        <f>+'QTR Raw'!H69</f>
        <v>0</v>
      </c>
      <c r="AP181" s="23">
        <f>+'QTR Raw'!J69</f>
        <v>0</v>
      </c>
      <c r="AR181" s="23">
        <f>+'QTR Raw'!L69</f>
        <v>0</v>
      </c>
      <c r="AT181" s="23">
        <f>+'QTR Raw'!N69</f>
        <v>0</v>
      </c>
      <c r="AV181" s="23">
        <f>+'QTR Raw'!P69</f>
        <v>0</v>
      </c>
      <c r="AX181" s="23">
        <f>+'QTR Raw'!R69</f>
        <v>0</v>
      </c>
      <c r="AZ181" s="23">
        <f>+'QTR Raw'!T69</f>
        <v>0</v>
      </c>
      <c r="BB181" s="23">
        <f>+'QTR Raw'!V69</f>
        <v>0</v>
      </c>
      <c r="BD181" s="23">
        <f>+'QTR Raw'!X69</f>
        <v>0</v>
      </c>
      <c r="BF181" s="23">
        <f>+'QTR Raw'!Z69</f>
        <v>0</v>
      </c>
      <c r="BH181" s="23">
        <f>+'QTR Raw'!AB69</f>
        <v>0</v>
      </c>
      <c r="BJ181" s="23">
        <f>+'QTR Raw'!AD69</f>
        <v>0</v>
      </c>
      <c r="BL181" s="23">
        <f>+'QTR Raw'!AF69</f>
        <v>0</v>
      </c>
      <c r="BN181" s="23">
        <f>+'QTR Raw'!AH69</f>
        <v>0</v>
      </c>
      <c r="BP181" s="23">
        <f>+'QTR Raw'!AJ69</f>
        <v>0</v>
      </c>
      <c r="BR181" s="23">
        <f>+'QTR Raw'!AL69</f>
        <v>0</v>
      </c>
      <c r="BT181" s="23">
        <f>+'QTR Raw'!AN69</f>
        <v>0</v>
      </c>
      <c r="BV181" s="23">
        <f>+'QTR Raw'!AP69</f>
        <v>0</v>
      </c>
      <c r="BX181" s="23">
        <f>+'QTR Raw'!AR69</f>
        <v>0</v>
      </c>
      <c r="BZ181" s="23">
        <f>+'QTR Raw'!AT69</f>
        <v>0</v>
      </c>
      <c r="CB181" s="23">
        <f>+'QTR Raw'!AV69</f>
        <v>0</v>
      </c>
      <c r="CD181" s="23">
        <f>+'QTR Raw'!AX69</f>
        <v>0</v>
      </c>
      <c r="CF181" s="23">
        <f>+'QTR Raw'!AZ69</f>
        <v>0</v>
      </c>
      <c r="CH181" s="23">
        <f t="shared" si="1337"/>
        <v>410.44170000000003</v>
      </c>
      <c r="CI181" s="23">
        <f t="shared" ref="CI181:DB181" si="1340">CH181+CI81</f>
        <v>424.41370000000001</v>
      </c>
      <c r="CJ181" s="23">
        <f t="shared" si="1340"/>
        <v>438.69470000000001</v>
      </c>
      <c r="CK181" s="23">
        <f t="shared" si="1340"/>
        <v>452.86770000000001</v>
      </c>
      <c r="CL181" s="23">
        <f t="shared" si="1340"/>
        <v>466.82069999999999</v>
      </c>
      <c r="CM181" s="24">
        <f t="shared" si="1340"/>
        <v>480.76450799939897</v>
      </c>
      <c r="CN181" s="24">
        <f t="shared" si="1340"/>
        <v>497.20865025126636</v>
      </c>
      <c r="CO181" s="24">
        <f t="shared" si="1340"/>
        <v>516.81674099749739</v>
      </c>
      <c r="CP181" s="24">
        <f t="shared" si="1340"/>
        <v>542.88071038253497</v>
      </c>
      <c r="CQ181" s="24">
        <f t="shared" si="1340"/>
        <v>570.05372022679694</v>
      </c>
      <c r="CR181" s="24">
        <f t="shared" si="1340"/>
        <v>598.31913492339504</v>
      </c>
      <c r="CS181" s="24">
        <f t="shared" si="1340"/>
        <v>627.6605683995441</v>
      </c>
      <c r="CT181" s="24">
        <f t="shared" si="1340"/>
        <v>658.06188037355093</v>
      </c>
      <c r="CU181" s="24">
        <f t="shared" si="1340"/>
        <v>689.50717266794766</v>
      </c>
      <c r="CV181" s="24">
        <f t="shared" si="1340"/>
        <v>720.85578557792849</v>
      </c>
      <c r="CW181" s="24">
        <f t="shared" si="1340"/>
        <v>752.10916929425957</v>
      </c>
      <c r="CX181" s="24">
        <f t="shared" si="1340"/>
        <v>783.26875225484571</v>
      </c>
      <c r="CY181" s="24">
        <f t="shared" si="1340"/>
        <v>814.33594147102303</v>
      </c>
      <c r="CZ181" s="24">
        <f t="shared" si="1340"/>
        <v>845.31212284895764</v>
      </c>
      <c r="DA181" s="24">
        <f t="shared" si="1340"/>
        <v>876.19866150622329</v>
      </c>
      <c r="DB181" s="24">
        <f t="shared" si="1340"/>
        <v>906.99690208362995</v>
      </c>
      <c r="DE181" s="123"/>
      <c r="DF181" s="23">
        <v>466.84983702490666</v>
      </c>
    </row>
    <row r="182" spans="1:110" s="23" customFormat="1" outlineLevel="1" x14ac:dyDescent="0.2">
      <c r="A182" s="23" t="s">
        <v>52</v>
      </c>
      <c r="B182" s="23">
        <f>'Annual Raw'!C64</f>
        <v>0</v>
      </c>
      <c r="C182" s="23">
        <f>'Annual Raw'!D64</f>
        <v>0</v>
      </c>
      <c r="D182" s="23">
        <f>'Annual Raw'!E64</f>
        <v>0</v>
      </c>
      <c r="E182" s="23">
        <f>'Annual Raw'!F64</f>
        <v>0</v>
      </c>
      <c r="F182" s="23">
        <f>'Annual Raw'!G64</f>
        <v>0</v>
      </c>
      <c r="G182" s="23">
        <f>'Annual Raw'!H64</f>
        <v>0</v>
      </c>
      <c r="H182" s="23">
        <f>'Annual Raw'!I64</f>
        <v>0</v>
      </c>
      <c r="I182" s="23">
        <f>'Annual Raw'!J64</f>
        <v>0</v>
      </c>
      <c r="J182" s="23">
        <f>'Annual Raw'!K64</f>
        <v>0</v>
      </c>
      <c r="K182" s="23">
        <f>'Annual Raw'!L64</f>
        <v>0</v>
      </c>
      <c r="L182" s="23">
        <f>'Annual Raw'!M64</f>
        <v>0</v>
      </c>
      <c r="M182" s="23">
        <f>'Annual Raw'!N64</f>
        <v>0</v>
      </c>
      <c r="N182" s="23">
        <f>'Annual Raw'!O64</f>
        <v>0</v>
      </c>
      <c r="O182" s="23">
        <f>'Annual Raw'!P64</f>
        <v>0</v>
      </c>
      <c r="P182" s="23">
        <f>'Annual Raw'!Q64</f>
        <v>0</v>
      </c>
      <c r="Q182" s="23">
        <f>'Annual Raw'!R64</f>
        <v>0</v>
      </c>
      <c r="R182" s="23">
        <f>'Annual Raw'!S64</f>
        <v>0</v>
      </c>
      <c r="S182" s="23">
        <f>'Annual Raw'!T64</f>
        <v>0</v>
      </c>
      <c r="T182" s="23">
        <f>'Annual Raw'!U64</f>
        <v>0</v>
      </c>
      <c r="U182" s="23">
        <f>'Annual Raw'!V64</f>
        <v>0</v>
      </c>
      <c r="V182" s="23">
        <f>'Annual Raw'!W64</f>
        <v>0</v>
      </c>
      <c r="W182" s="23">
        <f>'Annual Raw'!X64</f>
        <v>0</v>
      </c>
      <c r="X182" s="23">
        <f>'Annual Raw'!Y64</f>
        <v>0</v>
      </c>
      <c r="Y182" s="23">
        <f>'Annual Raw'!Z64</f>
        <v>0</v>
      </c>
      <c r="Z182" s="23">
        <f>'Annual Raw'!AA64</f>
        <v>0</v>
      </c>
      <c r="AA182" s="23">
        <f>'Annual Raw'!AB64</f>
        <v>0</v>
      </c>
      <c r="AB182" s="24">
        <f t="shared" si="1333"/>
        <v>0</v>
      </c>
      <c r="AC182" s="24">
        <f t="shared" si="1334"/>
        <v>0</v>
      </c>
      <c r="AD182" s="24">
        <f t="shared" si="1335"/>
        <v>0</v>
      </c>
      <c r="AE182" s="24">
        <f t="shared" si="1336"/>
        <v>0</v>
      </c>
      <c r="AJ182" s="23">
        <f>+'QTR Raw'!D70</f>
        <v>0</v>
      </c>
      <c r="AL182" s="23">
        <f>+'QTR Raw'!F70</f>
        <v>0</v>
      </c>
      <c r="AN182" s="23">
        <f>+'QTR Raw'!H70</f>
        <v>0</v>
      </c>
      <c r="AP182" s="23">
        <f>+'QTR Raw'!J70</f>
        <v>0</v>
      </c>
      <c r="AR182" s="23">
        <f>+'QTR Raw'!L70</f>
        <v>0</v>
      </c>
      <c r="AT182" s="23">
        <f>+'QTR Raw'!N70</f>
        <v>0</v>
      </c>
      <c r="AV182" s="23">
        <f>+'QTR Raw'!P70</f>
        <v>0</v>
      </c>
      <c r="AX182" s="23">
        <f>+'QTR Raw'!R70</f>
        <v>0</v>
      </c>
      <c r="AZ182" s="23">
        <f>+'QTR Raw'!T70</f>
        <v>0</v>
      </c>
      <c r="BB182" s="23">
        <f>+'QTR Raw'!V70</f>
        <v>0</v>
      </c>
      <c r="BD182" s="23">
        <f>+'QTR Raw'!X70</f>
        <v>0</v>
      </c>
      <c r="BF182" s="23">
        <f>+'QTR Raw'!Z70</f>
        <v>0</v>
      </c>
      <c r="BH182" s="23">
        <f>+'QTR Raw'!AB70</f>
        <v>0</v>
      </c>
      <c r="BJ182" s="23">
        <f>+'QTR Raw'!AD70</f>
        <v>0</v>
      </c>
      <c r="BL182" s="23">
        <f>+'QTR Raw'!AF70</f>
        <v>0</v>
      </c>
      <c r="BN182" s="23">
        <f>+'QTR Raw'!AH70</f>
        <v>0</v>
      </c>
      <c r="BP182" s="23">
        <f>+'QTR Raw'!AJ70</f>
        <v>0</v>
      </c>
      <c r="BR182" s="23">
        <f>+'QTR Raw'!AL70</f>
        <v>0</v>
      </c>
      <c r="BT182" s="23">
        <f>+'QTR Raw'!AN70</f>
        <v>0</v>
      </c>
      <c r="BV182" s="23">
        <f>+'QTR Raw'!AP70</f>
        <v>0</v>
      </c>
      <c r="BX182" s="23">
        <f>+'QTR Raw'!AR70</f>
        <v>0</v>
      </c>
      <c r="BZ182" s="23">
        <f>+'QTR Raw'!AT70</f>
        <v>0</v>
      </c>
      <c r="CB182" s="23">
        <f>+'QTR Raw'!AV70</f>
        <v>0</v>
      </c>
      <c r="CD182" s="23">
        <f>+'QTR Raw'!AX70</f>
        <v>0</v>
      </c>
      <c r="CF182" s="23">
        <f>+'QTR Raw'!AZ70</f>
        <v>0</v>
      </c>
      <c r="CH182" s="23">
        <f t="shared" si="1337"/>
        <v>0</v>
      </c>
      <c r="CI182" s="23">
        <f>CH182</f>
        <v>0</v>
      </c>
      <c r="CJ182" s="23">
        <f>+'QTR Raw'!BD70</f>
        <v>0</v>
      </c>
      <c r="CK182" s="23">
        <f t="shared" ref="CK182:DB182" si="1341">CJ182</f>
        <v>0</v>
      </c>
      <c r="CL182" s="23">
        <f>+'QTR Raw'!BF70</f>
        <v>0</v>
      </c>
      <c r="CM182" s="24">
        <f t="shared" si="1341"/>
        <v>0</v>
      </c>
      <c r="CN182" s="24">
        <f t="shared" si="1341"/>
        <v>0</v>
      </c>
      <c r="CO182" s="24">
        <f t="shared" si="1341"/>
        <v>0</v>
      </c>
      <c r="CP182" s="24">
        <f t="shared" si="1341"/>
        <v>0</v>
      </c>
      <c r="CQ182" s="24">
        <f t="shared" si="1341"/>
        <v>0</v>
      </c>
      <c r="CR182" s="24">
        <f t="shared" si="1341"/>
        <v>0</v>
      </c>
      <c r="CS182" s="24">
        <f t="shared" si="1341"/>
        <v>0</v>
      </c>
      <c r="CT182" s="24">
        <f t="shared" si="1341"/>
        <v>0</v>
      </c>
      <c r="CU182" s="24">
        <f t="shared" si="1341"/>
        <v>0</v>
      </c>
      <c r="CV182" s="24">
        <f t="shared" si="1341"/>
        <v>0</v>
      </c>
      <c r="CW182" s="24">
        <f t="shared" si="1341"/>
        <v>0</v>
      </c>
      <c r="CX182" s="24">
        <f t="shared" si="1341"/>
        <v>0</v>
      </c>
      <c r="CY182" s="24">
        <f t="shared" si="1341"/>
        <v>0</v>
      </c>
      <c r="CZ182" s="24">
        <f t="shared" si="1341"/>
        <v>0</v>
      </c>
      <c r="DA182" s="24">
        <f t="shared" si="1341"/>
        <v>0</v>
      </c>
      <c r="DB182" s="24">
        <f t="shared" si="1341"/>
        <v>0</v>
      </c>
      <c r="DE182" s="123"/>
      <c r="DF182" s="23">
        <v>0</v>
      </c>
    </row>
    <row r="183" spans="1:110" s="22" customFormat="1" outlineLevel="1" x14ac:dyDescent="0.2">
      <c r="A183" s="22" t="s">
        <v>53</v>
      </c>
      <c r="B183" s="22">
        <f>+B180-B181-B182</f>
        <v>16.393642499999999</v>
      </c>
      <c r="C183" s="22">
        <f t="shared" ref="C183:W183" si="1342">+C180-C181-C182</f>
        <v>18.0774878</v>
      </c>
      <c r="D183" s="22">
        <f t="shared" si="1342"/>
        <v>31.313343199999998</v>
      </c>
      <c r="E183" s="22">
        <f t="shared" si="1342"/>
        <v>41.723154899999997</v>
      </c>
      <c r="F183" s="22">
        <f t="shared" si="1342"/>
        <v>47.247202400000006</v>
      </c>
      <c r="G183" s="22">
        <f t="shared" si="1342"/>
        <v>55.504637699999989</v>
      </c>
      <c r="H183" s="22">
        <f t="shared" si="1342"/>
        <v>59.916003199999999</v>
      </c>
      <c r="I183" s="22">
        <f t="shared" si="1342"/>
        <v>71.124496699999995</v>
      </c>
      <c r="J183" s="22">
        <f t="shared" si="1342"/>
        <v>77.478906999999992</v>
      </c>
      <c r="K183" s="22">
        <f t="shared" si="1342"/>
        <v>120.74356539999999</v>
      </c>
      <c r="L183" s="22">
        <f t="shared" si="1342"/>
        <v>160.06305019999999</v>
      </c>
      <c r="M183" s="22">
        <f t="shared" si="1342"/>
        <v>195.99562469999998</v>
      </c>
      <c r="N183" s="22">
        <f t="shared" si="1342"/>
        <v>234.38481819999998</v>
      </c>
      <c r="O183" s="22">
        <f t="shared" si="1342"/>
        <v>325.38569999999999</v>
      </c>
      <c r="P183" s="22">
        <f t="shared" si="1342"/>
        <v>341.1050583</v>
      </c>
      <c r="Q183" s="22">
        <f t="shared" si="1342"/>
        <v>340.81500340000002</v>
      </c>
      <c r="R183" s="22">
        <f t="shared" si="1342"/>
        <v>325.48009059999998</v>
      </c>
      <c r="S183" s="22">
        <f t="shared" si="1342"/>
        <v>316.05770129999996</v>
      </c>
      <c r="T183" s="22">
        <f t="shared" si="1342"/>
        <v>319.74623990000003</v>
      </c>
      <c r="U183" s="22">
        <f t="shared" si="1342"/>
        <v>573.00097750000009</v>
      </c>
      <c r="V183" s="22">
        <f t="shared" si="1342"/>
        <v>542.91669999999999</v>
      </c>
      <c r="W183" s="22">
        <f t="shared" si="1342"/>
        <v>676.14829999999995</v>
      </c>
      <c r="X183" s="22">
        <f t="shared" ref="X183:Y183" si="1343">+X180-X181-X182</f>
        <v>775.28250000000003</v>
      </c>
      <c r="Y183" s="22">
        <f t="shared" si="1343"/>
        <v>891.0643</v>
      </c>
      <c r="Z183" s="22">
        <f t="shared" ref="Z183:AE183" si="1344">+Z180-Z181-Z182</f>
        <v>998.47589999999991</v>
      </c>
      <c r="AA183" s="22">
        <f t="shared" ref="AA183" si="1345">+AA180-AA181-AA182</f>
        <v>878.45300000000009</v>
      </c>
      <c r="AB183" s="21">
        <f t="shared" si="1344"/>
        <v>1811.5339896174653</v>
      </c>
      <c r="AC183" s="21">
        <f t="shared" si="1344"/>
        <v>2096.3528196264492</v>
      </c>
      <c r="AD183" s="21">
        <f t="shared" si="1344"/>
        <v>2071.1459477451544</v>
      </c>
      <c r="AE183" s="21">
        <f t="shared" si="1344"/>
        <v>2047.4177979163703</v>
      </c>
      <c r="AJ183" s="22">
        <f t="shared" ref="AJ183:AL183" si="1346">+AJ180-AJ181-AJ182</f>
        <v>190.18700000000001</v>
      </c>
      <c r="AK183" s="22">
        <f t="shared" ref="AK183:CE183" si="1347">+AJ183</f>
        <v>190.18700000000001</v>
      </c>
      <c r="AL183" s="22">
        <f t="shared" si="1346"/>
        <v>234.05</v>
      </c>
      <c r="AM183" s="22">
        <f t="shared" si="1347"/>
        <v>234.05</v>
      </c>
      <c r="AN183" s="22">
        <f t="shared" ref="AN183" si="1348">+AN180-AN181-AN182</f>
        <v>227.01900000000001</v>
      </c>
      <c r="AO183" s="22">
        <f t="shared" si="1347"/>
        <v>227.01900000000001</v>
      </c>
      <c r="AP183" s="22">
        <f t="shared" ref="AP183:CD183" si="1349">+AP180-AP181-AP182</f>
        <v>325.08</v>
      </c>
      <c r="AQ183" s="22">
        <f t="shared" si="1347"/>
        <v>325.08</v>
      </c>
      <c r="AR183" s="22">
        <f t="shared" si="1349"/>
        <v>320.7</v>
      </c>
      <c r="AS183" s="22">
        <f t="shared" si="1347"/>
        <v>320.7</v>
      </c>
      <c r="AT183" s="22">
        <f t="shared" si="1349"/>
        <v>341.10500000000002</v>
      </c>
      <c r="AU183" s="22">
        <f t="shared" si="1347"/>
        <v>341.10500000000002</v>
      </c>
      <c r="AV183" s="22">
        <f t="shared" si="1349"/>
        <v>312.673</v>
      </c>
      <c r="AW183" s="22">
        <f t="shared" si="1347"/>
        <v>312.673</v>
      </c>
      <c r="AX183" s="22">
        <f t="shared" si="1349"/>
        <v>340.815</v>
      </c>
      <c r="AY183" s="22">
        <f t="shared" si="1347"/>
        <v>340.815</v>
      </c>
      <c r="AZ183" s="22">
        <f t="shared" si="1349"/>
        <v>315.45600000000002</v>
      </c>
      <c r="BA183" s="22">
        <f t="shared" si="1347"/>
        <v>315.45600000000002</v>
      </c>
      <c r="BB183" s="22">
        <f t="shared" si="1349"/>
        <v>325.48</v>
      </c>
      <c r="BC183" s="22">
        <f t="shared" si="1347"/>
        <v>325.48</v>
      </c>
      <c r="BD183" s="22">
        <f t="shared" si="1349"/>
        <v>302.67099999999999</v>
      </c>
      <c r="BE183" s="22">
        <f t="shared" si="1347"/>
        <v>302.67099999999999</v>
      </c>
      <c r="BF183" s="22">
        <f t="shared" si="1349"/>
        <v>316.05799999999999</v>
      </c>
      <c r="BG183" s="22">
        <f t="shared" si="1347"/>
        <v>316.05799999999999</v>
      </c>
      <c r="BH183" s="22">
        <f t="shared" si="1349"/>
        <v>308.27699999999999</v>
      </c>
      <c r="BI183" s="22">
        <f t="shared" si="1347"/>
        <v>308.27699999999999</v>
      </c>
      <c r="BJ183" s="22">
        <f t="shared" si="1349"/>
        <v>319.74599999999998</v>
      </c>
      <c r="BK183" s="22">
        <f t="shared" si="1347"/>
        <v>319.74599999999998</v>
      </c>
      <c r="BL183" s="22">
        <f t="shared" si="1349"/>
        <v>583.649</v>
      </c>
      <c r="BM183" s="22">
        <f t="shared" si="1347"/>
        <v>583.649</v>
      </c>
      <c r="BN183" s="22">
        <f t="shared" si="1349"/>
        <v>573.00099999999998</v>
      </c>
      <c r="BO183" s="22">
        <f t="shared" si="1347"/>
        <v>573.00099999999998</v>
      </c>
      <c r="BP183" s="22">
        <f t="shared" si="1349"/>
        <v>556.74800000000005</v>
      </c>
      <c r="BQ183" s="22">
        <f t="shared" si="1347"/>
        <v>556.74800000000005</v>
      </c>
      <c r="BR183" s="22">
        <f t="shared" si="1349"/>
        <v>542.91700000000003</v>
      </c>
      <c r="BS183" s="22">
        <f t="shared" si="1347"/>
        <v>542.91700000000003</v>
      </c>
      <c r="BT183" s="22">
        <f t="shared" si="1349"/>
        <v>665.34299999999996</v>
      </c>
      <c r="BU183" s="22">
        <f t="shared" si="1347"/>
        <v>665.34299999999996</v>
      </c>
      <c r="BV183" s="22">
        <f t="shared" si="1349"/>
        <v>676.14800000000002</v>
      </c>
      <c r="BW183" s="22">
        <f t="shared" si="1347"/>
        <v>676.14800000000002</v>
      </c>
      <c r="BX183" s="22">
        <f t="shared" si="1349"/>
        <v>784.1</v>
      </c>
      <c r="BY183" s="22">
        <f t="shared" si="1347"/>
        <v>784.1</v>
      </c>
      <c r="BZ183" s="22">
        <f t="shared" si="1349"/>
        <v>775.28300000000002</v>
      </c>
      <c r="CA183" s="22">
        <f t="shared" si="1347"/>
        <v>775.28300000000002</v>
      </c>
      <c r="CB183" s="22">
        <f t="shared" si="1349"/>
        <v>765.97199999999998</v>
      </c>
      <c r="CC183" s="22">
        <f t="shared" si="1347"/>
        <v>765.97199999999998</v>
      </c>
      <c r="CD183" s="22">
        <f t="shared" si="1349"/>
        <v>892.98</v>
      </c>
      <c r="CE183" s="22">
        <f t="shared" si="1347"/>
        <v>892.98</v>
      </c>
      <c r="CF183" s="22">
        <f t="shared" ref="CF183:CI183" si="1350">+CF180-CF181-CF182</f>
        <v>882.33699999999999</v>
      </c>
      <c r="CG183" s="22">
        <f t="shared" ref="CG183:CI186" si="1351">+CF183</f>
        <v>882.33699999999999</v>
      </c>
      <c r="CH183" s="22">
        <f t="shared" si="1350"/>
        <v>998.47589999999991</v>
      </c>
      <c r="CI183" s="22">
        <f t="shared" si="1350"/>
        <v>984.50389999999993</v>
      </c>
      <c r="CJ183" s="23">
        <f>+'QTR Raw'!BD68</f>
        <v>1052.451</v>
      </c>
      <c r="CK183" s="23">
        <f t="shared" ref="CK183:DB183" si="1352">+CK180-CK181-CK182</f>
        <v>1038.278</v>
      </c>
      <c r="CL183" s="23">
        <f>+'QTR Raw'!BF68</f>
        <v>1037.5940000000001</v>
      </c>
      <c r="CM183" s="21">
        <f t="shared" si="1352"/>
        <v>1223.650192000601</v>
      </c>
      <c r="CN183" s="21">
        <f t="shared" si="1352"/>
        <v>1307.2060497487337</v>
      </c>
      <c r="CO183" s="21">
        <f t="shared" si="1352"/>
        <v>1737.5979590025029</v>
      </c>
      <c r="CP183" s="21">
        <f t="shared" si="1352"/>
        <v>1811.5339896174653</v>
      </c>
      <c r="CQ183" s="21">
        <f t="shared" si="1352"/>
        <v>1884.3609797732033</v>
      </c>
      <c r="CR183" s="21">
        <f t="shared" si="1352"/>
        <v>1956.0955650766052</v>
      </c>
      <c r="CS183" s="21">
        <f t="shared" si="1352"/>
        <v>2026.7541316004563</v>
      </c>
      <c r="CT183" s="21">
        <f t="shared" si="1352"/>
        <v>2096.3528196264492</v>
      </c>
      <c r="CU183" s="21">
        <f t="shared" si="1352"/>
        <v>2089.9075273320527</v>
      </c>
      <c r="CV183" s="21">
        <f t="shared" si="1352"/>
        <v>2083.5589144220717</v>
      </c>
      <c r="CW183" s="21">
        <f t="shared" si="1352"/>
        <v>2077.3055307057407</v>
      </c>
      <c r="CX183" s="21">
        <f t="shared" si="1352"/>
        <v>2071.1459477451544</v>
      </c>
      <c r="CY183" s="21">
        <f t="shared" si="1352"/>
        <v>2065.0787585289772</v>
      </c>
      <c r="CZ183" s="21">
        <f t="shared" si="1352"/>
        <v>2059.1025771510426</v>
      </c>
      <c r="DA183" s="21">
        <f t="shared" si="1352"/>
        <v>2053.216038493777</v>
      </c>
      <c r="DB183" s="21">
        <f t="shared" si="1352"/>
        <v>2047.4177979163703</v>
      </c>
      <c r="DE183" s="126"/>
      <c r="DF183" s="22">
        <v>1024.2958629750933</v>
      </c>
    </row>
    <row r="184" spans="1:110" s="23" customFormat="1" outlineLevel="1" x14ac:dyDescent="0.2">
      <c r="A184" s="23" t="s">
        <v>54</v>
      </c>
      <c r="B184" s="23">
        <f>'Annual Raw'!C86</f>
        <v>0</v>
      </c>
      <c r="C184" s="23">
        <f>'Annual Raw'!D86</f>
        <v>0</v>
      </c>
      <c r="D184" s="23">
        <f>'Annual Raw'!E86</f>
        <v>0</v>
      </c>
      <c r="E184" s="23">
        <f>'Annual Raw'!F86</f>
        <v>1.1536941999999999</v>
      </c>
      <c r="F184" s="23">
        <f>'Annual Raw'!G86</f>
        <v>1.1536941999999999</v>
      </c>
      <c r="G184" s="23">
        <f>'Annual Raw'!H86</f>
        <v>0.92295539999999998</v>
      </c>
      <c r="H184" s="23">
        <f>'Annual Raw'!I86</f>
        <v>0</v>
      </c>
      <c r="I184" s="23">
        <f>'Annual Raw'!J86</f>
        <v>0</v>
      </c>
      <c r="J184" s="23">
        <f>'Annual Raw'!K86</f>
        <v>0</v>
      </c>
      <c r="K184" s="23">
        <f>'Annual Raw'!L86</f>
        <v>0</v>
      </c>
      <c r="L184" s="23">
        <f>'Annual Raw'!M86</f>
        <v>0</v>
      </c>
      <c r="M184" s="23">
        <f>'Annual Raw'!N86</f>
        <v>0</v>
      </c>
      <c r="N184" s="23">
        <f>'Annual Raw'!O86</f>
        <v>0</v>
      </c>
      <c r="O184" s="23">
        <f>'Annual Raw'!P86</f>
        <v>0</v>
      </c>
      <c r="P184" s="23">
        <f>'Annual Raw'!Q86</f>
        <v>0</v>
      </c>
      <c r="Q184" s="23">
        <f>'Annual Raw'!R86</f>
        <v>0</v>
      </c>
      <c r="R184" s="23">
        <f>'Annual Raw'!S86</f>
        <v>0</v>
      </c>
      <c r="S184" s="23">
        <f>'Annual Raw'!T86</f>
        <v>0</v>
      </c>
      <c r="T184" s="23">
        <f>'Annual Raw'!U86</f>
        <v>0</v>
      </c>
      <c r="U184" s="23">
        <f>'Annual Raw'!V86</f>
        <v>0</v>
      </c>
      <c r="V184" s="23">
        <f>'Annual Raw'!W86</f>
        <v>0</v>
      </c>
      <c r="W184" s="23">
        <f>'Annual Raw'!X86</f>
        <v>0</v>
      </c>
      <c r="X184" s="23">
        <f>'Annual Raw'!Y86</f>
        <v>0</v>
      </c>
      <c r="Y184" s="23">
        <f>'Annual Raw'!Z86</f>
        <v>0</v>
      </c>
      <c r="Z184" s="23">
        <f>'Annual Raw'!AA86</f>
        <v>0</v>
      </c>
      <c r="AA184" s="23">
        <f>'Annual Raw'!AB86</f>
        <v>0</v>
      </c>
      <c r="AB184" s="24">
        <f t="shared" si="1333"/>
        <v>0</v>
      </c>
      <c r="AC184" s="24">
        <f t="shared" si="1334"/>
        <v>0</v>
      </c>
      <c r="AD184" s="24">
        <f t="shared" si="1335"/>
        <v>0</v>
      </c>
      <c r="AE184" s="24">
        <f t="shared" si="1336"/>
        <v>0</v>
      </c>
      <c r="AJ184" s="23">
        <f>+'QTR Raw'!D72</f>
        <v>0</v>
      </c>
      <c r="AK184" s="23">
        <f>+AJ184</f>
        <v>0</v>
      </c>
      <c r="AL184" s="23">
        <f>+'QTR Raw'!F72</f>
        <v>0</v>
      </c>
      <c r="AM184" s="23">
        <f t="shared" ref="AK184:CE186" si="1353">+AL184</f>
        <v>0</v>
      </c>
      <c r="AN184" s="23">
        <f>+'QTR Raw'!H72</f>
        <v>0</v>
      </c>
      <c r="AO184" s="23">
        <f t="shared" si="1353"/>
        <v>0</v>
      </c>
      <c r="AP184" s="23">
        <f>+'QTR Raw'!J72</f>
        <v>0</v>
      </c>
      <c r="AQ184" s="23">
        <f t="shared" si="1353"/>
        <v>0</v>
      </c>
      <c r="AR184" s="23">
        <f>+'QTR Raw'!L72</f>
        <v>0</v>
      </c>
      <c r="AS184" s="23">
        <f t="shared" si="1353"/>
        <v>0</v>
      </c>
      <c r="AT184" s="23">
        <f>+'QTR Raw'!N72</f>
        <v>0</v>
      </c>
      <c r="AU184" s="23">
        <f t="shared" si="1353"/>
        <v>0</v>
      </c>
      <c r="AV184" s="23">
        <f>+'QTR Raw'!P72</f>
        <v>0</v>
      </c>
      <c r="AW184" s="23">
        <f t="shared" si="1353"/>
        <v>0</v>
      </c>
      <c r="AX184" s="23">
        <f>+'QTR Raw'!R72</f>
        <v>0</v>
      </c>
      <c r="AY184" s="23">
        <f t="shared" si="1353"/>
        <v>0</v>
      </c>
      <c r="AZ184" s="23">
        <f>+'QTR Raw'!T72</f>
        <v>0</v>
      </c>
      <c r="BA184" s="23">
        <f t="shared" si="1353"/>
        <v>0</v>
      </c>
      <c r="BB184" s="23">
        <f>+'QTR Raw'!V72</f>
        <v>0</v>
      </c>
      <c r="BC184" s="23">
        <f t="shared" si="1353"/>
        <v>0</v>
      </c>
      <c r="BD184" s="23">
        <f>+'QTR Raw'!X72</f>
        <v>0</v>
      </c>
      <c r="BE184" s="23">
        <f t="shared" si="1353"/>
        <v>0</v>
      </c>
      <c r="BF184" s="23">
        <f>+'QTR Raw'!Z72</f>
        <v>0</v>
      </c>
      <c r="BG184" s="23">
        <f t="shared" si="1353"/>
        <v>0</v>
      </c>
      <c r="BH184" s="23">
        <f>+'QTR Raw'!AB72</f>
        <v>0</v>
      </c>
      <c r="BI184" s="23">
        <f t="shared" si="1353"/>
        <v>0</v>
      </c>
      <c r="BJ184" s="23">
        <f>+'QTR Raw'!AD72</f>
        <v>0</v>
      </c>
      <c r="BK184" s="23">
        <f t="shared" si="1353"/>
        <v>0</v>
      </c>
      <c r="BL184" s="23">
        <f>+'QTR Raw'!AF72</f>
        <v>0</v>
      </c>
      <c r="BM184" s="23">
        <f t="shared" si="1353"/>
        <v>0</v>
      </c>
      <c r="BN184" s="23">
        <f>+'QTR Raw'!AH72</f>
        <v>0</v>
      </c>
      <c r="BO184" s="23">
        <f t="shared" si="1353"/>
        <v>0</v>
      </c>
      <c r="BP184" s="23">
        <f>+'QTR Raw'!AJ72</f>
        <v>0</v>
      </c>
      <c r="BQ184" s="23">
        <f t="shared" si="1353"/>
        <v>0</v>
      </c>
      <c r="BR184" s="23">
        <f>+'QTR Raw'!AL72</f>
        <v>0</v>
      </c>
      <c r="BS184" s="23">
        <f t="shared" si="1353"/>
        <v>0</v>
      </c>
      <c r="BT184" s="23">
        <f>+'QTR Raw'!AN72</f>
        <v>0</v>
      </c>
      <c r="BU184" s="23">
        <f t="shared" si="1353"/>
        <v>0</v>
      </c>
      <c r="BV184" s="23">
        <f>+'QTR Raw'!AP72</f>
        <v>0</v>
      </c>
      <c r="BW184" s="23">
        <f t="shared" si="1353"/>
        <v>0</v>
      </c>
      <c r="BX184" s="23">
        <f>+'QTR Raw'!AR72</f>
        <v>0</v>
      </c>
      <c r="BY184" s="23">
        <f t="shared" si="1353"/>
        <v>0</v>
      </c>
      <c r="BZ184" s="23">
        <f>+'QTR Raw'!AT72</f>
        <v>0</v>
      </c>
      <c r="CA184" s="23">
        <f t="shared" si="1353"/>
        <v>0</v>
      </c>
      <c r="CB184" s="23">
        <f>+'QTR Raw'!AV72</f>
        <v>0</v>
      </c>
      <c r="CC184" s="23">
        <f t="shared" si="1353"/>
        <v>0</v>
      </c>
      <c r="CD184" s="23">
        <f>+'QTR Raw'!AX72</f>
        <v>0</v>
      </c>
      <c r="CE184" s="23">
        <f t="shared" si="1353"/>
        <v>0</v>
      </c>
      <c r="CF184" s="23">
        <f>+'QTR Raw'!AZ72</f>
        <v>0</v>
      </c>
      <c r="CG184" s="23">
        <f t="shared" si="1351"/>
        <v>0</v>
      </c>
      <c r="CH184" s="23">
        <f t="shared" si="1337"/>
        <v>0</v>
      </c>
      <c r="CI184" s="23">
        <f t="shared" si="1351"/>
        <v>0</v>
      </c>
      <c r="CJ184" s="23">
        <f>+'QTR Raw'!BD72</f>
        <v>0</v>
      </c>
      <c r="CK184" s="23">
        <f t="shared" ref="CK184:CK186" si="1354">+CJ184</f>
        <v>0</v>
      </c>
      <c r="CL184" s="23">
        <f>+'QTR Raw'!BF72</f>
        <v>0</v>
      </c>
      <c r="CM184" s="24">
        <f t="shared" ref="CM184:CM185" si="1355">+CL184</f>
        <v>0</v>
      </c>
      <c r="CN184" s="24">
        <f t="shared" ref="CN184:CN185" si="1356">+CM184</f>
        <v>0</v>
      </c>
      <c r="CO184" s="24">
        <f t="shared" ref="CO184:CO185" si="1357">+CN184</f>
        <v>0</v>
      </c>
      <c r="CP184" s="24">
        <f t="shared" ref="CP184:CP185" si="1358">+CO184</f>
        <v>0</v>
      </c>
      <c r="CQ184" s="24">
        <f t="shared" ref="CQ184:CQ186" si="1359">+CP184</f>
        <v>0</v>
      </c>
      <c r="CR184" s="24">
        <f t="shared" ref="CR184:CR186" si="1360">+CQ184</f>
        <v>0</v>
      </c>
      <c r="CS184" s="24">
        <f t="shared" ref="CS184:CS186" si="1361">+CR184</f>
        <v>0</v>
      </c>
      <c r="CT184" s="24">
        <f t="shared" ref="CT184:CT186" si="1362">+CS184</f>
        <v>0</v>
      </c>
      <c r="CU184" s="24">
        <f t="shared" ref="CU184:CU186" si="1363">+CT184</f>
        <v>0</v>
      </c>
      <c r="CV184" s="24">
        <f t="shared" ref="CV184:CV186" si="1364">+CU184</f>
        <v>0</v>
      </c>
      <c r="CW184" s="24">
        <f t="shared" ref="CW184:CW186" si="1365">+CV184</f>
        <v>0</v>
      </c>
      <c r="CX184" s="24">
        <f t="shared" ref="CX184:CX186" si="1366">+CW184</f>
        <v>0</v>
      </c>
      <c r="CY184" s="24">
        <f t="shared" ref="CY184:CY186" si="1367">+CX184</f>
        <v>0</v>
      </c>
      <c r="CZ184" s="24">
        <f t="shared" ref="CZ184:CZ186" si="1368">+CY184</f>
        <v>0</v>
      </c>
      <c r="DA184" s="24">
        <f t="shared" ref="DA184:DA186" si="1369">+CZ184</f>
        <v>0</v>
      </c>
      <c r="DB184" s="24">
        <f t="shared" ref="DB184:DB186" si="1370">+DA184</f>
        <v>0</v>
      </c>
      <c r="DE184" s="123"/>
      <c r="DF184" s="23">
        <v>0</v>
      </c>
    </row>
    <row r="185" spans="1:110" s="23" customFormat="1" outlineLevel="1" x14ac:dyDescent="0.2">
      <c r="A185" s="23" t="s">
        <v>55</v>
      </c>
      <c r="B185" s="23">
        <f>'Annual Raw'!C68</f>
        <v>0</v>
      </c>
      <c r="C185" s="23">
        <f>'Annual Raw'!D68</f>
        <v>0</v>
      </c>
      <c r="D185" s="23">
        <f>'Annual Raw'!E68</f>
        <v>0</v>
      </c>
      <c r="E185" s="23">
        <f>'Annual Raw'!F68</f>
        <v>0</v>
      </c>
      <c r="F185" s="23">
        <f>'Annual Raw'!G68</f>
        <v>0</v>
      </c>
      <c r="G185" s="23">
        <f>'Annual Raw'!H68</f>
        <v>0</v>
      </c>
      <c r="H185" s="23">
        <f>'Annual Raw'!I68</f>
        <v>0</v>
      </c>
      <c r="I185" s="23">
        <f>'Annual Raw'!J68</f>
        <v>0</v>
      </c>
      <c r="J185" s="23">
        <f>'Annual Raw'!K68</f>
        <v>0</v>
      </c>
      <c r="K185" s="23">
        <f>'Annual Raw'!L68</f>
        <v>0</v>
      </c>
      <c r="L185" s="23">
        <f>'Annual Raw'!M68</f>
        <v>0</v>
      </c>
      <c r="M185" s="23">
        <f>'Annual Raw'!N68</f>
        <v>0</v>
      </c>
      <c r="N185" s="23">
        <f>'Annual Raw'!O68</f>
        <v>0</v>
      </c>
      <c r="O185" s="23">
        <f>'Annual Raw'!P68</f>
        <v>0</v>
      </c>
      <c r="P185" s="23">
        <f>'Annual Raw'!Q68</f>
        <v>0</v>
      </c>
      <c r="Q185" s="23">
        <f>'Annual Raw'!R68</f>
        <v>0</v>
      </c>
      <c r="R185" s="23">
        <f>'Annual Raw'!S68</f>
        <v>0</v>
      </c>
      <c r="S185" s="23">
        <f>'Annual Raw'!T68</f>
        <v>0</v>
      </c>
      <c r="T185" s="23">
        <f>'Annual Raw'!U68</f>
        <v>0</v>
      </c>
      <c r="U185" s="23">
        <f>'Annual Raw'!V68</f>
        <v>0</v>
      </c>
      <c r="V185" s="23">
        <f>'Annual Raw'!W68</f>
        <v>0</v>
      </c>
      <c r="W185" s="23">
        <f>'Annual Raw'!X68</f>
        <v>0</v>
      </c>
      <c r="X185" s="23">
        <f>'Annual Raw'!Y68</f>
        <v>0</v>
      </c>
      <c r="Y185" s="23">
        <f>'Annual Raw'!Z68</f>
        <v>1.9158999999999999</v>
      </c>
      <c r="Z185" s="23">
        <f>'Annual Raw'!AA68</f>
        <v>3.1699000000000002</v>
      </c>
      <c r="AA185" s="23">
        <f>'Annual Raw'!AB68</f>
        <v>0</v>
      </c>
      <c r="AB185" s="24">
        <f t="shared" si="1333"/>
        <v>0</v>
      </c>
      <c r="AC185" s="24">
        <f t="shared" si="1334"/>
        <v>0</v>
      </c>
      <c r="AD185" s="24">
        <f t="shared" si="1335"/>
        <v>0</v>
      </c>
      <c r="AE185" s="24">
        <f t="shared" si="1336"/>
        <v>0</v>
      </c>
      <c r="AK185" s="23">
        <f t="shared" si="1353"/>
        <v>0</v>
      </c>
      <c r="AM185" s="23">
        <f t="shared" si="1353"/>
        <v>0</v>
      </c>
      <c r="AO185" s="23">
        <f t="shared" si="1353"/>
        <v>0</v>
      </c>
      <c r="AQ185" s="23">
        <f t="shared" si="1353"/>
        <v>0</v>
      </c>
      <c r="AS185" s="23">
        <f t="shared" si="1353"/>
        <v>0</v>
      </c>
      <c r="AU185" s="23">
        <f t="shared" si="1353"/>
        <v>0</v>
      </c>
      <c r="AW185" s="23">
        <f t="shared" si="1353"/>
        <v>0</v>
      </c>
      <c r="AY185" s="23">
        <f t="shared" si="1353"/>
        <v>0</v>
      </c>
      <c r="BA185" s="23">
        <f t="shared" si="1353"/>
        <v>0</v>
      </c>
      <c r="BC185" s="23">
        <f t="shared" si="1353"/>
        <v>0</v>
      </c>
      <c r="BE185" s="23">
        <f t="shared" si="1353"/>
        <v>0</v>
      </c>
      <c r="BG185" s="23">
        <f t="shared" si="1353"/>
        <v>0</v>
      </c>
      <c r="BI185" s="23">
        <f t="shared" si="1353"/>
        <v>0</v>
      </c>
      <c r="BK185" s="23">
        <f t="shared" si="1353"/>
        <v>0</v>
      </c>
      <c r="BM185" s="23">
        <f t="shared" si="1353"/>
        <v>0</v>
      </c>
      <c r="BO185" s="23">
        <f t="shared" si="1353"/>
        <v>0</v>
      </c>
      <c r="BQ185" s="23">
        <f t="shared" si="1353"/>
        <v>0</v>
      </c>
      <c r="BS185" s="23">
        <f t="shared" si="1353"/>
        <v>0</v>
      </c>
      <c r="BU185" s="23">
        <f t="shared" si="1353"/>
        <v>0</v>
      </c>
      <c r="BW185" s="23">
        <f t="shared" si="1353"/>
        <v>0</v>
      </c>
      <c r="BY185" s="23">
        <f t="shared" si="1353"/>
        <v>0</v>
      </c>
      <c r="CA185" s="23">
        <f t="shared" si="1353"/>
        <v>0</v>
      </c>
      <c r="CC185" s="23">
        <f t="shared" si="1353"/>
        <v>0</v>
      </c>
      <c r="CE185" s="23">
        <f t="shared" si="1353"/>
        <v>0</v>
      </c>
      <c r="CG185" s="23">
        <f t="shared" si="1351"/>
        <v>0</v>
      </c>
      <c r="CH185" s="23">
        <f t="shared" si="1337"/>
        <v>3.1699000000000002</v>
      </c>
      <c r="CI185" s="23">
        <f t="shared" si="1351"/>
        <v>3.1699000000000002</v>
      </c>
      <c r="CK185" s="23">
        <f t="shared" si="1354"/>
        <v>0</v>
      </c>
      <c r="CM185" s="24">
        <f t="shared" si="1355"/>
        <v>0</v>
      </c>
      <c r="CN185" s="24">
        <f t="shared" si="1356"/>
        <v>0</v>
      </c>
      <c r="CO185" s="24">
        <f t="shared" si="1357"/>
        <v>0</v>
      </c>
      <c r="CP185" s="24">
        <f t="shared" si="1358"/>
        <v>0</v>
      </c>
      <c r="CQ185" s="24">
        <f t="shared" si="1359"/>
        <v>0</v>
      </c>
      <c r="CR185" s="24">
        <f t="shared" si="1360"/>
        <v>0</v>
      </c>
      <c r="CS185" s="24">
        <f t="shared" si="1361"/>
        <v>0</v>
      </c>
      <c r="CT185" s="24">
        <f t="shared" si="1362"/>
        <v>0</v>
      </c>
      <c r="CU185" s="24">
        <f t="shared" si="1363"/>
        <v>0</v>
      </c>
      <c r="CV185" s="24">
        <f t="shared" si="1364"/>
        <v>0</v>
      </c>
      <c r="CW185" s="24">
        <f t="shared" si="1365"/>
        <v>0</v>
      </c>
      <c r="CX185" s="24">
        <f t="shared" si="1366"/>
        <v>0</v>
      </c>
      <c r="CY185" s="24">
        <f t="shared" si="1367"/>
        <v>0</v>
      </c>
      <c r="CZ185" s="24">
        <f t="shared" si="1368"/>
        <v>0</v>
      </c>
      <c r="DA185" s="24">
        <f t="shared" si="1369"/>
        <v>0</v>
      </c>
      <c r="DB185" s="24">
        <f t="shared" si="1370"/>
        <v>0</v>
      </c>
      <c r="DE185" s="123"/>
      <c r="DF185" s="23">
        <v>0</v>
      </c>
    </row>
    <row r="186" spans="1:110" s="23" customFormat="1" outlineLevel="1" x14ac:dyDescent="0.2">
      <c r="A186" s="23" t="s">
        <v>56</v>
      </c>
      <c r="B186" s="23">
        <f>'Annual Raw'!C67+'Annual Raw'!C66+'Annual Raw'!C69+'Annual Raw'!C70</f>
        <v>5.7112999999999999E-3</v>
      </c>
      <c r="C186" s="23">
        <f>'Annual Raw'!D67+'Annual Raw'!D66+'Annual Raw'!D69+'Annual Raw'!D70</f>
        <v>2.9525032000000002</v>
      </c>
      <c r="D186" s="23">
        <f>'Annual Raw'!E67+'Annual Raw'!E66+'Annual Raw'!E69+'Annual Raw'!E70</f>
        <v>0</v>
      </c>
      <c r="E186" s="23">
        <f>'Annual Raw'!F67+'Annual Raw'!F66+'Annual Raw'!F69+'Annual Raw'!F70</f>
        <v>0</v>
      </c>
      <c r="F186" s="23">
        <f>'Annual Raw'!G67+'Annual Raw'!G66+'Annual Raw'!G69+'Annual Raw'!G70</f>
        <v>0</v>
      </c>
      <c r="G186" s="23">
        <f>'Annual Raw'!H67+'Annual Raw'!H66+'Annual Raw'!H69+'Annual Raw'!H70</f>
        <v>0.38868979999999997</v>
      </c>
      <c r="H186" s="23">
        <f>'Annual Raw'!I67+'Annual Raw'!I66+'Annual Raw'!I69+'Annual Raw'!I70</f>
        <v>0</v>
      </c>
      <c r="I186" s="23">
        <f>'Annual Raw'!J67+'Annual Raw'!J66+'Annual Raw'!J69+'Annual Raw'!J70</f>
        <v>5.6979835000000003</v>
      </c>
      <c r="J186" s="23">
        <f>'Annual Raw'!K67+'Annual Raw'!K66+'Annual Raw'!K69+'Annual Raw'!K70</f>
        <v>35.729158200000001</v>
      </c>
      <c r="K186" s="23">
        <f>'Annual Raw'!L67+'Annual Raw'!L66+'Annual Raw'!L69+'Annual Raw'!L70</f>
        <v>2.3585617999999999</v>
      </c>
      <c r="L186" s="23">
        <f>'Annual Raw'!M67+'Annual Raw'!M66+'Annual Raw'!M69+'Annual Raw'!M70</f>
        <v>11.8386759</v>
      </c>
      <c r="M186" s="23">
        <f>'Annual Raw'!N67+'Annual Raw'!N66+'Annual Raw'!N69+'Annual Raw'!N70</f>
        <v>24.665779100000002</v>
      </c>
      <c r="N186" s="23">
        <f>'Annual Raw'!O67+'Annual Raw'!O66+'Annual Raw'!O69+'Annual Raw'!O70</f>
        <v>62.922728999999997</v>
      </c>
      <c r="O186" s="23">
        <f>'Annual Raw'!P67+'Annual Raw'!P66+'Annual Raw'!P69+'Annual Raw'!P70</f>
        <v>8.1179000000000006</v>
      </c>
      <c r="P186" s="23">
        <f>'Annual Raw'!Q67+'Annual Raw'!Q66+'Annual Raw'!Q69+'Annual Raw'!Q70</f>
        <v>3.3208814000000002</v>
      </c>
      <c r="Q186" s="23">
        <f>'Annual Raw'!R67+'Annual Raw'!R66+'Annual Raw'!R69+'Annual Raw'!R70</f>
        <v>16.261209300000001</v>
      </c>
      <c r="R186" s="23">
        <f>'Annual Raw'!S67+'Annual Raw'!S66+'Annual Raw'!S69+'Annual Raw'!S70</f>
        <v>25.083374299999999</v>
      </c>
      <c r="S186" s="23">
        <f>'Annual Raw'!T67+'Annual Raw'!T66+'Annual Raw'!T69+'Annual Raw'!T70</f>
        <v>123.12967570000001</v>
      </c>
      <c r="T186" s="23">
        <f>'Annual Raw'!U67+'Annual Raw'!U66+'Annual Raw'!U69+'Annual Raw'!U70</f>
        <v>269.460014</v>
      </c>
      <c r="U186" s="23">
        <f>'Annual Raw'!V67+'Annual Raw'!V66+'Annual Raw'!V69+'Annual Raw'!V70</f>
        <v>46.266736600000002</v>
      </c>
      <c r="V186" s="23">
        <f>'Annual Raw'!W67+'Annual Raw'!W66+'Annual Raw'!W69+'Annual Raw'!W70</f>
        <v>173.2757</v>
      </c>
      <c r="W186" s="23">
        <f>'Annual Raw'!X67+'Annual Raw'!X66+'Annual Raw'!X69+'Annual Raw'!X70</f>
        <v>145.95400000000001</v>
      </c>
      <c r="X186" s="23">
        <f>'Annual Raw'!Y67+'Annual Raw'!Y66+'Annual Raw'!Y69+'Annual Raw'!Y70</f>
        <v>118.4499</v>
      </c>
      <c r="Y186" s="23">
        <f>'Annual Raw'!Z67+'Annual Raw'!Z66+'Annual Raw'!Z69+'Annual Raw'!Z70</f>
        <v>207.60899999999998</v>
      </c>
      <c r="Z186" s="23">
        <f>'Annual Raw'!AA67+'Annual Raw'!AA66+'Annual Raw'!AA69+'Annual Raw'!AA70</f>
        <v>239.13849999999999</v>
      </c>
      <c r="AA186" s="23">
        <f>'Annual Raw'!AB67+'Annual Raw'!AB66+'Annual Raw'!AB69+'Annual Raw'!AB70</f>
        <v>207.37780000000001</v>
      </c>
      <c r="AB186" s="24">
        <f t="shared" si="1333"/>
        <v>0</v>
      </c>
      <c r="AC186" s="24">
        <f t="shared" si="1334"/>
        <v>0</v>
      </c>
      <c r="AD186" s="24">
        <f t="shared" si="1335"/>
        <v>0</v>
      </c>
      <c r="AE186" s="24">
        <f t="shared" si="1336"/>
        <v>0</v>
      </c>
      <c r="AJ186" s="23">
        <f>+'QTR Raw'!D74+'QTR Raw'!D75</f>
        <v>51.76</v>
      </c>
      <c r="AK186" s="23">
        <f t="shared" si="1353"/>
        <v>51.76</v>
      </c>
      <c r="AL186" s="23">
        <f>+'QTR Raw'!F74+'QTR Raw'!F75</f>
        <v>62.923000000000002</v>
      </c>
      <c r="AM186" s="23">
        <f t="shared" si="1353"/>
        <v>62.923000000000002</v>
      </c>
      <c r="AN186" s="23">
        <f>+'QTR Raw'!H74+'QTR Raw'!H75</f>
        <v>93.805000000000007</v>
      </c>
      <c r="AO186" s="23">
        <f t="shared" si="1353"/>
        <v>93.805000000000007</v>
      </c>
      <c r="AP186" s="23">
        <f>+'QTR Raw'!J74+'QTR Raw'!J75</f>
        <v>8.1199999999999992</v>
      </c>
      <c r="AQ186" s="23">
        <f t="shared" si="1353"/>
        <v>8.1199999999999992</v>
      </c>
      <c r="AR186" s="23">
        <f>+'QTR Raw'!L74+'QTR Raw'!L75</f>
        <v>8.43</v>
      </c>
      <c r="AS186" s="23">
        <f t="shared" si="1353"/>
        <v>8.43</v>
      </c>
      <c r="AT186" s="23">
        <f>+'QTR Raw'!N74+'QTR Raw'!N75</f>
        <v>3.3210000000000002</v>
      </c>
      <c r="AU186" s="23">
        <f t="shared" si="1353"/>
        <v>3.3210000000000002</v>
      </c>
      <c r="AV186" s="23">
        <f>+'QTR Raw'!P74+'QTR Raw'!P75</f>
        <v>7.2930000000000001</v>
      </c>
      <c r="AW186" s="23">
        <f t="shared" si="1353"/>
        <v>7.2930000000000001</v>
      </c>
      <c r="AX186" s="23">
        <f>+'QTR Raw'!R74+'QTR Raw'!R75</f>
        <v>16.260999999999999</v>
      </c>
      <c r="AY186" s="23">
        <f t="shared" si="1353"/>
        <v>16.260999999999999</v>
      </c>
      <c r="AZ186" s="23">
        <f>+'QTR Raw'!T74+'QTR Raw'!T75</f>
        <v>16.759</v>
      </c>
      <c r="BA186" s="23">
        <f t="shared" si="1353"/>
        <v>16.759</v>
      </c>
      <c r="BB186" s="23">
        <f>+'QTR Raw'!V74+'QTR Raw'!V75</f>
        <v>25.082999999999998</v>
      </c>
      <c r="BC186" s="23">
        <f t="shared" si="1353"/>
        <v>25.082999999999998</v>
      </c>
      <c r="BD186" s="23">
        <f>+'QTR Raw'!X74+'QTR Raw'!X75</f>
        <v>43.661000000000001</v>
      </c>
      <c r="BE186" s="23">
        <f t="shared" si="1353"/>
        <v>43.661000000000001</v>
      </c>
      <c r="BF186" s="23">
        <f>+'QTR Raw'!Z74+'QTR Raw'!Z75</f>
        <v>123.13</v>
      </c>
      <c r="BG186" s="23">
        <f t="shared" si="1353"/>
        <v>123.13</v>
      </c>
      <c r="BH186" s="23">
        <f>+'QTR Raw'!AB74+'QTR Raw'!AB75</f>
        <v>74.471000000000004</v>
      </c>
      <c r="BI186" s="23">
        <f t="shared" si="1353"/>
        <v>74.471000000000004</v>
      </c>
      <c r="BJ186" s="23">
        <f>+'QTR Raw'!AD74+'QTR Raw'!AD75</f>
        <v>269.45999999999998</v>
      </c>
      <c r="BK186" s="23">
        <f t="shared" si="1353"/>
        <v>269.45999999999998</v>
      </c>
      <c r="BL186" s="23">
        <f>+'QTR Raw'!AF74+'QTR Raw'!AF75</f>
        <v>22.003</v>
      </c>
      <c r="BM186" s="23">
        <f t="shared" si="1353"/>
        <v>22.003</v>
      </c>
      <c r="BN186" s="23">
        <f>+'QTR Raw'!AH74+'QTR Raw'!AH75</f>
        <v>46.267000000000003</v>
      </c>
      <c r="BO186" s="23">
        <f t="shared" si="1353"/>
        <v>46.267000000000003</v>
      </c>
      <c r="BP186" s="23">
        <f>+'QTR Raw'!AJ74+'QTR Raw'!AJ75</f>
        <v>98.65</v>
      </c>
      <c r="BQ186" s="23">
        <f t="shared" si="1353"/>
        <v>98.65</v>
      </c>
      <c r="BR186" s="23">
        <f>+'QTR Raw'!AL74+'QTR Raw'!AL75</f>
        <v>173.27600000000001</v>
      </c>
      <c r="BS186" s="23">
        <f t="shared" si="1353"/>
        <v>173.27600000000001</v>
      </c>
      <c r="BT186" s="23">
        <f>+'QTR Raw'!AN74+'QTR Raw'!AN75</f>
        <v>79.207999999999998</v>
      </c>
      <c r="BU186" s="23">
        <f t="shared" si="1353"/>
        <v>79.207999999999998</v>
      </c>
      <c r="BV186" s="23">
        <f>+'QTR Raw'!AP74+'QTR Raw'!AP75</f>
        <v>140.93600000000001</v>
      </c>
      <c r="BW186" s="23">
        <f t="shared" si="1353"/>
        <v>140.93600000000001</v>
      </c>
      <c r="BX186" s="23">
        <f>+'QTR Raw'!AR74+'QTR Raw'!AR75</f>
        <v>34.831000000000003</v>
      </c>
      <c r="BY186" s="23">
        <f t="shared" si="1353"/>
        <v>34.831000000000003</v>
      </c>
      <c r="BZ186" s="23">
        <f>+'QTR Raw'!AT74+'QTR Raw'!AT75</f>
        <v>113.23</v>
      </c>
      <c r="CA186" s="23">
        <f t="shared" si="1353"/>
        <v>113.23</v>
      </c>
      <c r="CB186" s="23">
        <f>+'QTR Raw'!AV74+'QTR Raw'!AV75</f>
        <v>195.50700000000001</v>
      </c>
      <c r="CC186" s="23">
        <f t="shared" si="1353"/>
        <v>195.50700000000001</v>
      </c>
      <c r="CD186" s="23">
        <f>+'QTR Raw'!AX74+'QTR Raw'!AX75</f>
        <v>202.59399999999999</v>
      </c>
      <c r="CE186" s="23">
        <f t="shared" si="1353"/>
        <v>202.59399999999999</v>
      </c>
      <c r="CF186" s="23">
        <f>+'QTR Raw'!AZ74+'QTR Raw'!AZ75</f>
        <v>283.11200000000002</v>
      </c>
      <c r="CG186" s="23">
        <f t="shared" si="1351"/>
        <v>283.11200000000002</v>
      </c>
      <c r="CH186" s="23">
        <f t="shared" si="1337"/>
        <v>239.13849999999999</v>
      </c>
      <c r="CI186" s="23">
        <f t="shared" si="1351"/>
        <v>239.13849999999999</v>
      </c>
      <c r="CJ186" s="23">
        <f>+'QTR Raw'!BD74+'QTR Raw'!BD75</f>
        <v>339.23399999999998</v>
      </c>
      <c r="CK186" s="23">
        <f t="shared" si="1354"/>
        <v>339.23399999999998</v>
      </c>
      <c r="CL186" s="23">
        <f>+'QTR Raw'!BF74+'QTR Raw'!BF75</f>
        <v>512.029</v>
      </c>
      <c r="CM186" s="24">
        <v>100</v>
      </c>
      <c r="CN186" s="24">
        <f>CM186+70</f>
        <v>170</v>
      </c>
      <c r="CO186" s="24">
        <v>0</v>
      </c>
      <c r="CP186" s="24"/>
      <c r="CQ186" s="24">
        <f t="shared" si="1359"/>
        <v>0</v>
      </c>
      <c r="CR186" s="24">
        <f t="shared" si="1360"/>
        <v>0</v>
      </c>
      <c r="CS186" s="24">
        <f t="shared" si="1361"/>
        <v>0</v>
      </c>
      <c r="CT186" s="24">
        <f t="shared" si="1362"/>
        <v>0</v>
      </c>
      <c r="CU186" s="24">
        <f t="shared" si="1363"/>
        <v>0</v>
      </c>
      <c r="CV186" s="24">
        <f t="shared" si="1364"/>
        <v>0</v>
      </c>
      <c r="CW186" s="24">
        <f t="shared" si="1365"/>
        <v>0</v>
      </c>
      <c r="CX186" s="24">
        <f t="shared" si="1366"/>
        <v>0</v>
      </c>
      <c r="CY186" s="24">
        <f t="shared" si="1367"/>
        <v>0</v>
      </c>
      <c r="CZ186" s="24">
        <f t="shared" si="1368"/>
        <v>0</v>
      </c>
      <c r="DA186" s="24">
        <f t="shared" si="1369"/>
        <v>0</v>
      </c>
      <c r="DB186" s="24">
        <f t="shared" si="1370"/>
        <v>0</v>
      </c>
      <c r="DE186" s="123"/>
      <c r="DF186" s="23">
        <v>339.23399999999998</v>
      </c>
    </row>
    <row r="187" spans="1:110" s="22" customFormat="1" x14ac:dyDescent="0.2">
      <c r="A187" s="22" t="s">
        <v>57</v>
      </c>
      <c r="B187" s="22">
        <f>B183+B186+B185</f>
        <v>16.3993538</v>
      </c>
      <c r="C187" s="22">
        <f t="shared" ref="C187:D187" si="1371">C183+C186+C185</f>
        <v>21.029990999999999</v>
      </c>
      <c r="D187" s="22">
        <f t="shared" si="1371"/>
        <v>31.313343199999998</v>
      </c>
      <c r="E187" s="22">
        <f t="shared" ref="E187:Y187" si="1372">E183+E186+E185+E184</f>
        <v>42.876849099999994</v>
      </c>
      <c r="F187" s="22">
        <f t="shared" si="1372"/>
        <v>48.400896600000003</v>
      </c>
      <c r="G187" s="22">
        <f t="shared" si="1372"/>
        <v>56.81628289999999</v>
      </c>
      <c r="H187" s="22">
        <f t="shared" si="1372"/>
        <v>59.916003199999999</v>
      </c>
      <c r="I187" s="22">
        <f t="shared" si="1372"/>
        <v>76.822480200000001</v>
      </c>
      <c r="J187" s="22">
        <f t="shared" si="1372"/>
        <v>113.20806519999999</v>
      </c>
      <c r="K187" s="22">
        <f t="shared" si="1372"/>
        <v>123.1021272</v>
      </c>
      <c r="L187" s="22">
        <f t="shared" si="1372"/>
        <v>171.90172609999999</v>
      </c>
      <c r="M187" s="22">
        <f t="shared" si="1372"/>
        <v>220.66140379999999</v>
      </c>
      <c r="N187" s="22">
        <f t="shared" si="1372"/>
        <v>297.30754719999999</v>
      </c>
      <c r="O187" s="22">
        <f t="shared" si="1372"/>
        <v>333.50360000000001</v>
      </c>
      <c r="P187" s="22">
        <f t="shared" si="1372"/>
        <v>344.42593970000001</v>
      </c>
      <c r="Q187" s="22">
        <f t="shared" si="1372"/>
        <v>357.07621270000004</v>
      </c>
      <c r="R187" s="22">
        <f t="shared" si="1372"/>
        <v>350.56346489999999</v>
      </c>
      <c r="S187" s="22">
        <f t="shared" si="1372"/>
        <v>439.18737699999997</v>
      </c>
      <c r="T187" s="22">
        <f t="shared" si="1372"/>
        <v>589.20625390000009</v>
      </c>
      <c r="U187" s="22">
        <f t="shared" si="1372"/>
        <v>619.26771410000015</v>
      </c>
      <c r="V187" s="22">
        <f t="shared" si="1372"/>
        <v>716.19240000000002</v>
      </c>
      <c r="W187" s="22">
        <f t="shared" si="1372"/>
        <v>822.10230000000001</v>
      </c>
      <c r="X187" s="22">
        <f t="shared" si="1372"/>
        <v>893.73239999999998</v>
      </c>
      <c r="Y187" s="22">
        <f t="shared" si="1372"/>
        <v>1100.5891999999999</v>
      </c>
      <c r="Z187" s="22">
        <f>Z183+Z186+Z185+Z184</f>
        <v>1240.7843</v>
      </c>
      <c r="AA187" s="22">
        <f>AA183+AA186+AA185+AA184</f>
        <v>1085.8308000000002</v>
      </c>
      <c r="AB187" s="21">
        <f t="shared" ref="AB187:AE187" si="1373">AB183+AB186+AB185+AB184</f>
        <v>1811.5339896174653</v>
      </c>
      <c r="AC187" s="21">
        <f t="shared" si="1373"/>
        <v>2096.3528196264492</v>
      </c>
      <c r="AD187" s="21">
        <f t="shared" si="1373"/>
        <v>2071.1459477451544</v>
      </c>
      <c r="AE187" s="21">
        <f t="shared" si="1373"/>
        <v>2047.4177979163703</v>
      </c>
      <c r="AJ187" s="22">
        <f t="shared" ref="AJ187" si="1374">AJ183+AJ186+AJ184+AJ185</f>
        <v>241.947</v>
      </c>
      <c r="AK187" s="22">
        <f t="shared" ref="AK187" si="1375">AK183+AK186+AK184+AK185</f>
        <v>241.947</v>
      </c>
      <c r="AL187" s="22">
        <f t="shared" ref="AL187:AM187" si="1376">AL183+AL186+AL184+AL185</f>
        <v>296.97300000000001</v>
      </c>
      <c r="AM187" s="22">
        <f t="shared" si="1376"/>
        <v>296.97300000000001</v>
      </c>
      <c r="AN187" s="22">
        <f t="shared" ref="AN187:AO187" si="1377">AN183+AN186+AN184+AN185</f>
        <v>320.82400000000001</v>
      </c>
      <c r="AO187" s="22">
        <f t="shared" si="1377"/>
        <v>320.82400000000001</v>
      </c>
      <c r="AP187" s="22">
        <f t="shared" ref="AP187:CE187" si="1378">AP183+AP186+AP184+AP185</f>
        <v>333.2</v>
      </c>
      <c r="AQ187" s="22">
        <f t="shared" si="1378"/>
        <v>333.2</v>
      </c>
      <c r="AR187" s="22">
        <f t="shared" si="1378"/>
        <v>329.13</v>
      </c>
      <c r="AS187" s="22">
        <f t="shared" si="1378"/>
        <v>329.13</v>
      </c>
      <c r="AT187" s="22">
        <f t="shared" si="1378"/>
        <v>344.42600000000004</v>
      </c>
      <c r="AU187" s="22">
        <f t="shared" si="1378"/>
        <v>344.42600000000004</v>
      </c>
      <c r="AV187" s="22">
        <f t="shared" si="1378"/>
        <v>319.96600000000001</v>
      </c>
      <c r="AW187" s="22">
        <f t="shared" si="1378"/>
        <v>319.96600000000001</v>
      </c>
      <c r="AX187" s="22">
        <f t="shared" si="1378"/>
        <v>357.07600000000002</v>
      </c>
      <c r="AY187" s="22">
        <f t="shared" si="1378"/>
        <v>357.07600000000002</v>
      </c>
      <c r="AZ187" s="22">
        <f t="shared" si="1378"/>
        <v>332.21500000000003</v>
      </c>
      <c r="BA187" s="22">
        <f t="shared" si="1378"/>
        <v>332.21500000000003</v>
      </c>
      <c r="BB187" s="22">
        <f t="shared" si="1378"/>
        <v>350.56299999999999</v>
      </c>
      <c r="BC187" s="22">
        <f t="shared" si="1378"/>
        <v>350.56299999999999</v>
      </c>
      <c r="BD187" s="22">
        <f t="shared" si="1378"/>
        <v>346.33199999999999</v>
      </c>
      <c r="BE187" s="22">
        <f t="shared" si="1378"/>
        <v>346.33199999999999</v>
      </c>
      <c r="BF187" s="22">
        <f t="shared" si="1378"/>
        <v>439.18799999999999</v>
      </c>
      <c r="BG187" s="22">
        <f t="shared" si="1378"/>
        <v>439.18799999999999</v>
      </c>
      <c r="BH187" s="22">
        <f t="shared" si="1378"/>
        <v>382.74799999999999</v>
      </c>
      <c r="BI187" s="22">
        <f t="shared" si="1378"/>
        <v>382.74799999999999</v>
      </c>
      <c r="BJ187" s="22">
        <f t="shared" si="1378"/>
        <v>589.2059999999999</v>
      </c>
      <c r="BK187" s="22">
        <f t="shared" si="1378"/>
        <v>589.2059999999999</v>
      </c>
      <c r="BL187" s="22">
        <f t="shared" si="1378"/>
        <v>605.65200000000004</v>
      </c>
      <c r="BM187" s="22">
        <f t="shared" si="1378"/>
        <v>605.65200000000004</v>
      </c>
      <c r="BN187" s="22">
        <f t="shared" si="1378"/>
        <v>619.26800000000003</v>
      </c>
      <c r="BO187" s="22">
        <f t="shared" si="1378"/>
        <v>619.26800000000003</v>
      </c>
      <c r="BP187" s="22">
        <f t="shared" si="1378"/>
        <v>655.39800000000002</v>
      </c>
      <c r="BQ187" s="22">
        <f t="shared" si="1378"/>
        <v>655.39800000000002</v>
      </c>
      <c r="BR187" s="22">
        <f t="shared" si="1378"/>
        <v>716.19299999999998</v>
      </c>
      <c r="BS187" s="22">
        <f t="shared" si="1378"/>
        <v>716.19299999999998</v>
      </c>
      <c r="BT187" s="22">
        <f t="shared" si="1378"/>
        <v>744.55099999999993</v>
      </c>
      <c r="BU187" s="22">
        <f t="shared" si="1378"/>
        <v>744.55099999999993</v>
      </c>
      <c r="BV187" s="22">
        <f t="shared" si="1378"/>
        <v>817.08400000000006</v>
      </c>
      <c r="BW187" s="22">
        <f t="shared" si="1378"/>
        <v>817.08400000000006</v>
      </c>
      <c r="BX187" s="22">
        <f t="shared" si="1378"/>
        <v>818.93100000000004</v>
      </c>
      <c r="BY187" s="22">
        <f t="shared" si="1378"/>
        <v>818.93100000000004</v>
      </c>
      <c r="BZ187" s="22">
        <f t="shared" si="1378"/>
        <v>888.51300000000003</v>
      </c>
      <c r="CA187" s="22">
        <f t="shared" si="1378"/>
        <v>888.51300000000003</v>
      </c>
      <c r="CB187" s="22">
        <f t="shared" si="1378"/>
        <v>961.47900000000004</v>
      </c>
      <c r="CC187" s="22">
        <f t="shared" si="1378"/>
        <v>961.47900000000004</v>
      </c>
      <c r="CD187" s="22">
        <f t="shared" si="1378"/>
        <v>1095.5740000000001</v>
      </c>
      <c r="CE187" s="22">
        <f t="shared" si="1378"/>
        <v>1095.5740000000001</v>
      </c>
      <c r="CF187" s="22">
        <f t="shared" ref="CF187:CG187" si="1379">CF183+CF186+CF184+CF185</f>
        <v>1165.4490000000001</v>
      </c>
      <c r="CG187" s="22">
        <f t="shared" si="1379"/>
        <v>1165.4490000000001</v>
      </c>
      <c r="CH187" s="22">
        <f t="shared" ref="CH187:CJ187" si="1380">CH183+CH186+CH184+CH185</f>
        <v>1240.7843</v>
      </c>
      <c r="CI187" s="22">
        <f t="shared" si="1380"/>
        <v>1226.8123000000001</v>
      </c>
      <c r="CJ187" s="22">
        <f t="shared" si="1380"/>
        <v>1391.6849999999999</v>
      </c>
      <c r="CK187" s="22">
        <f t="shared" ref="CK187:DB187" si="1381">CK183+CK186+CK184+CK185</f>
        <v>1377.5119999999999</v>
      </c>
      <c r="CL187" s="22">
        <f t="shared" si="1381"/>
        <v>1549.623</v>
      </c>
      <c r="CM187" s="21">
        <f t="shared" si="1381"/>
        <v>1323.650192000601</v>
      </c>
      <c r="CN187" s="21">
        <f t="shared" si="1381"/>
        <v>1477.2060497487337</v>
      </c>
      <c r="CO187" s="21">
        <f t="shared" si="1381"/>
        <v>1737.5979590025029</v>
      </c>
      <c r="CP187" s="21">
        <f t="shared" si="1381"/>
        <v>1811.5339896174653</v>
      </c>
      <c r="CQ187" s="21">
        <f t="shared" si="1381"/>
        <v>1884.3609797732033</v>
      </c>
      <c r="CR187" s="21">
        <f t="shared" si="1381"/>
        <v>1956.0955650766052</v>
      </c>
      <c r="CS187" s="21">
        <f t="shared" si="1381"/>
        <v>2026.7541316004563</v>
      </c>
      <c r="CT187" s="21">
        <f t="shared" si="1381"/>
        <v>2096.3528196264492</v>
      </c>
      <c r="CU187" s="21">
        <f t="shared" si="1381"/>
        <v>2089.9075273320527</v>
      </c>
      <c r="CV187" s="21">
        <f t="shared" si="1381"/>
        <v>2083.5589144220717</v>
      </c>
      <c r="CW187" s="21">
        <f t="shared" si="1381"/>
        <v>2077.3055307057407</v>
      </c>
      <c r="CX187" s="21">
        <f t="shared" si="1381"/>
        <v>2071.1459477451544</v>
      </c>
      <c r="CY187" s="21">
        <f t="shared" si="1381"/>
        <v>2065.0787585289772</v>
      </c>
      <c r="CZ187" s="21">
        <f t="shared" si="1381"/>
        <v>2059.1025771510426</v>
      </c>
      <c r="DA187" s="21">
        <f t="shared" si="1381"/>
        <v>2053.216038493777</v>
      </c>
      <c r="DB187" s="21">
        <f t="shared" si="1381"/>
        <v>2047.4177979163703</v>
      </c>
      <c r="DE187" s="126"/>
      <c r="DF187" s="22">
        <v>1363.5298629750932</v>
      </c>
    </row>
    <row r="188" spans="1:110" s="23" customFormat="1" x14ac:dyDescent="0.2"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</row>
    <row r="189" spans="1:110" s="23" customFormat="1" x14ac:dyDescent="0.2">
      <c r="A189" s="23" t="s">
        <v>58</v>
      </c>
      <c r="B189" s="23">
        <f>'Annual Raw'!C71</f>
        <v>9.0197000000000003E-3</v>
      </c>
      <c r="C189" s="23">
        <f>'Annual Raw'!D71</f>
        <v>9.0197000000000003E-3</v>
      </c>
      <c r="D189" s="23">
        <f>'Annual Raw'!E71</f>
        <v>8.1539700000000007E-2</v>
      </c>
      <c r="E189" s="23">
        <f>'Annual Raw'!F71</f>
        <v>2.9619699999999999E-2</v>
      </c>
      <c r="F189" s="23">
        <f>'Annual Raw'!G71</f>
        <v>2.71197E-2</v>
      </c>
      <c r="G189" s="23">
        <f>'Annual Raw'!H71</f>
        <v>2.71197E-2</v>
      </c>
      <c r="H189" s="23">
        <f>'Annual Raw'!I71</f>
        <v>0.32711970000000001</v>
      </c>
      <c r="I189" s="23">
        <f>'Annual Raw'!J71</f>
        <v>0.62711969999999995</v>
      </c>
      <c r="J189" s="23">
        <f>'Annual Raw'!K71</f>
        <v>3.5971196999999999</v>
      </c>
      <c r="K189" s="23">
        <f>'Annual Raw'!L71</f>
        <v>3.7050000000000001</v>
      </c>
      <c r="L189" s="23">
        <f>'Annual Raw'!M71</f>
        <v>4.0149999999999997</v>
      </c>
      <c r="M189" s="23">
        <f>'Annual Raw'!N71</f>
        <v>4.0149999999999997</v>
      </c>
      <c r="N189" s="23">
        <f>'Annual Raw'!O71</f>
        <v>1.4999999999999999E-2</v>
      </c>
      <c r="O189" s="23">
        <f>'Annual Raw'!P71</f>
        <v>1.4999999999999999E-2</v>
      </c>
      <c r="P189" s="23">
        <f>'Annual Raw'!Q71</f>
        <v>1.4999999999999999E-2</v>
      </c>
      <c r="Q189" s="23">
        <f>'Annual Raw'!R71</f>
        <v>1.4999999999999999E-2</v>
      </c>
      <c r="R189" s="23">
        <f>'Annual Raw'!S71</f>
        <v>0</v>
      </c>
      <c r="S189" s="23">
        <f>'Annual Raw'!T71</f>
        <v>0</v>
      </c>
      <c r="T189" s="23">
        <f>'Annual Raw'!U71</f>
        <v>0</v>
      </c>
      <c r="U189" s="23">
        <f>'Annual Raw'!V71</f>
        <v>0</v>
      </c>
      <c r="V189" s="23">
        <f>'Annual Raw'!W71</f>
        <v>0</v>
      </c>
      <c r="W189" s="23">
        <f>'Annual Raw'!X71</f>
        <v>1E-3</v>
      </c>
      <c r="X189" s="23">
        <f>'Annual Raw'!Y71</f>
        <v>1E-3</v>
      </c>
      <c r="Y189" s="23">
        <f>'Annual Raw'!Z71</f>
        <v>1E-3</v>
      </c>
      <c r="Z189" s="23">
        <f>'Annual Raw'!AA71</f>
        <v>1E-3</v>
      </c>
      <c r="AA189" s="23">
        <f>'Annual Raw'!AB71</f>
        <v>66.001000000000005</v>
      </c>
      <c r="AB189" s="24">
        <f>+CP189</f>
        <v>4.6040000000000001</v>
      </c>
      <c r="AC189" s="24">
        <f>+CT189</f>
        <v>4.6040000000000001</v>
      </c>
      <c r="AD189" s="24">
        <f>+CX189</f>
        <v>4.6040000000000001</v>
      </c>
      <c r="AE189" s="24">
        <f>+DB189</f>
        <v>4.6040000000000001</v>
      </c>
      <c r="AJ189" s="23">
        <f>+'QTR Raw'!D77</f>
        <v>20.652999999999999</v>
      </c>
      <c r="AK189" s="23">
        <f t="shared" ref="AK189:CE189" si="1382">+AJ189</f>
        <v>20.652999999999999</v>
      </c>
      <c r="AL189" s="23">
        <f>+'QTR Raw'!F77</f>
        <v>0.71</v>
      </c>
      <c r="AM189" s="23">
        <f t="shared" si="1382"/>
        <v>0.71</v>
      </c>
      <c r="AN189" s="23">
        <f>+'QTR Raw'!H77</f>
        <v>0.71299999999999997</v>
      </c>
      <c r="AO189" s="23">
        <f t="shared" si="1382"/>
        <v>0.71299999999999997</v>
      </c>
      <c r="AP189" s="23">
        <f>+'QTR Raw'!J77</f>
        <v>0.71</v>
      </c>
      <c r="AQ189" s="23">
        <f t="shared" si="1382"/>
        <v>0.71</v>
      </c>
      <c r="AR189" s="23">
        <f>+'QTR Raw'!L77</f>
        <v>0.71</v>
      </c>
      <c r="AS189" s="23">
        <f t="shared" si="1382"/>
        <v>0.71</v>
      </c>
      <c r="AT189" s="23">
        <f>+'QTR Raw'!N77</f>
        <v>1.4999999999999999E-2</v>
      </c>
      <c r="AU189" s="23">
        <f t="shared" si="1382"/>
        <v>1.4999999999999999E-2</v>
      </c>
      <c r="AV189" s="23">
        <f>+'QTR Raw'!P77</f>
        <v>0.71299999999999997</v>
      </c>
      <c r="AW189" s="23">
        <f t="shared" si="1382"/>
        <v>0.71299999999999997</v>
      </c>
      <c r="AX189" s="23">
        <f>+'QTR Raw'!R77</f>
        <v>1.4999999999999999E-2</v>
      </c>
      <c r="AY189" s="23">
        <f t="shared" si="1382"/>
        <v>1.4999999999999999E-2</v>
      </c>
      <c r="AZ189" s="23">
        <f>+'QTR Raw'!T77</f>
        <v>30.152999999999999</v>
      </c>
      <c r="BA189" s="23">
        <f t="shared" si="1382"/>
        <v>30.152999999999999</v>
      </c>
      <c r="BB189" s="23">
        <f>+'QTR Raw'!V77</f>
        <v>0</v>
      </c>
      <c r="BC189" s="23">
        <f t="shared" si="1382"/>
        <v>0</v>
      </c>
      <c r="BD189" s="23">
        <f>+'QTR Raw'!X77</f>
        <v>30.148</v>
      </c>
      <c r="BE189" s="23">
        <f t="shared" si="1382"/>
        <v>30.148</v>
      </c>
      <c r="BF189" s="23">
        <f>+'QTR Raw'!Z77</f>
        <v>0</v>
      </c>
      <c r="BG189" s="23">
        <f t="shared" si="1382"/>
        <v>0</v>
      </c>
      <c r="BH189" s="23">
        <f>+'QTR Raw'!AB77</f>
        <v>66</v>
      </c>
      <c r="BI189" s="23">
        <f t="shared" si="1382"/>
        <v>66</v>
      </c>
      <c r="BJ189" s="23">
        <f>+'QTR Raw'!AD77</f>
        <v>0</v>
      </c>
      <c r="BK189" s="23">
        <f t="shared" si="1382"/>
        <v>0</v>
      </c>
      <c r="BL189" s="23">
        <f>+'QTR Raw'!AF77</f>
        <v>0</v>
      </c>
      <c r="BM189" s="23">
        <f t="shared" si="1382"/>
        <v>0</v>
      </c>
      <c r="BN189" s="23">
        <f>+'QTR Raw'!AH77</f>
        <v>0</v>
      </c>
      <c r="BO189" s="23">
        <f t="shared" si="1382"/>
        <v>0</v>
      </c>
      <c r="BP189" s="23">
        <f>+'QTR Raw'!AJ77</f>
        <v>0</v>
      </c>
      <c r="BQ189" s="23">
        <f t="shared" si="1382"/>
        <v>0</v>
      </c>
      <c r="BR189" s="23">
        <f>+'QTR Raw'!AL77</f>
        <v>0</v>
      </c>
      <c r="BS189" s="23">
        <f t="shared" si="1382"/>
        <v>0</v>
      </c>
      <c r="BT189" s="23">
        <f>+'QTR Raw'!AN77</f>
        <v>0</v>
      </c>
      <c r="BU189" s="23">
        <f t="shared" si="1382"/>
        <v>0</v>
      </c>
      <c r="BV189" s="23">
        <f>+'QTR Raw'!AP77</f>
        <v>5.0190000000000001</v>
      </c>
      <c r="BW189" s="23">
        <f t="shared" si="1382"/>
        <v>5.0190000000000001</v>
      </c>
      <c r="BX189" s="23">
        <f>+'QTR Raw'!AR77</f>
        <v>1E-3</v>
      </c>
      <c r="BY189" s="23">
        <f t="shared" si="1382"/>
        <v>1E-3</v>
      </c>
      <c r="BZ189" s="23">
        <f>+'QTR Raw'!AT77</f>
        <v>5.2210000000000001</v>
      </c>
      <c r="CA189" s="23">
        <f t="shared" si="1382"/>
        <v>5.2210000000000001</v>
      </c>
      <c r="CB189" s="23">
        <f>+'QTR Raw'!AV77</f>
        <v>5.1189999999999998</v>
      </c>
      <c r="CC189" s="23">
        <f t="shared" si="1382"/>
        <v>5.1189999999999998</v>
      </c>
      <c r="CD189" s="23">
        <f>+'QTR Raw'!AX77</f>
        <v>5.016</v>
      </c>
      <c r="CE189" s="23">
        <f t="shared" si="1382"/>
        <v>5.016</v>
      </c>
      <c r="CF189" s="23">
        <f>+'QTR Raw'!AZ77</f>
        <v>4.9130000000000003</v>
      </c>
      <c r="CG189" s="23">
        <f t="shared" ref="CG189:CI191" si="1383">+CF189</f>
        <v>4.9130000000000003</v>
      </c>
      <c r="CH189" s="23">
        <f t="shared" ref="CH189:CH203" si="1384">Z189</f>
        <v>1E-3</v>
      </c>
      <c r="CI189" s="23">
        <f t="shared" si="1383"/>
        <v>1E-3</v>
      </c>
      <c r="CJ189" s="23">
        <f>+'QTR Raw'!BD77</f>
        <v>4.7069999999999999</v>
      </c>
      <c r="CK189" s="23">
        <f t="shared" ref="CK189" si="1385">+CJ189</f>
        <v>4.7069999999999999</v>
      </c>
      <c r="CL189" s="23">
        <f>+'QTR Raw'!BF77</f>
        <v>4.6040000000000001</v>
      </c>
      <c r="CM189" s="24">
        <f t="shared" ref="CM189" si="1386">+CL189</f>
        <v>4.6040000000000001</v>
      </c>
      <c r="CN189" s="24">
        <f t="shared" ref="CN189" si="1387">+CM189</f>
        <v>4.6040000000000001</v>
      </c>
      <c r="CO189" s="24">
        <f t="shared" ref="CO189" si="1388">+CN189</f>
        <v>4.6040000000000001</v>
      </c>
      <c r="CP189" s="24">
        <f t="shared" ref="CP189" si="1389">+CO189</f>
        <v>4.6040000000000001</v>
      </c>
      <c r="CQ189" s="24">
        <f t="shared" ref="CQ189" si="1390">+CP189</f>
        <v>4.6040000000000001</v>
      </c>
      <c r="CR189" s="24">
        <f t="shared" ref="CR189" si="1391">+CQ189</f>
        <v>4.6040000000000001</v>
      </c>
      <c r="CS189" s="24">
        <f t="shared" ref="CS189" si="1392">+CR189</f>
        <v>4.6040000000000001</v>
      </c>
      <c r="CT189" s="24">
        <f t="shared" ref="CT189" si="1393">+CS189</f>
        <v>4.6040000000000001</v>
      </c>
      <c r="CU189" s="24">
        <f t="shared" ref="CU189" si="1394">+CT189</f>
        <v>4.6040000000000001</v>
      </c>
      <c r="CV189" s="24">
        <f t="shared" ref="CV189" si="1395">+CU189</f>
        <v>4.6040000000000001</v>
      </c>
      <c r="CW189" s="24">
        <f t="shared" ref="CW189" si="1396">+CV189</f>
        <v>4.6040000000000001</v>
      </c>
      <c r="CX189" s="24">
        <f t="shared" ref="CX189" si="1397">+CW189</f>
        <v>4.6040000000000001</v>
      </c>
      <c r="CY189" s="24">
        <f t="shared" ref="CY189" si="1398">+CX189</f>
        <v>4.6040000000000001</v>
      </c>
      <c r="CZ189" s="24">
        <f t="shared" ref="CZ189" si="1399">+CY189</f>
        <v>4.6040000000000001</v>
      </c>
      <c r="DA189" s="24">
        <f t="shared" ref="DA189" si="1400">+CZ189</f>
        <v>4.6040000000000001</v>
      </c>
      <c r="DB189" s="24">
        <f t="shared" ref="DB189" si="1401">+DA189</f>
        <v>4.6040000000000001</v>
      </c>
      <c r="DE189" s="123"/>
      <c r="DF189" s="23">
        <v>4.7069999999999999</v>
      </c>
    </row>
    <row r="190" spans="1:110" s="23" customFormat="1" outlineLevel="1" x14ac:dyDescent="0.2">
      <c r="A190" s="23" t="s">
        <v>59</v>
      </c>
      <c r="B190" s="23">
        <f>'Annual Raw'!C72</f>
        <v>0</v>
      </c>
      <c r="C190" s="23">
        <f>'Annual Raw'!D72</f>
        <v>0</v>
      </c>
      <c r="D190" s="23">
        <f>'Annual Raw'!E72</f>
        <v>0</v>
      </c>
      <c r="E190" s="23">
        <f>'Annual Raw'!F72+'Annual Raw'!F61</f>
        <v>0</v>
      </c>
      <c r="F190" s="23">
        <f>'Annual Raw'!G72+'Annual Raw'!G61</f>
        <v>0</v>
      </c>
      <c r="G190" s="23">
        <f>'Annual Raw'!H72+'Annual Raw'!H61</f>
        <v>0</v>
      </c>
      <c r="H190" s="23">
        <f>'Annual Raw'!I72+'Annual Raw'!I61</f>
        <v>0</v>
      </c>
      <c r="I190" s="23">
        <f>'Annual Raw'!J72+'Annual Raw'!J61</f>
        <v>0</v>
      </c>
      <c r="J190" s="23">
        <f>'Annual Raw'!K72+'Annual Raw'!K61</f>
        <v>0</v>
      </c>
      <c r="K190" s="23">
        <f>'Annual Raw'!L72+'Annual Raw'!L61</f>
        <v>0</v>
      </c>
      <c r="L190" s="23">
        <f>'Annual Raw'!M72+'Annual Raw'!M61</f>
        <v>0.72180049999999996</v>
      </c>
      <c r="M190" s="23">
        <f>'Annual Raw'!N72+'Annual Raw'!N61</f>
        <v>1.0459681000000001</v>
      </c>
      <c r="N190" s="23">
        <f>'Annual Raw'!O72+'Annual Raw'!O61</f>
        <v>2.0522504000000001</v>
      </c>
      <c r="O190" s="23">
        <f>'Annual Raw'!P72+'Annual Raw'!P61</f>
        <v>2.2759</v>
      </c>
      <c r="P190" s="23">
        <f>'Annual Raw'!Q72+'Annual Raw'!Q61</f>
        <v>2.3107698999999999</v>
      </c>
      <c r="Q190" s="23">
        <f>'Annual Raw'!R72+'Annual Raw'!R61</f>
        <v>2.3191297999999998</v>
      </c>
      <c r="R190" s="23">
        <f>'Annual Raw'!S72+'Annual Raw'!S61</f>
        <v>4.8910977999999998</v>
      </c>
      <c r="S190" s="23">
        <f>'Annual Raw'!T72+'Annual Raw'!T61</f>
        <v>46.3185547</v>
      </c>
      <c r="T190" s="23">
        <f>'Annual Raw'!U72+'Annual Raw'!U61</f>
        <v>5.7825354999999998</v>
      </c>
      <c r="U190" s="23">
        <f>'Annual Raw'!V72+'Annual Raw'!V61</f>
        <v>31.841571800000001</v>
      </c>
      <c r="V190" s="23">
        <f>'Annual Raw'!W72+'Annual Raw'!W61</f>
        <v>15.747</v>
      </c>
      <c r="W190" s="23">
        <f>'Annual Raw'!X72+'Annual Raw'!X61</f>
        <v>15.2616</v>
      </c>
      <c r="X190" s="23">
        <f>'Annual Raw'!Y72+'Annual Raw'!Y61</f>
        <v>34.938899999999997</v>
      </c>
      <c r="Y190" s="23">
        <f>'Annual Raw'!Z72+'Annual Raw'!Z61</f>
        <v>47.5137</v>
      </c>
      <c r="Z190" s="23">
        <f>'Annual Raw'!AA72+'Annual Raw'!AA61</f>
        <v>68.932500000000005</v>
      </c>
      <c r="AA190" s="23">
        <f>'Annual Raw'!AB72+'Annual Raw'!AB61</f>
        <v>56.828000000000003</v>
      </c>
      <c r="AB190" s="24">
        <f t="shared" ref="AB190:AB195" si="1402">+CP190</f>
        <v>0</v>
      </c>
      <c r="AC190" s="24">
        <f t="shared" ref="AC190:AC195" si="1403">+CT190</f>
        <v>0</v>
      </c>
      <c r="AD190" s="24">
        <f t="shared" ref="AD190:AD195" si="1404">+CX190</f>
        <v>0</v>
      </c>
      <c r="AE190" s="24">
        <f t="shared" ref="AE190:AE195" si="1405">+DB190</f>
        <v>0</v>
      </c>
      <c r="AJ190" s="23">
        <f>+'QTR Raw'!D78</f>
        <v>0.76500000000000001</v>
      </c>
      <c r="AK190" s="23">
        <f t="shared" ref="AK190:CE195" si="1406">+AJ190</f>
        <v>0.76500000000000001</v>
      </c>
      <c r="AL190" s="23">
        <f>+'QTR Raw'!F78</f>
        <v>0.75</v>
      </c>
      <c r="AM190" s="23">
        <f t="shared" si="1406"/>
        <v>0.75</v>
      </c>
      <c r="AN190" s="23">
        <f>+'QTR Raw'!H78</f>
        <v>0.754</v>
      </c>
      <c r="AO190" s="23">
        <f t="shared" si="1406"/>
        <v>0.754</v>
      </c>
      <c r="AP190" s="23">
        <f>+'QTR Raw'!J78</f>
        <v>0.74</v>
      </c>
      <c r="AQ190" s="23">
        <f t="shared" si="1406"/>
        <v>0.74</v>
      </c>
      <c r="AR190" s="23">
        <f>+'QTR Raw'!L78</f>
        <v>0.75</v>
      </c>
      <c r="AS190" s="23">
        <f t="shared" si="1406"/>
        <v>0.75</v>
      </c>
      <c r="AT190" s="23">
        <f>+'QTR Raw'!N78</f>
        <v>0</v>
      </c>
      <c r="AU190" s="23">
        <f t="shared" si="1406"/>
        <v>0</v>
      </c>
      <c r="AV190" s="23">
        <f>+'QTR Raw'!P78</f>
        <v>0.73899999999999999</v>
      </c>
      <c r="AW190" s="23">
        <f t="shared" si="1406"/>
        <v>0.73899999999999999</v>
      </c>
      <c r="AX190" s="23">
        <f>+'QTR Raw'!R78</f>
        <v>0</v>
      </c>
      <c r="AY190" s="23">
        <f t="shared" si="1406"/>
        <v>0</v>
      </c>
      <c r="AZ190" s="23">
        <f>+'QTR Raw'!T78</f>
        <v>15.084</v>
      </c>
      <c r="BA190" s="23">
        <f t="shared" si="1406"/>
        <v>15.084</v>
      </c>
      <c r="BB190" s="23">
        <f>+'QTR Raw'!V78</f>
        <v>0</v>
      </c>
      <c r="BC190" s="23">
        <f t="shared" si="1406"/>
        <v>0</v>
      </c>
      <c r="BD190" s="23">
        <f>+'QTR Raw'!X78</f>
        <v>0</v>
      </c>
      <c r="BE190" s="23">
        <f t="shared" si="1406"/>
        <v>0</v>
      </c>
      <c r="BF190" s="23">
        <f>+'QTR Raw'!Z78</f>
        <v>0</v>
      </c>
      <c r="BG190" s="23">
        <f t="shared" si="1406"/>
        <v>0</v>
      </c>
      <c r="BH190" s="23">
        <f>+'QTR Raw'!AB78</f>
        <v>0</v>
      </c>
      <c r="BI190" s="23">
        <f t="shared" si="1406"/>
        <v>0</v>
      </c>
      <c r="BJ190" s="23">
        <f>+'QTR Raw'!AD78</f>
        <v>0</v>
      </c>
      <c r="BK190" s="23">
        <f t="shared" si="1406"/>
        <v>0</v>
      </c>
      <c r="BL190" s="23">
        <f>+'QTR Raw'!AF78</f>
        <v>0</v>
      </c>
      <c r="BM190" s="23">
        <f t="shared" si="1406"/>
        <v>0</v>
      </c>
      <c r="BN190" s="23">
        <f>+'QTR Raw'!AH78</f>
        <v>0</v>
      </c>
      <c r="BO190" s="23">
        <f t="shared" si="1406"/>
        <v>0</v>
      </c>
      <c r="BP190" s="23">
        <f>+'QTR Raw'!AJ78</f>
        <v>0</v>
      </c>
      <c r="BQ190" s="23">
        <f t="shared" si="1406"/>
        <v>0</v>
      </c>
      <c r="BR190" s="23">
        <f>+'QTR Raw'!AL78</f>
        <v>0</v>
      </c>
      <c r="BS190" s="23">
        <f t="shared" si="1406"/>
        <v>0</v>
      </c>
      <c r="BT190" s="23">
        <f>+'QTR Raw'!AN78</f>
        <v>0</v>
      </c>
      <c r="BU190" s="23">
        <f t="shared" si="1406"/>
        <v>0</v>
      </c>
      <c r="BV190" s="23">
        <f>+'QTR Raw'!AP78</f>
        <v>0</v>
      </c>
      <c r="BW190" s="23">
        <f t="shared" si="1406"/>
        <v>0</v>
      </c>
      <c r="BX190" s="23">
        <f>+'QTR Raw'!AR78</f>
        <v>0</v>
      </c>
      <c r="BY190" s="23">
        <f t="shared" si="1406"/>
        <v>0</v>
      </c>
      <c r="BZ190" s="23">
        <f>+'QTR Raw'!AT78</f>
        <v>0</v>
      </c>
      <c r="CA190" s="23">
        <f t="shared" si="1406"/>
        <v>0</v>
      </c>
      <c r="CB190" s="23">
        <f>+'QTR Raw'!AV78</f>
        <v>0</v>
      </c>
      <c r="CC190" s="23">
        <f t="shared" si="1406"/>
        <v>0</v>
      </c>
      <c r="CD190" s="23">
        <f>+'QTR Raw'!AX78</f>
        <v>0</v>
      </c>
      <c r="CE190" s="23">
        <f t="shared" si="1406"/>
        <v>0</v>
      </c>
      <c r="CF190" s="23">
        <f>+'QTR Raw'!AZ78</f>
        <v>0</v>
      </c>
      <c r="CG190" s="23">
        <f t="shared" si="1383"/>
        <v>0</v>
      </c>
      <c r="CH190" s="23">
        <f t="shared" si="1384"/>
        <v>68.932500000000005</v>
      </c>
      <c r="CJ190" s="23">
        <f>+'QTR Raw'!BD78</f>
        <v>0</v>
      </c>
      <c r="CL190" s="23">
        <f>+'QTR Raw'!BF78</f>
        <v>0</v>
      </c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  <c r="DF190" s="23">
        <v>0</v>
      </c>
    </row>
    <row r="191" spans="1:110" s="23" customFormat="1" outlineLevel="1" x14ac:dyDescent="0.2">
      <c r="A191" s="23" t="s">
        <v>60</v>
      </c>
      <c r="B191" s="23">
        <f>'Annual Raw'!C73+'Annual Raw'!C81</f>
        <v>0</v>
      </c>
      <c r="C191" s="23">
        <f>'Annual Raw'!D73+'Annual Raw'!D81</f>
        <v>0</v>
      </c>
      <c r="D191" s="23">
        <f>'Annual Raw'!E73+'Annual Raw'!E81</f>
        <v>0</v>
      </c>
      <c r="E191" s="23">
        <f>'Annual Raw'!F73+'Annual Raw'!F81</f>
        <v>0</v>
      </c>
      <c r="F191" s="23">
        <f>'Annual Raw'!G73+'Annual Raw'!G81</f>
        <v>0</v>
      </c>
      <c r="G191" s="23">
        <f>'Annual Raw'!H73+'Annual Raw'!H81</f>
        <v>0</v>
      </c>
      <c r="H191" s="23">
        <f>'Annual Raw'!I73+'Annual Raw'!I81</f>
        <v>0</v>
      </c>
      <c r="I191" s="23">
        <f>'Annual Raw'!J73+'Annual Raw'!J81</f>
        <v>0</v>
      </c>
      <c r="J191" s="23">
        <f>'Annual Raw'!K73+'Annual Raw'!K81</f>
        <v>0</v>
      </c>
      <c r="K191" s="23">
        <f>'Annual Raw'!L73+'Annual Raw'!L81</f>
        <v>0</v>
      </c>
      <c r="L191" s="23">
        <f>'Annual Raw'!M73+'Annual Raw'!M81</f>
        <v>0</v>
      </c>
      <c r="M191" s="23">
        <f>'Annual Raw'!N73+'Annual Raw'!N81</f>
        <v>0</v>
      </c>
      <c r="N191" s="23">
        <f>'Annual Raw'!O73+'Annual Raw'!O81</f>
        <v>0</v>
      </c>
      <c r="O191" s="23">
        <f>'Annual Raw'!P73+'Annual Raw'!P81</f>
        <v>0</v>
      </c>
      <c r="P191" s="23">
        <f>'Annual Raw'!Q73+'Annual Raw'!Q81</f>
        <v>0</v>
      </c>
      <c r="Q191" s="23">
        <f>'Annual Raw'!R73+'Annual Raw'!R81</f>
        <v>0</v>
      </c>
      <c r="R191" s="23">
        <f>'Annual Raw'!S73+'Annual Raw'!S81</f>
        <v>0</v>
      </c>
      <c r="S191" s="23">
        <f>'Annual Raw'!T73+'Annual Raw'!T81</f>
        <v>7.0773181999999997</v>
      </c>
      <c r="T191" s="23">
        <f>'Annual Raw'!U73+'Annual Raw'!U81</f>
        <v>0.95804820000000002</v>
      </c>
      <c r="U191" s="23">
        <f>'Annual Raw'!V73+'Annual Raw'!V81</f>
        <v>0.94860900000000004</v>
      </c>
      <c r="V191" s="23">
        <f>'Annual Raw'!W73+'Annual Raw'!W81</f>
        <v>0.97899999999999998</v>
      </c>
      <c r="W191" s="23">
        <f>'Annual Raw'!X73+'Annual Raw'!X81</f>
        <v>0.80210000000000004</v>
      </c>
      <c r="X191" s="23">
        <f>'Annual Raw'!Y73+'Annual Raw'!Y81</f>
        <v>1.714</v>
      </c>
      <c r="Y191" s="23">
        <f>'Annual Raw'!Z73+'Annual Raw'!Z81</f>
        <v>1.0673999999999999</v>
      </c>
      <c r="Z191" s="23">
        <f>'Annual Raw'!AA73+'Annual Raw'!AA81</f>
        <v>1.4342999999999999</v>
      </c>
      <c r="AA191" s="23">
        <f>'Annual Raw'!AB73+'Annual Raw'!AB81</f>
        <v>10.9076</v>
      </c>
      <c r="AB191" s="24">
        <f t="shared" si="1402"/>
        <v>0</v>
      </c>
      <c r="AC191" s="24">
        <f t="shared" si="1403"/>
        <v>0</v>
      </c>
      <c r="AD191" s="24">
        <f t="shared" si="1404"/>
        <v>0</v>
      </c>
      <c r="AE191" s="24">
        <f t="shared" si="1405"/>
        <v>0</v>
      </c>
      <c r="AJ191" s="23">
        <f>+'QTR Raw'!D79+'QTR Raw'!D76</f>
        <v>1.091</v>
      </c>
      <c r="AK191" s="23">
        <f t="shared" si="1406"/>
        <v>1.091</v>
      </c>
      <c r="AL191" s="23">
        <f>+'QTR Raw'!F79+'QTR Raw'!F76</f>
        <v>2.0499999999999998</v>
      </c>
      <c r="AM191" s="23">
        <f t="shared" si="1406"/>
        <v>2.0499999999999998</v>
      </c>
      <c r="AN191" s="23">
        <f>+'QTR Raw'!H79+'QTR Raw'!H76</f>
        <v>2.177</v>
      </c>
      <c r="AO191" s="23">
        <f t="shared" si="1406"/>
        <v>2.177</v>
      </c>
      <c r="AP191" s="23">
        <f>+'QTR Raw'!J79+'QTR Raw'!J76</f>
        <v>2.2799999999999998</v>
      </c>
      <c r="AQ191" s="23">
        <f t="shared" si="1406"/>
        <v>2.2799999999999998</v>
      </c>
      <c r="AR191" s="23">
        <f>+'QTR Raw'!L79+'QTR Raw'!L76</f>
        <v>2.21</v>
      </c>
      <c r="AS191" s="23">
        <f t="shared" si="1406"/>
        <v>2.21</v>
      </c>
      <c r="AT191" s="23">
        <f>+'QTR Raw'!N79+'QTR Raw'!N76</f>
        <v>2.3109999999999999</v>
      </c>
      <c r="AU191" s="23">
        <f t="shared" si="1406"/>
        <v>2.3109999999999999</v>
      </c>
      <c r="AV191" s="23">
        <f>+'QTR Raw'!P79+'QTR Raw'!P76</f>
        <v>2.2509999999999999</v>
      </c>
      <c r="AW191" s="23">
        <f t="shared" si="1406"/>
        <v>2.2509999999999999</v>
      </c>
      <c r="AX191" s="23">
        <f>+'QTR Raw'!R79+'QTR Raw'!R76</f>
        <v>2.319</v>
      </c>
      <c r="AY191" s="23">
        <f t="shared" si="1406"/>
        <v>2.319</v>
      </c>
      <c r="AZ191" s="23">
        <f>+'QTR Raw'!T79+'QTR Raw'!T76</f>
        <v>2.258</v>
      </c>
      <c r="BA191" s="23">
        <f t="shared" si="1406"/>
        <v>2.258</v>
      </c>
      <c r="BB191" s="23">
        <f>+'QTR Raw'!V79+'QTR Raw'!V76</f>
        <v>4.891</v>
      </c>
      <c r="BC191" s="23">
        <f t="shared" si="1406"/>
        <v>4.891</v>
      </c>
      <c r="BD191" s="23">
        <f>+'QTR Raw'!X79+'QTR Raw'!X76</f>
        <v>30.562999999999999</v>
      </c>
      <c r="BE191" s="23">
        <f t="shared" si="1406"/>
        <v>30.562999999999999</v>
      </c>
      <c r="BF191" s="23">
        <f>+'QTR Raw'!Z79+'QTR Raw'!Z76</f>
        <v>53.933</v>
      </c>
      <c r="BG191" s="23">
        <f t="shared" si="1406"/>
        <v>53.933</v>
      </c>
      <c r="BH191" s="23">
        <f>+'QTR Raw'!AB79+'QTR Raw'!AB76</f>
        <v>120.166</v>
      </c>
      <c r="BI191" s="23">
        <f t="shared" si="1406"/>
        <v>120.166</v>
      </c>
      <c r="BJ191" s="23">
        <f>+'QTR Raw'!AD79+'QTR Raw'!AD76</f>
        <v>7.2779999999999996</v>
      </c>
      <c r="BK191" s="23">
        <f t="shared" si="1406"/>
        <v>7.2779999999999996</v>
      </c>
      <c r="BL191" s="23">
        <f>+'QTR Raw'!AF79+'QTR Raw'!AF76</f>
        <v>8.2690000000000001</v>
      </c>
      <c r="BM191" s="23">
        <f t="shared" si="1406"/>
        <v>8.2690000000000001</v>
      </c>
      <c r="BN191" s="23">
        <f>+'QTR Raw'!AH79+'QTR Raw'!AH76</f>
        <v>33.225000000000001</v>
      </c>
      <c r="BO191" s="23">
        <f t="shared" si="1406"/>
        <v>33.225000000000001</v>
      </c>
      <c r="BP191" s="23">
        <f>+'QTR Raw'!AJ79+'QTR Raw'!AJ76</f>
        <v>25.594000000000001</v>
      </c>
      <c r="BQ191" s="23">
        <f t="shared" si="1406"/>
        <v>25.594000000000001</v>
      </c>
      <c r="BR191" s="23">
        <f>+'QTR Raw'!AL79+'QTR Raw'!AL76</f>
        <v>17.052</v>
      </c>
      <c r="BS191" s="23">
        <f t="shared" si="1406"/>
        <v>17.052</v>
      </c>
      <c r="BT191" s="23">
        <f>+'QTR Raw'!AN79+'QTR Raw'!AN76</f>
        <v>15.840999999999999</v>
      </c>
      <c r="BU191" s="23">
        <f t="shared" si="1406"/>
        <v>15.840999999999999</v>
      </c>
      <c r="BV191" s="23">
        <f>+'QTR Raw'!AP79+'QTR Raw'!AP76</f>
        <v>16.064</v>
      </c>
      <c r="BW191" s="23">
        <f t="shared" si="1406"/>
        <v>16.064</v>
      </c>
      <c r="BX191" s="23">
        <f>+'QTR Raw'!AR79+'QTR Raw'!AR76</f>
        <v>29.977</v>
      </c>
      <c r="BY191" s="23">
        <f t="shared" si="1406"/>
        <v>29.977</v>
      </c>
      <c r="BZ191" s="23">
        <f>+'QTR Raw'!AT79+'QTR Raw'!AT76</f>
        <v>36.652999999999999</v>
      </c>
      <c r="CA191" s="23">
        <f t="shared" si="1406"/>
        <v>36.652999999999999</v>
      </c>
      <c r="CB191" s="23">
        <f>+'QTR Raw'!AV79+'QTR Raw'!AV76</f>
        <v>53.881999999999998</v>
      </c>
      <c r="CC191" s="23">
        <f t="shared" si="1406"/>
        <v>53.881999999999998</v>
      </c>
      <c r="CD191" s="23">
        <f>+'QTR Raw'!AX79+'QTR Raw'!AX76</f>
        <v>48.582000000000001</v>
      </c>
      <c r="CE191" s="23">
        <f t="shared" si="1406"/>
        <v>48.582000000000001</v>
      </c>
      <c r="CF191" s="23">
        <f>+'QTR Raw'!AZ79+'QTR Raw'!AZ76</f>
        <v>39.328000000000003</v>
      </c>
      <c r="CG191" s="23">
        <f t="shared" si="1383"/>
        <v>39.328000000000003</v>
      </c>
      <c r="CH191" s="23">
        <f t="shared" si="1384"/>
        <v>1.4342999999999999</v>
      </c>
      <c r="CJ191" s="23">
        <f>+'QTR Raw'!BD79+'QTR Raw'!BD76</f>
        <v>86.15</v>
      </c>
      <c r="CL191" s="23">
        <f>+'QTR Raw'!BF79+'QTR Raw'!BF76</f>
        <v>247.41800000000001</v>
      </c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  <c r="DF191" s="23">
        <v>247.41800000000001</v>
      </c>
    </row>
    <row r="192" spans="1:110" s="23" customFormat="1" outlineLevel="1" x14ac:dyDescent="0.2">
      <c r="A192" s="23" t="s">
        <v>61</v>
      </c>
      <c r="B192" s="23">
        <f>'Annual Raw'!C76</f>
        <v>5.4381674000000002</v>
      </c>
      <c r="C192" s="23">
        <f>'Annual Raw'!D76</f>
        <v>3.6640366000000002</v>
      </c>
      <c r="D192" s="23">
        <f>'Annual Raw'!E76</f>
        <v>4.9819468999999996</v>
      </c>
      <c r="E192" s="23">
        <f>'Annual Raw'!F76</f>
        <v>9.6274440999999999</v>
      </c>
      <c r="F192" s="23">
        <f>'Annual Raw'!G76</f>
        <v>15.6876923</v>
      </c>
      <c r="G192" s="23">
        <f>'Annual Raw'!H76</f>
        <v>22.549534399999999</v>
      </c>
      <c r="H192" s="23">
        <f>'Annual Raw'!I76</f>
        <v>32.129319000000002</v>
      </c>
      <c r="I192" s="23">
        <f>'Annual Raw'!J76</f>
        <v>33.413207300000003</v>
      </c>
      <c r="J192" s="23">
        <f>'Annual Raw'!K76</f>
        <v>33.0993298</v>
      </c>
      <c r="K192" s="23">
        <f>'Annual Raw'!L76</f>
        <v>31.998890599999999</v>
      </c>
      <c r="L192" s="23">
        <f>'Annual Raw'!M76</f>
        <v>70.597571299999998</v>
      </c>
      <c r="M192" s="23">
        <f>'Annual Raw'!N76</f>
        <v>107.4044938</v>
      </c>
      <c r="N192" s="23">
        <f>'Annual Raw'!O76</f>
        <v>56.752040899999997</v>
      </c>
      <c r="O192" s="23">
        <f>'Annual Raw'!P76</f>
        <v>90.635000000000005</v>
      </c>
      <c r="P192" s="23">
        <f>'Annual Raw'!Q76</f>
        <v>112.3770854</v>
      </c>
      <c r="Q192" s="23">
        <f>'Annual Raw'!R76</f>
        <v>78.031317200000004</v>
      </c>
      <c r="R192" s="23">
        <f>'Annual Raw'!S76</f>
        <v>98.980848499999993</v>
      </c>
      <c r="S192" s="23">
        <f>'Annual Raw'!T76</f>
        <v>89.097088200000002</v>
      </c>
      <c r="T192" s="23">
        <f>'Annual Raw'!U76</f>
        <v>163.15217279999999</v>
      </c>
      <c r="U192" s="23">
        <f>'Annual Raw'!V76</f>
        <v>108.806032</v>
      </c>
      <c r="V192" s="23">
        <f>'Annual Raw'!W76</f>
        <v>109.938</v>
      </c>
      <c r="W192" s="23">
        <f>'Annual Raw'!X76</f>
        <v>222.35830000000001</v>
      </c>
      <c r="X192" s="23">
        <f>'Annual Raw'!Y76</f>
        <v>302.81389999999999</v>
      </c>
      <c r="Y192" s="23">
        <f>'Annual Raw'!Z76</f>
        <v>286.89920000000001</v>
      </c>
      <c r="Z192" s="23">
        <f>'Annual Raw'!AA76</f>
        <v>273.78410000000002</v>
      </c>
      <c r="AA192" s="23">
        <f>'Annual Raw'!AB76</f>
        <v>215.79570000000001</v>
      </c>
      <c r="AB192" s="24">
        <f t="shared" si="1402"/>
        <v>343.42789747543975</v>
      </c>
      <c r="AC192" s="24">
        <f t="shared" si="1403"/>
        <v>520.65889110616297</v>
      </c>
      <c r="AD192" s="24">
        <f t="shared" si="1404"/>
        <v>720.62361778085278</v>
      </c>
      <c r="AE192" s="24">
        <f t="shared" si="1405"/>
        <v>1005.2314346191973</v>
      </c>
      <c r="AJ192" s="23">
        <f>+'QTR Raw'!D81</f>
        <v>89.93</v>
      </c>
      <c r="AK192" s="23">
        <f>+AK227*AK59/90</f>
        <v>76.894856639499736</v>
      </c>
      <c r="AL192" s="23">
        <f>+'QTR Raw'!F81</f>
        <v>56.75</v>
      </c>
      <c r="AM192" s="23">
        <f>+AM227*AM59/90</f>
        <v>56.196458863443603</v>
      </c>
      <c r="AN192" s="23">
        <f>+'QTR Raw'!H81</f>
        <v>89.790999999999997</v>
      </c>
      <c r="AO192" s="23">
        <f>+AO227*AO59/90</f>
        <v>76.683769175351202</v>
      </c>
      <c r="AP192" s="23">
        <f>+'QTR Raw'!J81</f>
        <v>90.63</v>
      </c>
      <c r="AQ192" s="23">
        <f>+AQ227*AQ59/90</f>
        <v>86.914962682215744</v>
      </c>
      <c r="AR192" s="23">
        <f>+'QTR Raw'!L81</f>
        <v>107.42</v>
      </c>
      <c r="AS192" s="23">
        <f>+AS227*AS59/90</f>
        <v>101.15543981389166</v>
      </c>
      <c r="AT192" s="23">
        <f>+'QTR Raw'!N81</f>
        <v>112.377</v>
      </c>
      <c r="AU192" s="23">
        <f>+AU227*AU59/90</f>
        <v>120.99153417414176</v>
      </c>
      <c r="AV192" s="23">
        <f>+'QTR Raw'!P81</f>
        <v>69.361999999999995</v>
      </c>
      <c r="AW192" s="23">
        <f>+AW227*AW59/90</f>
        <v>65.002393516647231</v>
      </c>
      <c r="AX192" s="23">
        <f>+'QTR Raw'!R81</f>
        <v>78.031000000000006</v>
      </c>
      <c r="AY192" s="23">
        <f>+AY227*AY59/90</f>
        <v>78.836310623280639</v>
      </c>
      <c r="AZ192" s="23">
        <f>+'QTR Raw'!T81</f>
        <v>68.707999999999998</v>
      </c>
      <c r="BA192" s="23">
        <f>+BA227*BA59/90</f>
        <v>71.928456761796312</v>
      </c>
      <c r="BB192" s="23">
        <f>+'QTR Raw'!V81</f>
        <v>98.980999999999995</v>
      </c>
      <c r="BC192" s="23">
        <f>+BC227*BC59/90</f>
        <v>102.53248999953399</v>
      </c>
      <c r="BD192" s="23">
        <f>+'QTR Raw'!X81</f>
        <v>60.802</v>
      </c>
      <c r="BE192" s="23">
        <f>+BE227*BE59/90</f>
        <v>66.134474899598388</v>
      </c>
      <c r="BF192" s="23">
        <f>+'QTR Raw'!Z81</f>
        <v>89.096999999999994</v>
      </c>
      <c r="BG192" s="23">
        <f>+BG227*BG59/90</f>
        <v>90.68467178278118</v>
      </c>
      <c r="BH192" s="23">
        <f>+'QTR Raw'!AB81</f>
        <v>161.762</v>
      </c>
      <c r="BI192" s="23">
        <f>+BI227*BI59/90</f>
        <v>178.56546039816772</v>
      </c>
      <c r="BJ192" s="23">
        <f>+'QTR Raw'!AD81</f>
        <v>163.15199999999999</v>
      </c>
      <c r="BK192" s="23">
        <f>+BK227*BK59/90</f>
        <v>160.52856312521786</v>
      </c>
      <c r="BL192" s="23">
        <f>+'QTR Raw'!AF81</f>
        <v>121.331</v>
      </c>
      <c r="BM192" s="23">
        <f>+BM227*BM59/90</f>
        <v>121.47088251860264</v>
      </c>
      <c r="BN192" s="23">
        <f>+'QTR Raw'!AH81</f>
        <v>108.806</v>
      </c>
      <c r="BO192" s="23">
        <f>+BO227*BO59/90</f>
        <v>93.99770357365702</v>
      </c>
      <c r="BP192" s="23">
        <f>+'QTR Raw'!AJ81</f>
        <v>132.839</v>
      </c>
      <c r="BQ192" s="23">
        <f>+BQ227*BQ59/90</f>
        <v>184.46361723533474</v>
      </c>
      <c r="BR192" s="23">
        <f>+'QTR Raw'!AL81</f>
        <v>109.938</v>
      </c>
      <c r="BS192" s="23">
        <f>+BS227*BS59/90</f>
        <v>119.66883825482932</v>
      </c>
      <c r="BT192" s="23">
        <f>+'QTR Raw'!AN81</f>
        <v>236.67699999999999</v>
      </c>
      <c r="BU192" s="23">
        <f>+BU227*BU59/90</f>
        <v>254.30713673100226</v>
      </c>
      <c r="BV192" s="23">
        <f>+'QTR Raw'!AP81</f>
        <v>222.358</v>
      </c>
      <c r="BW192" s="23">
        <f>+BW227*BW59/90</f>
        <v>190.95924934710123</v>
      </c>
      <c r="BX192" s="23">
        <f>+'QTR Raw'!AR81</f>
        <v>454.40899999999999</v>
      </c>
      <c r="BY192" s="23">
        <f>+BY227*BY59/90</f>
        <v>424.27958010574326</v>
      </c>
      <c r="BZ192" s="23">
        <f>+'QTR Raw'!AT81</f>
        <v>302.81400000000002</v>
      </c>
      <c r="CA192" s="23">
        <f>+CA227*CA59/90</f>
        <v>297.85355343607802</v>
      </c>
      <c r="CB192" s="23">
        <f>+'QTR Raw'!AV81</f>
        <v>233.822</v>
      </c>
      <c r="CC192" s="23">
        <f>+CC227*CC59/90</f>
        <v>235.55103818743697</v>
      </c>
      <c r="CD192" s="23">
        <f>+'QTR Raw'!AX81</f>
        <v>286.899</v>
      </c>
      <c r="CE192" s="23">
        <f>+CE227*CE59/90</f>
        <v>266.66676971133285</v>
      </c>
      <c r="CF192" s="23">
        <f>+'QTR Raw'!AZ81</f>
        <v>294.61700000000002</v>
      </c>
      <c r="CG192" s="23">
        <f>+CG227*CG59/90</f>
        <v>265.6082459388324</v>
      </c>
      <c r="CH192" s="23">
        <f t="shared" si="1384"/>
        <v>273.78410000000002</v>
      </c>
      <c r="CI192" s="23">
        <f>+CI227*CI59/90</f>
        <v>278.14085691552702</v>
      </c>
      <c r="CJ192" s="23">
        <f>+'QTR Raw'!BD81</f>
        <v>297.495</v>
      </c>
      <c r="CK192" s="23">
        <f>+CK227*CK59/90</f>
        <v>289.4136313837534</v>
      </c>
      <c r="CL192" s="23">
        <f>+'QTR Raw'!BF81</f>
        <v>247.11699999999999</v>
      </c>
      <c r="CM192" s="24">
        <f t="shared" ref="CM192:DB192" si="1407">+CM227*CM59/90</f>
        <v>287.1809467371379</v>
      </c>
      <c r="CN192" s="24">
        <f t="shared" si="1407"/>
        <v>295.90616384789223</v>
      </c>
      <c r="CO192" s="24">
        <f t="shared" si="1407"/>
        <v>287.14204264304391</v>
      </c>
      <c r="CP192" s="24">
        <f t="shared" si="1407"/>
        <v>343.42789747543975</v>
      </c>
      <c r="CQ192" s="24">
        <f t="shared" si="1407"/>
        <v>434.22284715895603</v>
      </c>
      <c r="CR192" s="24">
        <f t="shared" si="1407"/>
        <v>447.88941138631492</v>
      </c>
      <c r="CS192" s="24">
        <f t="shared" si="1407"/>
        <v>432.61075989856465</v>
      </c>
      <c r="CT192" s="24">
        <f t="shared" si="1407"/>
        <v>520.65889110616297</v>
      </c>
      <c r="CU192" s="24">
        <f t="shared" si="1407"/>
        <v>600.20956040164583</v>
      </c>
      <c r="CV192" s="24">
        <f t="shared" si="1407"/>
        <v>619.4119272543544</v>
      </c>
      <c r="CW192" s="24">
        <f t="shared" si="1407"/>
        <v>597.13770723005393</v>
      </c>
      <c r="CX192" s="24">
        <f t="shared" si="1407"/>
        <v>720.62361778085278</v>
      </c>
      <c r="CY192" s="24">
        <f t="shared" si="1407"/>
        <v>836.23828186568051</v>
      </c>
      <c r="CZ192" s="24">
        <f t="shared" si="1407"/>
        <v>863.4047069562389</v>
      </c>
      <c r="DA192" s="24">
        <f t="shared" si="1407"/>
        <v>830.73123109856999</v>
      </c>
      <c r="DB192" s="24">
        <f t="shared" si="1407"/>
        <v>1005.2314346191973</v>
      </c>
      <c r="DE192" s="123"/>
      <c r="DF192" s="23">
        <v>385.04534176596121</v>
      </c>
    </row>
    <row r="193" spans="1:110" s="23" customFormat="1" outlineLevel="1" x14ac:dyDescent="0.2">
      <c r="A193" s="23" t="s">
        <v>62</v>
      </c>
      <c r="B193" s="23">
        <f>'Annual Raw'!C77</f>
        <v>6.2209969999999997</v>
      </c>
      <c r="C193" s="23">
        <f>'Annual Raw'!D77</f>
        <v>7.9660397999999999</v>
      </c>
      <c r="D193" s="23">
        <f>'Annual Raw'!E77</f>
        <v>9.7541963000000003</v>
      </c>
      <c r="E193" s="23">
        <f>'Annual Raw'!F77</f>
        <v>16.872012999999999</v>
      </c>
      <c r="F193" s="23">
        <f>'Annual Raw'!G77</f>
        <v>22.247884800000001</v>
      </c>
      <c r="G193" s="23">
        <f>'Annual Raw'!H77</f>
        <v>28.989991100000001</v>
      </c>
      <c r="H193" s="23">
        <f>'Annual Raw'!I77</f>
        <v>40.229750099999997</v>
      </c>
      <c r="I193" s="23">
        <f>'Annual Raw'!J77</f>
        <v>59.432740799999998</v>
      </c>
      <c r="J193" s="23">
        <f>'Annual Raw'!K77</f>
        <v>58.509526700000002</v>
      </c>
      <c r="K193" s="23">
        <f>'Annual Raw'!L77</f>
        <v>66.731023699999994</v>
      </c>
      <c r="L193" s="23">
        <f>'Annual Raw'!M77</f>
        <v>73.749868699999993</v>
      </c>
      <c r="M193" s="23">
        <f>'Annual Raw'!N77</f>
        <v>82.137056099999995</v>
      </c>
      <c r="N193" s="23">
        <f>'Annual Raw'!O77</f>
        <v>103.7134616</v>
      </c>
      <c r="O193" s="23">
        <f>'Annual Raw'!P77</f>
        <v>131.52610000000001</v>
      </c>
      <c r="P193" s="23">
        <f>'Annual Raw'!Q77</f>
        <v>119.36597260000001</v>
      </c>
      <c r="Q193" s="23">
        <f>'Annual Raw'!R77</f>
        <v>124.34280320000001</v>
      </c>
      <c r="R193" s="23">
        <f>'Annual Raw'!S77</f>
        <v>124.2877714</v>
      </c>
      <c r="S193" s="23">
        <f>'Annual Raw'!T77</f>
        <v>172.6778334</v>
      </c>
      <c r="T193" s="23">
        <f>'Annual Raw'!U77</f>
        <v>167.2183771</v>
      </c>
      <c r="U193" s="23">
        <f>'Annual Raw'!V77</f>
        <v>207.43863619999999</v>
      </c>
      <c r="V193" s="23">
        <f>'Annual Raw'!W77</f>
        <v>305.65820000000002</v>
      </c>
      <c r="W193" s="23">
        <f>'Annual Raw'!X77</f>
        <v>588.14599999999996</v>
      </c>
      <c r="X193" s="23">
        <f>'Annual Raw'!Y77</f>
        <v>377.80369999999999</v>
      </c>
      <c r="Y193" s="23">
        <f>'Annual Raw'!Z77</f>
        <v>319.39890000000003</v>
      </c>
      <c r="Z193" s="23">
        <f>'Annual Raw'!AA77</f>
        <v>275.27350000000001</v>
      </c>
      <c r="AA193" s="23">
        <f>'Annual Raw'!AB77</f>
        <v>296.14060000000001</v>
      </c>
      <c r="AB193" s="24">
        <f t="shared" si="1402"/>
        <v>480.65341191807164</v>
      </c>
      <c r="AC193" s="24">
        <f t="shared" si="1403"/>
        <v>728.70164100036186</v>
      </c>
      <c r="AD193" s="24">
        <f t="shared" si="1404"/>
        <v>1008.567455181424</v>
      </c>
      <c r="AE193" s="24">
        <f t="shared" si="1405"/>
        <v>1406.8976992516134</v>
      </c>
      <c r="AJ193" s="23">
        <f>+'QTR Raw'!D82</f>
        <v>81.757000000000005</v>
      </c>
      <c r="AK193" s="23">
        <f>+AK228*AK59/90</f>
        <v>69.90651389164438</v>
      </c>
      <c r="AL193" s="23">
        <f>+'QTR Raw'!F82</f>
        <v>103.71</v>
      </c>
      <c r="AM193" s="23">
        <f>+AM228*AM59/90</f>
        <v>102.69840966921119</v>
      </c>
      <c r="AN193" s="23">
        <f>+'QTR Raw'!H82</f>
        <v>117.009</v>
      </c>
      <c r="AO193" s="23">
        <f>+AO228*AO59/90</f>
        <v>99.928624777969588</v>
      </c>
      <c r="AP193" s="23">
        <f>+'QTR Raw'!J82</f>
        <v>131.53</v>
      </c>
      <c r="AQ193" s="23">
        <f>+AQ228*AQ59/90</f>
        <v>126.13842040816327</v>
      </c>
      <c r="AR193" s="23">
        <f>+'QTR Raw'!L82</f>
        <v>104.26</v>
      </c>
      <c r="AS193" s="23">
        <f>+AS228*AS59/90</f>
        <v>98.17972588899967</v>
      </c>
      <c r="AT193" s="23">
        <f>+'QTR Raw'!N82</f>
        <v>119.366</v>
      </c>
      <c r="AU193" s="23">
        <f>+AU228*AU59/90</f>
        <v>128.51629308693597</v>
      </c>
      <c r="AV193" s="23">
        <f>+'QTR Raw'!P82</f>
        <v>107.684</v>
      </c>
      <c r="AW193" s="23">
        <f>+AW228*AW59/90</f>
        <v>100.91574267533579</v>
      </c>
      <c r="AX193" s="23">
        <f>+'QTR Raw'!R82</f>
        <v>124.343</v>
      </c>
      <c r="AY193" s="23">
        <f>+AY228*AY59/90</f>
        <v>125.62626868591437</v>
      </c>
      <c r="AZ193" s="23">
        <f>+'QTR Raw'!T82</f>
        <v>104.31699999999999</v>
      </c>
      <c r="BA193" s="23">
        <f>+BA228*BA59/90</f>
        <v>109.20650905309871</v>
      </c>
      <c r="BB193" s="23">
        <f>+'QTR Raw'!V82</f>
        <v>124.288</v>
      </c>
      <c r="BC193" s="23">
        <f>+BC228*BC59/90</f>
        <v>128.74751838294304</v>
      </c>
      <c r="BD193" s="23">
        <f>+'QTR Raw'!X82</f>
        <v>148.02500000000001</v>
      </c>
      <c r="BE193" s="23">
        <f>+BE228*BE59/90</f>
        <v>161.00713211757923</v>
      </c>
      <c r="BF193" s="23">
        <f>+'QTR Raw'!Z82</f>
        <v>172.678</v>
      </c>
      <c r="BG193" s="23">
        <f>+BG228*BG59/90</f>
        <v>175.75505072120373</v>
      </c>
      <c r="BH193" s="23">
        <f>+'QTR Raw'!AB82</f>
        <v>149.971</v>
      </c>
      <c r="BI193" s="23">
        <f>+BI228*BI59/90</f>
        <v>165.54963873699393</v>
      </c>
      <c r="BJ193" s="23">
        <f>+'QTR Raw'!AD82</f>
        <v>167.21799999999999</v>
      </c>
      <c r="BK193" s="23">
        <f>+BK228*BK59/90</f>
        <v>164.52918302363855</v>
      </c>
      <c r="BL193" s="23">
        <f>+'QTR Raw'!AF82</f>
        <v>160.922</v>
      </c>
      <c r="BM193" s="23">
        <f>+BM228*BM59/90</f>
        <v>161.1075269853423</v>
      </c>
      <c r="BN193" s="23">
        <f>+'QTR Raw'!AH82</f>
        <v>207.43899999999999</v>
      </c>
      <c r="BO193" s="23">
        <f>+BO228*BO59/90</f>
        <v>179.20693373174126</v>
      </c>
      <c r="BP193" s="23">
        <f>+'QTR Raw'!AJ82</f>
        <v>213.328</v>
      </c>
      <c r="BQ193" s="23">
        <f>+BQ228*BQ59/90</f>
        <v>296.23269173645912</v>
      </c>
      <c r="BR193" s="23">
        <f>+'QTR Raw'!AL82</f>
        <v>305.65800000000002</v>
      </c>
      <c r="BS193" s="23">
        <f>+BS228*BS59/90</f>
        <v>332.71241757440208</v>
      </c>
      <c r="BT193" s="23">
        <f>+'QTR Raw'!AN82</f>
        <v>407.125</v>
      </c>
      <c r="BU193" s="23">
        <f>+BU228*BU59/90</f>
        <v>437.45185650320593</v>
      </c>
      <c r="BV193" s="23">
        <f>+'QTR Raw'!AP82</f>
        <v>588.14599999999996</v>
      </c>
      <c r="BW193" s="23">
        <f>+BW228*BW59/90</f>
        <v>505.09502094145574</v>
      </c>
      <c r="BX193" s="23">
        <f>+'QTR Raw'!AR82</f>
        <v>484.97899999999998</v>
      </c>
      <c r="BY193" s="23">
        <f>+BY228*BY59/90</f>
        <v>452.82264761504121</v>
      </c>
      <c r="BZ193" s="23">
        <f>+'QTR Raw'!AT82</f>
        <v>377.80399999999997</v>
      </c>
      <c r="CA193" s="23">
        <f>+CA228*CA59/90</f>
        <v>371.6151297574221</v>
      </c>
      <c r="CB193" s="23">
        <f>+'QTR Raw'!AV82</f>
        <v>348.399</v>
      </c>
      <c r="CC193" s="23">
        <f>+CC228*CC59/90</f>
        <v>350.97529810481842</v>
      </c>
      <c r="CD193" s="23">
        <f>+'QTR Raw'!AX82</f>
        <v>319.399</v>
      </c>
      <c r="CE193" s="23">
        <f>+CE228*CE59/90</f>
        <v>296.87485693233509</v>
      </c>
      <c r="CF193" s="23">
        <f>+'QTR Raw'!AZ82</f>
        <v>290.84399999999999</v>
      </c>
      <c r="CG193" s="23">
        <f>+CG228*CG59/90</f>
        <v>262.20674530605419</v>
      </c>
      <c r="CH193" s="23">
        <f t="shared" si="1384"/>
        <v>275.27350000000001</v>
      </c>
      <c r="CI193" s="23">
        <f>+CI228*CI59/90</f>
        <v>279.65395790382394</v>
      </c>
      <c r="CJ193" s="23">
        <f>+'QTR Raw'!BD82</f>
        <v>287.04199999999997</v>
      </c>
      <c r="CK193" s="23">
        <f>+CK228*CK59/90</f>
        <v>279.24458421034075</v>
      </c>
      <c r="CL193" s="23">
        <f>+'QTR Raw'!BF82</f>
        <v>345.85899999999998</v>
      </c>
      <c r="CM193" s="24">
        <f t="shared" ref="CM193:DB193" si="1408">+CM228*CM59/90</f>
        <v>401.93153468826415</v>
      </c>
      <c r="CN193" s="24">
        <f t="shared" si="1408"/>
        <v>414.14313836064758</v>
      </c>
      <c r="CO193" s="24">
        <f t="shared" si="1408"/>
        <v>401.87708545539368</v>
      </c>
      <c r="CP193" s="24">
        <f t="shared" si="1408"/>
        <v>480.65341191807164</v>
      </c>
      <c r="CQ193" s="24">
        <f t="shared" si="1408"/>
        <v>607.72783618913047</v>
      </c>
      <c r="CR193" s="24">
        <f t="shared" si="1408"/>
        <v>626.85523024583279</v>
      </c>
      <c r="CS193" s="24">
        <f t="shared" si="1408"/>
        <v>605.47159769565701</v>
      </c>
      <c r="CT193" s="24">
        <f t="shared" si="1408"/>
        <v>728.70164100036186</v>
      </c>
      <c r="CU193" s="24">
        <f t="shared" si="1408"/>
        <v>840.03884132193582</v>
      </c>
      <c r="CV193" s="24">
        <f t="shared" si="1408"/>
        <v>866.9140113721993</v>
      </c>
      <c r="CW193" s="24">
        <f t="shared" si="1408"/>
        <v>835.7395496258016</v>
      </c>
      <c r="CX193" s="24">
        <f t="shared" si="1408"/>
        <v>1008.567455181424</v>
      </c>
      <c r="CY193" s="24">
        <f t="shared" si="1408"/>
        <v>1170.3789538064254</v>
      </c>
      <c r="CZ193" s="24">
        <f t="shared" si="1408"/>
        <v>1208.4004279073388</v>
      </c>
      <c r="DA193" s="24">
        <f t="shared" si="1408"/>
        <v>1162.671418221006</v>
      </c>
      <c r="DB193" s="24">
        <f t="shared" si="1408"/>
        <v>1406.8976992516134</v>
      </c>
      <c r="DE193" s="123"/>
      <c r="DF193" s="23">
        <v>371.51610948481488</v>
      </c>
    </row>
    <row r="194" spans="1:110" s="23" customFormat="1" outlineLevel="1" x14ac:dyDescent="0.2">
      <c r="A194" s="23" t="s">
        <v>63</v>
      </c>
      <c r="B194" s="23">
        <f>'Annual Raw'!C79</f>
        <v>6.9180000000000005E-2</v>
      </c>
      <c r="C194" s="23">
        <f>'Annual Raw'!D79</f>
        <v>7.0940000000000003E-2</v>
      </c>
      <c r="D194" s="23">
        <f>'Annual Raw'!E79</f>
        <v>0.19148000000000001</v>
      </c>
      <c r="E194" s="23">
        <f>'Annual Raw'!F79</f>
        <v>0.28293200000000002</v>
      </c>
      <c r="F194" s="23">
        <f>'Annual Raw'!G79</f>
        <v>0.29893199999999998</v>
      </c>
      <c r="G194" s="23">
        <f>'Annual Raw'!H79</f>
        <v>0.30422199999999999</v>
      </c>
      <c r="H194" s="23">
        <f>'Annual Raw'!I79</f>
        <v>0.311722</v>
      </c>
      <c r="I194" s="23">
        <f>'Annual Raw'!J79</f>
        <v>0.32462200000000002</v>
      </c>
      <c r="J194" s="23">
        <f>'Annual Raw'!K79</f>
        <v>0.59109800000000001</v>
      </c>
      <c r="K194" s="23">
        <f>'Annual Raw'!L79</f>
        <v>0.85870299999999999</v>
      </c>
      <c r="L194" s="23">
        <f>'Annual Raw'!M79</f>
        <v>0</v>
      </c>
      <c r="M194" s="23">
        <f>'Annual Raw'!N79</f>
        <v>0</v>
      </c>
      <c r="N194" s="23">
        <f>'Annual Raw'!O79</f>
        <v>3.2336705000000001</v>
      </c>
      <c r="O194" s="23">
        <f>'Annual Raw'!P79</f>
        <v>9.3300999999999998</v>
      </c>
      <c r="P194" s="23">
        <f>'Annual Raw'!Q79</f>
        <v>13.254094500000001</v>
      </c>
      <c r="Q194" s="23">
        <f>'Annual Raw'!R79</f>
        <v>4.1071368000000001</v>
      </c>
      <c r="R194" s="23">
        <f>'Annual Raw'!S79</f>
        <v>3.5887669999999998</v>
      </c>
      <c r="S194" s="23">
        <f>'Annual Raw'!T79</f>
        <v>1.4310856000000001</v>
      </c>
      <c r="T194" s="23">
        <f>'Annual Raw'!U79</f>
        <v>1.9115424000000001</v>
      </c>
      <c r="U194" s="23">
        <f>'Annual Raw'!V79</f>
        <v>2.9232505</v>
      </c>
      <c r="V194" s="23">
        <f>'Annual Raw'!W79</f>
        <v>4.1199000000000003</v>
      </c>
      <c r="W194" s="23">
        <f>'Annual Raw'!X79</f>
        <v>2.9169</v>
      </c>
      <c r="X194" s="23">
        <f>'Annual Raw'!Y79</f>
        <v>18.032800000000002</v>
      </c>
      <c r="Y194" s="23">
        <f>'Annual Raw'!Z79</f>
        <v>27.2562</v>
      </c>
      <c r="Z194" s="23">
        <f>'Annual Raw'!AA79</f>
        <v>24.206299999999999</v>
      </c>
      <c r="AA194" s="23">
        <f>'Annual Raw'!AB79</f>
        <v>9.5846999999999998</v>
      </c>
      <c r="AB194" s="24">
        <f t="shared" si="1402"/>
        <v>450.23760497582407</v>
      </c>
      <c r="AC194" s="24">
        <f t="shared" si="1403"/>
        <v>682.58931165535785</v>
      </c>
      <c r="AD194" s="24">
        <f t="shared" si="1404"/>
        <v>944.74518274063041</v>
      </c>
      <c r="AE194" s="24">
        <f t="shared" si="1405"/>
        <v>1317.8690400412979</v>
      </c>
      <c r="AJ194" s="23">
        <f>+'QTR Raw'!D84</f>
        <v>0</v>
      </c>
      <c r="AK194" s="23">
        <f t="shared" si="1406"/>
        <v>0</v>
      </c>
      <c r="AL194" s="23">
        <f>+'QTR Raw'!F84</f>
        <v>0</v>
      </c>
      <c r="AM194" s="23">
        <f t="shared" si="1406"/>
        <v>0</v>
      </c>
      <c r="AN194" s="23">
        <f>+'QTR Raw'!H84</f>
        <v>0</v>
      </c>
      <c r="AO194" s="23">
        <f t="shared" si="1406"/>
        <v>0</v>
      </c>
      <c r="AP194" s="23">
        <f>+'QTR Raw'!J84</f>
        <v>0</v>
      </c>
      <c r="AQ194" s="23">
        <f t="shared" si="1406"/>
        <v>0</v>
      </c>
      <c r="AR194" s="23">
        <f>+'QTR Raw'!L84</f>
        <v>0</v>
      </c>
      <c r="AS194" s="23">
        <f t="shared" si="1406"/>
        <v>0</v>
      </c>
      <c r="AT194" s="23">
        <f>+'QTR Raw'!N84</f>
        <v>0</v>
      </c>
      <c r="AU194" s="23">
        <f t="shared" si="1406"/>
        <v>0</v>
      </c>
      <c r="AV194" s="23">
        <f>+'QTR Raw'!P84</f>
        <v>0</v>
      </c>
      <c r="AW194" s="23">
        <f t="shared" si="1406"/>
        <v>0</v>
      </c>
      <c r="AX194" s="23">
        <f>+'QTR Raw'!R84</f>
        <v>0</v>
      </c>
      <c r="AY194" s="23">
        <f t="shared" si="1406"/>
        <v>0</v>
      </c>
      <c r="AZ194" s="23">
        <f>+'QTR Raw'!T84</f>
        <v>0</v>
      </c>
      <c r="BA194" s="23">
        <f t="shared" si="1406"/>
        <v>0</v>
      </c>
      <c r="BB194" s="23">
        <f>+'QTR Raw'!V84</f>
        <v>52.786999999999999</v>
      </c>
      <c r="BC194" s="23">
        <f t="shared" si="1406"/>
        <v>52.786999999999999</v>
      </c>
      <c r="BD194" s="23">
        <f>+'QTR Raw'!X84</f>
        <v>0</v>
      </c>
      <c r="BE194" s="23">
        <f t="shared" si="1406"/>
        <v>0</v>
      </c>
      <c r="BF194" s="23">
        <f>+'QTR Raw'!Z84</f>
        <v>68.78</v>
      </c>
      <c r="BG194" s="23">
        <f t="shared" si="1406"/>
        <v>68.78</v>
      </c>
      <c r="BH194" s="23">
        <f>+'QTR Raw'!AB84</f>
        <v>0</v>
      </c>
      <c r="BI194" s="23">
        <f t="shared" si="1406"/>
        <v>0</v>
      </c>
      <c r="BJ194" s="23">
        <f>+'QTR Raw'!AD84</f>
        <v>98.635000000000005</v>
      </c>
      <c r="BK194" s="23">
        <f t="shared" si="1406"/>
        <v>98.635000000000005</v>
      </c>
      <c r="BL194" s="23">
        <f>+'QTR Raw'!AF84</f>
        <v>90.337000000000003</v>
      </c>
      <c r="BM194" s="23">
        <f t="shared" si="1406"/>
        <v>90.337000000000003</v>
      </c>
      <c r="BN194" s="23">
        <f>+'QTR Raw'!AH84</f>
        <v>88.052999999999997</v>
      </c>
      <c r="BO194" s="23">
        <f t="shared" si="1406"/>
        <v>88.052999999999997</v>
      </c>
      <c r="BP194" s="23">
        <f>+'QTR Raw'!AJ84</f>
        <v>148.126</v>
      </c>
      <c r="BQ194" s="23">
        <f t="shared" si="1406"/>
        <v>148.126</v>
      </c>
      <c r="BR194" s="23">
        <f>+'QTR Raw'!AL84</f>
        <v>141.84399999999999</v>
      </c>
      <c r="BS194" s="23">
        <f t="shared" si="1406"/>
        <v>141.84399999999999</v>
      </c>
      <c r="BT194" s="23">
        <f>+'QTR Raw'!AN84</f>
        <v>184.05099999999999</v>
      </c>
      <c r="BU194" s="23">
        <f t="shared" si="1406"/>
        <v>184.05099999999999</v>
      </c>
      <c r="BV194" s="23">
        <f>+'QTR Raw'!AP84</f>
        <v>45.030999999999999</v>
      </c>
      <c r="BW194" s="23">
        <f t="shared" si="1406"/>
        <v>45.030999999999999</v>
      </c>
      <c r="BX194" s="23">
        <f>+'QTR Raw'!AR84</f>
        <v>179.25700000000001</v>
      </c>
      <c r="BY194" s="23">
        <f t="shared" si="1406"/>
        <v>179.25700000000001</v>
      </c>
      <c r="BZ194" s="23">
        <f>+'QTR Raw'!AT84</f>
        <v>43.228999999999999</v>
      </c>
      <c r="CA194" s="23">
        <f t="shared" si="1406"/>
        <v>43.228999999999999</v>
      </c>
      <c r="CB194" s="23">
        <f>+'QTR Raw'!AV84</f>
        <v>41.805999999999997</v>
      </c>
      <c r="CC194" s="23">
        <f t="shared" si="1406"/>
        <v>41.805999999999997</v>
      </c>
      <c r="CD194" s="23">
        <f>+'QTR Raw'!AX84</f>
        <v>50.892000000000003</v>
      </c>
      <c r="CE194" s="23">
        <f t="shared" si="1406"/>
        <v>50.892000000000003</v>
      </c>
      <c r="CF194" s="23">
        <f>+'QTR Raw'!AZ84</f>
        <v>41.156999999999996</v>
      </c>
      <c r="CG194" s="23">
        <f t="shared" ref="CG194:CG195" si="1409">+CF194</f>
        <v>41.156999999999996</v>
      </c>
      <c r="CH194" s="23">
        <f t="shared" si="1384"/>
        <v>24.206299999999999</v>
      </c>
      <c r="CI194" s="23">
        <f>CI59/90*CI229</f>
        <v>110.41228151663617</v>
      </c>
      <c r="CJ194" s="23">
        <f>+'QTR Raw'!BD84</f>
        <v>78.307000000000002</v>
      </c>
      <c r="CK194" s="23">
        <f>CK59/90*CK229</f>
        <v>159.98957151037135</v>
      </c>
      <c r="CL194" s="23">
        <f>+'QTR Raw'!BF84</f>
        <v>76.555000000000007</v>
      </c>
      <c r="CM194" s="24">
        <f t="shared" ref="CM194:DB194" si="1410">CM59/90*CM229</f>
        <v>376.49725780610333</v>
      </c>
      <c r="CN194" s="24">
        <f t="shared" si="1410"/>
        <v>387.93610969821276</v>
      </c>
      <c r="CO194" s="24">
        <f t="shared" si="1410"/>
        <v>376.44625412737662</v>
      </c>
      <c r="CP194" s="24">
        <f t="shared" si="1410"/>
        <v>450.23760497582407</v>
      </c>
      <c r="CQ194" s="24">
        <f t="shared" si="1410"/>
        <v>569.27074407114253</v>
      </c>
      <c r="CR194" s="24">
        <f t="shared" si="1410"/>
        <v>587.187754282622</v>
      </c>
      <c r="CS194" s="24">
        <f t="shared" si="1410"/>
        <v>567.15728062665778</v>
      </c>
      <c r="CT194" s="24">
        <f t="shared" si="1410"/>
        <v>682.58931165535785</v>
      </c>
      <c r="CU194" s="24">
        <f t="shared" si="1410"/>
        <v>786.88108026563339</v>
      </c>
      <c r="CV194" s="24">
        <f t="shared" si="1410"/>
        <v>812.05558625418371</v>
      </c>
      <c r="CW194" s="24">
        <f t="shared" si="1410"/>
        <v>782.85384827608948</v>
      </c>
      <c r="CX194" s="24">
        <f t="shared" si="1410"/>
        <v>944.74518274063041</v>
      </c>
      <c r="CY194" s="24">
        <f t="shared" si="1410"/>
        <v>1096.3172298582062</v>
      </c>
      <c r="CZ194" s="24">
        <f t="shared" si="1410"/>
        <v>1131.9327004080408</v>
      </c>
      <c r="DA194" s="24">
        <f t="shared" si="1410"/>
        <v>1089.0974280713071</v>
      </c>
      <c r="DB194" s="24">
        <f t="shared" si="1410"/>
        <v>1317.8690400412979</v>
      </c>
      <c r="DE194" s="123"/>
      <c r="DF194" s="23">
        <v>212.85534805897464</v>
      </c>
    </row>
    <row r="195" spans="1:110" s="23" customFormat="1" outlineLevel="1" x14ac:dyDescent="0.2">
      <c r="A195" s="23" t="s">
        <v>64</v>
      </c>
      <c r="B195" s="23">
        <f>'Annual Raw'!C80</f>
        <v>1.6478668000000001</v>
      </c>
      <c r="C195" s="23">
        <f>'Annual Raw'!D80</f>
        <v>2.0083429000000002</v>
      </c>
      <c r="D195" s="23">
        <f>'Annual Raw'!E80</f>
        <v>3.4123728</v>
      </c>
      <c r="E195" s="23">
        <f>'Annual Raw'!F80</f>
        <v>2.8845592</v>
      </c>
      <c r="F195" s="23">
        <f>'Annual Raw'!G80</f>
        <v>4.5140241000000003</v>
      </c>
      <c r="G195" s="23">
        <f>'Annual Raw'!H80</f>
        <v>5.1024640000000003</v>
      </c>
      <c r="H195" s="23">
        <f>'Annual Raw'!I80</f>
        <v>10.189314100000001</v>
      </c>
      <c r="I195" s="23">
        <f>'Annual Raw'!J80</f>
        <v>14.7596591</v>
      </c>
      <c r="J195" s="23">
        <f>'Annual Raw'!K80</f>
        <v>10.9417776</v>
      </c>
      <c r="K195" s="23">
        <f>'Annual Raw'!L80</f>
        <v>24.281203399999999</v>
      </c>
      <c r="L195" s="23">
        <f>'Annual Raw'!M80</f>
        <v>31.443040400000001</v>
      </c>
      <c r="M195" s="23">
        <f>'Annual Raw'!N80</f>
        <v>42.0753348</v>
      </c>
      <c r="N195" s="23">
        <f>'Annual Raw'!O80</f>
        <v>33.657342700000001</v>
      </c>
      <c r="O195" s="23">
        <f>'Annual Raw'!P80</f>
        <v>23.2654</v>
      </c>
      <c r="P195" s="23">
        <f>'Annual Raw'!Q80</f>
        <v>23.802221200000002</v>
      </c>
      <c r="Q195" s="23">
        <f>'Annual Raw'!R80</f>
        <v>30.2760812</v>
      </c>
      <c r="R195" s="23">
        <f>'Annual Raw'!S80</f>
        <v>49.197957899999999</v>
      </c>
      <c r="S195" s="23">
        <f>'Annual Raw'!T80</f>
        <v>67.348450099999994</v>
      </c>
      <c r="T195" s="23">
        <f>'Annual Raw'!U80</f>
        <v>96.723288600000004</v>
      </c>
      <c r="U195" s="23">
        <f>'Annual Raw'!V80</f>
        <v>85.129458700000001</v>
      </c>
      <c r="V195" s="23">
        <f>'Annual Raw'!W80</f>
        <v>137.7243</v>
      </c>
      <c r="W195" s="23">
        <f>'Annual Raw'!X80</f>
        <v>42.113399999999999</v>
      </c>
      <c r="X195" s="23">
        <f>'Annual Raw'!Y80</f>
        <v>25.196200000000001</v>
      </c>
      <c r="Y195" s="23">
        <f>'Annual Raw'!Z80</f>
        <v>23.634799999999998</v>
      </c>
      <c r="Z195" s="23">
        <f>'Annual Raw'!AA80</f>
        <v>14.1097</v>
      </c>
      <c r="AA195" s="23">
        <f>'Annual Raw'!AB80</f>
        <v>11.6439</v>
      </c>
      <c r="AB195" s="24">
        <f t="shared" si="1402"/>
        <v>0</v>
      </c>
      <c r="AC195" s="24">
        <f t="shared" si="1403"/>
        <v>0</v>
      </c>
      <c r="AD195" s="24">
        <f t="shared" si="1404"/>
        <v>0</v>
      </c>
      <c r="AE195" s="24">
        <f t="shared" si="1405"/>
        <v>0</v>
      </c>
      <c r="AJ195" s="23">
        <f>+'QTR Raw'!D85</f>
        <v>40.427999999999997</v>
      </c>
      <c r="AK195" s="23">
        <f t="shared" si="1406"/>
        <v>40.427999999999997</v>
      </c>
      <c r="AL195" s="23">
        <f>+'QTR Raw'!F85</f>
        <v>36.880000000000003</v>
      </c>
      <c r="AM195" s="23">
        <f t="shared" si="1406"/>
        <v>36.880000000000003</v>
      </c>
      <c r="AN195" s="23">
        <f>+'QTR Raw'!H85</f>
        <v>32.167999999999999</v>
      </c>
      <c r="AO195" s="23">
        <f t="shared" si="1406"/>
        <v>32.167999999999999</v>
      </c>
      <c r="AP195" s="23">
        <f>+'QTR Raw'!J85</f>
        <v>32.58</v>
      </c>
      <c r="AQ195" s="23">
        <f t="shared" si="1406"/>
        <v>32.58</v>
      </c>
      <c r="AR195" s="23">
        <f>+'QTR Raw'!L85</f>
        <v>25.12</v>
      </c>
      <c r="AS195" s="23">
        <f t="shared" si="1406"/>
        <v>25.12</v>
      </c>
      <c r="AT195" s="23">
        <f>+'QTR Raw'!N85</f>
        <v>37.055999999999997</v>
      </c>
      <c r="AU195" s="23">
        <f t="shared" si="1406"/>
        <v>37.055999999999997</v>
      </c>
      <c r="AV195" s="23">
        <f>+'QTR Raw'!P85</f>
        <v>38.707999999999998</v>
      </c>
      <c r="AW195" s="23">
        <f t="shared" si="1406"/>
        <v>38.707999999999998</v>
      </c>
      <c r="AX195" s="23">
        <f>+'QTR Raw'!R85</f>
        <v>34.383000000000003</v>
      </c>
      <c r="AY195" s="23">
        <f t="shared" si="1406"/>
        <v>34.383000000000003</v>
      </c>
      <c r="AZ195" s="23">
        <f>+'QTR Raw'!T85</f>
        <v>17.847000000000001</v>
      </c>
      <c r="BA195" s="23">
        <f t="shared" si="1406"/>
        <v>17.847000000000001</v>
      </c>
      <c r="BB195" s="23">
        <f>+'QTR Raw'!V85</f>
        <v>0</v>
      </c>
      <c r="BC195" s="23">
        <f t="shared" si="1406"/>
        <v>0</v>
      </c>
      <c r="BD195" s="23">
        <f>+'QTR Raw'!X85</f>
        <v>61.662999999999997</v>
      </c>
      <c r="BE195" s="23">
        <f t="shared" si="1406"/>
        <v>61.662999999999997</v>
      </c>
      <c r="BF195" s="23">
        <f>+'QTR Raw'!Z85</f>
        <v>0</v>
      </c>
      <c r="BG195" s="23">
        <f t="shared" si="1406"/>
        <v>0</v>
      </c>
      <c r="BH195" s="23">
        <f>+'QTR Raw'!AB85</f>
        <v>0</v>
      </c>
      <c r="BI195" s="23">
        <f t="shared" si="1406"/>
        <v>0</v>
      </c>
      <c r="BJ195" s="23">
        <f>+'QTR Raw'!AD85</f>
        <v>0</v>
      </c>
      <c r="BK195" s="23">
        <f t="shared" si="1406"/>
        <v>0</v>
      </c>
      <c r="BL195" s="23">
        <f>+'QTR Raw'!AF85</f>
        <v>0</v>
      </c>
      <c r="BM195" s="23">
        <f t="shared" si="1406"/>
        <v>0</v>
      </c>
      <c r="BN195" s="23">
        <f>+'QTR Raw'!AH85</f>
        <v>0</v>
      </c>
      <c r="BO195" s="23">
        <f t="shared" si="1406"/>
        <v>0</v>
      </c>
      <c r="BP195" s="23">
        <f>+'QTR Raw'!AJ85</f>
        <v>0</v>
      </c>
      <c r="BQ195" s="23">
        <f t="shared" si="1406"/>
        <v>0</v>
      </c>
      <c r="BR195" s="23">
        <f>+'QTR Raw'!AL85</f>
        <v>0</v>
      </c>
      <c r="BS195" s="23">
        <f t="shared" si="1406"/>
        <v>0</v>
      </c>
      <c r="BT195" s="23">
        <f>+'QTR Raw'!AN85</f>
        <v>0</v>
      </c>
      <c r="BU195" s="23">
        <f t="shared" si="1406"/>
        <v>0</v>
      </c>
      <c r="BV195" s="23">
        <f>+'QTR Raw'!AP85</f>
        <v>0</v>
      </c>
      <c r="BW195" s="23">
        <f t="shared" si="1406"/>
        <v>0</v>
      </c>
      <c r="BX195" s="23">
        <f>+'QTR Raw'!AR85</f>
        <v>0</v>
      </c>
      <c r="BY195" s="23">
        <f t="shared" si="1406"/>
        <v>0</v>
      </c>
      <c r="BZ195" s="23">
        <f>+'QTR Raw'!AT85</f>
        <v>0</v>
      </c>
      <c r="CA195" s="23">
        <f t="shared" si="1406"/>
        <v>0</v>
      </c>
      <c r="CB195" s="23">
        <f>+'QTR Raw'!AV85</f>
        <v>0</v>
      </c>
      <c r="CC195" s="23">
        <f t="shared" si="1406"/>
        <v>0</v>
      </c>
      <c r="CD195" s="23">
        <f>+'QTR Raw'!AX85</f>
        <v>0</v>
      </c>
      <c r="CE195" s="23">
        <f t="shared" si="1406"/>
        <v>0</v>
      </c>
      <c r="CF195" s="23">
        <f>+'QTR Raw'!AZ85</f>
        <v>0</v>
      </c>
      <c r="CG195" s="23">
        <f t="shared" si="1409"/>
        <v>0</v>
      </c>
      <c r="CH195" s="23">
        <f t="shared" si="1384"/>
        <v>14.1097</v>
      </c>
      <c r="CJ195" s="23">
        <f>+'QTR Raw'!BD85</f>
        <v>0</v>
      </c>
      <c r="CL195" s="23">
        <f>+'QTR Raw'!BF85</f>
        <v>0</v>
      </c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23">
        <v>0</v>
      </c>
    </row>
    <row r="196" spans="1:110" s="22" customFormat="1" x14ac:dyDescent="0.2">
      <c r="A196" s="22" t="s">
        <v>65</v>
      </c>
      <c r="B196" s="22">
        <f>SUM(B190:B195)</f>
        <v>13.3762112</v>
      </c>
      <c r="C196" s="22">
        <f t="shared" ref="C196:V196" si="1411">SUM(C190:C195)</f>
        <v>13.709359300000001</v>
      </c>
      <c r="D196" s="22">
        <f t="shared" si="1411"/>
        <v>18.339995999999999</v>
      </c>
      <c r="E196" s="22">
        <f t="shared" si="1411"/>
        <v>29.666948300000001</v>
      </c>
      <c r="F196" s="22">
        <f t="shared" si="1411"/>
        <v>42.748533200000004</v>
      </c>
      <c r="G196" s="22">
        <f t="shared" si="1411"/>
        <v>56.946211499999997</v>
      </c>
      <c r="H196" s="22">
        <f t="shared" si="1411"/>
        <v>82.860105200000007</v>
      </c>
      <c r="I196" s="22">
        <f t="shared" si="1411"/>
        <v>107.93022920000001</v>
      </c>
      <c r="J196" s="22">
        <f t="shared" si="1411"/>
        <v>103.1417321</v>
      </c>
      <c r="K196" s="22">
        <f t="shared" si="1411"/>
        <v>123.86982069999999</v>
      </c>
      <c r="L196" s="22">
        <f>SUM(L190:L195)</f>
        <v>176.51228089999998</v>
      </c>
      <c r="M196" s="22">
        <f>SUM(M190:M195)</f>
        <v>232.6628528</v>
      </c>
      <c r="N196" s="22">
        <f t="shared" si="1411"/>
        <v>199.40876609999998</v>
      </c>
      <c r="O196" s="22">
        <f t="shared" si="1411"/>
        <v>257.03250000000003</v>
      </c>
      <c r="P196" s="22">
        <f t="shared" si="1411"/>
        <v>271.11014360000001</v>
      </c>
      <c r="Q196" s="22">
        <f t="shared" si="1411"/>
        <v>239.07646820000002</v>
      </c>
      <c r="R196" s="22">
        <f t="shared" si="1411"/>
        <v>280.94644259999995</v>
      </c>
      <c r="S196" s="22">
        <f t="shared" si="1411"/>
        <v>383.9503302</v>
      </c>
      <c r="T196" s="22">
        <f t="shared" si="1411"/>
        <v>435.74596459999998</v>
      </c>
      <c r="U196" s="22">
        <f t="shared" si="1411"/>
        <v>437.08755819999999</v>
      </c>
      <c r="V196" s="22">
        <f t="shared" si="1411"/>
        <v>574.16639999999995</v>
      </c>
      <c r="W196" s="22">
        <f t="shared" ref="W196" si="1412">SUM(W190:W195)</f>
        <v>871.59829999999999</v>
      </c>
      <c r="X196" s="22">
        <f t="shared" ref="X196:Y196" si="1413">SUM(X190:X195)</f>
        <v>760.4994999999999</v>
      </c>
      <c r="Y196" s="22">
        <f t="shared" si="1413"/>
        <v>705.77020000000016</v>
      </c>
      <c r="Z196" s="22">
        <f t="shared" ref="Z196:AA196" si="1414">SUM(Z190:Z195)</f>
        <v>657.74040000000014</v>
      </c>
      <c r="AA196" s="22">
        <f t="shared" si="1414"/>
        <v>600.90050000000008</v>
      </c>
      <c r="AB196" s="21">
        <f t="shared" ref="AA196:AD196" si="1415">SUM(AB190:AB195)</f>
        <v>1274.3189143693355</v>
      </c>
      <c r="AC196" s="21">
        <f t="shared" si="1415"/>
        <v>1931.9498437618827</v>
      </c>
      <c r="AD196" s="21">
        <f t="shared" si="1415"/>
        <v>2673.9362557029071</v>
      </c>
      <c r="AE196" s="21">
        <f t="shared" ref="AE196" si="1416">SUM(AE190:AE195)</f>
        <v>3729.9981739121085</v>
      </c>
      <c r="AJ196" s="22">
        <f t="shared" ref="AJ196" si="1417">SUM(AJ190:AJ195)</f>
        <v>213.971</v>
      </c>
      <c r="AK196" s="22">
        <f t="shared" ref="AK196" si="1418">SUM(AK190:AK195)</f>
        <v>189.08537053114412</v>
      </c>
      <c r="AL196" s="22">
        <f t="shared" ref="AL196:AM196" si="1419">SUM(AL190:AL195)</f>
        <v>200.14</v>
      </c>
      <c r="AM196" s="22">
        <f t="shared" si="1419"/>
        <v>198.57486853265479</v>
      </c>
      <c r="AN196" s="22">
        <f t="shared" ref="AN196:AO196" si="1420">SUM(AN190:AN195)</f>
        <v>241.899</v>
      </c>
      <c r="AO196" s="22">
        <f t="shared" si="1420"/>
        <v>211.71139395332079</v>
      </c>
      <c r="AP196" s="22">
        <f t="shared" ref="AP196:CE196" si="1421">SUM(AP190:AP195)</f>
        <v>257.76</v>
      </c>
      <c r="AQ196" s="22">
        <f t="shared" si="1421"/>
        <v>248.65338309037901</v>
      </c>
      <c r="AR196" s="22">
        <f t="shared" si="1421"/>
        <v>239.76</v>
      </c>
      <c r="AS196" s="22">
        <f t="shared" si="1421"/>
        <v>227.41516570289133</v>
      </c>
      <c r="AT196" s="22">
        <f t="shared" si="1421"/>
        <v>271.10999999999996</v>
      </c>
      <c r="AU196" s="22">
        <f t="shared" si="1421"/>
        <v>288.87482726107771</v>
      </c>
      <c r="AV196" s="22">
        <f t="shared" si="1421"/>
        <v>218.744</v>
      </c>
      <c r="AW196" s="22">
        <f t="shared" si="1421"/>
        <v>207.61613619198303</v>
      </c>
      <c r="AX196" s="22">
        <f t="shared" si="1421"/>
        <v>239.07600000000002</v>
      </c>
      <c r="AY196" s="22">
        <f t="shared" si="1421"/>
        <v>241.16457930919503</v>
      </c>
      <c r="AZ196" s="22">
        <f t="shared" si="1421"/>
        <v>208.214</v>
      </c>
      <c r="BA196" s="22">
        <f t="shared" si="1421"/>
        <v>216.32396581489505</v>
      </c>
      <c r="BB196" s="22">
        <f t="shared" si="1421"/>
        <v>280.947</v>
      </c>
      <c r="BC196" s="22">
        <f t="shared" si="1421"/>
        <v>288.95800838247703</v>
      </c>
      <c r="BD196" s="22">
        <f t="shared" si="1421"/>
        <v>301.053</v>
      </c>
      <c r="BE196" s="22">
        <f t="shared" si="1421"/>
        <v>319.36760701717765</v>
      </c>
      <c r="BF196" s="22">
        <f t="shared" si="1421"/>
        <v>384.48799999999994</v>
      </c>
      <c r="BG196" s="22">
        <f t="shared" si="1421"/>
        <v>389.15272250398493</v>
      </c>
      <c r="BH196" s="22">
        <f t="shared" si="1421"/>
        <v>431.899</v>
      </c>
      <c r="BI196" s="22">
        <f t="shared" si="1421"/>
        <v>464.28109913516164</v>
      </c>
      <c r="BJ196" s="22">
        <f t="shared" si="1421"/>
        <v>436.28299999999996</v>
      </c>
      <c r="BK196" s="22">
        <f t="shared" si="1421"/>
        <v>430.97074614885639</v>
      </c>
      <c r="BL196" s="22">
        <f t="shared" si="1421"/>
        <v>380.85899999999998</v>
      </c>
      <c r="BM196" s="22">
        <f t="shared" si="1421"/>
        <v>381.18440950394495</v>
      </c>
      <c r="BN196" s="22">
        <f t="shared" si="1421"/>
        <v>437.52300000000002</v>
      </c>
      <c r="BO196" s="22">
        <f t="shared" si="1421"/>
        <v>394.48263730539827</v>
      </c>
      <c r="BP196" s="22">
        <f t="shared" si="1421"/>
        <v>519.88699999999994</v>
      </c>
      <c r="BQ196" s="22">
        <f t="shared" si="1421"/>
        <v>654.4163089717938</v>
      </c>
      <c r="BR196" s="22">
        <f t="shared" si="1421"/>
        <v>574.49199999999996</v>
      </c>
      <c r="BS196" s="22">
        <f t="shared" si="1421"/>
        <v>611.27725582923131</v>
      </c>
      <c r="BT196" s="22">
        <f t="shared" si="1421"/>
        <v>843.69399999999996</v>
      </c>
      <c r="BU196" s="22">
        <f t="shared" si="1421"/>
        <v>891.65099323420804</v>
      </c>
      <c r="BV196" s="22">
        <f t="shared" si="1421"/>
        <v>871.59899999999993</v>
      </c>
      <c r="BW196" s="22">
        <f t="shared" si="1421"/>
        <v>757.14927028855686</v>
      </c>
      <c r="BX196" s="22">
        <f t="shared" si="1421"/>
        <v>1148.6220000000001</v>
      </c>
      <c r="BY196" s="22">
        <f t="shared" si="1421"/>
        <v>1086.3362277207846</v>
      </c>
      <c r="BZ196" s="22">
        <f t="shared" si="1421"/>
        <v>760.5</v>
      </c>
      <c r="CA196" s="22">
        <f t="shared" si="1421"/>
        <v>749.35068319350012</v>
      </c>
      <c r="CB196" s="22">
        <f t="shared" si="1421"/>
        <v>677.90900000000011</v>
      </c>
      <c r="CC196" s="22">
        <f t="shared" si="1421"/>
        <v>682.21433629225544</v>
      </c>
      <c r="CD196" s="22">
        <f t="shared" si="1421"/>
        <v>705.77200000000005</v>
      </c>
      <c r="CE196" s="22">
        <f t="shared" si="1421"/>
        <v>663.01562664366793</v>
      </c>
      <c r="CF196" s="22">
        <f t="shared" ref="CF196:CG196" si="1422">SUM(CF190:CF195)</f>
        <v>665.94600000000003</v>
      </c>
      <c r="CG196" s="22">
        <f t="shared" si="1422"/>
        <v>608.29999124488666</v>
      </c>
      <c r="CH196" s="22">
        <f t="shared" ref="CH196:CI196" si="1423">SUM(CH190:CH195)</f>
        <v>657.74040000000014</v>
      </c>
      <c r="CI196" s="22">
        <f t="shared" si="1423"/>
        <v>668.2070963359871</v>
      </c>
      <c r="CJ196" s="22">
        <f t="shared" ref="CJ196:DB196" si="1424">SUM(CJ190:CJ195)</f>
        <v>748.99399999999991</v>
      </c>
      <c r="CK196" s="22">
        <f t="shared" si="1424"/>
        <v>728.64778710446546</v>
      </c>
      <c r="CL196" s="22">
        <f t="shared" ref="CL196" si="1425">SUM(CL190:CL195)</f>
        <v>916.94900000000007</v>
      </c>
      <c r="CM196" s="21">
        <f t="shared" si="1424"/>
        <v>1065.6097392315055</v>
      </c>
      <c r="CN196" s="21">
        <f t="shared" si="1424"/>
        <v>1097.9854119067525</v>
      </c>
      <c r="CO196" s="21">
        <f t="shared" si="1424"/>
        <v>1065.4653822258142</v>
      </c>
      <c r="CP196" s="21">
        <f t="shared" si="1424"/>
        <v>1274.3189143693355</v>
      </c>
      <c r="CQ196" s="21">
        <f t="shared" si="1424"/>
        <v>1611.2214274192288</v>
      </c>
      <c r="CR196" s="21">
        <f t="shared" si="1424"/>
        <v>1661.9323959147696</v>
      </c>
      <c r="CS196" s="21">
        <f t="shared" si="1424"/>
        <v>1605.2396382208794</v>
      </c>
      <c r="CT196" s="21">
        <f t="shared" si="1424"/>
        <v>1931.9498437618827</v>
      </c>
      <c r="CU196" s="21">
        <f t="shared" si="1424"/>
        <v>2227.129481989215</v>
      </c>
      <c r="CV196" s="21">
        <f t="shared" si="1424"/>
        <v>2298.3815248807373</v>
      </c>
      <c r="CW196" s="21">
        <f t="shared" si="1424"/>
        <v>2215.7311051319452</v>
      </c>
      <c r="CX196" s="21">
        <f t="shared" si="1424"/>
        <v>2673.9362557029071</v>
      </c>
      <c r="CY196" s="21">
        <f t="shared" si="1424"/>
        <v>3102.9344655303121</v>
      </c>
      <c r="CZ196" s="21">
        <f t="shared" si="1424"/>
        <v>3203.7378352716187</v>
      </c>
      <c r="DA196" s="21">
        <f t="shared" si="1424"/>
        <v>3082.5000773908832</v>
      </c>
      <c r="DB196" s="21">
        <f t="shared" si="1424"/>
        <v>3729.9981739121085</v>
      </c>
      <c r="DE196" s="126"/>
      <c r="DF196" s="22">
        <v>969.41679930975079</v>
      </c>
    </row>
    <row r="197" spans="1:110" s="23" customFormat="1" outlineLevel="1" x14ac:dyDescent="0.2">
      <c r="A197" s="23" t="s">
        <v>66</v>
      </c>
      <c r="B197" s="23">
        <f>'Annual Raw'!C50+'Annual Raw'!C58</f>
        <v>0</v>
      </c>
      <c r="C197" s="23">
        <f>'Annual Raw'!D50+'Annual Raw'!D58</f>
        <v>0</v>
      </c>
      <c r="D197" s="23">
        <f>'Annual Raw'!E50+'Annual Raw'!E58</f>
        <v>0</v>
      </c>
      <c r="E197" s="23">
        <f>'Annual Raw'!F50+'Annual Raw'!F58</f>
        <v>0</v>
      </c>
      <c r="F197" s="23">
        <f>'Annual Raw'!G50+'Annual Raw'!G58</f>
        <v>0</v>
      </c>
      <c r="G197" s="23">
        <f>'Annual Raw'!H50+'Annual Raw'!H58</f>
        <v>0</v>
      </c>
      <c r="H197" s="23">
        <f>'Annual Raw'!I50+'Annual Raw'!I58</f>
        <v>0</v>
      </c>
      <c r="I197" s="23">
        <f>'Annual Raw'!J50+'Annual Raw'!J58</f>
        <v>0</v>
      </c>
      <c r="J197" s="23">
        <f>'Annual Raw'!K50+'Annual Raw'!K58</f>
        <v>0</v>
      </c>
      <c r="K197" s="23">
        <f>'Annual Raw'!L50+'Annual Raw'!L58</f>
        <v>0</v>
      </c>
      <c r="L197" s="23">
        <f>'Annual Raw'!M50+'Annual Raw'!M58</f>
        <v>0</v>
      </c>
      <c r="M197" s="23">
        <f>'Annual Raw'!N50+'Annual Raw'!N58</f>
        <v>0</v>
      </c>
      <c r="N197" s="23">
        <f>'Annual Raw'!O50+'Annual Raw'!O58</f>
        <v>0</v>
      </c>
      <c r="O197" s="23">
        <f>'Annual Raw'!P50+'Annual Raw'!P58</f>
        <v>3.3555000000000001</v>
      </c>
      <c r="P197" s="23">
        <f>'Annual Raw'!Q50+'Annual Raw'!Q58</f>
        <v>0.84643139999999994</v>
      </c>
      <c r="Q197" s="23">
        <f>'Annual Raw'!R50+'Annual Raw'!R58</f>
        <v>2.5000000000000001E-2</v>
      </c>
      <c r="R197" s="23">
        <f>'Annual Raw'!S50+'Annual Raw'!S58</f>
        <v>0.34250000000000003</v>
      </c>
      <c r="S197" s="23">
        <f>'Annual Raw'!T50+'Annual Raw'!T58</f>
        <v>0.55248430000000004</v>
      </c>
      <c r="T197" s="23">
        <f>'Annual Raw'!U50+'Annual Raw'!U58</f>
        <v>3.1935600000000002</v>
      </c>
      <c r="U197" s="23">
        <f>'Annual Raw'!V50+'Annual Raw'!V58</f>
        <v>5.0024820999999999</v>
      </c>
      <c r="V197" s="23">
        <f>'Annual Raw'!W50+'Annual Raw'!W58</f>
        <v>3.8416999999999999</v>
      </c>
      <c r="W197" s="23">
        <f>'Annual Raw'!X50+'Annual Raw'!X58</f>
        <v>3.6907999999999999</v>
      </c>
      <c r="X197" s="23">
        <f>'Annual Raw'!Y50+'Annual Raw'!Y58</f>
        <v>1.9718</v>
      </c>
      <c r="Y197" s="23">
        <f>'Annual Raw'!Z50+'Annual Raw'!Z58</f>
        <v>1.6631</v>
      </c>
      <c r="Z197" s="23">
        <f>'Annual Raw'!AA50+'Annual Raw'!AA58</f>
        <v>1.4366000000000001</v>
      </c>
      <c r="AA197" s="23">
        <f>'Annual Raw'!AB50+'Annual Raw'!AB58</f>
        <v>6.6561000000000003</v>
      </c>
      <c r="AB197" s="24">
        <f t="shared" ref="AB197:AB203" si="1426">+CP197</f>
        <v>0</v>
      </c>
      <c r="AC197" s="24">
        <f t="shared" ref="AC197:AC203" si="1427">+CT197</f>
        <v>0</v>
      </c>
      <c r="AD197" s="24">
        <f t="shared" ref="AD197:AD203" si="1428">+CX197</f>
        <v>0</v>
      </c>
      <c r="AE197" s="24">
        <f t="shared" ref="AE197:AE203" si="1429">+DB197</f>
        <v>0</v>
      </c>
      <c r="AJ197" s="23">
        <f>+'QTR Raw'!D64</f>
        <v>2.5110000000000001</v>
      </c>
      <c r="AK197" s="23">
        <f t="shared" ref="AK197:CE203" si="1430">+AJ197</f>
        <v>2.5110000000000001</v>
      </c>
      <c r="AL197" s="23">
        <f>+'QTR Raw'!F64</f>
        <v>5.85</v>
      </c>
      <c r="AM197" s="23">
        <f t="shared" si="1430"/>
        <v>5.85</v>
      </c>
      <c r="AN197" s="23">
        <f>+'QTR Raw'!H64</f>
        <v>3.548</v>
      </c>
      <c r="AO197" s="23">
        <f t="shared" si="1430"/>
        <v>3.548</v>
      </c>
      <c r="AP197" s="23">
        <f>+'QTR Raw'!J64</f>
        <v>5.04</v>
      </c>
      <c r="AQ197" s="23">
        <f t="shared" si="1430"/>
        <v>5.04</v>
      </c>
      <c r="AR197" s="23">
        <f>+'QTR Raw'!L64</f>
        <v>2.98</v>
      </c>
      <c r="AS197" s="23">
        <f t="shared" si="1430"/>
        <v>2.98</v>
      </c>
      <c r="AT197" s="23">
        <f>+'QTR Raw'!N64</f>
        <v>16.349</v>
      </c>
      <c r="AU197" s="23">
        <f t="shared" si="1430"/>
        <v>16.349</v>
      </c>
      <c r="AV197" s="23">
        <f>+'QTR Raw'!P64</f>
        <v>1.5960000000000001</v>
      </c>
      <c r="AW197" s="23">
        <f t="shared" si="1430"/>
        <v>1.5960000000000001</v>
      </c>
      <c r="AX197" s="23">
        <f>+'QTR Raw'!R64</f>
        <v>12.028</v>
      </c>
      <c r="AY197" s="23">
        <f t="shared" si="1430"/>
        <v>12.028</v>
      </c>
      <c r="AZ197" s="23">
        <f>+'QTR Raw'!T64</f>
        <v>1.2050000000000001</v>
      </c>
      <c r="BA197" s="23">
        <f t="shared" si="1430"/>
        <v>1.2050000000000001</v>
      </c>
      <c r="BB197" s="23">
        <f>+'QTR Raw'!V64</f>
        <v>0</v>
      </c>
      <c r="BC197" s="23">
        <f t="shared" si="1430"/>
        <v>0</v>
      </c>
      <c r="BD197" s="23">
        <f>+'QTR Raw'!X64</f>
        <v>0.96</v>
      </c>
      <c r="BE197" s="23">
        <f t="shared" si="1430"/>
        <v>0.96</v>
      </c>
      <c r="BF197" s="23">
        <f>+'QTR Raw'!Z64</f>
        <v>0.55300000000000005</v>
      </c>
      <c r="BG197" s="23">
        <f t="shared" si="1430"/>
        <v>0.55300000000000005</v>
      </c>
      <c r="BH197" s="23">
        <f>+'QTR Raw'!AB64</f>
        <v>116.407</v>
      </c>
      <c r="BI197" s="23">
        <f t="shared" si="1430"/>
        <v>116.407</v>
      </c>
      <c r="BJ197" s="23">
        <f>+'QTR Raw'!AD64</f>
        <v>3.194</v>
      </c>
      <c r="BK197" s="23">
        <f t="shared" si="1430"/>
        <v>3.194</v>
      </c>
      <c r="BL197" s="23">
        <f>+'QTR Raw'!AF64</f>
        <v>4.2869999999999999</v>
      </c>
      <c r="BM197" s="23">
        <f t="shared" si="1430"/>
        <v>4.2869999999999999</v>
      </c>
      <c r="BN197" s="23">
        <f>+'QTR Raw'!AH64</f>
        <v>5.0030000000000001</v>
      </c>
      <c r="BO197" s="23">
        <f t="shared" si="1430"/>
        <v>5.0030000000000001</v>
      </c>
      <c r="BP197" s="23">
        <f>+'QTR Raw'!AJ64</f>
        <v>2.84</v>
      </c>
      <c r="BQ197" s="23">
        <f t="shared" si="1430"/>
        <v>2.84</v>
      </c>
      <c r="BR197" s="23">
        <f>+'QTR Raw'!AL64</f>
        <v>3.8410000000000002</v>
      </c>
      <c r="BS197" s="23">
        <f t="shared" si="1430"/>
        <v>3.8410000000000002</v>
      </c>
      <c r="BT197" s="23">
        <f>+'QTR Raw'!AN64</f>
        <v>1.718</v>
      </c>
      <c r="BU197" s="23">
        <f t="shared" si="1430"/>
        <v>1.718</v>
      </c>
      <c r="BV197" s="23">
        <f>+'QTR Raw'!AP64</f>
        <v>3.6909999999999998</v>
      </c>
      <c r="BW197" s="23">
        <f t="shared" si="1430"/>
        <v>3.6909999999999998</v>
      </c>
      <c r="BX197" s="23">
        <f>+'QTR Raw'!AR64</f>
        <v>3.4460000000000002</v>
      </c>
      <c r="BY197" s="23">
        <f t="shared" si="1430"/>
        <v>3.4460000000000002</v>
      </c>
      <c r="BZ197" s="23">
        <f>+'QTR Raw'!AT64</f>
        <v>1.9710000000000001</v>
      </c>
      <c r="CA197" s="23">
        <f t="shared" si="1430"/>
        <v>1.9710000000000001</v>
      </c>
      <c r="CB197" s="23">
        <f>+'QTR Raw'!AV64</f>
        <v>3.8</v>
      </c>
      <c r="CC197" s="23">
        <f t="shared" si="1430"/>
        <v>3.8</v>
      </c>
      <c r="CD197" s="23">
        <f>+'QTR Raw'!AX64</f>
        <v>1.663</v>
      </c>
      <c r="CE197" s="23">
        <f t="shared" si="1430"/>
        <v>1.663</v>
      </c>
      <c r="CF197" s="23">
        <f>+'QTR Raw'!AZ64</f>
        <v>1.595</v>
      </c>
      <c r="CG197" s="23">
        <f t="shared" ref="CG197:CG200" si="1431">+CF197</f>
        <v>1.595</v>
      </c>
      <c r="CH197" s="23">
        <f t="shared" si="1384"/>
        <v>1.4366000000000001</v>
      </c>
      <c r="CJ197" s="23">
        <f>+'QTR Raw'!BD64</f>
        <v>1.375</v>
      </c>
      <c r="CL197" s="23">
        <f>+'QTR Raw'!BF64</f>
        <v>6.6559999999999997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6.6559999999999997</v>
      </c>
    </row>
    <row r="198" spans="1:110" s="23" customFormat="1" outlineLevel="1" x14ac:dyDescent="0.2">
      <c r="A198" s="23" t="s">
        <v>67</v>
      </c>
      <c r="B198" s="23">
        <f>'Annual Raw'!C51</f>
        <v>0</v>
      </c>
      <c r="C198" s="23">
        <f>'Annual Raw'!D51</f>
        <v>0</v>
      </c>
      <c r="D198" s="23">
        <f>'Annual Raw'!E51</f>
        <v>0</v>
      </c>
      <c r="E198" s="23">
        <f>'Annual Raw'!F51</f>
        <v>0</v>
      </c>
      <c r="F198" s="23">
        <f>'Annual Raw'!G51</f>
        <v>0</v>
      </c>
      <c r="G198" s="23">
        <f>'Annual Raw'!H51</f>
        <v>0</v>
      </c>
      <c r="H198" s="23">
        <f>'Annual Raw'!I51</f>
        <v>0</v>
      </c>
      <c r="I198" s="23">
        <f>'Annual Raw'!J51</f>
        <v>0</v>
      </c>
      <c r="J198" s="23">
        <f>'Annual Raw'!K51</f>
        <v>0</v>
      </c>
      <c r="K198" s="23">
        <f>'Annual Raw'!L51</f>
        <v>0</v>
      </c>
      <c r="L198" s="23">
        <f>'Annual Raw'!M51</f>
        <v>0.64716260000000003</v>
      </c>
      <c r="M198" s="23">
        <f>'Annual Raw'!N51</f>
        <v>3.6880997</v>
      </c>
      <c r="N198" s="23">
        <f>'Annual Raw'!O51</f>
        <v>5.8545819999999997</v>
      </c>
      <c r="O198" s="23">
        <f>'Annual Raw'!P51</f>
        <v>1.6859</v>
      </c>
      <c r="P198" s="23">
        <f>'Annual Raw'!Q51</f>
        <v>15.502913599999999</v>
      </c>
      <c r="Q198" s="23">
        <f>'Annual Raw'!R51</f>
        <v>12.0233448</v>
      </c>
      <c r="R198" s="23">
        <f>'Annual Raw'!S51</f>
        <v>5.4861338000000002</v>
      </c>
      <c r="S198" s="23">
        <f>'Annual Raw'!T51</f>
        <v>12.7867421</v>
      </c>
      <c r="T198" s="23">
        <f>'Annual Raw'!U51</f>
        <v>13.175122399999999</v>
      </c>
      <c r="U198" s="23">
        <f>'Annual Raw'!V51</f>
        <v>11.7541531</v>
      </c>
      <c r="V198" s="23">
        <f>'Annual Raw'!W51</f>
        <v>17.668500000000002</v>
      </c>
      <c r="W198" s="23">
        <f>'Annual Raw'!X51</f>
        <v>0</v>
      </c>
      <c r="X198" s="23">
        <f>'Annual Raw'!Y51</f>
        <v>0</v>
      </c>
      <c r="Y198" s="23">
        <f>'Annual Raw'!Z51</f>
        <v>0</v>
      </c>
      <c r="Z198" s="23">
        <f>'Annual Raw'!AA51</f>
        <v>0</v>
      </c>
      <c r="AA198" s="23">
        <f>'Annual Raw'!AB51</f>
        <v>0</v>
      </c>
      <c r="AB198" s="24">
        <f t="shared" si="1426"/>
        <v>0</v>
      </c>
      <c r="AC198" s="24">
        <f t="shared" si="1427"/>
        <v>0</v>
      </c>
      <c r="AD198" s="24">
        <f t="shared" si="1428"/>
        <v>0</v>
      </c>
      <c r="AE198" s="24">
        <f t="shared" si="1429"/>
        <v>0</v>
      </c>
      <c r="AJ198" s="23">
        <f>+'QTR Raw'!D65</f>
        <v>0</v>
      </c>
      <c r="AK198" s="23">
        <f t="shared" si="1430"/>
        <v>0</v>
      </c>
      <c r="AL198" s="23">
        <f>+'QTR Raw'!F65</f>
        <v>0</v>
      </c>
      <c r="AM198" s="23">
        <f t="shared" si="1430"/>
        <v>0</v>
      </c>
      <c r="AN198" s="23">
        <f>+'QTR Raw'!H65</f>
        <v>0</v>
      </c>
      <c r="AO198" s="23">
        <f t="shared" si="1430"/>
        <v>0</v>
      </c>
      <c r="AP198" s="23">
        <f>+'QTR Raw'!J65</f>
        <v>0</v>
      </c>
      <c r="AQ198" s="23">
        <f t="shared" si="1430"/>
        <v>0</v>
      </c>
      <c r="AR198" s="23">
        <f>+'QTR Raw'!L65</f>
        <v>0</v>
      </c>
      <c r="AS198" s="23">
        <f t="shared" si="1430"/>
        <v>0</v>
      </c>
      <c r="AT198" s="23">
        <f>+'QTR Raw'!N65</f>
        <v>0</v>
      </c>
      <c r="AU198" s="23">
        <f t="shared" si="1430"/>
        <v>0</v>
      </c>
      <c r="AV198" s="23">
        <f>+'QTR Raw'!P65</f>
        <v>0</v>
      </c>
      <c r="AW198" s="23">
        <f t="shared" si="1430"/>
        <v>0</v>
      </c>
      <c r="AX198" s="23">
        <f>+'QTR Raw'!R65</f>
        <v>0</v>
      </c>
      <c r="AY198" s="23">
        <f t="shared" si="1430"/>
        <v>0</v>
      </c>
      <c r="AZ198" s="23">
        <f>+'QTR Raw'!T65</f>
        <v>0</v>
      </c>
      <c r="BA198" s="23">
        <f t="shared" si="1430"/>
        <v>0</v>
      </c>
      <c r="BB198" s="23">
        <f>+'QTR Raw'!V65</f>
        <v>5.8289999999999997</v>
      </c>
      <c r="BC198" s="23">
        <f t="shared" si="1430"/>
        <v>5.8289999999999997</v>
      </c>
      <c r="BD198" s="23">
        <f>+'QTR Raw'!X65</f>
        <v>1.986</v>
      </c>
      <c r="BE198" s="23">
        <f t="shared" si="1430"/>
        <v>1.986</v>
      </c>
      <c r="BF198" s="23">
        <f>+'QTR Raw'!Z65</f>
        <v>12.787000000000001</v>
      </c>
      <c r="BG198" s="23">
        <f t="shared" si="1430"/>
        <v>12.787000000000001</v>
      </c>
      <c r="BH198" s="23">
        <f>+'QTR Raw'!AB65</f>
        <v>2.0950000000000002</v>
      </c>
      <c r="BI198" s="23">
        <f t="shared" si="1430"/>
        <v>2.0950000000000002</v>
      </c>
      <c r="BJ198" s="23">
        <f>+'QTR Raw'!AD65</f>
        <v>13.175000000000001</v>
      </c>
      <c r="BK198" s="23">
        <f t="shared" si="1430"/>
        <v>13.175000000000001</v>
      </c>
      <c r="BL198" s="23">
        <f>+'QTR Raw'!AF65</f>
        <v>11.521000000000001</v>
      </c>
      <c r="BM198" s="23">
        <f t="shared" si="1430"/>
        <v>11.521000000000001</v>
      </c>
      <c r="BN198" s="23">
        <f>+'QTR Raw'!AH65</f>
        <v>11.755000000000001</v>
      </c>
      <c r="BO198" s="23">
        <f t="shared" si="1430"/>
        <v>11.755000000000001</v>
      </c>
      <c r="BP198" s="23">
        <f>+'QTR Raw'!AJ65</f>
        <v>13.151</v>
      </c>
      <c r="BQ198" s="23">
        <f t="shared" si="1430"/>
        <v>13.151</v>
      </c>
      <c r="BR198" s="23">
        <f>+'QTR Raw'!AL65</f>
        <v>17.667999999999999</v>
      </c>
      <c r="BS198" s="23">
        <f t="shared" si="1430"/>
        <v>17.667999999999999</v>
      </c>
      <c r="BT198" s="23">
        <f>+'QTR Raw'!AN65</f>
        <v>6.13</v>
      </c>
      <c r="BU198" s="23">
        <f t="shared" si="1430"/>
        <v>6.13</v>
      </c>
      <c r="BV198" s="23">
        <f>+'QTR Raw'!AP65</f>
        <v>0</v>
      </c>
      <c r="BW198" s="23">
        <f t="shared" si="1430"/>
        <v>0</v>
      </c>
      <c r="BX198" s="23">
        <f>+'QTR Raw'!AR65</f>
        <v>0</v>
      </c>
      <c r="BY198" s="23">
        <f t="shared" si="1430"/>
        <v>0</v>
      </c>
      <c r="BZ198" s="23">
        <f>+'QTR Raw'!AT65</f>
        <v>0</v>
      </c>
      <c r="CA198" s="23">
        <f t="shared" si="1430"/>
        <v>0</v>
      </c>
      <c r="CB198" s="23">
        <f>+'QTR Raw'!AV65</f>
        <v>0</v>
      </c>
      <c r="CC198" s="23">
        <f t="shared" si="1430"/>
        <v>0</v>
      </c>
      <c r="CD198" s="23">
        <f>+'QTR Raw'!AX65</f>
        <v>0</v>
      </c>
      <c r="CE198" s="23">
        <f t="shared" si="1430"/>
        <v>0</v>
      </c>
      <c r="CF198" s="23">
        <f>+'QTR Raw'!AZ65</f>
        <v>0</v>
      </c>
      <c r="CG198" s="23">
        <f t="shared" si="1431"/>
        <v>0</v>
      </c>
      <c r="CH198" s="23">
        <f t="shared" si="1384"/>
        <v>0</v>
      </c>
      <c r="CJ198" s="23">
        <f>+'QTR Raw'!BD65</f>
        <v>0</v>
      </c>
      <c r="CL198" s="23">
        <f>+'QTR Raw'!BF65</f>
        <v>0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0</v>
      </c>
    </row>
    <row r="199" spans="1:110" s="23" customFormat="1" outlineLevel="1" x14ac:dyDescent="0.2">
      <c r="A199" s="23" t="s">
        <v>68</v>
      </c>
      <c r="B199" s="23">
        <f>'Annual Raw'!C52</f>
        <v>0</v>
      </c>
      <c r="C199" s="23">
        <f>'Annual Raw'!D52</f>
        <v>0</v>
      </c>
      <c r="D199" s="23">
        <f>'Annual Raw'!E52</f>
        <v>0</v>
      </c>
      <c r="E199" s="23">
        <f>'Annual Raw'!F52</f>
        <v>0</v>
      </c>
      <c r="F199" s="23">
        <f>'Annual Raw'!G52</f>
        <v>0</v>
      </c>
      <c r="G199" s="23">
        <f>'Annual Raw'!H52</f>
        <v>0</v>
      </c>
      <c r="H199" s="23">
        <f>'Annual Raw'!I52</f>
        <v>0</v>
      </c>
      <c r="I199" s="23">
        <f>'Annual Raw'!J52</f>
        <v>0</v>
      </c>
      <c r="J199" s="23">
        <f>'Annual Raw'!K52</f>
        <v>0</v>
      </c>
      <c r="K199" s="23">
        <f>'Annual Raw'!L52</f>
        <v>0</v>
      </c>
      <c r="L199" s="23">
        <f>'Annual Raw'!M52</f>
        <v>0</v>
      </c>
      <c r="M199" s="23">
        <f>'Annual Raw'!N52</f>
        <v>0</v>
      </c>
      <c r="N199" s="23">
        <f>'Annual Raw'!O52</f>
        <v>0</v>
      </c>
      <c r="O199" s="23">
        <f>'Annual Raw'!P52</f>
        <v>0</v>
      </c>
      <c r="P199" s="23">
        <f>'Annual Raw'!Q52</f>
        <v>0</v>
      </c>
      <c r="Q199" s="23">
        <f>'Annual Raw'!R52</f>
        <v>0</v>
      </c>
      <c r="R199" s="23">
        <f>'Annual Raw'!S52</f>
        <v>0</v>
      </c>
      <c r="S199" s="23">
        <f>'Annual Raw'!T52</f>
        <v>0</v>
      </c>
      <c r="T199" s="23">
        <f>'Annual Raw'!U52</f>
        <v>0</v>
      </c>
      <c r="U199" s="23">
        <f>'Annual Raw'!V52</f>
        <v>0</v>
      </c>
      <c r="V199" s="23">
        <f>'Annual Raw'!W52</f>
        <v>0</v>
      </c>
      <c r="W199" s="23">
        <f>'Annual Raw'!X52</f>
        <v>0.65490000000000004</v>
      </c>
      <c r="X199" s="23">
        <f>'Annual Raw'!Y52</f>
        <v>1.8246</v>
      </c>
      <c r="Y199" s="23">
        <f>'Annual Raw'!Z52</f>
        <v>4.4397000000000002</v>
      </c>
      <c r="Z199" s="23">
        <f>'Annual Raw'!AA52</f>
        <v>2.665</v>
      </c>
      <c r="AA199" s="23">
        <f>'Annual Raw'!AB52</f>
        <v>3.2256</v>
      </c>
      <c r="AB199" s="24">
        <f t="shared" si="1426"/>
        <v>0</v>
      </c>
      <c r="AC199" s="24">
        <f t="shared" si="1427"/>
        <v>0</v>
      </c>
      <c r="AD199" s="24">
        <f t="shared" si="1428"/>
        <v>0</v>
      </c>
      <c r="AE199" s="24">
        <f t="shared" si="1429"/>
        <v>0</v>
      </c>
      <c r="AJ199" s="23">
        <f>+'QTR Raw'!D66</f>
        <v>0</v>
      </c>
      <c r="AK199" s="23">
        <f t="shared" si="1430"/>
        <v>0</v>
      </c>
      <c r="AL199" s="23">
        <f>+'QTR Raw'!F66</f>
        <v>0</v>
      </c>
      <c r="AM199" s="23">
        <f t="shared" si="1430"/>
        <v>0</v>
      </c>
      <c r="AN199" s="23">
        <f>+'QTR Raw'!H66</f>
        <v>0</v>
      </c>
      <c r="AO199" s="23">
        <f t="shared" si="1430"/>
        <v>0</v>
      </c>
      <c r="AP199" s="23">
        <f>+'QTR Raw'!J66</f>
        <v>0</v>
      </c>
      <c r="AQ199" s="23">
        <f t="shared" si="1430"/>
        <v>0</v>
      </c>
      <c r="AR199" s="23">
        <f>+'QTR Raw'!L66</f>
        <v>0</v>
      </c>
      <c r="AS199" s="23">
        <f t="shared" si="1430"/>
        <v>0</v>
      </c>
      <c r="AT199" s="23">
        <f>+'QTR Raw'!N66</f>
        <v>0</v>
      </c>
      <c r="AU199" s="23">
        <f t="shared" si="1430"/>
        <v>0</v>
      </c>
      <c r="AV199" s="23">
        <f>+'QTR Raw'!P66</f>
        <v>0</v>
      </c>
      <c r="AW199" s="23">
        <f t="shared" si="1430"/>
        <v>0</v>
      </c>
      <c r="AX199" s="23">
        <f>+'QTR Raw'!R66</f>
        <v>0</v>
      </c>
      <c r="AY199" s="23">
        <f t="shared" si="1430"/>
        <v>0</v>
      </c>
      <c r="AZ199" s="23">
        <f>+'QTR Raw'!T66</f>
        <v>0</v>
      </c>
      <c r="BA199" s="23">
        <f t="shared" si="1430"/>
        <v>0</v>
      </c>
      <c r="BB199" s="23">
        <f>+'QTR Raw'!V66</f>
        <v>0</v>
      </c>
      <c r="BC199" s="23">
        <f t="shared" si="1430"/>
        <v>0</v>
      </c>
      <c r="BD199" s="23">
        <f>+'QTR Raw'!X66</f>
        <v>0</v>
      </c>
      <c r="BE199" s="23">
        <f t="shared" si="1430"/>
        <v>0</v>
      </c>
      <c r="BF199" s="23">
        <f>+'QTR Raw'!Z66</f>
        <v>0</v>
      </c>
      <c r="BG199" s="23">
        <f t="shared" si="1430"/>
        <v>0</v>
      </c>
      <c r="BH199" s="23">
        <f>+'QTR Raw'!AB66</f>
        <v>0</v>
      </c>
      <c r="BI199" s="23">
        <f t="shared" si="1430"/>
        <v>0</v>
      </c>
      <c r="BJ199" s="23">
        <f>+'QTR Raw'!AD66</f>
        <v>0</v>
      </c>
      <c r="BK199" s="23">
        <f t="shared" si="1430"/>
        <v>0</v>
      </c>
      <c r="BL199" s="23">
        <f>+'QTR Raw'!AF66</f>
        <v>0</v>
      </c>
      <c r="BM199" s="23">
        <f t="shared" si="1430"/>
        <v>0</v>
      </c>
      <c r="BN199" s="23">
        <f>+'QTR Raw'!AH66</f>
        <v>0</v>
      </c>
      <c r="BO199" s="23">
        <f t="shared" si="1430"/>
        <v>0</v>
      </c>
      <c r="BP199" s="23">
        <f>+'QTR Raw'!AJ66</f>
        <v>0</v>
      </c>
      <c r="BQ199" s="23">
        <f t="shared" si="1430"/>
        <v>0</v>
      </c>
      <c r="BR199" s="23">
        <f>+'QTR Raw'!AL66</f>
        <v>0</v>
      </c>
      <c r="BS199" s="23">
        <f t="shared" si="1430"/>
        <v>0</v>
      </c>
      <c r="BT199" s="23">
        <f>+'QTR Raw'!AN66</f>
        <v>0</v>
      </c>
      <c r="BU199" s="23">
        <f t="shared" si="1430"/>
        <v>0</v>
      </c>
      <c r="BV199" s="23">
        <f>+'QTR Raw'!AP66</f>
        <v>0.65500000000000003</v>
      </c>
      <c r="BW199" s="23">
        <f t="shared" si="1430"/>
        <v>0.65500000000000003</v>
      </c>
      <c r="BX199" s="23">
        <f>+'QTR Raw'!AR66</f>
        <v>0.129</v>
      </c>
      <c r="BY199" s="23">
        <f t="shared" si="1430"/>
        <v>0.129</v>
      </c>
      <c r="BZ199" s="23">
        <f>+'QTR Raw'!AT66</f>
        <v>1.825</v>
      </c>
      <c r="CA199" s="23">
        <f t="shared" si="1430"/>
        <v>1.825</v>
      </c>
      <c r="CB199" s="23">
        <f>+'QTR Raw'!AV66</f>
        <v>1.675</v>
      </c>
      <c r="CC199" s="23">
        <f t="shared" si="1430"/>
        <v>1.675</v>
      </c>
      <c r="CD199" s="23">
        <f>+'QTR Raw'!AX66</f>
        <v>4.4400000000000004</v>
      </c>
      <c r="CE199" s="23">
        <f t="shared" si="1430"/>
        <v>4.4400000000000004</v>
      </c>
      <c r="CF199" s="23">
        <f>+'QTR Raw'!AZ66</f>
        <v>1.893</v>
      </c>
      <c r="CG199" s="23">
        <f t="shared" si="1431"/>
        <v>1.893</v>
      </c>
      <c r="CH199" s="23">
        <f t="shared" si="1384"/>
        <v>2.665</v>
      </c>
      <c r="CJ199" s="23">
        <f>+'QTR Raw'!BD66</f>
        <v>3.7570000000000001</v>
      </c>
      <c r="CL199" s="23">
        <f>+'QTR Raw'!BF66</f>
        <v>3.4569999999999999</v>
      </c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  <c r="DF199" s="23">
        <v>3.4569999999999999</v>
      </c>
    </row>
    <row r="200" spans="1:110" s="23" customFormat="1" outlineLevel="1" x14ac:dyDescent="0.2">
      <c r="A200" s="23" t="s">
        <v>69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0</v>
      </c>
      <c r="Z200" s="23">
        <v>0</v>
      </c>
      <c r="AA200" s="23">
        <v>0</v>
      </c>
      <c r="AB200" s="24">
        <f t="shared" si="1426"/>
        <v>360.02692873369671</v>
      </c>
      <c r="AC200" s="24">
        <f t="shared" si="1427"/>
        <v>545.82409542384266</v>
      </c>
      <c r="AD200" s="24">
        <f t="shared" si="1428"/>
        <v>755.4537933283649</v>
      </c>
      <c r="AE200" s="24">
        <f t="shared" si="1429"/>
        <v>1053.817668083879</v>
      </c>
      <c r="AJ200" s="23">
        <f>+'QTR Raw'!D87</f>
        <v>69.477000000000004</v>
      </c>
      <c r="AK200" s="23">
        <f t="shared" si="1430"/>
        <v>69.477000000000004</v>
      </c>
      <c r="AL200" s="23">
        <f>+'QTR Raw'!F87</f>
        <v>0</v>
      </c>
      <c r="AM200" s="23">
        <f t="shared" si="1430"/>
        <v>0</v>
      </c>
      <c r="AN200" s="23">
        <f>+'QTR Raw'!H87</f>
        <v>0</v>
      </c>
      <c r="AO200" s="23">
        <f t="shared" si="1430"/>
        <v>0</v>
      </c>
      <c r="AP200" s="23">
        <f>+'QTR Raw'!J87</f>
        <v>0</v>
      </c>
      <c r="AQ200" s="23">
        <f t="shared" si="1430"/>
        <v>0</v>
      </c>
      <c r="AR200" s="23">
        <f>+'QTR Raw'!L87</f>
        <v>0</v>
      </c>
      <c r="AS200" s="23">
        <f t="shared" si="1430"/>
        <v>0</v>
      </c>
      <c r="AT200" s="23">
        <f>+'QTR Raw'!N87</f>
        <v>0</v>
      </c>
      <c r="AU200" s="23">
        <f t="shared" si="1430"/>
        <v>0</v>
      </c>
      <c r="AV200" s="23">
        <f>+'QTR Raw'!P87</f>
        <v>0</v>
      </c>
      <c r="AW200" s="23">
        <f t="shared" si="1430"/>
        <v>0</v>
      </c>
      <c r="AX200" s="23">
        <f>+'QTR Raw'!R87</f>
        <v>0</v>
      </c>
      <c r="AY200" s="23">
        <f t="shared" si="1430"/>
        <v>0</v>
      </c>
      <c r="AZ200" s="23">
        <f>+'QTR Raw'!T87</f>
        <v>0</v>
      </c>
      <c r="BA200" s="23">
        <f t="shared" si="1430"/>
        <v>0</v>
      </c>
      <c r="BB200" s="23">
        <f>+'QTR Raw'!V87</f>
        <v>0</v>
      </c>
      <c r="BC200" s="23">
        <f t="shared" si="1430"/>
        <v>0</v>
      </c>
      <c r="BD200" s="23">
        <f>+'QTR Raw'!X87</f>
        <v>0</v>
      </c>
      <c r="BE200" s="23">
        <f t="shared" si="1430"/>
        <v>0</v>
      </c>
      <c r="BF200" s="23">
        <f>+'QTR Raw'!Z87</f>
        <v>0</v>
      </c>
      <c r="BG200" s="23">
        <f t="shared" si="1430"/>
        <v>0</v>
      </c>
      <c r="BH200" s="23">
        <f>+'QTR Raw'!AB87</f>
        <v>0</v>
      </c>
      <c r="BI200" s="23">
        <f t="shared" si="1430"/>
        <v>0</v>
      </c>
      <c r="BJ200" s="23">
        <f>+'QTR Raw'!AD87</f>
        <v>0</v>
      </c>
      <c r="BK200" s="23">
        <f t="shared" si="1430"/>
        <v>0</v>
      </c>
      <c r="BL200" s="23">
        <f>+'QTR Raw'!AF87</f>
        <v>0</v>
      </c>
      <c r="BM200" s="23">
        <f t="shared" si="1430"/>
        <v>0</v>
      </c>
      <c r="BN200" s="23">
        <f>+'QTR Raw'!AH87</f>
        <v>0</v>
      </c>
      <c r="BO200" s="23">
        <f t="shared" si="1430"/>
        <v>0</v>
      </c>
      <c r="BP200" s="23">
        <f>+'QTR Raw'!AJ87</f>
        <v>0</v>
      </c>
      <c r="BQ200" s="23">
        <f t="shared" si="1430"/>
        <v>0</v>
      </c>
      <c r="BR200" s="23">
        <f>+'QTR Raw'!AL87</f>
        <v>0</v>
      </c>
      <c r="BS200" s="23">
        <f t="shared" si="1430"/>
        <v>0</v>
      </c>
      <c r="BT200" s="23">
        <f>+'QTR Raw'!AN87</f>
        <v>0</v>
      </c>
      <c r="BU200" s="23">
        <f t="shared" si="1430"/>
        <v>0</v>
      </c>
      <c r="BV200" s="23">
        <f>+'QTR Raw'!AP87</f>
        <v>0</v>
      </c>
      <c r="BW200" s="23">
        <f t="shared" si="1430"/>
        <v>0</v>
      </c>
      <c r="BX200" s="23">
        <f>+'QTR Raw'!AR87</f>
        <v>0</v>
      </c>
      <c r="BY200" s="23">
        <f t="shared" si="1430"/>
        <v>0</v>
      </c>
      <c r="BZ200" s="23">
        <f>+'QTR Raw'!AT87</f>
        <v>0</v>
      </c>
      <c r="CA200" s="23">
        <f t="shared" si="1430"/>
        <v>0</v>
      </c>
      <c r="CB200" s="23">
        <f>+'QTR Raw'!AV87</f>
        <v>0</v>
      </c>
      <c r="CC200" s="23">
        <f t="shared" si="1430"/>
        <v>0</v>
      </c>
      <c r="CD200" s="23">
        <f>+'QTR Raw'!AX87</f>
        <v>0</v>
      </c>
      <c r="CE200" s="23">
        <f t="shared" si="1430"/>
        <v>0</v>
      </c>
      <c r="CF200" s="23">
        <f>+'QTR Raw'!AZ87</f>
        <v>0</v>
      </c>
      <c r="CG200" s="23">
        <f t="shared" si="1431"/>
        <v>0</v>
      </c>
      <c r="CH200" s="23">
        <f t="shared" si="1384"/>
        <v>0</v>
      </c>
      <c r="CI200" s="23">
        <f>CI59/90*CI232</f>
        <v>56.468819164625458</v>
      </c>
      <c r="CJ200" s="23">
        <f>+'QTR Raw'!BD87</f>
        <v>0</v>
      </c>
      <c r="CK200" s="23">
        <f>CK59/90*CK232</f>
        <v>65.671245521976076</v>
      </c>
      <c r="CL200" s="23">
        <f>+'QTR Raw'!BF87</f>
        <v>0</v>
      </c>
      <c r="CM200" s="24">
        <f t="shared" ref="CM200:DB200" si="1432">CM59/90*CM232</f>
        <v>301.0613727208962</v>
      </c>
      <c r="CN200" s="24">
        <f t="shared" si="1432"/>
        <v>310.20830907059741</v>
      </c>
      <c r="CO200" s="24">
        <f t="shared" si="1432"/>
        <v>301.02058826041764</v>
      </c>
      <c r="CP200" s="24">
        <f t="shared" si="1432"/>
        <v>360.02692873369671</v>
      </c>
      <c r="CQ200" s="24">
        <f t="shared" si="1432"/>
        <v>455.21030527177948</v>
      </c>
      <c r="CR200" s="24">
        <f t="shared" si="1432"/>
        <v>469.53742074867432</v>
      </c>
      <c r="CS200" s="24">
        <f t="shared" si="1432"/>
        <v>453.52030038436084</v>
      </c>
      <c r="CT200" s="24">
        <f t="shared" si="1432"/>
        <v>545.82409542384266</v>
      </c>
      <c r="CU200" s="24">
        <f t="shared" si="1432"/>
        <v>629.21971749094894</v>
      </c>
      <c r="CV200" s="24">
        <f t="shared" si="1432"/>
        <v>649.3501996481034</v>
      </c>
      <c r="CW200" s="24">
        <f t="shared" si="1432"/>
        <v>625.99939127103778</v>
      </c>
      <c r="CX200" s="24">
        <f t="shared" si="1432"/>
        <v>755.4537933283649</v>
      </c>
      <c r="CY200" s="24">
        <f t="shared" si="1432"/>
        <v>876.65650496892226</v>
      </c>
      <c r="CZ200" s="24">
        <f t="shared" si="1432"/>
        <v>905.13597522141447</v>
      </c>
      <c r="DA200" s="24">
        <f t="shared" si="1432"/>
        <v>870.88327982140731</v>
      </c>
      <c r="DB200" s="24">
        <f t="shared" si="1432"/>
        <v>1053.817668083879</v>
      </c>
      <c r="DE200" s="123"/>
      <c r="DF200" s="23">
        <v>87.371168577324696</v>
      </c>
    </row>
    <row r="201" spans="1:110" s="23" customFormat="1" outlineLevel="1" x14ac:dyDescent="0.2">
      <c r="A201" s="23" t="s">
        <v>70</v>
      </c>
      <c r="B201" s="23">
        <f>'Annual Raw'!C54</f>
        <v>2.1610390000000002</v>
      </c>
      <c r="C201" s="23">
        <f>'Annual Raw'!D54</f>
        <v>4.6054418999999998</v>
      </c>
      <c r="D201" s="23">
        <f>'Annual Raw'!E54</f>
        <v>3.6953743999999999</v>
      </c>
      <c r="E201" s="23">
        <f>'Annual Raw'!F54</f>
        <v>9.1018372000000003</v>
      </c>
      <c r="F201" s="23">
        <f>'Annual Raw'!G54</f>
        <v>14.837998000000001</v>
      </c>
      <c r="G201" s="23">
        <f>'Annual Raw'!H54</f>
        <v>16.177962099999998</v>
      </c>
      <c r="H201" s="23">
        <f>'Annual Raw'!I54</f>
        <v>21.024138799999999</v>
      </c>
      <c r="I201" s="23">
        <f>'Annual Raw'!J54</f>
        <v>33.519081300000003</v>
      </c>
      <c r="J201" s="23">
        <f>'Annual Raw'!K54</f>
        <v>23.246120600000001</v>
      </c>
      <c r="K201" s="23">
        <f>'Annual Raw'!L54</f>
        <v>31.779258899999999</v>
      </c>
      <c r="L201" s="23">
        <f>'Annual Raw'!M54</f>
        <v>33.453783199999997</v>
      </c>
      <c r="M201" s="23">
        <f>'Annual Raw'!N54</f>
        <v>34.711083899999998</v>
      </c>
      <c r="N201" s="23">
        <f>'Annual Raw'!O54</f>
        <v>35.506759700000003</v>
      </c>
      <c r="O201" s="23">
        <f>'Annual Raw'!P54</f>
        <v>86.346000000000004</v>
      </c>
      <c r="P201" s="23">
        <f>'Annual Raw'!Q54</f>
        <v>47.550501099999998</v>
      </c>
      <c r="Q201" s="23">
        <f>'Annual Raw'!R54</f>
        <v>48.473997900000001</v>
      </c>
      <c r="R201" s="23">
        <f>'Annual Raw'!S54</f>
        <v>51.471691900000003</v>
      </c>
      <c r="S201" s="23">
        <f>'Annual Raw'!T54</f>
        <v>71.844287899999998</v>
      </c>
      <c r="T201" s="23">
        <f>'Annual Raw'!U54</f>
        <v>85.050261599999999</v>
      </c>
      <c r="U201" s="23">
        <f>'Annual Raw'!V54</f>
        <v>59.362182400000002</v>
      </c>
      <c r="V201" s="23">
        <f>'Annual Raw'!W54</f>
        <v>76.796000000000006</v>
      </c>
      <c r="W201" s="23">
        <f>'Annual Raw'!X54</f>
        <v>180.88149999999999</v>
      </c>
      <c r="X201" s="23">
        <f>'Annual Raw'!Y54</f>
        <v>62.104500000000002</v>
      </c>
      <c r="Y201" s="23">
        <f>'Annual Raw'!Z54</f>
        <v>77.790899999999993</v>
      </c>
      <c r="Z201" s="23">
        <f>'Annual Raw'!AA54</f>
        <v>69.115399999999994</v>
      </c>
      <c r="AA201" s="23">
        <f>'Annual Raw'!AB54</f>
        <v>49.924799999999998</v>
      </c>
      <c r="AB201" s="24">
        <f t="shared" si="1426"/>
        <v>118.1471905048096</v>
      </c>
      <c r="AC201" s="24">
        <f t="shared" si="1427"/>
        <v>179.11877761748215</v>
      </c>
      <c r="AD201" s="24">
        <f t="shared" si="1428"/>
        <v>247.91129805728224</v>
      </c>
      <c r="AE201" s="24">
        <f t="shared" si="1429"/>
        <v>345.82301170181108</v>
      </c>
      <c r="AJ201" s="23">
        <f>+'QTR Raw'!D89</f>
        <v>0</v>
      </c>
      <c r="AK201" s="23">
        <f>+AK231*AK59/90</f>
        <v>0</v>
      </c>
      <c r="AL201" s="23">
        <f>+'QTR Raw'!F89</f>
        <v>35.51</v>
      </c>
      <c r="AM201" s="23">
        <f>+AM231*AM59/90</f>
        <v>35.163634435962678</v>
      </c>
      <c r="AN201" s="23">
        <f>+'QTR Raw'!H89</f>
        <v>91.858999999999995</v>
      </c>
      <c r="AO201" s="23">
        <f>+AO231*AO59/90</f>
        <v>78.449893114884404</v>
      </c>
      <c r="AP201" s="23">
        <f>+'QTR Raw'!J89</f>
        <v>86.97</v>
      </c>
      <c r="AQ201" s="23">
        <f>+AQ231*AQ59/90</f>
        <v>83.404990670553929</v>
      </c>
      <c r="AR201" s="23">
        <f>+'QTR Raw'!L89</f>
        <v>66.510000000000005</v>
      </c>
      <c r="AS201" s="23">
        <f>+AS231*AS59/90</f>
        <v>62.631244666002004</v>
      </c>
      <c r="AT201" s="23">
        <f>+'QTR Raw'!N89</f>
        <v>47.551000000000002</v>
      </c>
      <c r="AU201" s="23">
        <f>+AU231*AU59/90</f>
        <v>51.196138369191338</v>
      </c>
      <c r="AV201" s="23">
        <f>+'QTR Raw'!P89</f>
        <v>39.421999999999997</v>
      </c>
      <c r="AW201" s="23">
        <f>+AW231*AW59/90</f>
        <v>36.944210911064658</v>
      </c>
      <c r="AX201" s="23">
        <f>+'QTR Raw'!R89</f>
        <v>49.337000000000003</v>
      </c>
      <c r="AY201" s="23">
        <f>+AY231*AY59/90</f>
        <v>49.846177252896872</v>
      </c>
      <c r="AZ201" s="23">
        <f>+'QTR Raw'!T89</f>
        <v>37.728999999999999</v>
      </c>
      <c r="BA201" s="23">
        <f>+BA231*BA59/90</f>
        <v>39.497420171825894</v>
      </c>
      <c r="BB201" s="23">
        <f>+'QTR Raw'!V89</f>
        <v>51.472000000000001</v>
      </c>
      <c r="BC201" s="23">
        <f>+BC231*BC59/90</f>
        <v>53.318842255140034</v>
      </c>
      <c r="BD201" s="23">
        <f>+'QTR Raw'!X89</f>
        <v>57.914000000000001</v>
      </c>
      <c r="BE201" s="23">
        <f>+BE231*BE59/90</f>
        <v>62.993190673585431</v>
      </c>
      <c r="BF201" s="23">
        <f>+'QTR Raw'!Z89</f>
        <v>71.626000000000005</v>
      </c>
      <c r="BG201" s="23">
        <f>+BG231*BG59/90</f>
        <v>72.902345770491564</v>
      </c>
      <c r="BH201" s="23">
        <f>+'QTR Raw'!AB89</f>
        <v>79.808999999999997</v>
      </c>
      <c r="BI201" s="23">
        <f>+BI231*BI59/90</f>
        <v>88.099373331915814</v>
      </c>
      <c r="BJ201" s="23">
        <f>+'QTR Raw'!AD89</f>
        <v>85.05</v>
      </c>
      <c r="BK201" s="23">
        <f>+BK231*BK59/90</f>
        <v>83.682420649454357</v>
      </c>
      <c r="BL201" s="23">
        <f>+'QTR Raw'!AF89</f>
        <v>25.834</v>
      </c>
      <c r="BM201" s="23">
        <f>+BM231*BM59/90</f>
        <v>25.863784020452975</v>
      </c>
      <c r="BN201" s="23">
        <f>+'QTR Raw'!AH89</f>
        <v>59.362000000000002</v>
      </c>
      <c r="BO201" s="23">
        <f>+BO231*BO59/90</f>
        <v>51.282941010049335</v>
      </c>
      <c r="BP201" s="23">
        <f>+'QTR Raw'!AJ89</f>
        <v>63.823999999999998</v>
      </c>
      <c r="BQ201" s="23">
        <f>+BQ231*BQ59/90</f>
        <v>88.62763124103617</v>
      </c>
      <c r="BR201" s="23">
        <f>+'QTR Raw'!AL89</f>
        <v>76.796999999999997</v>
      </c>
      <c r="BS201" s="23">
        <f>+BS231*BS59/90</f>
        <v>83.594460254471855</v>
      </c>
      <c r="BT201" s="23">
        <f>+'QTR Raw'!AN89</f>
        <v>88.512</v>
      </c>
      <c r="BU201" s="23">
        <f>+BU231*BU59/90</f>
        <v>95.105283936903334</v>
      </c>
      <c r="BV201" s="23">
        <f>+'QTR Raw'!AP89</f>
        <v>180.88200000000001</v>
      </c>
      <c r="BW201" s="23">
        <f>+BW231*BW59/90</f>
        <v>155.33999649395287</v>
      </c>
      <c r="BX201" s="23">
        <f>+'QTR Raw'!AR89</f>
        <v>84.06</v>
      </c>
      <c r="BY201" s="23">
        <f>+BY231*BY59/90</f>
        <v>78.486432935282465</v>
      </c>
      <c r="BZ201" s="23">
        <f>+'QTR Raw'!AT89</f>
        <v>62.104999999999997</v>
      </c>
      <c r="CA201" s="23">
        <f>+CA231*CA59/90</f>
        <v>61.087647652181296</v>
      </c>
      <c r="CB201" s="23">
        <f>+'QTR Raw'!AV89</f>
        <v>42.148000000000003</v>
      </c>
      <c r="CC201" s="23">
        <f>+CC231*CC59/90</f>
        <v>42.459670850151369</v>
      </c>
      <c r="CD201" s="23">
        <f>+'QTR Raw'!AX89</f>
        <v>77.790999999999997</v>
      </c>
      <c r="CE201" s="23">
        <f>+CE231*CE59/90</f>
        <v>72.305148092584133</v>
      </c>
      <c r="CF201" s="23">
        <f>+'QTR Raw'!AZ89</f>
        <v>54.143999999999998</v>
      </c>
      <c r="CG201" s="23">
        <f>+CG231*CG59/90</f>
        <v>48.812841309605837</v>
      </c>
      <c r="CH201" s="23">
        <f t="shared" si="1384"/>
        <v>69.115399999999994</v>
      </c>
      <c r="CI201" s="23">
        <f>+CI231*CI59/90</f>
        <v>70.215241067904998</v>
      </c>
      <c r="CJ201" s="23">
        <f>+'QTR Raw'!BD89</f>
        <v>70.769000000000005</v>
      </c>
      <c r="CK201" s="23">
        <f>+CK231*CK59/90</f>
        <v>68.846579873264588</v>
      </c>
      <c r="CL201" s="23">
        <f>+'QTR Raw'!BF89</f>
        <v>85.013999999999996</v>
      </c>
      <c r="CM201" s="24">
        <f t="shared" ref="CM201:DB201" si="1433">+CM231*CM59/90</f>
        <v>98.796930222975504</v>
      </c>
      <c r="CN201" s="24">
        <f t="shared" si="1433"/>
        <v>101.7986080009255</v>
      </c>
      <c r="CO201" s="24">
        <f t="shared" si="1433"/>
        <v>98.78354630905902</v>
      </c>
      <c r="CP201" s="24">
        <f t="shared" si="1433"/>
        <v>118.1471905048096</v>
      </c>
      <c r="CQ201" s="24">
        <f t="shared" si="1433"/>
        <v>149.38276657765951</v>
      </c>
      <c r="CR201" s="24">
        <f t="shared" si="1433"/>
        <v>154.0843827806107</v>
      </c>
      <c r="CS201" s="24">
        <f t="shared" si="1433"/>
        <v>148.82817103645874</v>
      </c>
      <c r="CT201" s="24">
        <f t="shared" si="1433"/>
        <v>179.11877761748215</v>
      </c>
      <c r="CU201" s="24">
        <f t="shared" si="1433"/>
        <v>206.48605951021386</v>
      </c>
      <c r="CV201" s="24">
        <f t="shared" si="1433"/>
        <v>213.09212066997287</v>
      </c>
      <c r="CW201" s="24">
        <f t="shared" si="1433"/>
        <v>205.42927051743024</v>
      </c>
      <c r="CX201" s="24">
        <f t="shared" si="1433"/>
        <v>247.91129805728224</v>
      </c>
      <c r="CY201" s="24">
        <f t="shared" si="1433"/>
        <v>287.6854335983723</v>
      </c>
      <c r="CZ201" s="24">
        <f t="shared" si="1433"/>
        <v>297.03131616674568</v>
      </c>
      <c r="DA201" s="24">
        <f t="shared" si="1433"/>
        <v>285.7908799500392</v>
      </c>
      <c r="DB201" s="24">
        <f t="shared" si="1433"/>
        <v>345.82301170181108</v>
      </c>
      <c r="DE201" s="123"/>
      <c r="DF201" s="23">
        <v>91.595737042421931</v>
      </c>
    </row>
    <row r="202" spans="1:110" s="23" customFormat="1" outlineLevel="1" x14ac:dyDescent="0.2">
      <c r="A202" s="23" t="s">
        <v>71</v>
      </c>
      <c r="B202" s="23">
        <f>'Annual Raw'!C55-Template!B175</f>
        <v>0.13945569999999999</v>
      </c>
      <c r="C202" s="23">
        <f>'Annual Raw'!D55-Template!C175</f>
        <v>7.5809500000000002E-2</v>
      </c>
      <c r="D202" s="23">
        <f>'Annual Raw'!E55-Template!D175</f>
        <v>0</v>
      </c>
      <c r="E202" s="23">
        <f>'Annual Raw'!F55-Template!E175</f>
        <v>0</v>
      </c>
      <c r="F202" s="23">
        <f>'Annual Raw'!G55-Template!F175</f>
        <v>0</v>
      </c>
      <c r="G202" s="23">
        <f>'Annual Raw'!H55-Template!G175</f>
        <v>0</v>
      </c>
      <c r="H202" s="23">
        <f>'Annual Raw'!I55-Template!H175</f>
        <v>0</v>
      </c>
      <c r="I202" s="23">
        <f>'Annual Raw'!J55-Template!I175</f>
        <v>0</v>
      </c>
      <c r="J202" s="23">
        <f>'Annual Raw'!K55-Template!J175</f>
        <v>1.7900697999999999</v>
      </c>
      <c r="K202" s="23">
        <f>'Annual Raw'!L55-Template!K175</f>
        <v>0.63089130000000004</v>
      </c>
      <c r="L202" s="23">
        <f>'Annual Raw'!M55-Template!L175</f>
        <v>4.2253108000000026</v>
      </c>
      <c r="M202" s="23">
        <f>'Annual Raw'!N55-Template!M175</f>
        <v>7.1752679000000015</v>
      </c>
      <c r="N202" s="23">
        <f>'Annual Raw'!O55-Template!N175</f>
        <v>5.5742767999999963</v>
      </c>
      <c r="O202" s="23">
        <f>'Annual Raw'!P55-Template!O175</f>
        <v>9.4405000000000001</v>
      </c>
      <c r="P202" s="23">
        <f>'Annual Raw'!Q55-Template!P175</f>
        <v>9.8057122999999962</v>
      </c>
      <c r="Q202" s="23">
        <f>'Annual Raw'!R55-Template!Q175</f>
        <v>8.0408042999999978</v>
      </c>
      <c r="R202" s="23">
        <f>'Annual Raw'!S55-Template!R175</f>
        <v>0.24260190000000037</v>
      </c>
      <c r="S202" s="23">
        <f>'Annual Raw'!T55-Template!S175</f>
        <v>0.27558469999999957</v>
      </c>
      <c r="T202" s="23">
        <f>'Annual Raw'!U55-Template!T175</f>
        <v>0.88646370000000019</v>
      </c>
      <c r="U202" s="23">
        <f>'Annual Raw'!V55-Template!U175</f>
        <v>4.2643875000000016</v>
      </c>
      <c r="V202" s="23">
        <f>'Annual Raw'!W55-Template!V175</f>
        <v>6.4230000000000018</v>
      </c>
      <c r="W202" s="23">
        <f>'Annual Raw'!X55-Template!W175</f>
        <v>71.332099999999997</v>
      </c>
      <c r="X202" s="23">
        <f>'Annual Raw'!Y55-Template!X175</f>
        <v>53.992500000000007</v>
      </c>
      <c r="Y202" s="23">
        <f>'Annual Raw'!Z55-Template!Y175</f>
        <v>55.249100000000006</v>
      </c>
      <c r="Z202" s="23">
        <f>'Annual Raw'!AA55-Template!Z175</f>
        <v>49.565600000000003</v>
      </c>
      <c r="AA202" s="23">
        <f>'Annual Raw'!AB55-Template!AA175</f>
        <v>75.617099999999994</v>
      </c>
      <c r="AB202" s="24">
        <f t="shared" si="1426"/>
        <v>0</v>
      </c>
      <c r="AC202" s="24">
        <f t="shared" si="1427"/>
        <v>0</v>
      </c>
      <c r="AD202" s="24">
        <f t="shared" si="1428"/>
        <v>0</v>
      </c>
      <c r="AE202" s="24">
        <f t="shared" si="1429"/>
        <v>0</v>
      </c>
      <c r="AJ202" s="23">
        <f>+'QTR Raw'!D91</f>
        <v>0</v>
      </c>
      <c r="AK202" s="23">
        <f t="shared" si="1430"/>
        <v>0</v>
      </c>
      <c r="AL202" s="23">
        <f>+'QTR Raw'!F91</f>
        <v>36.340000000000003</v>
      </c>
      <c r="AM202" s="23">
        <f t="shared" si="1430"/>
        <v>36.340000000000003</v>
      </c>
      <c r="AN202" s="23">
        <f>+'QTR Raw'!H91</f>
        <v>38.154000000000003</v>
      </c>
      <c r="AO202" s="23">
        <f t="shared" si="1430"/>
        <v>38.154000000000003</v>
      </c>
      <c r="AP202" s="23">
        <f>+'QTR Raw'!J91</f>
        <v>41.52</v>
      </c>
      <c r="AQ202" s="23">
        <f t="shared" si="1430"/>
        <v>41.52</v>
      </c>
      <c r="AR202" s="23">
        <f>+'QTR Raw'!L91</f>
        <v>36.61</v>
      </c>
      <c r="AS202" s="23">
        <f t="shared" si="1430"/>
        <v>36.61</v>
      </c>
      <c r="AT202" s="23">
        <f>+'QTR Raw'!N91</f>
        <v>42.396999999999998</v>
      </c>
      <c r="AU202" s="23">
        <f t="shared" si="1430"/>
        <v>42.396999999999998</v>
      </c>
      <c r="AV202" s="23">
        <f>+'QTR Raw'!P91</f>
        <v>35.734000000000002</v>
      </c>
      <c r="AW202" s="23">
        <f t="shared" si="1430"/>
        <v>35.734000000000002</v>
      </c>
      <c r="AX202" s="23">
        <f>+'QTR Raw'!R91</f>
        <v>30.733000000000001</v>
      </c>
      <c r="AY202" s="23">
        <f t="shared" si="1430"/>
        <v>30.733000000000001</v>
      </c>
      <c r="AZ202" s="23">
        <f>+'QTR Raw'!T91</f>
        <v>25.856000000000002</v>
      </c>
      <c r="BA202" s="23">
        <f t="shared" si="1430"/>
        <v>25.856000000000002</v>
      </c>
      <c r="BB202" s="23">
        <f>+'QTR Raw'!V91</f>
        <v>65.144999999999996</v>
      </c>
      <c r="BC202" s="23">
        <f t="shared" si="1430"/>
        <v>65.144999999999996</v>
      </c>
      <c r="BD202" s="23">
        <f>+'QTR Raw'!X91</f>
        <v>85.65</v>
      </c>
      <c r="BE202" s="23">
        <f t="shared" si="1430"/>
        <v>85.65</v>
      </c>
      <c r="BF202" s="23">
        <f>+'QTR Raw'!Z91</f>
        <v>63.225000000000001</v>
      </c>
      <c r="BG202" s="23">
        <f t="shared" si="1430"/>
        <v>63.225000000000001</v>
      </c>
      <c r="BH202" s="23">
        <f>+'QTR Raw'!AB91</f>
        <v>35.906999999999996</v>
      </c>
      <c r="BI202" s="23">
        <f t="shared" si="1430"/>
        <v>35.906999999999996</v>
      </c>
      <c r="BJ202" s="23">
        <f>+'QTR Raw'!AD91</f>
        <v>93.552000000000007</v>
      </c>
      <c r="BK202" s="23">
        <f t="shared" si="1430"/>
        <v>93.552000000000007</v>
      </c>
      <c r="BL202" s="23">
        <f>+'QTR Raw'!AF91</f>
        <v>36.088000000000001</v>
      </c>
      <c r="BM202" s="23">
        <f t="shared" si="1430"/>
        <v>36.088000000000001</v>
      </c>
      <c r="BN202" s="23">
        <f>+'QTR Raw'!AH91</f>
        <v>62.445999999999998</v>
      </c>
      <c r="BO202" s="23">
        <f t="shared" si="1430"/>
        <v>62.445999999999998</v>
      </c>
      <c r="BP202" s="23">
        <f>+'QTR Raw'!AJ91</f>
        <v>91.875</v>
      </c>
      <c r="BQ202" s="23">
        <f t="shared" si="1430"/>
        <v>91.875</v>
      </c>
      <c r="BR202" s="23">
        <f>+'QTR Raw'!AL91</f>
        <v>115.045</v>
      </c>
      <c r="BS202" s="23">
        <f t="shared" si="1430"/>
        <v>115.045</v>
      </c>
      <c r="BT202" s="23">
        <f>+'QTR Raw'!AN91</f>
        <v>159.03100000000001</v>
      </c>
      <c r="BU202" s="23">
        <f t="shared" si="1430"/>
        <v>159.03100000000001</v>
      </c>
      <c r="BV202" s="23">
        <f>+'QTR Raw'!AP91</f>
        <v>76.784999999999997</v>
      </c>
      <c r="BW202" s="23">
        <f t="shared" si="1430"/>
        <v>76.784999999999997</v>
      </c>
      <c r="BX202" s="23">
        <f>+'QTR Raw'!AR91</f>
        <v>218.011</v>
      </c>
      <c r="BY202" s="23">
        <f t="shared" si="1430"/>
        <v>218.011</v>
      </c>
      <c r="BZ202" s="23">
        <f>+'QTR Raw'!AT91</f>
        <v>59.643000000000001</v>
      </c>
      <c r="CA202" s="23">
        <f t="shared" si="1430"/>
        <v>59.643000000000001</v>
      </c>
      <c r="CB202" s="23">
        <f>+'QTR Raw'!AV91</f>
        <v>46.8</v>
      </c>
      <c r="CC202" s="23">
        <f t="shared" si="1430"/>
        <v>46.8</v>
      </c>
      <c r="CD202" s="23">
        <f>+'QTR Raw'!AX91</f>
        <v>58.91</v>
      </c>
      <c r="CE202" s="23">
        <f t="shared" si="1430"/>
        <v>58.91</v>
      </c>
      <c r="CF202" s="23">
        <f>+'QTR Raw'!AZ91</f>
        <v>40.75</v>
      </c>
      <c r="CG202" s="23">
        <f t="shared" ref="CG202:CG203" si="1434">+CF202</f>
        <v>40.75</v>
      </c>
      <c r="CH202" s="23">
        <f t="shared" si="1384"/>
        <v>49.565600000000003</v>
      </c>
      <c r="CJ202" s="23">
        <f>+'QTR Raw'!BD91</f>
        <v>59.465000000000003</v>
      </c>
      <c r="CL202" s="23">
        <f>+'QTR Raw'!BF91</f>
        <v>247.75200000000001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3"/>
      <c r="DF202" s="23">
        <v>247.75200000000001</v>
      </c>
    </row>
    <row r="203" spans="1:110" s="23" customFormat="1" outlineLevel="1" x14ac:dyDescent="0.2">
      <c r="A203" s="23" t="s">
        <v>72</v>
      </c>
      <c r="B203" s="23">
        <f>'Annual Raw'!C57</f>
        <v>0.42969410000000002</v>
      </c>
      <c r="C203" s="23">
        <f>'Annual Raw'!D57</f>
        <v>1.0623407</v>
      </c>
      <c r="D203" s="23">
        <f>'Annual Raw'!E57</f>
        <v>1.3453822</v>
      </c>
      <c r="E203" s="23">
        <f>'Annual Raw'!F57</f>
        <v>2.3394213000000001</v>
      </c>
      <c r="F203" s="23">
        <f>'Annual Raw'!G57</f>
        <v>2.6857077999999999</v>
      </c>
      <c r="G203" s="23">
        <f>'Annual Raw'!H57</f>
        <v>4.0245547999999998</v>
      </c>
      <c r="H203" s="23">
        <f>'Annual Raw'!I57</f>
        <v>4.7719842999999997</v>
      </c>
      <c r="I203" s="23">
        <f>'Annual Raw'!J57</f>
        <v>3.4356762999999999</v>
      </c>
      <c r="J203" s="23">
        <f>'Annual Raw'!K57</f>
        <v>4.8300777000000004</v>
      </c>
      <c r="K203" s="23">
        <f>'Annual Raw'!L57</f>
        <v>7.1953778000000002</v>
      </c>
      <c r="L203" s="23">
        <f>'Annual Raw'!M57</f>
        <v>15.9789315</v>
      </c>
      <c r="M203" s="23">
        <f>'Annual Raw'!N57</f>
        <v>22.557049200000002</v>
      </c>
      <c r="N203" s="23">
        <f>'Annual Raw'!O57</f>
        <v>21.1424424</v>
      </c>
      <c r="O203" s="23">
        <f>'Annual Raw'!P57</f>
        <v>14.233000000000001</v>
      </c>
      <c r="P203" s="23">
        <f>'Annual Raw'!Q57</f>
        <v>17.9644215</v>
      </c>
      <c r="Q203" s="23">
        <f>'Annual Raw'!R57</f>
        <v>32.799599999999998</v>
      </c>
      <c r="R203" s="23">
        <f>'Annual Raw'!S57</f>
        <v>59.269799300000003</v>
      </c>
      <c r="S203" s="23">
        <f>'Annual Raw'!T57</f>
        <v>75.251515299999994</v>
      </c>
      <c r="T203" s="23">
        <f>'Annual Raw'!U57</f>
        <v>78.417024900000001</v>
      </c>
      <c r="U203" s="23">
        <f>'Annual Raw'!V57</f>
        <v>61.0550809</v>
      </c>
      <c r="V203" s="23">
        <f>'Annual Raw'!W57</f>
        <v>121.3687</v>
      </c>
      <c r="W203" s="23">
        <f>'Annual Raw'!X57</f>
        <v>5.4537000000000004</v>
      </c>
      <c r="X203" s="23">
        <f>'Annual Raw'!Y57</f>
        <v>5.9690000000000003</v>
      </c>
      <c r="Y203" s="23">
        <f>'Annual Raw'!Z57</f>
        <v>6.5731000000000002</v>
      </c>
      <c r="Z203" s="23">
        <f>'Annual Raw'!AA57</f>
        <v>1.9171</v>
      </c>
      <c r="AA203" s="23">
        <f>'Annual Raw'!AB57</f>
        <v>11.1183</v>
      </c>
      <c r="AB203" s="24">
        <f t="shared" si="1426"/>
        <v>0</v>
      </c>
      <c r="AC203" s="24">
        <f t="shared" si="1427"/>
        <v>0</v>
      </c>
      <c r="AD203" s="24">
        <f t="shared" si="1428"/>
        <v>0</v>
      </c>
      <c r="AE203" s="24">
        <f t="shared" si="1429"/>
        <v>0</v>
      </c>
      <c r="AJ203" s="23">
        <f>+'QTR Raw'!D92</f>
        <v>8.343</v>
      </c>
      <c r="AK203" s="23">
        <f t="shared" si="1430"/>
        <v>8.343</v>
      </c>
      <c r="AL203" s="23">
        <f>+'QTR Raw'!F92</f>
        <v>21.14</v>
      </c>
      <c r="AM203" s="23">
        <f t="shared" si="1430"/>
        <v>21.14</v>
      </c>
      <c r="AN203" s="23">
        <f>+'QTR Raw'!H92</f>
        <v>10.233000000000001</v>
      </c>
      <c r="AO203" s="23">
        <f t="shared" si="1430"/>
        <v>10.233000000000001</v>
      </c>
      <c r="AP203" s="23">
        <f>+'QTR Raw'!J92</f>
        <v>17.73</v>
      </c>
      <c r="AQ203" s="23">
        <f t="shared" si="1430"/>
        <v>17.73</v>
      </c>
      <c r="AR203" s="23">
        <f>+'QTR Raw'!L92</f>
        <v>18.13</v>
      </c>
      <c r="AS203" s="23">
        <f t="shared" si="1430"/>
        <v>18.13</v>
      </c>
      <c r="AT203" s="23">
        <f>+'QTR Raw'!N92</f>
        <v>17.963999999999999</v>
      </c>
      <c r="AU203" s="23">
        <f t="shared" si="1430"/>
        <v>17.963999999999999</v>
      </c>
      <c r="AV203" s="23">
        <f>+'QTR Raw'!P92</f>
        <v>25.515000000000001</v>
      </c>
      <c r="AW203" s="23">
        <f t="shared" si="1430"/>
        <v>25.515000000000001</v>
      </c>
      <c r="AX203" s="23">
        <f>+'QTR Raw'!R92</f>
        <v>34.399000000000001</v>
      </c>
      <c r="AY203" s="23">
        <f t="shared" si="1430"/>
        <v>34.399000000000001</v>
      </c>
      <c r="AZ203" s="23">
        <f>+'QTR Raw'!T92</f>
        <v>26.177</v>
      </c>
      <c r="BA203" s="23">
        <f t="shared" si="1430"/>
        <v>26.177</v>
      </c>
      <c r="BB203" s="23">
        <f>+'QTR Raw'!V92</f>
        <v>16.27</v>
      </c>
      <c r="BC203" s="23">
        <f t="shared" si="1430"/>
        <v>16.27</v>
      </c>
      <c r="BD203" s="23">
        <f>+'QTR Raw'!X92</f>
        <v>12.170999999999999</v>
      </c>
      <c r="BE203" s="23">
        <f t="shared" si="1430"/>
        <v>12.170999999999999</v>
      </c>
      <c r="BF203" s="23">
        <f>+'QTR Raw'!Z92</f>
        <v>21.978999999999999</v>
      </c>
      <c r="BG203" s="23">
        <f t="shared" si="1430"/>
        <v>21.978999999999999</v>
      </c>
      <c r="BH203" s="23">
        <f>+'QTR Raw'!AB92</f>
        <v>15.632</v>
      </c>
      <c r="BI203" s="23">
        <f t="shared" si="1430"/>
        <v>15.632</v>
      </c>
      <c r="BJ203" s="23">
        <f>+'QTR Raw'!AD92</f>
        <v>22.417000000000002</v>
      </c>
      <c r="BK203" s="23">
        <f t="shared" si="1430"/>
        <v>22.417000000000002</v>
      </c>
      <c r="BL203" s="23">
        <f>+'QTR Raw'!AF92</f>
        <v>12.760999999999999</v>
      </c>
      <c r="BM203" s="23">
        <f t="shared" si="1430"/>
        <v>12.760999999999999</v>
      </c>
      <c r="BN203" s="23">
        <f>+'QTR Raw'!AH92</f>
        <v>21.055</v>
      </c>
      <c r="BO203" s="23">
        <f t="shared" si="1430"/>
        <v>21.055</v>
      </c>
      <c r="BP203" s="23">
        <f>+'QTR Raw'!AJ92</f>
        <v>17.98</v>
      </c>
      <c r="BQ203" s="23">
        <f t="shared" si="1430"/>
        <v>17.98</v>
      </c>
      <c r="BR203" s="23">
        <f>+'QTR Raw'!AL92</f>
        <v>40.018999999999998</v>
      </c>
      <c r="BS203" s="23">
        <f t="shared" si="1430"/>
        <v>40.018999999999998</v>
      </c>
      <c r="BT203" s="23">
        <f>+'QTR Raw'!AN92</f>
        <v>32.286999999999999</v>
      </c>
      <c r="BU203" s="23">
        <f t="shared" si="1430"/>
        <v>32.286999999999999</v>
      </c>
      <c r="BV203" s="23">
        <f>+'QTR Raw'!AP92</f>
        <v>0</v>
      </c>
      <c r="BW203" s="23">
        <f t="shared" si="1430"/>
        <v>0</v>
      </c>
      <c r="BX203" s="23">
        <f>+'QTR Raw'!AR92</f>
        <v>1.528</v>
      </c>
      <c r="BY203" s="23">
        <f t="shared" si="1430"/>
        <v>1.528</v>
      </c>
      <c r="BZ203" s="23">
        <f>+'QTR Raw'!AT92</f>
        <v>0.318</v>
      </c>
      <c r="CA203" s="23">
        <f t="shared" si="1430"/>
        <v>0.318</v>
      </c>
      <c r="CB203" s="23">
        <f>+'QTR Raw'!AV92</f>
        <v>0.20499999999999999</v>
      </c>
      <c r="CC203" s="23">
        <f t="shared" si="1430"/>
        <v>0.20499999999999999</v>
      </c>
      <c r="CD203" s="23">
        <f>+'QTR Raw'!AX92</f>
        <v>2.9119999999999999</v>
      </c>
      <c r="CE203" s="23">
        <f t="shared" si="1430"/>
        <v>2.9119999999999999</v>
      </c>
      <c r="CF203" s="23">
        <f>+'QTR Raw'!AZ92</f>
        <v>1.379</v>
      </c>
      <c r="CG203" s="23">
        <f t="shared" si="1434"/>
        <v>1.379</v>
      </c>
      <c r="CH203" s="23">
        <f t="shared" si="1384"/>
        <v>1.9171</v>
      </c>
      <c r="CJ203" s="23">
        <f>+'QTR Raw'!BD92</f>
        <v>2.9079999999999999</v>
      </c>
      <c r="CL203" s="23">
        <f>+'QTR Raw'!BF92</f>
        <v>1.196</v>
      </c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3"/>
      <c r="DF203" s="23">
        <v>1.196</v>
      </c>
    </row>
    <row r="204" spans="1:110" s="22" customFormat="1" x14ac:dyDescent="0.2">
      <c r="A204" s="22" t="s">
        <v>73</v>
      </c>
      <c r="B204" s="22">
        <f>SUM(B197:B203)</f>
        <v>2.7301888000000001</v>
      </c>
      <c r="C204" s="22">
        <f t="shared" ref="C204:V204" si="1435">SUM(C197:C203)</f>
        <v>5.7435920999999999</v>
      </c>
      <c r="D204" s="22">
        <f t="shared" si="1435"/>
        <v>5.0407565999999999</v>
      </c>
      <c r="E204" s="22">
        <f t="shared" si="1435"/>
        <v>11.4412585</v>
      </c>
      <c r="F204" s="22">
        <f t="shared" si="1435"/>
        <v>17.523705800000002</v>
      </c>
      <c r="G204" s="22">
        <f t="shared" si="1435"/>
        <v>20.202516899999999</v>
      </c>
      <c r="H204" s="22">
        <f t="shared" si="1435"/>
        <v>25.796123099999999</v>
      </c>
      <c r="I204" s="22">
        <f t="shared" si="1435"/>
        <v>36.954757600000001</v>
      </c>
      <c r="J204" s="22">
        <f t="shared" si="1435"/>
        <v>29.866268100000003</v>
      </c>
      <c r="K204" s="22">
        <f t="shared" si="1435"/>
        <v>39.605528</v>
      </c>
      <c r="L204" s="22">
        <f t="shared" si="1435"/>
        <v>54.305188100000002</v>
      </c>
      <c r="M204" s="22">
        <f t="shared" si="1435"/>
        <v>68.131500700000004</v>
      </c>
      <c r="N204" s="22">
        <f t="shared" si="1435"/>
        <v>68.078060899999997</v>
      </c>
      <c r="O204" s="22">
        <f t="shared" si="1435"/>
        <v>115.0609</v>
      </c>
      <c r="P204" s="22">
        <f t="shared" si="1435"/>
        <v>91.669979900000001</v>
      </c>
      <c r="Q204" s="22">
        <f t="shared" si="1435"/>
        <v>101.362747</v>
      </c>
      <c r="R204" s="22">
        <f t="shared" si="1435"/>
        <v>116.8127269</v>
      </c>
      <c r="S204" s="22">
        <f t="shared" si="1435"/>
        <v>160.71061429999997</v>
      </c>
      <c r="T204" s="22">
        <f t="shared" si="1435"/>
        <v>180.72243259999999</v>
      </c>
      <c r="U204" s="22">
        <f t="shared" si="1435"/>
        <v>141.43828600000001</v>
      </c>
      <c r="V204" s="22">
        <f t="shared" si="1435"/>
        <v>226.09790000000001</v>
      </c>
      <c r="W204" s="22">
        <f t="shared" ref="W204" si="1436">SUM(W197:W203)</f>
        <v>262.01300000000003</v>
      </c>
      <c r="X204" s="22">
        <f t="shared" ref="X204:Y204" si="1437">SUM(X197:X203)</f>
        <v>125.86240000000001</v>
      </c>
      <c r="Y204" s="22">
        <f t="shared" si="1437"/>
        <v>145.7159</v>
      </c>
      <c r="Z204" s="22">
        <f t="shared" ref="Z204:AA204" si="1438">SUM(Z197:Z203)</f>
        <v>124.69970000000001</v>
      </c>
      <c r="AA204" s="22">
        <f t="shared" si="1438"/>
        <v>146.5419</v>
      </c>
      <c r="AB204" s="21">
        <f t="shared" ref="AA204:AD204" si="1439">SUM(AB197:AB203)</f>
        <v>478.17411923850631</v>
      </c>
      <c r="AC204" s="21">
        <f t="shared" si="1439"/>
        <v>724.94287304132479</v>
      </c>
      <c r="AD204" s="21">
        <f t="shared" si="1439"/>
        <v>1003.3650913856471</v>
      </c>
      <c r="AE204" s="21">
        <f t="shared" ref="AE204" si="1440">SUM(AE197:AE203)</f>
        <v>1399.6406797856901</v>
      </c>
      <c r="AJ204" s="22">
        <f t="shared" ref="AJ204" si="1441">SUM(AJ197:AJ203)</f>
        <v>80.331000000000003</v>
      </c>
      <c r="AK204" s="22">
        <f t="shared" ref="AK204" si="1442">SUM(AK197:AK203)</f>
        <v>80.331000000000003</v>
      </c>
      <c r="AL204" s="22">
        <f t="shared" ref="AL204:AM204" si="1443">SUM(AL197:AL203)</f>
        <v>98.84</v>
      </c>
      <c r="AM204" s="22">
        <f t="shared" si="1443"/>
        <v>98.493634435962676</v>
      </c>
      <c r="AN204" s="22">
        <f t="shared" ref="AN204:AO204" si="1444">SUM(AN197:AN203)</f>
        <v>143.79400000000001</v>
      </c>
      <c r="AO204" s="22">
        <f t="shared" si="1444"/>
        <v>130.38489311488442</v>
      </c>
      <c r="AP204" s="22">
        <f t="shared" ref="AP204:CE204" si="1445">SUM(AP197:AP203)</f>
        <v>151.26</v>
      </c>
      <c r="AQ204" s="22">
        <f t="shared" si="1445"/>
        <v>147.69499067055392</v>
      </c>
      <c r="AR204" s="22">
        <f t="shared" si="1445"/>
        <v>124.23</v>
      </c>
      <c r="AS204" s="22">
        <f t="shared" si="1445"/>
        <v>120.351244666002</v>
      </c>
      <c r="AT204" s="22">
        <f t="shared" si="1445"/>
        <v>124.261</v>
      </c>
      <c r="AU204" s="22">
        <f t="shared" si="1445"/>
        <v>127.90613836919132</v>
      </c>
      <c r="AV204" s="22">
        <f t="shared" si="1445"/>
        <v>102.26700000000001</v>
      </c>
      <c r="AW204" s="22">
        <f t="shared" si="1445"/>
        <v>99.789210911064671</v>
      </c>
      <c r="AX204" s="22">
        <f t="shared" si="1445"/>
        <v>126.497</v>
      </c>
      <c r="AY204" s="22">
        <f t="shared" si="1445"/>
        <v>127.00617725289688</v>
      </c>
      <c r="AZ204" s="22">
        <f t="shared" si="1445"/>
        <v>90.966999999999985</v>
      </c>
      <c r="BA204" s="22">
        <f t="shared" si="1445"/>
        <v>92.735420171825893</v>
      </c>
      <c r="BB204" s="22">
        <f t="shared" si="1445"/>
        <v>138.71600000000001</v>
      </c>
      <c r="BC204" s="22">
        <f t="shared" si="1445"/>
        <v>140.56284225514003</v>
      </c>
      <c r="BD204" s="22">
        <f t="shared" si="1445"/>
        <v>158.68099999999998</v>
      </c>
      <c r="BE204" s="22">
        <f t="shared" si="1445"/>
        <v>163.76019067358544</v>
      </c>
      <c r="BF204" s="22">
        <f t="shared" si="1445"/>
        <v>170.17000000000002</v>
      </c>
      <c r="BG204" s="22">
        <f t="shared" si="1445"/>
        <v>171.44634577049158</v>
      </c>
      <c r="BH204" s="22">
        <f t="shared" ref="BH204" si="1446">SUM(BH197:BH203)</f>
        <v>249.84999999999997</v>
      </c>
      <c r="BI204" s="22">
        <f t="shared" si="1445"/>
        <v>258.14037333191578</v>
      </c>
      <c r="BJ204" s="22">
        <f t="shared" si="1445"/>
        <v>217.38800000000001</v>
      </c>
      <c r="BK204" s="22">
        <f t="shared" si="1445"/>
        <v>216.02042064945437</v>
      </c>
      <c r="BL204" s="22">
        <f t="shared" si="1445"/>
        <v>90.490999999999985</v>
      </c>
      <c r="BM204" s="22">
        <f t="shared" si="1445"/>
        <v>90.520784020452965</v>
      </c>
      <c r="BN204" s="22">
        <f t="shared" si="1445"/>
        <v>159.62100000000001</v>
      </c>
      <c r="BO204" s="22">
        <f t="shared" si="1445"/>
        <v>151.54194101004936</v>
      </c>
      <c r="BP204" s="22">
        <f t="shared" si="1445"/>
        <v>189.67</v>
      </c>
      <c r="BQ204" s="22">
        <f t="shared" si="1445"/>
        <v>214.47363124103614</v>
      </c>
      <c r="BR204" s="22">
        <f t="shared" si="1445"/>
        <v>253.37</v>
      </c>
      <c r="BS204" s="22">
        <f t="shared" si="1445"/>
        <v>260.16746025447185</v>
      </c>
      <c r="BT204" s="22">
        <f t="shared" si="1445"/>
        <v>287.678</v>
      </c>
      <c r="BU204" s="22">
        <f t="shared" si="1445"/>
        <v>294.27128393690333</v>
      </c>
      <c r="BV204" s="22">
        <f t="shared" si="1445"/>
        <v>262.01300000000003</v>
      </c>
      <c r="BW204" s="22">
        <f t="shared" si="1445"/>
        <v>236.47099649395287</v>
      </c>
      <c r="BX204" s="22">
        <f t="shared" si="1445"/>
        <v>307.17400000000004</v>
      </c>
      <c r="BY204" s="22">
        <f t="shared" si="1445"/>
        <v>301.60043293528247</v>
      </c>
      <c r="BZ204" s="22">
        <f t="shared" si="1445"/>
        <v>125.86199999999999</v>
      </c>
      <c r="CA204" s="22">
        <f t="shared" si="1445"/>
        <v>124.84464765218129</v>
      </c>
      <c r="CB204" s="22">
        <f t="shared" si="1445"/>
        <v>94.628</v>
      </c>
      <c r="CC204" s="22">
        <f t="shared" si="1445"/>
        <v>94.939670850151359</v>
      </c>
      <c r="CD204" s="22">
        <f t="shared" si="1445"/>
        <v>145.71599999999998</v>
      </c>
      <c r="CE204" s="22">
        <f t="shared" si="1445"/>
        <v>140.23014809258413</v>
      </c>
      <c r="CF204" s="22">
        <f t="shared" ref="CF204:CG204" si="1447">SUM(CF197:CF203)</f>
        <v>99.76100000000001</v>
      </c>
      <c r="CG204" s="22">
        <f t="shared" si="1447"/>
        <v>94.429841309605834</v>
      </c>
      <c r="CH204" s="22">
        <f t="shared" ref="CH204:CI204" si="1448">SUM(CH197:CH203)</f>
        <v>124.69970000000001</v>
      </c>
      <c r="CI204" s="22">
        <f t="shared" si="1448"/>
        <v>126.68406023253046</v>
      </c>
      <c r="CJ204" s="22">
        <f t="shared" ref="CJ204:DB204" si="1449">SUM(CJ197:CJ203)</f>
        <v>138.274</v>
      </c>
      <c r="CK204" s="22">
        <f t="shared" si="1449"/>
        <v>134.51782539524066</v>
      </c>
      <c r="CL204" s="22">
        <f t="shared" ref="CL204" si="1450">SUM(CL197:CL203)</f>
        <v>344.07500000000005</v>
      </c>
      <c r="CM204" s="21">
        <f t="shared" si="1449"/>
        <v>399.85830294387171</v>
      </c>
      <c r="CN204" s="21">
        <f t="shared" si="1449"/>
        <v>412.00691707152293</v>
      </c>
      <c r="CO204" s="21">
        <f t="shared" si="1449"/>
        <v>399.80413456947667</v>
      </c>
      <c r="CP204" s="21">
        <f t="shared" si="1449"/>
        <v>478.17411923850631</v>
      </c>
      <c r="CQ204" s="21">
        <f t="shared" si="1449"/>
        <v>604.59307184943896</v>
      </c>
      <c r="CR204" s="21">
        <f t="shared" si="1449"/>
        <v>623.62180352928499</v>
      </c>
      <c r="CS204" s="21">
        <f t="shared" si="1449"/>
        <v>602.34847142081958</v>
      </c>
      <c r="CT204" s="21">
        <f t="shared" si="1449"/>
        <v>724.94287304132479</v>
      </c>
      <c r="CU204" s="21">
        <f t="shared" si="1449"/>
        <v>835.7057770011628</v>
      </c>
      <c r="CV204" s="21">
        <f t="shared" si="1449"/>
        <v>862.44232031807633</v>
      </c>
      <c r="CW204" s="21">
        <f t="shared" si="1449"/>
        <v>831.42866178846805</v>
      </c>
      <c r="CX204" s="21">
        <f t="shared" si="1449"/>
        <v>1003.3650913856471</v>
      </c>
      <c r="CY204" s="21">
        <f t="shared" si="1449"/>
        <v>1164.3419385672946</v>
      </c>
      <c r="CZ204" s="21">
        <f t="shared" si="1449"/>
        <v>1202.1672913881603</v>
      </c>
      <c r="DA204" s="21">
        <f t="shared" si="1449"/>
        <v>1156.6741597714465</v>
      </c>
      <c r="DB204" s="21">
        <f t="shared" si="1449"/>
        <v>1399.6406797856901</v>
      </c>
      <c r="DE204" s="126"/>
      <c r="DF204" s="22">
        <v>178.96690561974663</v>
      </c>
    </row>
    <row r="205" spans="1:110" s="22" customFormat="1" x14ac:dyDescent="0.2">
      <c r="A205" s="22" t="s">
        <v>74</v>
      </c>
      <c r="B205" s="22">
        <f>B196-B204</f>
        <v>10.6460224</v>
      </c>
      <c r="C205" s="22">
        <f t="shared" ref="C205:V205" si="1451">C196-C204</f>
        <v>7.965767200000001</v>
      </c>
      <c r="D205" s="22">
        <f t="shared" si="1451"/>
        <v>13.299239399999999</v>
      </c>
      <c r="E205" s="22">
        <f t="shared" si="1451"/>
        <v>18.225689800000001</v>
      </c>
      <c r="F205" s="22">
        <f t="shared" si="1451"/>
        <v>25.224827400000002</v>
      </c>
      <c r="G205" s="22">
        <f t="shared" si="1451"/>
        <v>36.743694599999998</v>
      </c>
      <c r="H205" s="22">
        <f t="shared" si="1451"/>
        <v>57.063982100000004</v>
      </c>
      <c r="I205" s="22">
        <f t="shared" si="1451"/>
        <v>70.97547160000002</v>
      </c>
      <c r="J205" s="22">
        <f t="shared" si="1451"/>
        <v>73.275463999999999</v>
      </c>
      <c r="K205" s="22">
        <f t="shared" si="1451"/>
        <v>84.264292699999999</v>
      </c>
      <c r="L205" s="22">
        <f t="shared" si="1451"/>
        <v>122.20709279999997</v>
      </c>
      <c r="M205" s="22">
        <f t="shared" si="1451"/>
        <v>164.53135209999999</v>
      </c>
      <c r="N205" s="22">
        <f t="shared" si="1451"/>
        <v>131.33070519999998</v>
      </c>
      <c r="O205" s="22">
        <f t="shared" si="1451"/>
        <v>141.97160000000002</v>
      </c>
      <c r="P205" s="22">
        <f t="shared" si="1451"/>
        <v>179.44016370000003</v>
      </c>
      <c r="Q205" s="22">
        <f t="shared" si="1451"/>
        <v>137.71372120000001</v>
      </c>
      <c r="R205" s="22">
        <f t="shared" si="1451"/>
        <v>164.13371569999995</v>
      </c>
      <c r="S205" s="22">
        <f t="shared" si="1451"/>
        <v>223.23971590000002</v>
      </c>
      <c r="T205" s="22">
        <f t="shared" si="1451"/>
        <v>255.02353199999999</v>
      </c>
      <c r="U205" s="22">
        <f t="shared" si="1451"/>
        <v>295.64927219999998</v>
      </c>
      <c r="V205" s="22">
        <f t="shared" si="1451"/>
        <v>348.06849999999997</v>
      </c>
      <c r="W205" s="22">
        <f t="shared" ref="W205" si="1452">W196-W204</f>
        <v>609.58529999999996</v>
      </c>
      <c r="X205" s="22">
        <f t="shared" ref="X205:Y205" si="1453">X196-X204</f>
        <v>634.63709999999992</v>
      </c>
      <c r="Y205" s="22">
        <f t="shared" si="1453"/>
        <v>560.05430000000013</v>
      </c>
      <c r="Z205" s="22">
        <f t="shared" ref="Z205:AA205" si="1454">Z196-Z204</f>
        <v>533.04070000000013</v>
      </c>
      <c r="AA205" s="22">
        <f t="shared" si="1454"/>
        <v>454.35860000000008</v>
      </c>
      <c r="AB205" s="21">
        <f t="shared" ref="AA205:AD205" si="1455">AB196-AB204</f>
        <v>796.14479513082915</v>
      </c>
      <c r="AC205" s="21">
        <f t="shared" si="1455"/>
        <v>1207.006970720558</v>
      </c>
      <c r="AD205" s="21">
        <f t="shared" si="1455"/>
        <v>1670.5711643172599</v>
      </c>
      <c r="AE205" s="21">
        <f t="shared" ref="AE205" si="1456">AE196-AE204</f>
        <v>2330.3574941264187</v>
      </c>
      <c r="AJ205" s="22">
        <f t="shared" ref="AJ205" si="1457">AJ196-AJ204</f>
        <v>133.63999999999999</v>
      </c>
      <c r="AK205" s="22">
        <f t="shared" ref="AK205" si="1458">AK196-AK204</f>
        <v>108.75437053114412</v>
      </c>
      <c r="AL205" s="22">
        <f t="shared" ref="AL205:AM205" si="1459">AL196-AL204</f>
        <v>101.29999999999998</v>
      </c>
      <c r="AM205" s="22">
        <f t="shared" si="1459"/>
        <v>100.08123409669211</v>
      </c>
      <c r="AN205" s="22">
        <f t="shared" ref="AN205:AO205" si="1460">AN196-AN204</f>
        <v>98.10499999999999</v>
      </c>
      <c r="AO205" s="22">
        <f t="shared" si="1460"/>
        <v>81.326500838436374</v>
      </c>
      <c r="AP205" s="22">
        <f t="shared" ref="AP205:CE205" si="1461">AP196-AP204</f>
        <v>106.5</v>
      </c>
      <c r="AQ205" s="22">
        <f t="shared" si="1461"/>
        <v>100.95839241982509</v>
      </c>
      <c r="AR205" s="22">
        <f t="shared" si="1461"/>
        <v>115.52999999999999</v>
      </c>
      <c r="AS205" s="22">
        <f t="shared" si="1461"/>
        <v>107.06392103688933</v>
      </c>
      <c r="AT205" s="22">
        <f t="shared" si="1461"/>
        <v>146.84899999999996</v>
      </c>
      <c r="AU205" s="22">
        <f t="shared" si="1461"/>
        <v>160.96868889188639</v>
      </c>
      <c r="AV205" s="22">
        <f t="shared" si="1461"/>
        <v>116.47699999999999</v>
      </c>
      <c r="AW205" s="22">
        <f t="shared" si="1461"/>
        <v>107.82692528091836</v>
      </c>
      <c r="AX205" s="22">
        <f t="shared" si="1461"/>
        <v>112.57900000000002</v>
      </c>
      <c r="AY205" s="22">
        <f t="shared" si="1461"/>
        <v>114.15840205629816</v>
      </c>
      <c r="AZ205" s="22">
        <f t="shared" si="1461"/>
        <v>117.24700000000001</v>
      </c>
      <c r="BA205" s="22">
        <f t="shared" si="1461"/>
        <v>123.58854564306915</v>
      </c>
      <c r="BB205" s="22">
        <f t="shared" si="1461"/>
        <v>142.23099999999999</v>
      </c>
      <c r="BC205" s="22">
        <f t="shared" si="1461"/>
        <v>148.39516612733701</v>
      </c>
      <c r="BD205" s="22">
        <f t="shared" si="1461"/>
        <v>142.37200000000001</v>
      </c>
      <c r="BE205" s="22">
        <f t="shared" si="1461"/>
        <v>155.60741634359221</v>
      </c>
      <c r="BF205" s="22">
        <f t="shared" si="1461"/>
        <v>214.31799999999993</v>
      </c>
      <c r="BG205" s="22">
        <f t="shared" si="1461"/>
        <v>217.70637673349336</v>
      </c>
      <c r="BH205" s="22">
        <f t="shared" ref="BH205" si="1462">BH196-BH204</f>
        <v>182.04900000000004</v>
      </c>
      <c r="BI205" s="22">
        <f t="shared" si="1461"/>
        <v>206.14072580324586</v>
      </c>
      <c r="BJ205" s="22">
        <f t="shared" si="1461"/>
        <v>218.89499999999995</v>
      </c>
      <c r="BK205" s="22">
        <f t="shared" si="1461"/>
        <v>214.95032549940203</v>
      </c>
      <c r="BL205" s="22">
        <f t="shared" si="1461"/>
        <v>290.36799999999999</v>
      </c>
      <c r="BM205" s="22">
        <f t="shared" si="1461"/>
        <v>290.66362548349196</v>
      </c>
      <c r="BN205" s="22">
        <f t="shared" si="1461"/>
        <v>277.90200000000004</v>
      </c>
      <c r="BO205" s="22">
        <f t="shared" si="1461"/>
        <v>242.94069629534891</v>
      </c>
      <c r="BP205" s="22">
        <f t="shared" si="1461"/>
        <v>330.21699999999998</v>
      </c>
      <c r="BQ205" s="22">
        <f t="shared" si="1461"/>
        <v>439.94267773075762</v>
      </c>
      <c r="BR205" s="22">
        <f t="shared" si="1461"/>
        <v>321.12199999999996</v>
      </c>
      <c r="BS205" s="22">
        <f t="shared" si="1461"/>
        <v>351.10979557475946</v>
      </c>
      <c r="BT205" s="22">
        <f t="shared" si="1461"/>
        <v>556.01599999999996</v>
      </c>
      <c r="BU205" s="22">
        <f t="shared" si="1461"/>
        <v>597.37970929730477</v>
      </c>
      <c r="BV205" s="22">
        <f t="shared" si="1461"/>
        <v>609.5859999999999</v>
      </c>
      <c r="BW205" s="22">
        <f t="shared" si="1461"/>
        <v>520.67827379460402</v>
      </c>
      <c r="BX205" s="22">
        <f t="shared" si="1461"/>
        <v>841.44800000000009</v>
      </c>
      <c r="BY205" s="22">
        <f t="shared" si="1461"/>
        <v>784.73579478550209</v>
      </c>
      <c r="BZ205" s="22">
        <f t="shared" si="1461"/>
        <v>634.63800000000003</v>
      </c>
      <c r="CA205" s="22">
        <f t="shared" si="1461"/>
        <v>624.50603554131885</v>
      </c>
      <c r="CB205" s="22">
        <f t="shared" si="1461"/>
        <v>583.28100000000006</v>
      </c>
      <c r="CC205" s="22">
        <f t="shared" si="1461"/>
        <v>587.27466544210404</v>
      </c>
      <c r="CD205" s="22">
        <f t="shared" si="1461"/>
        <v>560.05600000000004</v>
      </c>
      <c r="CE205" s="22">
        <f t="shared" si="1461"/>
        <v>522.78547855108377</v>
      </c>
      <c r="CF205" s="22">
        <f t="shared" ref="CF205:CG205" si="1463">CF196-CF204</f>
        <v>566.18500000000006</v>
      </c>
      <c r="CG205" s="22">
        <f t="shared" si="1463"/>
        <v>513.87014993528078</v>
      </c>
      <c r="CH205" s="22">
        <f t="shared" ref="CH205:CI205" si="1464">CH196-CH204</f>
        <v>533.04070000000013</v>
      </c>
      <c r="CI205" s="22">
        <f t="shared" si="1464"/>
        <v>541.52303610345666</v>
      </c>
      <c r="CJ205" s="22">
        <f t="shared" ref="CJ205:DB205" si="1465">CJ196-CJ204</f>
        <v>610.71999999999991</v>
      </c>
      <c r="CK205" s="22">
        <f t="shared" si="1465"/>
        <v>594.12996170922474</v>
      </c>
      <c r="CL205" s="22">
        <f t="shared" ref="CL205" si="1466">CL196-CL204</f>
        <v>572.87400000000002</v>
      </c>
      <c r="CM205" s="21">
        <f t="shared" si="1465"/>
        <v>665.75143628763385</v>
      </c>
      <c r="CN205" s="21">
        <f t="shared" si="1465"/>
        <v>685.97849483522953</v>
      </c>
      <c r="CO205" s="21">
        <f t="shared" si="1465"/>
        <v>665.66124765633754</v>
      </c>
      <c r="CP205" s="21">
        <f t="shared" si="1465"/>
        <v>796.14479513082915</v>
      </c>
      <c r="CQ205" s="21">
        <f t="shared" si="1465"/>
        <v>1006.6283555697898</v>
      </c>
      <c r="CR205" s="21">
        <f t="shared" si="1465"/>
        <v>1038.3105923854846</v>
      </c>
      <c r="CS205" s="21">
        <f t="shared" si="1465"/>
        <v>1002.8911668000599</v>
      </c>
      <c r="CT205" s="21">
        <f t="shared" si="1465"/>
        <v>1207.006970720558</v>
      </c>
      <c r="CU205" s="21">
        <f t="shared" si="1465"/>
        <v>1391.4237049880521</v>
      </c>
      <c r="CV205" s="21">
        <f t="shared" si="1465"/>
        <v>1435.939204562661</v>
      </c>
      <c r="CW205" s="21">
        <f t="shared" si="1465"/>
        <v>1384.3024433434771</v>
      </c>
      <c r="CX205" s="21">
        <f t="shared" si="1465"/>
        <v>1670.5711643172599</v>
      </c>
      <c r="CY205" s="21">
        <f t="shared" si="1465"/>
        <v>1938.5925269630175</v>
      </c>
      <c r="CZ205" s="21">
        <f t="shared" si="1465"/>
        <v>2001.5705438834584</v>
      </c>
      <c r="DA205" s="21">
        <f t="shared" si="1465"/>
        <v>1925.8259176194367</v>
      </c>
      <c r="DB205" s="21">
        <f t="shared" si="1465"/>
        <v>2330.3574941264187</v>
      </c>
      <c r="DE205" s="126"/>
      <c r="DF205" s="22">
        <v>790.44989369000416</v>
      </c>
    </row>
    <row r="206" spans="1:110" s="23" customFormat="1" x14ac:dyDescent="0.2">
      <c r="AB206" s="24"/>
      <c r="AC206" s="24"/>
      <c r="AD206" s="24"/>
      <c r="AE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</row>
    <row r="207" spans="1:110" s="23" customFormat="1" outlineLevel="1" x14ac:dyDescent="0.2">
      <c r="A207" s="23" t="s">
        <v>75</v>
      </c>
      <c r="B207" s="23">
        <f>'Annual Raw'!C75</f>
        <v>0</v>
      </c>
      <c r="C207" s="23">
        <f>'Annual Raw'!D75</f>
        <v>0</v>
      </c>
      <c r="D207" s="23">
        <f>'Annual Raw'!E75</f>
        <v>0</v>
      </c>
      <c r="E207" s="23">
        <f>'Annual Raw'!F75</f>
        <v>0</v>
      </c>
      <c r="F207" s="23">
        <f>'Annual Raw'!G75</f>
        <v>0</v>
      </c>
      <c r="G207" s="23">
        <f>'Annual Raw'!H75</f>
        <v>0</v>
      </c>
      <c r="H207" s="23">
        <f>'Annual Raw'!I75</f>
        <v>0</v>
      </c>
      <c r="I207" s="23">
        <f>'Annual Raw'!J75</f>
        <v>0</v>
      </c>
      <c r="J207" s="23">
        <f>'Annual Raw'!K75</f>
        <v>0</v>
      </c>
      <c r="K207" s="23">
        <f>'Annual Raw'!L75</f>
        <v>0</v>
      </c>
      <c r="L207" s="23">
        <f>'Annual Raw'!M75</f>
        <v>3.84</v>
      </c>
      <c r="M207" s="23">
        <f>'Annual Raw'!N75</f>
        <v>3.84</v>
      </c>
      <c r="N207" s="23">
        <f>'Annual Raw'!O75</f>
        <v>19.940000000000001</v>
      </c>
      <c r="O207" s="23">
        <f>'Annual Raw'!P75</f>
        <v>19.940000000000001</v>
      </c>
      <c r="P207" s="23">
        <f>'Annual Raw'!Q75</f>
        <v>0</v>
      </c>
      <c r="Q207" s="23">
        <f>'Annual Raw'!R75</f>
        <v>0</v>
      </c>
      <c r="R207" s="23">
        <f>'Annual Raw'!S75</f>
        <v>1.4999999999999999E-2</v>
      </c>
      <c r="S207" s="23">
        <f>'Annual Raw'!T75</f>
        <v>5.0000000000000001E-3</v>
      </c>
      <c r="T207" s="23">
        <f>'Annual Raw'!U75</f>
        <v>5.0000000000000001E-4</v>
      </c>
      <c r="U207" s="23">
        <f>'Annual Raw'!V75</f>
        <v>47.500999999999998</v>
      </c>
      <c r="V207" s="23">
        <f>'Annual Raw'!W75</f>
        <v>1E-3</v>
      </c>
      <c r="W207" s="23">
        <f>'Annual Raw'!X75</f>
        <v>0</v>
      </c>
      <c r="X207" s="23">
        <f>'Annual Raw'!Y75</f>
        <v>72.653400000000005</v>
      </c>
      <c r="Y207" s="23">
        <f>'Annual Raw'!Z75</f>
        <v>0</v>
      </c>
      <c r="Z207" s="23">
        <f>'Annual Raw'!AA75</f>
        <v>0</v>
      </c>
      <c r="AA207" s="23">
        <f>'Annual Raw'!AB75</f>
        <v>0</v>
      </c>
      <c r="AB207" s="24">
        <f t="shared" ref="AB207:AB208" si="1467">+CP207</f>
        <v>0</v>
      </c>
      <c r="AC207" s="24">
        <f t="shared" ref="AC207:AC208" si="1468">+CT207</f>
        <v>0</v>
      </c>
      <c r="AD207" s="24">
        <f t="shared" ref="AD207:AD208" si="1469">+CX207</f>
        <v>0</v>
      </c>
      <c r="AE207" s="24">
        <f t="shared" ref="AE207:AE208" si="1470">+DB207</f>
        <v>0</v>
      </c>
      <c r="AJ207" s="23">
        <f>+'QTR Raw'!D80</f>
        <v>0</v>
      </c>
      <c r="AL207" s="23">
        <f>+'QTR Raw'!F80</f>
        <v>19.940000000000001</v>
      </c>
      <c r="AN207" s="23">
        <f>+'QTR Raw'!H80</f>
        <v>19.940000000000001</v>
      </c>
      <c r="AP207" s="23">
        <f>+'QTR Raw'!J80</f>
        <v>19.940000000000001</v>
      </c>
      <c r="AR207" s="23">
        <f>+'QTR Raw'!L80</f>
        <v>29.44</v>
      </c>
      <c r="AT207" s="23">
        <f>+'QTR Raw'!N80</f>
        <v>0</v>
      </c>
      <c r="AV207" s="23">
        <f>+'QTR Raw'!P80</f>
        <v>29.44</v>
      </c>
      <c r="AX207" s="23">
        <f>+'QTR Raw'!R80</f>
        <v>0</v>
      </c>
      <c r="AZ207" s="23">
        <f>+'QTR Raw'!T80</f>
        <v>0</v>
      </c>
      <c r="BB207" s="23">
        <f>+'QTR Raw'!V80</f>
        <v>1.4999999999999999E-2</v>
      </c>
      <c r="BD207" s="23">
        <f>+'QTR Raw'!X80</f>
        <v>5.0000000000000001E-3</v>
      </c>
      <c r="BF207" s="23">
        <f>+'QTR Raw'!Z80</f>
        <v>5.0000000000000001E-3</v>
      </c>
      <c r="BH207" s="23">
        <f>+'QTR Raw'!AB80</f>
        <v>67.685000000000002</v>
      </c>
      <c r="BJ207" s="23">
        <f>+'QTR Raw'!AD80</f>
        <v>1E-3</v>
      </c>
      <c r="BL207" s="23">
        <f>+'QTR Raw'!AF80</f>
        <v>0</v>
      </c>
      <c r="BN207" s="23">
        <f>+'QTR Raw'!AH80</f>
        <v>47.500999999999998</v>
      </c>
      <c r="BP207" s="23">
        <f>+'QTR Raw'!AJ80</f>
        <v>1E-3</v>
      </c>
      <c r="BR207" s="23">
        <f>+'QTR Raw'!AL80</f>
        <v>1E-3</v>
      </c>
      <c r="BT207" s="23">
        <f>+'QTR Raw'!AN80</f>
        <v>1E-3</v>
      </c>
      <c r="BV207" s="23">
        <f>+'QTR Raw'!AP80</f>
        <v>0</v>
      </c>
      <c r="BX207" s="23">
        <f>+'QTR Raw'!AR80</f>
        <v>25.369</v>
      </c>
      <c r="BZ207" s="23">
        <f>+'QTR Raw'!AT80</f>
        <v>72.653000000000006</v>
      </c>
      <c r="CB207" s="23">
        <f>+'QTR Raw'!AV80</f>
        <v>0</v>
      </c>
      <c r="CD207" s="23">
        <f>+'QTR Raw'!AX80</f>
        <v>0</v>
      </c>
      <c r="CF207" s="23">
        <f>+'QTR Raw'!AZ80</f>
        <v>0</v>
      </c>
      <c r="CH207" s="23">
        <f t="shared" ref="CH207:CH208" si="1471">Z207</f>
        <v>0</v>
      </c>
      <c r="CJ207" s="23">
        <f>+'QTR Raw'!BD80</f>
        <v>0</v>
      </c>
      <c r="CL207" s="23">
        <f>+'QTR Raw'!BF80</f>
        <v>0</v>
      </c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E207" s="123"/>
      <c r="DF207" s="23">
        <v>0</v>
      </c>
    </row>
    <row r="208" spans="1:110" s="23" customFormat="1" outlineLevel="1" x14ac:dyDescent="0.2">
      <c r="A208" s="23" t="s">
        <v>76</v>
      </c>
      <c r="B208" s="23">
        <f>'Annual Raw'!C78</f>
        <v>0.2432831</v>
      </c>
      <c r="C208" s="23">
        <f>'Annual Raw'!D78</f>
        <v>0.90228629999999999</v>
      </c>
      <c r="D208" s="23">
        <f>'Annual Raw'!E78</f>
        <v>0.95535309999999996</v>
      </c>
      <c r="E208" s="23">
        <f>'Annual Raw'!F78</f>
        <v>2.9303042000000001</v>
      </c>
      <c r="F208" s="23">
        <f>'Annual Raw'!G78</f>
        <v>2.0929612</v>
      </c>
      <c r="G208" s="23">
        <f>'Annual Raw'!H78</f>
        <v>2.071682</v>
      </c>
      <c r="H208" s="23">
        <f>'Annual Raw'!I78</f>
        <v>4.3942854000000002</v>
      </c>
      <c r="I208" s="23">
        <f>'Annual Raw'!J78</f>
        <v>5.5134170999999998</v>
      </c>
      <c r="J208" s="23">
        <f>'Annual Raw'!K78</f>
        <v>2.3692622000000001</v>
      </c>
      <c r="K208" s="23">
        <f>'Annual Raw'!L78</f>
        <v>3.6211019000000002</v>
      </c>
      <c r="L208" s="23">
        <f>'Annual Raw'!M78</f>
        <v>9.0308962000000008</v>
      </c>
      <c r="M208" s="23">
        <f>'Annual Raw'!N78</f>
        <v>4.4786988000000001</v>
      </c>
      <c r="N208" s="23">
        <f>'Annual Raw'!O78</f>
        <v>2.6775595999999999</v>
      </c>
      <c r="O208" s="23">
        <f>'Annual Raw'!P78</f>
        <v>9.7451000000000008</v>
      </c>
      <c r="P208" s="23">
        <f>'Annual Raw'!Q78</f>
        <v>6.9966793000000003</v>
      </c>
      <c r="Q208" s="23">
        <f>'Annual Raw'!R78</f>
        <v>8.5682243000000007</v>
      </c>
      <c r="R208" s="23">
        <f>'Annual Raw'!S78</f>
        <v>3.4901320999999998</v>
      </c>
      <c r="S208" s="23">
        <f>'Annual Raw'!T78</f>
        <v>24.164261199999999</v>
      </c>
      <c r="T208" s="23">
        <f>'Annual Raw'!U78</f>
        <v>20.3987953</v>
      </c>
      <c r="U208" s="23">
        <f>'Annual Raw'!V78</f>
        <v>8.8110917000000004</v>
      </c>
      <c r="V208" s="23">
        <f>'Annual Raw'!W78</f>
        <v>19.6432</v>
      </c>
      <c r="W208" s="23">
        <f>'Annual Raw'!X78</f>
        <v>51.559100000000001</v>
      </c>
      <c r="X208" s="23">
        <f>'Annual Raw'!Y78</f>
        <v>235.92140000000001</v>
      </c>
      <c r="Y208" s="23">
        <f>'Annual Raw'!Z78</f>
        <v>339.79250000000002</v>
      </c>
      <c r="Z208" s="23">
        <f>'Annual Raw'!AA78</f>
        <v>353.53339999999997</v>
      </c>
      <c r="AA208" s="23">
        <f>'Annual Raw'!AB78</f>
        <v>270.93439999999998</v>
      </c>
      <c r="AB208" s="24">
        <f t="shared" si="1467"/>
        <v>185.82072630454425</v>
      </c>
      <c r="AC208" s="24">
        <f t="shared" si="1468"/>
        <v>23.625700404334978</v>
      </c>
      <c r="AD208" s="24">
        <f t="shared" si="1469"/>
        <v>58.09005774331365</v>
      </c>
      <c r="AE208" s="24">
        <f t="shared" si="1470"/>
        <v>141.54812901295998</v>
      </c>
      <c r="AJ208" s="23">
        <f>+'QTR Raw'!D83</f>
        <v>6.4359999999999999</v>
      </c>
      <c r="AK208" s="23">
        <f t="shared" ref="AK208:AM208" si="1472">+AK258</f>
        <v>38.51462946885588</v>
      </c>
      <c r="AL208" s="23">
        <f>+'QTR Raw'!F83</f>
        <v>2.68</v>
      </c>
      <c r="AM208" s="23">
        <f t="shared" si="1472"/>
        <v>32.348765903307893</v>
      </c>
      <c r="AN208" s="23">
        <f>+'QTR Raw'!H83</f>
        <v>11.791</v>
      </c>
      <c r="AO208" s="23">
        <f t="shared" ref="AO208" si="1473">+AO258</f>
        <v>52.709499161563592</v>
      </c>
      <c r="AP208" s="23">
        <f>+'QTR Raw'!J83</f>
        <v>9.74</v>
      </c>
      <c r="AQ208" s="23">
        <f t="shared" ref="AQ208" si="1474">+AQ258</f>
        <v>44.531607580174949</v>
      </c>
      <c r="AR208" s="23">
        <f>+'QTR Raw'!L83</f>
        <v>6.94</v>
      </c>
      <c r="AS208" s="23">
        <f t="shared" ref="AS208" si="1475">+AS258</f>
        <v>51.039078963110668</v>
      </c>
      <c r="AT208" s="23">
        <f>+'QTR Raw'!N83</f>
        <v>6.9969999999999999</v>
      </c>
      <c r="AU208" s="23">
        <f t="shared" ref="AU208" si="1476">+AU258</f>
        <v>5.693311108113587</v>
      </c>
      <c r="AV208" s="23">
        <f>+'QTR Raw'!P83</f>
        <v>4.923</v>
      </c>
      <c r="AW208" s="23">
        <f t="shared" ref="AW208" si="1477">+AW258</f>
        <v>56.319074719081698</v>
      </c>
      <c r="AX208" s="23">
        <f>+'QTR Raw'!R83</f>
        <v>8.5679999999999996</v>
      </c>
      <c r="AY208" s="23">
        <f t="shared" ref="AY208" si="1478">+AY258</f>
        <v>33.328597943701887</v>
      </c>
      <c r="AZ208" s="23">
        <f>+'QTR Raw'!T83</f>
        <v>5.625</v>
      </c>
      <c r="BA208" s="23">
        <f t="shared" ref="BA208" si="1479">+BA258</f>
        <v>18.913454356930874</v>
      </c>
      <c r="BB208" s="23">
        <f>+'QTR Raw'!V83</f>
        <v>3.49</v>
      </c>
      <c r="BC208" s="23">
        <f t="shared" ref="BC208" si="1480">+BC258</f>
        <v>20.095833872662954</v>
      </c>
      <c r="BD208" s="23">
        <f>+'QTR Raw'!X83</f>
        <v>9.1820000000000004</v>
      </c>
      <c r="BE208" s="23">
        <f t="shared" ref="BE208" si="1481">+BE258</f>
        <v>24.037583656407737</v>
      </c>
      <c r="BF208" s="23">
        <f>+'QTR Raw'!Z83</f>
        <v>24.164000000000001</v>
      </c>
      <c r="BG208" s="23">
        <f t="shared" ref="BG208" si="1482">+BG258</f>
        <v>54.604623266506607</v>
      </c>
      <c r="BH208" s="23">
        <f>+'QTR Raw'!AB83</f>
        <v>10.659000000000001</v>
      </c>
      <c r="BI208" s="23">
        <f t="shared" ref="BI208" si="1483">+BI258</f>
        <v>80.524274196754149</v>
      </c>
      <c r="BJ208" s="23">
        <f>+'QTR Raw'!AD83</f>
        <v>20.398</v>
      </c>
      <c r="BK208" s="23">
        <f t="shared" ref="BK208" si="1484">+BK258</f>
        <v>43.491674500597938</v>
      </c>
      <c r="BL208" s="23">
        <f>+'QTR Raw'!AF83</f>
        <v>7.3639999999999999</v>
      </c>
      <c r="BM208" s="23">
        <f t="shared" ref="BM208" si="1485">+BM258</f>
        <v>30.476374516507963</v>
      </c>
      <c r="BN208" s="23">
        <f>+'QTR Raw'!AH83</f>
        <v>8.8109999999999999</v>
      </c>
      <c r="BO208" s="23">
        <f t="shared" ref="BO208" si="1486">+BO258</f>
        <v>124.23730370465117</v>
      </c>
      <c r="BP208" s="23">
        <f>+'QTR Raw'!AJ83</f>
        <v>5.7409999999999997</v>
      </c>
      <c r="BQ208" s="23">
        <f t="shared" ref="BQ208" si="1487">+BQ258</f>
        <v>-29.013677730757738</v>
      </c>
      <c r="BR208" s="23">
        <f>+'QTR Raw'!AL83</f>
        <v>19.643000000000001</v>
      </c>
      <c r="BS208" s="23">
        <f t="shared" ref="BS208" si="1488">+BS258</f>
        <v>80.041204425240522</v>
      </c>
      <c r="BT208" s="23">
        <f>+'QTR Raw'!AN83</f>
        <v>8.6750000000000007</v>
      </c>
      <c r="BU208" s="23">
        <f t="shared" ref="BU208" si="1489">+BU258</f>
        <v>56.867290702695151</v>
      </c>
      <c r="BV208" s="23">
        <f>+'QTR Raw'!AP83</f>
        <v>51.558999999999997</v>
      </c>
      <c r="BW208" s="23">
        <f t="shared" ref="BW208" si="1490">+BW258</f>
        <v>263.43472620539592</v>
      </c>
      <c r="BX208" s="23">
        <f>+'QTR Raw'!AR83</f>
        <v>62.728999999999999</v>
      </c>
      <c r="BY208" s="23">
        <f t="shared" ref="BY208" si="1491">+BY258</f>
        <v>207.38120521449798</v>
      </c>
      <c r="BZ208" s="23">
        <f>+'QTR Raw'!AT83</f>
        <v>235.92099999999999</v>
      </c>
      <c r="CA208" s="23">
        <f t="shared" ref="CA208" si="1492">+CA258</f>
        <v>371.43796445868117</v>
      </c>
      <c r="CB208" s="23">
        <f>+'QTR Raw'!AV83</f>
        <v>344.87799999999999</v>
      </c>
      <c r="CC208" s="23">
        <f t="shared" ref="CC208" si="1493">+CC258</f>
        <v>390.25733455789612</v>
      </c>
      <c r="CD208" s="23">
        <f>+'QTR Raw'!AX83</f>
        <v>339.79199999999997</v>
      </c>
      <c r="CE208" s="23">
        <f t="shared" ref="CE208" si="1494">+CE258</f>
        <v>420.35552144891619</v>
      </c>
      <c r="CF208" s="23">
        <f>+'QTR Raw'!AZ83</f>
        <v>317.03399999999999</v>
      </c>
      <c r="CG208" s="23">
        <f t="shared" ref="CG208:CI208" si="1495">+CG258</f>
        <v>402.5328500647193</v>
      </c>
      <c r="CH208" s="23">
        <f t="shared" si="1471"/>
        <v>353.53339999999997</v>
      </c>
      <c r="CI208" s="23">
        <f t="shared" si="1495"/>
        <v>397.02406389654345</v>
      </c>
      <c r="CJ208" s="23">
        <f>+'QTR Raw'!BD83</f>
        <v>186.07499999999999</v>
      </c>
      <c r="CK208" s="23">
        <f t="shared" ref="CK208:DB208" si="1496">+CK258</f>
        <v>248.2720382907751</v>
      </c>
      <c r="CL208" s="23">
        <f>+'QTR Raw'!BF83</f>
        <v>271.36099999999999</v>
      </c>
      <c r="CM208" s="24">
        <f t="shared" si="1496"/>
        <v>466.10598434084795</v>
      </c>
      <c r="CN208" s="24">
        <f t="shared" si="1496"/>
        <v>358.38873318055306</v>
      </c>
      <c r="CO208" s="24">
        <f t="shared" si="1496"/>
        <v>177.10569058490682</v>
      </c>
      <c r="CP208" s="24">
        <f t="shared" si="1496"/>
        <v>185.82072630454425</v>
      </c>
      <c r="CQ208" s="24">
        <f t="shared" si="1496"/>
        <v>187.43974444227536</v>
      </c>
      <c r="CR208" s="24">
        <f t="shared" si="1496"/>
        <v>162.94977382248968</v>
      </c>
      <c r="CS208" s="24">
        <f t="shared" si="1496"/>
        <v>200.78082122473867</v>
      </c>
      <c r="CT208" s="24">
        <f t="shared" si="1496"/>
        <v>23.625700404334978</v>
      </c>
      <c r="CU208" s="24">
        <f t="shared" si="1496"/>
        <v>-43.956996911872622</v>
      </c>
      <c r="CV208" s="24">
        <f t="shared" si="1496"/>
        <v>31.18272585102865</v>
      </c>
      <c r="CW208" s="24">
        <f t="shared" si="1496"/>
        <v>198.47625445811275</v>
      </c>
      <c r="CX208" s="24">
        <f t="shared" si="1496"/>
        <v>58.09005774331365</v>
      </c>
      <c r="CY208" s="24">
        <f t="shared" si="1496"/>
        <v>-37.190458315560733</v>
      </c>
      <c r="CZ208" s="24">
        <f t="shared" si="1496"/>
        <v>77.552811465862391</v>
      </c>
      <c r="DA208" s="24">
        <f t="shared" si="1496"/>
        <v>324.91598298912766</v>
      </c>
      <c r="DB208" s="24">
        <f t="shared" si="1496"/>
        <v>141.54812901295998</v>
      </c>
      <c r="DE208" s="123"/>
      <c r="DF208" s="23">
        <v>116.31487383884027</v>
      </c>
    </row>
    <row r="209" spans="1:110" s="22" customFormat="1" x14ac:dyDescent="0.2">
      <c r="A209" s="22" t="s">
        <v>77</v>
      </c>
      <c r="B209" s="22">
        <f>B207+B208</f>
        <v>0.2432831</v>
      </c>
      <c r="C209" s="22">
        <f t="shared" ref="C209:V209" si="1497">C207+C208</f>
        <v>0.90228629999999999</v>
      </c>
      <c r="D209" s="22">
        <f t="shared" si="1497"/>
        <v>0.95535309999999996</v>
      </c>
      <c r="E209" s="22">
        <f t="shared" si="1497"/>
        <v>2.9303042000000001</v>
      </c>
      <c r="F209" s="22">
        <f t="shared" si="1497"/>
        <v>2.0929612</v>
      </c>
      <c r="G209" s="22">
        <f t="shared" si="1497"/>
        <v>2.071682</v>
      </c>
      <c r="H209" s="22">
        <f t="shared" si="1497"/>
        <v>4.3942854000000002</v>
      </c>
      <c r="I209" s="22">
        <f t="shared" si="1497"/>
        <v>5.5134170999999998</v>
      </c>
      <c r="J209" s="22">
        <f t="shared" si="1497"/>
        <v>2.3692622000000001</v>
      </c>
      <c r="K209" s="22">
        <f t="shared" si="1497"/>
        <v>3.6211019000000002</v>
      </c>
      <c r="L209" s="22">
        <f t="shared" si="1497"/>
        <v>12.870896200000001</v>
      </c>
      <c r="M209" s="22">
        <f t="shared" si="1497"/>
        <v>8.3186987999999999</v>
      </c>
      <c r="N209" s="22">
        <f t="shared" si="1497"/>
        <v>22.6175596</v>
      </c>
      <c r="O209" s="22">
        <f t="shared" si="1497"/>
        <v>29.685100000000002</v>
      </c>
      <c r="P209" s="22">
        <f t="shared" si="1497"/>
        <v>6.9966793000000003</v>
      </c>
      <c r="Q209" s="22">
        <f t="shared" si="1497"/>
        <v>8.5682243000000007</v>
      </c>
      <c r="R209" s="22">
        <f t="shared" si="1497"/>
        <v>3.5051321</v>
      </c>
      <c r="S209" s="22">
        <f t="shared" si="1497"/>
        <v>24.169261199999998</v>
      </c>
      <c r="T209" s="22">
        <f t="shared" si="1497"/>
        <v>20.399295299999999</v>
      </c>
      <c r="U209" s="22">
        <f t="shared" si="1497"/>
        <v>56.312091699999996</v>
      </c>
      <c r="V209" s="22">
        <f t="shared" si="1497"/>
        <v>19.644200000000001</v>
      </c>
      <c r="W209" s="22">
        <f t="shared" ref="W209" si="1498">W207+W208</f>
        <v>51.559100000000001</v>
      </c>
      <c r="X209" s="22">
        <f t="shared" ref="X209:Y209" si="1499">X207+X208</f>
        <v>308.57479999999998</v>
      </c>
      <c r="Y209" s="22">
        <f t="shared" si="1499"/>
        <v>339.79250000000002</v>
      </c>
      <c r="Z209" s="22">
        <f t="shared" ref="Z209:AA209" si="1500">Z207+Z208</f>
        <v>353.53339999999997</v>
      </c>
      <c r="AA209" s="22">
        <f t="shared" si="1500"/>
        <v>270.93439999999998</v>
      </c>
      <c r="AB209" s="21">
        <f t="shared" ref="AA209:AD209" si="1501">AB207+AB208</f>
        <v>185.82072630454425</v>
      </c>
      <c r="AC209" s="21">
        <f t="shared" si="1501"/>
        <v>23.625700404334978</v>
      </c>
      <c r="AD209" s="21">
        <f t="shared" si="1501"/>
        <v>58.09005774331365</v>
      </c>
      <c r="AE209" s="21">
        <f t="shared" ref="AE209" si="1502">AE207+AE208</f>
        <v>141.54812901295998</v>
      </c>
      <c r="AJ209" s="22">
        <f t="shared" ref="AJ209" si="1503">AJ207+AJ208</f>
        <v>6.4359999999999999</v>
      </c>
      <c r="AK209" s="22">
        <f t="shared" ref="AK209" si="1504">AK207+AK208</f>
        <v>38.51462946885588</v>
      </c>
      <c r="AL209" s="22">
        <f t="shared" ref="AL209:AM209" si="1505">AL207+AL208</f>
        <v>22.62</v>
      </c>
      <c r="AM209" s="22">
        <f t="shared" si="1505"/>
        <v>32.348765903307893</v>
      </c>
      <c r="AN209" s="22">
        <f t="shared" ref="AN209:AO209" si="1506">AN207+AN208</f>
        <v>31.731000000000002</v>
      </c>
      <c r="AO209" s="22">
        <f t="shared" si="1506"/>
        <v>52.709499161563592</v>
      </c>
      <c r="AP209" s="22">
        <f t="shared" ref="AP209:CE209" si="1507">AP207+AP208</f>
        <v>29.68</v>
      </c>
      <c r="AQ209" s="22">
        <f t="shared" si="1507"/>
        <v>44.531607580174949</v>
      </c>
      <c r="AR209" s="22">
        <f t="shared" si="1507"/>
        <v>36.380000000000003</v>
      </c>
      <c r="AS209" s="22">
        <f t="shared" si="1507"/>
        <v>51.039078963110668</v>
      </c>
      <c r="AT209" s="22">
        <f t="shared" si="1507"/>
        <v>6.9969999999999999</v>
      </c>
      <c r="AU209" s="22">
        <f t="shared" si="1507"/>
        <v>5.693311108113587</v>
      </c>
      <c r="AV209" s="22">
        <f t="shared" si="1507"/>
        <v>34.363</v>
      </c>
      <c r="AW209" s="22">
        <f t="shared" si="1507"/>
        <v>56.319074719081698</v>
      </c>
      <c r="AX209" s="22">
        <f t="shared" si="1507"/>
        <v>8.5679999999999996</v>
      </c>
      <c r="AY209" s="22">
        <f t="shared" si="1507"/>
        <v>33.328597943701887</v>
      </c>
      <c r="AZ209" s="22">
        <f t="shared" si="1507"/>
        <v>5.625</v>
      </c>
      <c r="BA209" s="22">
        <f t="shared" si="1507"/>
        <v>18.913454356930874</v>
      </c>
      <c r="BB209" s="22">
        <f t="shared" si="1507"/>
        <v>3.5050000000000003</v>
      </c>
      <c r="BC209" s="22">
        <f t="shared" si="1507"/>
        <v>20.095833872662954</v>
      </c>
      <c r="BD209" s="22">
        <f t="shared" si="1507"/>
        <v>9.1870000000000012</v>
      </c>
      <c r="BE209" s="22">
        <f t="shared" si="1507"/>
        <v>24.037583656407737</v>
      </c>
      <c r="BF209" s="22">
        <f t="shared" si="1507"/>
        <v>24.169</v>
      </c>
      <c r="BG209" s="22">
        <f t="shared" si="1507"/>
        <v>54.604623266506607</v>
      </c>
      <c r="BH209" s="22">
        <f t="shared" si="1507"/>
        <v>78.344000000000008</v>
      </c>
      <c r="BI209" s="22">
        <f t="shared" si="1507"/>
        <v>80.524274196754149</v>
      </c>
      <c r="BJ209" s="22">
        <f t="shared" si="1507"/>
        <v>20.399000000000001</v>
      </c>
      <c r="BK209" s="22">
        <f t="shared" si="1507"/>
        <v>43.491674500597938</v>
      </c>
      <c r="BL209" s="22">
        <f t="shared" si="1507"/>
        <v>7.3639999999999999</v>
      </c>
      <c r="BM209" s="22">
        <f t="shared" si="1507"/>
        <v>30.476374516507963</v>
      </c>
      <c r="BN209" s="22">
        <f t="shared" si="1507"/>
        <v>56.311999999999998</v>
      </c>
      <c r="BO209" s="22">
        <f t="shared" si="1507"/>
        <v>124.23730370465117</v>
      </c>
      <c r="BP209" s="22">
        <f t="shared" si="1507"/>
        <v>5.742</v>
      </c>
      <c r="BQ209" s="22">
        <f t="shared" si="1507"/>
        <v>-29.013677730757738</v>
      </c>
      <c r="BR209" s="22">
        <f t="shared" si="1507"/>
        <v>19.644000000000002</v>
      </c>
      <c r="BS209" s="22">
        <f t="shared" si="1507"/>
        <v>80.041204425240522</v>
      </c>
      <c r="BT209" s="22">
        <f t="shared" si="1507"/>
        <v>8.6760000000000002</v>
      </c>
      <c r="BU209" s="22">
        <f t="shared" si="1507"/>
        <v>56.867290702695151</v>
      </c>
      <c r="BV209" s="22">
        <f t="shared" si="1507"/>
        <v>51.558999999999997</v>
      </c>
      <c r="BW209" s="22">
        <f t="shared" si="1507"/>
        <v>263.43472620539592</v>
      </c>
      <c r="BX209" s="22">
        <f t="shared" si="1507"/>
        <v>88.097999999999999</v>
      </c>
      <c r="BY209" s="22">
        <f t="shared" si="1507"/>
        <v>207.38120521449798</v>
      </c>
      <c r="BZ209" s="22">
        <f t="shared" si="1507"/>
        <v>308.57400000000001</v>
      </c>
      <c r="CA209" s="22">
        <f t="shared" si="1507"/>
        <v>371.43796445868117</v>
      </c>
      <c r="CB209" s="22">
        <f t="shared" si="1507"/>
        <v>344.87799999999999</v>
      </c>
      <c r="CC209" s="22">
        <f t="shared" si="1507"/>
        <v>390.25733455789612</v>
      </c>
      <c r="CD209" s="22">
        <f t="shared" si="1507"/>
        <v>339.79199999999997</v>
      </c>
      <c r="CE209" s="22">
        <f t="shared" si="1507"/>
        <v>420.35552144891619</v>
      </c>
      <c r="CF209" s="22">
        <f t="shared" ref="CF209:CG209" si="1508">CF207+CF208</f>
        <v>317.03399999999999</v>
      </c>
      <c r="CG209" s="22">
        <f t="shared" si="1508"/>
        <v>402.5328500647193</v>
      </c>
      <c r="CH209" s="22">
        <f t="shared" ref="CH209:CI209" si="1509">CH207+CH208</f>
        <v>353.53339999999997</v>
      </c>
      <c r="CI209" s="22">
        <f t="shared" si="1509"/>
        <v>397.02406389654345</v>
      </c>
      <c r="CJ209" s="22">
        <f t="shared" ref="CJ209:DB209" si="1510">CJ207+CJ208</f>
        <v>186.07499999999999</v>
      </c>
      <c r="CK209" s="22">
        <f t="shared" si="1510"/>
        <v>248.2720382907751</v>
      </c>
      <c r="CL209" s="22">
        <f t="shared" ref="CL209" si="1511">CL207+CL208</f>
        <v>271.36099999999999</v>
      </c>
      <c r="CM209" s="21">
        <f t="shared" si="1510"/>
        <v>466.10598434084795</v>
      </c>
      <c r="CN209" s="21">
        <f t="shared" si="1510"/>
        <v>358.38873318055306</v>
      </c>
      <c r="CO209" s="21">
        <f t="shared" si="1510"/>
        <v>177.10569058490682</v>
      </c>
      <c r="CP209" s="21">
        <f t="shared" si="1510"/>
        <v>185.82072630454425</v>
      </c>
      <c r="CQ209" s="21">
        <f t="shared" si="1510"/>
        <v>187.43974444227536</v>
      </c>
      <c r="CR209" s="21">
        <f t="shared" si="1510"/>
        <v>162.94977382248968</v>
      </c>
      <c r="CS209" s="21">
        <f t="shared" si="1510"/>
        <v>200.78082122473867</v>
      </c>
      <c r="CT209" s="21">
        <f t="shared" si="1510"/>
        <v>23.625700404334978</v>
      </c>
      <c r="CU209" s="21">
        <f t="shared" si="1510"/>
        <v>-43.956996911872622</v>
      </c>
      <c r="CV209" s="21">
        <f t="shared" si="1510"/>
        <v>31.18272585102865</v>
      </c>
      <c r="CW209" s="21">
        <f t="shared" si="1510"/>
        <v>198.47625445811275</v>
      </c>
      <c r="CX209" s="21">
        <f t="shared" si="1510"/>
        <v>58.09005774331365</v>
      </c>
      <c r="CY209" s="21">
        <f t="shared" si="1510"/>
        <v>-37.190458315560733</v>
      </c>
      <c r="CZ209" s="21">
        <f t="shared" si="1510"/>
        <v>77.552811465862391</v>
      </c>
      <c r="DA209" s="21">
        <f t="shared" si="1510"/>
        <v>324.91598298912766</v>
      </c>
      <c r="DB209" s="21">
        <f t="shared" si="1510"/>
        <v>141.54812901295998</v>
      </c>
      <c r="DE209" s="126"/>
      <c r="DF209" s="22">
        <v>116.31487383884027</v>
      </c>
    </row>
    <row r="210" spans="1:110" s="23" customFormat="1" x14ac:dyDescent="0.2">
      <c r="AB210" s="24"/>
      <c r="AC210" s="24"/>
      <c r="AD210" s="24"/>
      <c r="AE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23" customFormat="1" x14ac:dyDescent="0.2">
      <c r="A211" s="23" t="s">
        <v>78</v>
      </c>
      <c r="B211" s="23">
        <f>-'Annual Raw'!C49</f>
        <v>0</v>
      </c>
      <c r="C211" s="23">
        <f>-'Annual Raw'!D49</f>
        <v>-3.9040727999999998</v>
      </c>
      <c r="D211" s="23">
        <f>-'Annual Raw'!E49</f>
        <v>-5.6061584</v>
      </c>
      <c r="E211" s="23">
        <f>-'Annual Raw'!F49</f>
        <v>-7.8938382999999996</v>
      </c>
      <c r="F211" s="23">
        <f>-'Annual Raw'!G49</f>
        <v>-8.8953471999999998</v>
      </c>
      <c r="G211" s="23">
        <f>-'Annual Raw'!H49</f>
        <v>-9.6119544000000001</v>
      </c>
      <c r="H211" s="23">
        <f>-'Annual Raw'!I49</f>
        <v>-11.778797600000001</v>
      </c>
      <c r="I211" s="23">
        <f>-'Annual Raw'!J49</f>
        <v>-14.9073928</v>
      </c>
      <c r="J211" s="23">
        <f>-'Annual Raw'!K49</f>
        <v>-21.234572100000001</v>
      </c>
      <c r="K211" s="23">
        <f>-'Annual Raw'!L49</f>
        <v>-26.8495791</v>
      </c>
      <c r="L211" s="23">
        <f>-'Annual Raw'!M49</f>
        <v>-33.659741099999998</v>
      </c>
      <c r="M211" s="23">
        <f>-'Annual Raw'!N49</f>
        <v>-36.608756999999997</v>
      </c>
      <c r="N211" s="23">
        <f>-'Annual Raw'!O49</f>
        <v>-39.821214300000001</v>
      </c>
      <c r="O211" s="23">
        <f>-'Annual Raw'!P49</f>
        <v>-42.435099999999998</v>
      </c>
      <c r="P211" s="23">
        <f>-'Annual Raw'!Q49</f>
        <v>-45.126603199999998</v>
      </c>
      <c r="Q211" s="23">
        <f>-'Annual Raw'!R49</f>
        <v>-50.4718266</v>
      </c>
      <c r="R211" s="23">
        <f>-'Annual Raw'!S49</f>
        <v>-50.815877399999998</v>
      </c>
      <c r="S211" s="23">
        <f>-'Annual Raw'!T49</f>
        <v>-50.223282500000003</v>
      </c>
      <c r="T211" s="23">
        <f>-'Annual Raw'!U49</f>
        <v>-45.750090299999997</v>
      </c>
      <c r="U211" s="23">
        <f>-'Annual Raw'!V49</f>
        <v>-43.7291375</v>
      </c>
      <c r="V211" s="23">
        <f>-'Annual Raw'!W49</f>
        <v>-47.243600000000001</v>
      </c>
      <c r="W211" s="23">
        <f>-'Annual Raw'!X49</f>
        <v>-67.748999999999995</v>
      </c>
      <c r="X211" s="23">
        <f>-'Annual Raw'!Y49</f>
        <v>-81.211600000000004</v>
      </c>
      <c r="Y211" s="23">
        <f>-'Annual Raw'!Z49</f>
        <v>-87.498199999999997</v>
      </c>
      <c r="Z211" s="23">
        <f>-'Annual Raw'!AA49</f>
        <v>-98.380499999999998</v>
      </c>
      <c r="AA211" s="23">
        <f>-'Annual Raw'!AB49</f>
        <v>-92.1584</v>
      </c>
      <c r="AB211" s="24">
        <f t="shared" ref="AB211:AB212" si="1512">+CP211</f>
        <v>-113.83199999999999</v>
      </c>
      <c r="AC211" s="24">
        <f t="shared" ref="AC211:AC212" si="1513">+CT211</f>
        <v>-113.83199999999999</v>
      </c>
      <c r="AD211" s="24">
        <f t="shared" ref="AD211:AD212" si="1514">+CX211</f>
        <v>-113.83199999999999</v>
      </c>
      <c r="AE211" s="24">
        <f t="shared" ref="AE211:AE212" si="1515">+DB211</f>
        <v>-113.83199999999999</v>
      </c>
      <c r="AJ211" s="23">
        <f>+'QTR Raw'!D96</f>
        <v>-42.414999999999999</v>
      </c>
      <c r="AK211" s="23">
        <f t="shared" ref="AK211:CE211" si="1516">+AJ211</f>
        <v>-42.414999999999999</v>
      </c>
      <c r="AL211" s="23">
        <f>+'QTR Raw'!F96</f>
        <v>-39.82</v>
      </c>
      <c r="AM211" s="23">
        <f t="shared" si="1516"/>
        <v>-39.82</v>
      </c>
      <c r="AN211" s="23">
        <f>+'QTR Raw'!H96</f>
        <v>-49.521000000000001</v>
      </c>
      <c r="AO211" s="23">
        <f t="shared" si="1516"/>
        <v>-49.521000000000001</v>
      </c>
      <c r="AP211" s="23">
        <f>+'QTR Raw'!J96</f>
        <v>-42.44</v>
      </c>
      <c r="AQ211" s="23">
        <f t="shared" si="1516"/>
        <v>-42.44</v>
      </c>
      <c r="AR211" s="23">
        <f>+'QTR Raw'!L96</f>
        <v>-47.29</v>
      </c>
      <c r="AS211" s="23">
        <f t="shared" si="1516"/>
        <v>-47.29</v>
      </c>
      <c r="AT211" s="23">
        <f>+'QTR Raw'!N96</f>
        <v>-45.127000000000002</v>
      </c>
      <c r="AU211" s="23">
        <f t="shared" si="1516"/>
        <v>-45.127000000000002</v>
      </c>
      <c r="AV211" s="23">
        <f>+'QTR Raw'!P96</f>
        <v>-54.524000000000001</v>
      </c>
      <c r="AW211" s="23">
        <f t="shared" si="1516"/>
        <v>-54.524000000000001</v>
      </c>
      <c r="AX211" s="23">
        <f>+'QTR Raw'!R96</f>
        <v>-50.472000000000001</v>
      </c>
      <c r="AY211" s="23">
        <f t="shared" si="1516"/>
        <v>-50.472000000000001</v>
      </c>
      <c r="AZ211" s="23">
        <f>+'QTR Raw'!T96</f>
        <v>-57.392000000000003</v>
      </c>
      <c r="BA211" s="23">
        <f t="shared" si="1516"/>
        <v>-57.392000000000003</v>
      </c>
      <c r="BB211" s="23">
        <f>+'QTR Raw'!V96</f>
        <v>-50.816000000000003</v>
      </c>
      <c r="BC211" s="23">
        <f t="shared" si="1516"/>
        <v>-50.816000000000003</v>
      </c>
      <c r="BD211" s="23">
        <f>+'QTR Raw'!X96</f>
        <v>-60.902999999999999</v>
      </c>
      <c r="BE211" s="23">
        <f t="shared" si="1516"/>
        <v>-60.902999999999999</v>
      </c>
      <c r="BF211" s="23">
        <f>+'QTR Raw'!Z96</f>
        <v>-50.222999999999999</v>
      </c>
      <c r="BG211" s="23">
        <f t="shared" si="1516"/>
        <v>-50.222999999999999</v>
      </c>
      <c r="BH211" s="23">
        <f>+'QTR Raw'!AB96</f>
        <v>-48.732999999999997</v>
      </c>
      <c r="BI211" s="23">
        <f t="shared" si="1516"/>
        <v>-48.732999999999997</v>
      </c>
      <c r="BJ211" s="23">
        <f>+'QTR Raw'!AD96</f>
        <v>-45.75</v>
      </c>
      <c r="BK211" s="23">
        <f t="shared" si="1516"/>
        <v>-45.75</v>
      </c>
      <c r="BL211" s="23">
        <f>+'QTR Raw'!AF96</f>
        <v>-46.698999999999998</v>
      </c>
      <c r="BM211" s="23">
        <f t="shared" si="1516"/>
        <v>-46.698999999999998</v>
      </c>
      <c r="BN211" s="23">
        <f>+'QTR Raw'!AH96</f>
        <v>-43.728999999999999</v>
      </c>
      <c r="BO211" s="23">
        <f t="shared" si="1516"/>
        <v>-43.728999999999999</v>
      </c>
      <c r="BP211" s="23">
        <f>+'QTR Raw'!AJ96</f>
        <v>-40.85</v>
      </c>
      <c r="BQ211" s="23">
        <f t="shared" si="1516"/>
        <v>-40.85</v>
      </c>
      <c r="BR211" s="23">
        <f>+'QTR Raw'!AL96</f>
        <v>-47.244</v>
      </c>
      <c r="BS211" s="23">
        <f t="shared" si="1516"/>
        <v>-47.244</v>
      </c>
      <c r="BT211" s="23">
        <f>+'QTR Raw'!AN96</f>
        <v>-62.357999999999997</v>
      </c>
      <c r="BU211" s="23">
        <f t="shared" si="1516"/>
        <v>-62.357999999999997</v>
      </c>
      <c r="BV211" s="23">
        <f>+'QTR Raw'!AP96</f>
        <v>-67.748999999999995</v>
      </c>
      <c r="BW211" s="23">
        <f t="shared" si="1516"/>
        <v>-67.748999999999995</v>
      </c>
      <c r="BX211" s="23">
        <f>+'QTR Raw'!AR96</f>
        <v>-77.876999999999995</v>
      </c>
      <c r="BY211" s="23">
        <f t="shared" si="1516"/>
        <v>-77.876999999999995</v>
      </c>
      <c r="BZ211" s="23">
        <f>+'QTR Raw'!AT96</f>
        <v>-81.212000000000003</v>
      </c>
      <c r="CA211" s="23">
        <f t="shared" si="1516"/>
        <v>-81.212000000000003</v>
      </c>
      <c r="CB211" s="23">
        <f>+'QTR Raw'!AV96</f>
        <v>-81.617000000000004</v>
      </c>
      <c r="CC211" s="23">
        <f t="shared" si="1516"/>
        <v>-81.617000000000004</v>
      </c>
      <c r="CD211" s="23">
        <f>+'QTR Raw'!AX96</f>
        <v>-87.498000000000005</v>
      </c>
      <c r="CE211" s="23">
        <f t="shared" si="1516"/>
        <v>-87.498000000000005</v>
      </c>
      <c r="CF211" s="23">
        <f>+'QTR Raw'!AZ96</f>
        <v>-93.822999999999993</v>
      </c>
      <c r="CG211" s="23">
        <f t="shared" ref="CG211:CI212" si="1517">+CF211</f>
        <v>-93.822999999999993</v>
      </c>
      <c r="CH211" s="23">
        <f t="shared" ref="CH211:CH212" si="1518">Z211</f>
        <v>-98.380499999999998</v>
      </c>
      <c r="CI211" s="23">
        <f t="shared" si="1517"/>
        <v>-98.380499999999998</v>
      </c>
      <c r="CJ211" s="23">
        <f>+'QTR Raw'!BD96</f>
        <v>-105.76600000000001</v>
      </c>
      <c r="CK211" s="23">
        <f t="shared" ref="CK211:CK212" si="1519">+CJ211</f>
        <v>-105.76600000000001</v>
      </c>
      <c r="CL211" s="23">
        <f>+'QTR Raw'!BF96</f>
        <v>-113.83199999999999</v>
      </c>
      <c r="CM211" s="24">
        <f t="shared" ref="CM211:CM212" si="1520">+CL211</f>
        <v>-113.83199999999999</v>
      </c>
      <c r="CN211" s="24">
        <f t="shared" ref="CN211:CN212" si="1521">+CM211</f>
        <v>-113.83199999999999</v>
      </c>
      <c r="CO211" s="24">
        <f t="shared" ref="CO211:CO212" si="1522">+CN211</f>
        <v>-113.83199999999999</v>
      </c>
      <c r="CP211" s="24">
        <f t="shared" ref="CP211:CP212" si="1523">+CO211</f>
        <v>-113.83199999999999</v>
      </c>
      <c r="CQ211" s="24">
        <f t="shared" ref="CQ211:CQ212" si="1524">+CP211</f>
        <v>-113.83199999999999</v>
      </c>
      <c r="CR211" s="24">
        <f t="shared" ref="CR211:CR212" si="1525">+CQ211</f>
        <v>-113.83199999999999</v>
      </c>
      <c r="CS211" s="24">
        <f t="shared" ref="CS211:CS212" si="1526">+CR211</f>
        <v>-113.83199999999999</v>
      </c>
      <c r="CT211" s="24">
        <f t="shared" ref="CT211:CT212" si="1527">+CS211</f>
        <v>-113.83199999999999</v>
      </c>
      <c r="CU211" s="24">
        <f t="shared" ref="CU211:CU212" si="1528">+CT211</f>
        <v>-113.83199999999999</v>
      </c>
      <c r="CV211" s="24">
        <f t="shared" ref="CV211:CV212" si="1529">+CU211</f>
        <v>-113.83199999999999</v>
      </c>
      <c r="CW211" s="24">
        <f t="shared" ref="CW211:CW212" si="1530">+CV211</f>
        <v>-113.83199999999999</v>
      </c>
      <c r="CX211" s="24">
        <f t="shared" ref="CX211:CX212" si="1531">+CW211</f>
        <v>-113.83199999999999</v>
      </c>
      <c r="CY211" s="24">
        <f t="shared" ref="CY211:CY212" si="1532">+CX211</f>
        <v>-113.83199999999999</v>
      </c>
      <c r="CZ211" s="24">
        <f t="shared" ref="CZ211:CZ212" si="1533">+CY211</f>
        <v>-113.83199999999999</v>
      </c>
      <c r="DA211" s="24">
        <f t="shared" ref="DA211:DA212" si="1534">+CZ211</f>
        <v>-113.83199999999999</v>
      </c>
      <c r="DB211" s="24">
        <f t="shared" ref="DB211:DB212" si="1535">+DA211</f>
        <v>-113.83199999999999</v>
      </c>
      <c r="DE211" s="123"/>
      <c r="DF211" s="23">
        <v>-105.76600000000001</v>
      </c>
    </row>
    <row r="212" spans="1:110" s="23" customFormat="1" x14ac:dyDescent="0.2">
      <c r="A212" s="23" t="s">
        <v>79</v>
      </c>
      <c r="B212" s="23">
        <f>'Annual Raw'!C83</f>
        <v>0.25680249999999999</v>
      </c>
      <c r="C212" s="23">
        <f>'Annual Raw'!D83</f>
        <v>0</v>
      </c>
      <c r="D212" s="23">
        <f>'Annual Raw'!E83</f>
        <v>0</v>
      </c>
      <c r="E212" s="23">
        <f>'Annual Raw'!F83</f>
        <v>0</v>
      </c>
      <c r="F212" s="23">
        <f>'Annual Raw'!G83</f>
        <v>0</v>
      </c>
      <c r="G212" s="23">
        <f>'Annual Raw'!H83</f>
        <v>0</v>
      </c>
      <c r="H212" s="23">
        <f>'Annual Raw'!I83</f>
        <v>0.66502819999999996</v>
      </c>
      <c r="I212" s="23">
        <f>'Annual Raw'!J83</f>
        <v>0.43428939999999999</v>
      </c>
      <c r="J212" s="23">
        <f>'Annual Raw'!K83</f>
        <v>0.2042505</v>
      </c>
      <c r="K212" s="23">
        <f>'Annual Raw'!L83</f>
        <v>0</v>
      </c>
      <c r="L212" s="23">
        <f>'Annual Raw'!M83</f>
        <v>0</v>
      </c>
      <c r="M212" s="23">
        <f>'Annual Raw'!N83</f>
        <v>0</v>
      </c>
      <c r="N212" s="23">
        <f>'Annual Raw'!O83</f>
        <v>0</v>
      </c>
      <c r="O212" s="23">
        <f>'Annual Raw'!P83</f>
        <v>0</v>
      </c>
      <c r="P212" s="23">
        <f>'Annual Raw'!Q83</f>
        <v>0</v>
      </c>
      <c r="Q212" s="23">
        <f>'Annual Raw'!R83</f>
        <v>0</v>
      </c>
      <c r="R212" s="23">
        <f>'Annual Raw'!S83</f>
        <v>0</v>
      </c>
      <c r="S212" s="23">
        <f>'Annual Raw'!T83</f>
        <v>0.53714220000000001</v>
      </c>
      <c r="T212" s="23">
        <f>'Annual Raw'!U83</f>
        <v>0.53720219999999996</v>
      </c>
      <c r="U212" s="23">
        <f>'Annual Raw'!V83</f>
        <v>0.43513780000000002</v>
      </c>
      <c r="V212" s="23">
        <f>'Annual Raw'!W83</f>
        <v>0.32629999999999998</v>
      </c>
      <c r="W212" s="23">
        <f>'Annual Raw'!X83</f>
        <v>0</v>
      </c>
      <c r="X212" s="23">
        <f>'Annual Raw'!Y83</f>
        <v>0</v>
      </c>
      <c r="Y212" s="23">
        <f>'Annual Raw'!Z83</f>
        <v>0</v>
      </c>
      <c r="Z212" s="23">
        <f>'Annual Raw'!AA83</f>
        <v>0</v>
      </c>
      <c r="AA212" s="23">
        <f>'Annual Raw'!AB83</f>
        <v>0</v>
      </c>
      <c r="AB212" s="24">
        <f t="shared" si="1512"/>
        <v>0</v>
      </c>
      <c r="AC212" s="24">
        <f t="shared" si="1513"/>
        <v>0</v>
      </c>
      <c r="AD212" s="24">
        <f t="shared" si="1514"/>
        <v>0</v>
      </c>
      <c r="AE212" s="24">
        <f t="shared" si="1515"/>
        <v>0</v>
      </c>
      <c r="AJ212" s="23">
        <f>+'QTR Raw'!D95</f>
        <v>0</v>
      </c>
      <c r="AK212" s="23">
        <f t="shared" ref="AK212:CE212" si="1536">+AJ212</f>
        <v>0</v>
      </c>
      <c r="AL212" s="23">
        <f>+'QTR Raw'!F95</f>
        <v>0</v>
      </c>
      <c r="AM212" s="23">
        <f t="shared" si="1536"/>
        <v>0</v>
      </c>
      <c r="AN212" s="23">
        <f>+'QTR Raw'!H95</f>
        <v>0</v>
      </c>
      <c r="AO212" s="23">
        <f t="shared" si="1536"/>
        <v>0</v>
      </c>
      <c r="AP212" s="23">
        <f>+'QTR Raw'!J95</f>
        <v>0</v>
      </c>
      <c r="AQ212" s="23">
        <f t="shared" si="1536"/>
        <v>0</v>
      </c>
      <c r="AR212" s="23">
        <f>+'QTR Raw'!L95</f>
        <v>0</v>
      </c>
      <c r="AS212" s="23">
        <f t="shared" si="1536"/>
        <v>0</v>
      </c>
      <c r="AT212" s="23">
        <f>+'QTR Raw'!N95</f>
        <v>0</v>
      </c>
      <c r="AU212" s="23">
        <f t="shared" si="1536"/>
        <v>0</v>
      </c>
      <c r="AV212" s="23">
        <f>+'QTR Raw'!P95</f>
        <v>0</v>
      </c>
      <c r="AW212" s="23">
        <f t="shared" si="1536"/>
        <v>0</v>
      </c>
      <c r="AX212" s="23">
        <f>+'QTR Raw'!R95</f>
        <v>0</v>
      </c>
      <c r="AY212" s="23">
        <f t="shared" si="1536"/>
        <v>0</v>
      </c>
      <c r="AZ212" s="23">
        <f>+'QTR Raw'!T95</f>
        <v>0</v>
      </c>
      <c r="BA212" s="23">
        <f t="shared" si="1536"/>
        <v>0</v>
      </c>
      <c r="BB212" s="23">
        <f>+'QTR Raw'!V95</f>
        <v>0</v>
      </c>
      <c r="BC212" s="23">
        <f t="shared" si="1536"/>
        <v>0</v>
      </c>
      <c r="BD212" s="23">
        <f>+'QTR Raw'!X95</f>
        <v>0</v>
      </c>
      <c r="BE212" s="23">
        <f t="shared" si="1536"/>
        <v>0</v>
      </c>
      <c r="BF212" s="23">
        <f>+'QTR Raw'!Z95</f>
        <v>0</v>
      </c>
      <c r="BG212" s="23">
        <f t="shared" si="1536"/>
        <v>0</v>
      </c>
      <c r="BH212" s="23">
        <f>+'QTR Raw'!AB95</f>
        <v>0</v>
      </c>
      <c r="BI212" s="23">
        <f t="shared" si="1536"/>
        <v>0</v>
      </c>
      <c r="BJ212" s="23">
        <f>+'QTR Raw'!AD95</f>
        <v>0</v>
      </c>
      <c r="BK212" s="23">
        <f t="shared" si="1536"/>
        <v>0</v>
      </c>
      <c r="BL212" s="23">
        <f>+'QTR Raw'!AF95</f>
        <v>0</v>
      </c>
      <c r="BM212" s="23">
        <f t="shared" si="1536"/>
        <v>0</v>
      </c>
      <c r="BN212" s="23">
        <f>+'QTR Raw'!AH95</f>
        <v>0</v>
      </c>
      <c r="BO212" s="23">
        <f t="shared" si="1536"/>
        <v>0</v>
      </c>
      <c r="BP212" s="23">
        <f>+'QTR Raw'!AJ95</f>
        <v>0</v>
      </c>
      <c r="BQ212" s="23">
        <f t="shared" si="1536"/>
        <v>0</v>
      </c>
      <c r="BR212" s="23">
        <f>+'QTR Raw'!AL95</f>
        <v>0</v>
      </c>
      <c r="BS212" s="23">
        <f t="shared" si="1536"/>
        <v>0</v>
      </c>
      <c r="BT212" s="23">
        <f>+'QTR Raw'!AN95</f>
        <v>0</v>
      </c>
      <c r="BU212" s="23">
        <f t="shared" si="1536"/>
        <v>0</v>
      </c>
      <c r="BV212" s="23">
        <f>+'QTR Raw'!AP95</f>
        <v>0</v>
      </c>
      <c r="BW212" s="23">
        <f t="shared" si="1536"/>
        <v>0</v>
      </c>
      <c r="BX212" s="23">
        <f>+'QTR Raw'!AR95</f>
        <v>0</v>
      </c>
      <c r="BY212" s="23">
        <f t="shared" si="1536"/>
        <v>0</v>
      </c>
      <c r="BZ212" s="23">
        <f>+'QTR Raw'!AT95</f>
        <v>0</v>
      </c>
      <c r="CA212" s="23">
        <f t="shared" si="1536"/>
        <v>0</v>
      </c>
      <c r="CB212" s="23">
        <f>+'QTR Raw'!AV95</f>
        <v>0</v>
      </c>
      <c r="CC212" s="23">
        <f t="shared" si="1536"/>
        <v>0</v>
      </c>
      <c r="CD212" s="23">
        <f>+'QTR Raw'!AX95</f>
        <v>0</v>
      </c>
      <c r="CE212" s="23">
        <f t="shared" si="1536"/>
        <v>0</v>
      </c>
      <c r="CF212" s="23">
        <f>+'QTR Raw'!AZ95</f>
        <v>0</v>
      </c>
      <c r="CG212" s="23">
        <f t="shared" si="1517"/>
        <v>0</v>
      </c>
      <c r="CH212" s="23">
        <f t="shared" si="1518"/>
        <v>0</v>
      </c>
      <c r="CI212" s="23">
        <f t="shared" si="1517"/>
        <v>0</v>
      </c>
      <c r="CJ212" s="23">
        <f>+'QTR Raw'!BD95</f>
        <v>0</v>
      </c>
      <c r="CK212" s="23">
        <f t="shared" si="1519"/>
        <v>0</v>
      </c>
      <c r="CL212" s="23">
        <f>+'QTR Raw'!BF95</f>
        <v>0</v>
      </c>
      <c r="CM212" s="24">
        <f t="shared" si="1520"/>
        <v>0</v>
      </c>
      <c r="CN212" s="24">
        <f t="shared" si="1521"/>
        <v>0</v>
      </c>
      <c r="CO212" s="24">
        <f t="shared" si="1522"/>
        <v>0</v>
      </c>
      <c r="CP212" s="24">
        <f t="shared" si="1523"/>
        <v>0</v>
      </c>
      <c r="CQ212" s="24">
        <f t="shared" si="1524"/>
        <v>0</v>
      </c>
      <c r="CR212" s="24">
        <f t="shared" si="1525"/>
        <v>0</v>
      </c>
      <c r="CS212" s="24">
        <f t="shared" si="1526"/>
        <v>0</v>
      </c>
      <c r="CT212" s="24">
        <f t="shared" si="1527"/>
        <v>0</v>
      </c>
      <c r="CU212" s="24">
        <f t="shared" si="1528"/>
        <v>0</v>
      </c>
      <c r="CV212" s="24">
        <f t="shared" si="1529"/>
        <v>0</v>
      </c>
      <c r="CW212" s="24">
        <f t="shared" si="1530"/>
        <v>0</v>
      </c>
      <c r="CX212" s="24">
        <f t="shared" si="1531"/>
        <v>0</v>
      </c>
      <c r="CY212" s="24">
        <f t="shared" si="1532"/>
        <v>0</v>
      </c>
      <c r="CZ212" s="24">
        <f t="shared" si="1533"/>
        <v>0</v>
      </c>
      <c r="DA212" s="24">
        <f t="shared" si="1534"/>
        <v>0</v>
      </c>
      <c r="DB212" s="24">
        <f t="shared" si="1535"/>
        <v>0</v>
      </c>
      <c r="DE212" s="123"/>
      <c r="DF212" s="23">
        <v>0</v>
      </c>
    </row>
    <row r="213" spans="1:110" s="26" customFormat="1" x14ac:dyDescent="0.2">
      <c r="A213" s="26" t="s">
        <v>438</v>
      </c>
      <c r="B213" s="26">
        <f t="shared" ref="B213:AE213" si="1537">B211+B209+B205+B189+B187+B212</f>
        <v>27.554481499999998</v>
      </c>
      <c r="C213" s="26">
        <f t="shared" si="1537"/>
        <v>26.002991399999999</v>
      </c>
      <c r="D213" s="26">
        <f t="shared" si="1537"/>
        <v>40.043317000000002</v>
      </c>
      <c r="E213" s="26">
        <f t="shared" si="1537"/>
        <v>56.168624499999993</v>
      </c>
      <c r="F213" s="26">
        <f t="shared" si="1537"/>
        <v>66.850457700000007</v>
      </c>
      <c r="G213" s="26">
        <f t="shared" si="1537"/>
        <v>86.046824799999996</v>
      </c>
      <c r="H213" s="26">
        <f t="shared" si="1537"/>
        <v>110.58762099999998</v>
      </c>
      <c r="I213" s="26">
        <f t="shared" si="1537"/>
        <v>139.46538520000004</v>
      </c>
      <c r="J213" s="26">
        <f t="shared" si="1537"/>
        <v>171.4195895</v>
      </c>
      <c r="K213" s="26">
        <f t="shared" si="1537"/>
        <v>187.84294269999998</v>
      </c>
      <c r="L213" s="26">
        <f t="shared" si="1537"/>
        <v>277.33497399999999</v>
      </c>
      <c r="M213" s="26">
        <f t="shared" si="1537"/>
        <v>360.91769769999996</v>
      </c>
      <c r="N213" s="26">
        <f t="shared" si="1537"/>
        <v>411.44959769999997</v>
      </c>
      <c r="O213" s="26">
        <f t="shared" si="1537"/>
        <v>462.74020000000002</v>
      </c>
      <c r="P213" s="26">
        <f t="shared" si="1537"/>
        <v>485.75117950000003</v>
      </c>
      <c r="Q213" s="26">
        <f t="shared" si="1537"/>
        <v>452.90133160000005</v>
      </c>
      <c r="R213" s="26">
        <f t="shared" si="1537"/>
        <v>467.3864352999999</v>
      </c>
      <c r="S213" s="26">
        <f t="shared" si="1537"/>
        <v>636.91021379999995</v>
      </c>
      <c r="T213" s="26">
        <f t="shared" si="1537"/>
        <v>819.4161931000001</v>
      </c>
      <c r="U213" s="26">
        <f t="shared" si="1537"/>
        <v>927.9350783000001</v>
      </c>
      <c r="V213" s="26">
        <f t="shared" si="1537"/>
        <v>1036.9877999999999</v>
      </c>
      <c r="W213" s="26">
        <f t="shared" si="1537"/>
        <v>1415.4987000000001</v>
      </c>
      <c r="X213" s="26">
        <f t="shared" si="1537"/>
        <v>1755.7336999999998</v>
      </c>
      <c r="Y213" s="26">
        <f t="shared" si="1537"/>
        <v>1912.9387999999999</v>
      </c>
      <c r="Z213" s="26">
        <f t="shared" si="1537"/>
        <v>2028.9789000000001</v>
      </c>
      <c r="AA213" s="26">
        <f t="shared" si="1537"/>
        <v>1784.9664000000002</v>
      </c>
      <c r="AB213" s="27">
        <f t="shared" si="1537"/>
        <v>2684.2715110528388</v>
      </c>
      <c r="AC213" s="27">
        <f t="shared" si="1537"/>
        <v>3217.7574907513422</v>
      </c>
      <c r="AD213" s="27">
        <f t="shared" si="1537"/>
        <v>3690.5791698057283</v>
      </c>
      <c r="AE213" s="27">
        <f t="shared" si="1537"/>
        <v>4410.0954210557484</v>
      </c>
      <c r="AJ213" s="26">
        <f t="shared" ref="AJ213:BO213" si="1538">AJ211+AJ209+AJ205+AJ189+AJ187+AJ212</f>
        <v>360.26099999999997</v>
      </c>
      <c r="AK213" s="26">
        <f t="shared" si="1538"/>
        <v>367.45400000000001</v>
      </c>
      <c r="AL213" s="26">
        <f t="shared" si="1538"/>
        <v>381.78300000000002</v>
      </c>
      <c r="AM213" s="26">
        <f t="shared" si="1538"/>
        <v>390.29300000000001</v>
      </c>
      <c r="AN213" s="26">
        <f t="shared" si="1538"/>
        <v>401.85199999999998</v>
      </c>
      <c r="AO213" s="26">
        <f t="shared" si="1538"/>
        <v>406.05199999999996</v>
      </c>
      <c r="AP213" s="26">
        <f t="shared" si="1538"/>
        <v>427.65</v>
      </c>
      <c r="AQ213" s="26">
        <f t="shared" si="1538"/>
        <v>436.96000000000004</v>
      </c>
      <c r="AR213" s="26">
        <f t="shared" si="1538"/>
        <v>434.46</v>
      </c>
      <c r="AS213" s="26">
        <f t="shared" si="1538"/>
        <v>440.65299999999996</v>
      </c>
      <c r="AT213" s="26">
        <f t="shared" si="1538"/>
        <v>453.16</v>
      </c>
      <c r="AU213" s="26">
        <f t="shared" si="1538"/>
        <v>465.976</v>
      </c>
      <c r="AV213" s="26">
        <f t="shared" si="1538"/>
        <v>416.995</v>
      </c>
      <c r="AW213" s="26">
        <f t="shared" si="1538"/>
        <v>430.30100000000004</v>
      </c>
      <c r="AX213" s="26">
        <f t="shared" si="1538"/>
        <v>427.76600000000002</v>
      </c>
      <c r="AY213" s="26">
        <f t="shared" si="1538"/>
        <v>454.10600000000005</v>
      </c>
      <c r="AZ213" s="26">
        <f t="shared" si="1538"/>
        <v>427.84800000000007</v>
      </c>
      <c r="BA213" s="26">
        <f t="shared" si="1538"/>
        <v>447.47800000000007</v>
      </c>
      <c r="BB213" s="26">
        <f t="shared" si="1538"/>
        <v>445.48299999999995</v>
      </c>
      <c r="BC213" s="26">
        <f t="shared" si="1538"/>
        <v>468.23799999999994</v>
      </c>
      <c r="BD213" s="26">
        <f t="shared" si="1538"/>
        <v>467.13600000000002</v>
      </c>
      <c r="BE213" s="26">
        <f t="shared" si="1538"/>
        <v>495.22199999999998</v>
      </c>
      <c r="BF213" s="26">
        <f t="shared" si="1538"/>
        <v>627.45199999999988</v>
      </c>
      <c r="BG213" s="26">
        <f t="shared" si="1538"/>
        <v>661.27599999999995</v>
      </c>
      <c r="BH213" s="26">
        <f t="shared" si="1538"/>
        <v>660.40800000000013</v>
      </c>
      <c r="BI213" s="26">
        <f t="shared" si="1538"/>
        <v>686.68000000000006</v>
      </c>
      <c r="BJ213" s="26">
        <f t="shared" si="1538"/>
        <v>782.74999999999989</v>
      </c>
      <c r="BK213" s="26">
        <f t="shared" si="1538"/>
        <v>801.89799999999991</v>
      </c>
      <c r="BL213" s="26">
        <f t="shared" si="1538"/>
        <v>856.68500000000006</v>
      </c>
      <c r="BM213" s="26">
        <f t="shared" si="1538"/>
        <v>880.09299999999996</v>
      </c>
      <c r="BN213" s="26">
        <f t="shared" si="1538"/>
        <v>909.75300000000004</v>
      </c>
      <c r="BO213" s="26">
        <f t="shared" si="1538"/>
        <v>942.7170000000001</v>
      </c>
      <c r="BP213" s="26">
        <f t="shared" ref="BP213:CU213" si="1539">BP211+BP209+BP205+BP189+BP187+BP212</f>
        <v>950.50700000000006</v>
      </c>
      <c r="BQ213" s="26">
        <f t="shared" si="1539"/>
        <v>1025.4769999999999</v>
      </c>
      <c r="BR213" s="26">
        <f t="shared" si="1539"/>
        <v>1009.7149999999999</v>
      </c>
      <c r="BS213" s="26">
        <f t="shared" si="1539"/>
        <v>1100.0999999999999</v>
      </c>
      <c r="BT213" s="26">
        <f t="shared" si="1539"/>
        <v>1246.8849999999998</v>
      </c>
      <c r="BU213" s="26">
        <f t="shared" si="1539"/>
        <v>1336.4399999999998</v>
      </c>
      <c r="BV213" s="26">
        <f t="shared" si="1539"/>
        <v>1415.499</v>
      </c>
      <c r="BW213" s="26">
        <f t="shared" si="1539"/>
        <v>1538.4670000000001</v>
      </c>
      <c r="BX213" s="26">
        <f t="shared" si="1539"/>
        <v>1670.6010000000001</v>
      </c>
      <c r="BY213" s="26">
        <f t="shared" si="1539"/>
        <v>1733.172</v>
      </c>
      <c r="BZ213" s="26">
        <f t="shared" si="1539"/>
        <v>1755.7339999999999</v>
      </c>
      <c r="CA213" s="26">
        <f t="shared" si="1539"/>
        <v>1808.4659999999999</v>
      </c>
      <c r="CB213" s="26">
        <f t="shared" si="1539"/>
        <v>1813.14</v>
      </c>
      <c r="CC213" s="26">
        <f t="shared" si="1539"/>
        <v>1862.5130000000004</v>
      </c>
      <c r="CD213" s="26">
        <f t="shared" si="1539"/>
        <v>1912.94</v>
      </c>
      <c r="CE213" s="26">
        <f t="shared" si="1539"/>
        <v>1956.2330000000002</v>
      </c>
      <c r="CF213" s="26">
        <f t="shared" si="1539"/>
        <v>1959.7580000000003</v>
      </c>
      <c r="CG213" s="26">
        <f t="shared" si="1539"/>
        <v>1992.9420000000002</v>
      </c>
      <c r="CH213" s="26">
        <f t="shared" si="1539"/>
        <v>2028.9789000000001</v>
      </c>
      <c r="CI213" s="26">
        <f t="shared" si="1539"/>
        <v>2066.9799000000003</v>
      </c>
      <c r="CJ213" s="26">
        <f t="shared" si="1539"/>
        <v>2087.4209999999998</v>
      </c>
      <c r="CK213" s="26">
        <f t="shared" si="1539"/>
        <v>2118.8549999999996</v>
      </c>
      <c r="CL213" s="26">
        <f t="shared" si="1539"/>
        <v>2284.63</v>
      </c>
      <c r="CM213" s="27">
        <f t="shared" si="1539"/>
        <v>2346.2796126290827</v>
      </c>
      <c r="CN213" s="27">
        <f t="shared" si="1539"/>
        <v>2412.3452777645161</v>
      </c>
      <c r="CO213" s="27">
        <f t="shared" si="1539"/>
        <v>2471.1368972437472</v>
      </c>
      <c r="CP213" s="27">
        <f t="shared" si="1539"/>
        <v>2684.2715110528388</v>
      </c>
      <c r="CQ213" s="27">
        <f t="shared" si="1539"/>
        <v>2969.2010797852686</v>
      </c>
      <c r="CR213" s="27">
        <f t="shared" si="1539"/>
        <v>3048.1279312845795</v>
      </c>
      <c r="CS213" s="27">
        <f t="shared" si="1539"/>
        <v>3121.1981196252545</v>
      </c>
      <c r="CT213" s="27">
        <f t="shared" si="1539"/>
        <v>3217.7574907513422</v>
      </c>
      <c r="CU213" s="27">
        <f t="shared" si="1539"/>
        <v>3328.1462354082323</v>
      </c>
      <c r="CV213" s="27">
        <f t="shared" ref="CV213:EA213" si="1540">CV211+CV209+CV205+CV189+CV187+CV212</f>
        <v>3441.4528448357614</v>
      </c>
      <c r="CW213" s="27">
        <f t="shared" si="1540"/>
        <v>3550.8562285073303</v>
      </c>
      <c r="CX213" s="27">
        <f t="shared" si="1540"/>
        <v>3690.5791698057283</v>
      </c>
      <c r="CY213" s="27">
        <f t="shared" si="1540"/>
        <v>3857.252827176434</v>
      </c>
      <c r="CZ213" s="27">
        <f t="shared" si="1540"/>
        <v>4028.9979325003633</v>
      </c>
      <c r="DA213" s="27">
        <f t="shared" si="1540"/>
        <v>4194.7299391023407</v>
      </c>
      <c r="DB213" s="27">
        <f t="shared" si="1540"/>
        <v>4410.0954210557484</v>
      </c>
      <c r="DE213" s="121"/>
      <c r="DF213" s="26">
        <v>2169.2356305039375</v>
      </c>
    </row>
    <row r="214" spans="1:110" s="23" customFormat="1" x14ac:dyDescent="0.2">
      <c r="A214" s="28" t="s">
        <v>439</v>
      </c>
      <c r="B214" s="23">
        <f t="shared" ref="B214:AE214" si="1541">B213-B178</f>
        <v>0</v>
      </c>
      <c r="C214" s="23">
        <f t="shared" si="1541"/>
        <v>0</v>
      </c>
      <c r="D214" s="23">
        <f t="shared" si="1541"/>
        <v>0</v>
      </c>
      <c r="E214" s="23">
        <f t="shared" si="1541"/>
        <v>0</v>
      </c>
      <c r="F214" s="23">
        <f t="shared" si="1541"/>
        <v>0</v>
      </c>
      <c r="G214" s="23">
        <f t="shared" si="1541"/>
        <v>0</v>
      </c>
      <c r="H214" s="23">
        <f t="shared" si="1541"/>
        <v>0</v>
      </c>
      <c r="I214" s="23">
        <f t="shared" si="1541"/>
        <v>0</v>
      </c>
      <c r="J214" s="23">
        <f t="shared" si="1541"/>
        <v>0</v>
      </c>
      <c r="K214" s="23">
        <f t="shared" si="1541"/>
        <v>0</v>
      </c>
      <c r="L214" s="23">
        <f t="shared" si="1541"/>
        <v>0</v>
      </c>
      <c r="M214" s="23">
        <f t="shared" si="1541"/>
        <v>0</v>
      </c>
      <c r="N214" s="23">
        <f t="shared" si="1541"/>
        <v>0</v>
      </c>
      <c r="O214" s="23">
        <f t="shared" si="1541"/>
        <v>0</v>
      </c>
      <c r="P214" s="23">
        <f t="shared" si="1541"/>
        <v>0</v>
      </c>
      <c r="Q214" s="23">
        <f t="shared" si="1541"/>
        <v>0</v>
      </c>
      <c r="R214" s="23">
        <f t="shared" si="1541"/>
        <v>0</v>
      </c>
      <c r="S214" s="23">
        <f t="shared" si="1541"/>
        <v>0</v>
      </c>
      <c r="T214" s="23">
        <f t="shared" si="1541"/>
        <v>0</v>
      </c>
      <c r="U214" s="23">
        <f t="shared" si="1541"/>
        <v>0</v>
      </c>
      <c r="V214" s="23">
        <f t="shared" si="1541"/>
        <v>0</v>
      </c>
      <c r="W214" s="23">
        <f t="shared" si="1541"/>
        <v>0</v>
      </c>
      <c r="X214" s="23">
        <f t="shared" si="1541"/>
        <v>0</v>
      </c>
      <c r="Y214" s="23">
        <f t="shared" si="1541"/>
        <v>0</v>
      </c>
      <c r="Z214" s="23">
        <f t="shared" si="1541"/>
        <v>0</v>
      </c>
      <c r="AA214" s="23">
        <f t="shared" si="1541"/>
        <v>0</v>
      </c>
      <c r="AB214" s="24">
        <f t="shared" si="1541"/>
        <v>0</v>
      </c>
      <c r="AC214" s="24">
        <f t="shared" si="1541"/>
        <v>0</v>
      </c>
      <c r="AD214" s="24">
        <f t="shared" si="1541"/>
        <v>0</v>
      </c>
      <c r="AE214" s="24">
        <f t="shared" si="1541"/>
        <v>0</v>
      </c>
      <c r="AJ214" s="23">
        <f t="shared" ref="AJ214:BO214" si="1542">AJ213-AJ178</f>
        <v>0</v>
      </c>
      <c r="AK214" s="23">
        <f t="shared" si="1542"/>
        <v>0</v>
      </c>
      <c r="AL214" s="23">
        <f t="shared" si="1542"/>
        <v>-6.9999999999481588E-3</v>
      </c>
      <c r="AM214" s="23">
        <f t="shared" si="1542"/>
        <v>-6.9999999999481588E-3</v>
      </c>
      <c r="AN214" s="23">
        <f t="shared" si="1542"/>
        <v>1.9999999999527063E-3</v>
      </c>
      <c r="AO214" s="23">
        <f t="shared" si="1542"/>
        <v>2.0000000000095497E-3</v>
      </c>
      <c r="AP214" s="23">
        <f t="shared" si="1542"/>
        <v>0</v>
      </c>
      <c r="AQ214" s="23">
        <f t="shared" si="1542"/>
        <v>0</v>
      </c>
      <c r="AR214" s="23">
        <f t="shared" si="1542"/>
        <v>0</v>
      </c>
      <c r="AS214" s="23">
        <f t="shared" si="1542"/>
        <v>0</v>
      </c>
      <c r="AT214" s="23">
        <f t="shared" si="1542"/>
        <v>0</v>
      </c>
      <c r="AU214" s="23">
        <f t="shared" si="1542"/>
        <v>0</v>
      </c>
      <c r="AV214" s="23">
        <f t="shared" si="1542"/>
        <v>0</v>
      </c>
      <c r="AW214" s="23">
        <f t="shared" si="1542"/>
        <v>0</v>
      </c>
      <c r="AX214" s="23">
        <f t="shared" si="1542"/>
        <v>0</v>
      </c>
      <c r="AY214" s="23">
        <f t="shared" si="1542"/>
        <v>0</v>
      </c>
      <c r="AZ214" s="23">
        <f t="shared" si="1542"/>
        <v>0</v>
      </c>
      <c r="BA214" s="23">
        <f t="shared" si="1542"/>
        <v>0</v>
      </c>
      <c r="BB214" s="23">
        <f t="shared" si="1542"/>
        <v>-1.00000000009004E-3</v>
      </c>
      <c r="BC214" s="23">
        <f t="shared" si="1542"/>
        <v>-1.00000000009004E-3</v>
      </c>
      <c r="BD214" s="23">
        <f t="shared" si="1542"/>
        <v>-9.9999999997635314E-4</v>
      </c>
      <c r="BE214" s="23">
        <f t="shared" si="1542"/>
        <v>-9.9999999997635314E-4</v>
      </c>
      <c r="BF214" s="23">
        <f t="shared" si="1542"/>
        <v>1.9999999998390194E-3</v>
      </c>
      <c r="BG214" s="23">
        <f t="shared" si="1542"/>
        <v>1.9999999999527063E-3</v>
      </c>
      <c r="BH214" s="23">
        <f t="shared" si="1542"/>
        <v>0</v>
      </c>
      <c r="BI214" s="23">
        <f t="shared" si="1542"/>
        <v>0</v>
      </c>
      <c r="BJ214" s="23">
        <f t="shared" si="1542"/>
        <v>-1.00000000009004E-3</v>
      </c>
      <c r="BK214" s="23">
        <f t="shared" si="1542"/>
        <v>-1.0000000002037268E-3</v>
      </c>
      <c r="BL214" s="23">
        <f t="shared" si="1542"/>
        <v>-9.9999999997635314E-4</v>
      </c>
      <c r="BM214" s="23">
        <f t="shared" si="1542"/>
        <v>-1.00000000009004E-3</v>
      </c>
      <c r="BN214" s="23">
        <f t="shared" si="1542"/>
        <v>0</v>
      </c>
      <c r="BO214" s="23">
        <f t="shared" si="1542"/>
        <v>0</v>
      </c>
      <c r="BP214" s="23">
        <f t="shared" ref="BP214:CU214" si="1543">BP213-BP178</f>
        <v>1.00000000009004E-3</v>
      </c>
      <c r="BQ214" s="23">
        <f t="shared" si="1543"/>
        <v>9.9999999974897946E-4</v>
      </c>
      <c r="BR214" s="23">
        <f t="shared" si="1543"/>
        <v>0</v>
      </c>
      <c r="BS214" s="23">
        <f t="shared" si="1543"/>
        <v>0</v>
      </c>
      <c r="BT214" s="23">
        <f t="shared" si="1543"/>
        <v>0</v>
      </c>
      <c r="BU214" s="23">
        <f t="shared" si="1543"/>
        <v>0</v>
      </c>
      <c r="BV214" s="23">
        <f t="shared" si="1543"/>
        <v>1.0000000002037268E-3</v>
      </c>
      <c r="BW214" s="23">
        <f t="shared" si="1543"/>
        <v>1.0000000002037268E-3</v>
      </c>
      <c r="BX214" s="23">
        <f t="shared" si="1543"/>
        <v>-9.9999999997635314E-4</v>
      </c>
      <c r="BY214" s="23">
        <f t="shared" si="1543"/>
        <v>-9.9999999997635314E-4</v>
      </c>
      <c r="BZ214" s="23">
        <f t="shared" si="1543"/>
        <v>0</v>
      </c>
      <c r="CA214" s="23">
        <f t="shared" si="1543"/>
        <v>0</v>
      </c>
      <c r="CB214" s="23">
        <f t="shared" si="1543"/>
        <v>0</v>
      </c>
      <c r="CC214" s="23">
        <f t="shared" si="1543"/>
        <v>0</v>
      </c>
      <c r="CD214" s="23">
        <f t="shared" si="1543"/>
        <v>1.0000000002037268E-3</v>
      </c>
      <c r="CE214" s="23">
        <f t="shared" si="1543"/>
        <v>1.0000000004311005E-3</v>
      </c>
      <c r="CF214" s="23">
        <f t="shared" si="1543"/>
        <v>0</v>
      </c>
      <c r="CG214" s="23">
        <f t="shared" si="1543"/>
        <v>0</v>
      </c>
      <c r="CH214" s="23">
        <f t="shared" si="1543"/>
        <v>0</v>
      </c>
      <c r="CI214" s="23">
        <f t="shared" si="1543"/>
        <v>0</v>
      </c>
      <c r="CJ214" s="23">
        <f t="shared" si="1543"/>
        <v>-1.0000000002037268E-3</v>
      </c>
      <c r="CK214" s="23">
        <f t="shared" si="1543"/>
        <v>-1.0000000002037268E-3</v>
      </c>
      <c r="CL214" s="23">
        <f t="shared" si="1543"/>
        <v>0</v>
      </c>
      <c r="CM214" s="24">
        <f t="shared" si="1543"/>
        <v>0</v>
      </c>
      <c r="CN214" s="24">
        <f t="shared" si="1543"/>
        <v>0</v>
      </c>
      <c r="CO214" s="24">
        <f t="shared" si="1543"/>
        <v>0</v>
      </c>
      <c r="CP214" s="24">
        <f t="shared" si="1543"/>
        <v>0</v>
      </c>
      <c r="CQ214" s="24">
        <f t="shared" si="1543"/>
        <v>0</v>
      </c>
      <c r="CR214" s="24">
        <f t="shared" si="1543"/>
        <v>0</v>
      </c>
      <c r="CS214" s="24">
        <f t="shared" si="1543"/>
        <v>0</v>
      </c>
      <c r="CT214" s="24">
        <f t="shared" si="1543"/>
        <v>0</v>
      </c>
      <c r="CU214" s="24">
        <f t="shared" si="1543"/>
        <v>0</v>
      </c>
      <c r="CV214" s="24">
        <f t="shared" ref="CV214:EA214" si="1544">CV213-CV178</f>
        <v>0</v>
      </c>
      <c r="CW214" s="24">
        <f t="shared" si="1544"/>
        <v>0</v>
      </c>
      <c r="CX214" s="24">
        <f t="shared" si="1544"/>
        <v>0</v>
      </c>
      <c r="CY214" s="24">
        <f t="shared" si="1544"/>
        <v>0</v>
      </c>
      <c r="CZ214" s="24">
        <f t="shared" si="1544"/>
        <v>0</v>
      </c>
      <c r="DA214" s="24">
        <f t="shared" si="1544"/>
        <v>0</v>
      </c>
      <c r="DB214" s="24">
        <f t="shared" si="1544"/>
        <v>0</v>
      </c>
      <c r="DE214" s="123"/>
      <c r="DF214" s="23">
        <v>-1.0000000002037268E-3</v>
      </c>
    </row>
    <row r="215" spans="1:110" s="23" customFormat="1" x14ac:dyDescent="0.2">
      <c r="A215" s="28"/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80</v>
      </c>
      <c r="B216" s="22">
        <f t="shared" ref="B216:AE216" si="1545">B177-B209</f>
        <v>15.9727684</v>
      </c>
      <c r="C216" s="22">
        <f t="shared" si="1545"/>
        <v>12.999836200000001</v>
      </c>
      <c r="D216" s="22">
        <f t="shared" si="1545"/>
        <v>23.709729899999999</v>
      </c>
      <c r="E216" s="22">
        <f t="shared" si="1545"/>
        <v>31.682659399999999</v>
      </c>
      <c r="F216" s="22">
        <f t="shared" si="1545"/>
        <v>39.326256700000002</v>
      </c>
      <c r="G216" s="22">
        <f t="shared" si="1545"/>
        <v>51.4693836</v>
      </c>
      <c r="H216" s="22">
        <f t="shared" si="1545"/>
        <v>62.023357399999995</v>
      </c>
      <c r="I216" s="22">
        <f t="shared" si="1545"/>
        <v>77.901078200000001</v>
      </c>
      <c r="J216" s="22">
        <f t="shared" si="1545"/>
        <v>99.416416900000002</v>
      </c>
      <c r="K216" s="22">
        <f t="shared" si="1545"/>
        <v>96.066328900000002</v>
      </c>
      <c r="L216" s="22">
        <f t="shared" si="1545"/>
        <v>151.9860688</v>
      </c>
      <c r="M216" s="22">
        <f t="shared" si="1545"/>
        <v>207.49295180000001</v>
      </c>
      <c r="N216" s="22">
        <f t="shared" si="1545"/>
        <v>217.45273789999999</v>
      </c>
      <c r="O216" s="22">
        <f t="shared" si="1545"/>
        <v>231.934</v>
      </c>
      <c r="P216" s="22">
        <f t="shared" si="1545"/>
        <v>248.85600359999998</v>
      </c>
      <c r="Q216" s="22">
        <f t="shared" si="1545"/>
        <v>164.12489010000002</v>
      </c>
      <c r="R216" s="22">
        <f t="shared" si="1545"/>
        <v>101.4192439</v>
      </c>
      <c r="S216" s="22">
        <f t="shared" si="1545"/>
        <v>127.6774193</v>
      </c>
      <c r="T216" s="22">
        <f t="shared" si="1545"/>
        <v>207.00427719999999</v>
      </c>
      <c r="U216" s="22">
        <f t="shared" si="1545"/>
        <v>203.25362189999998</v>
      </c>
      <c r="V216" s="22">
        <f t="shared" si="1545"/>
        <v>107.42270000000001</v>
      </c>
      <c r="W216" s="22">
        <f t="shared" si="1545"/>
        <v>49.07820000000001</v>
      </c>
      <c r="X216" s="22">
        <f t="shared" si="1545"/>
        <v>-251.00049999999999</v>
      </c>
      <c r="Y216" s="22">
        <f t="shared" si="1545"/>
        <v>-320.09550000000002</v>
      </c>
      <c r="Z216" s="22">
        <f t="shared" si="1545"/>
        <v>-342.92729999999995</v>
      </c>
      <c r="AA216" s="22">
        <f t="shared" ref="AA216" si="1546">AA177-AA209</f>
        <v>-270.93439999999998</v>
      </c>
      <c r="AB216" s="21">
        <f t="shared" si="1545"/>
        <v>97.09027369545575</v>
      </c>
      <c r="AC216" s="21">
        <f t="shared" si="1545"/>
        <v>459.28529959566504</v>
      </c>
      <c r="AD216" s="21">
        <f t="shared" si="1545"/>
        <v>424.82094225668635</v>
      </c>
      <c r="AE216" s="21">
        <f t="shared" si="1545"/>
        <v>341.36287098704003</v>
      </c>
      <c r="AJ216" s="22">
        <f t="shared" ref="AJ216:BO216" si="1547">AJ177-AJ209</f>
        <v>189.37199999999999</v>
      </c>
      <c r="AK216" s="22">
        <f t="shared" si="1547"/>
        <v>157.29337053114412</v>
      </c>
      <c r="AL216" s="22">
        <f t="shared" si="1547"/>
        <v>186.69</v>
      </c>
      <c r="AM216" s="22">
        <f t="shared" si="1547"/>
        <v>176.96123409669212</v>
      </c>
      <c r="AN216" s="22">
        <f t="shared" si="1547"/>
        <v>177.41</v>
      </c>
      <c r="AO216" s="22">
        <f t="shared" si="1547"/>
        <v>156.43150083843639</v>
      </c>
      <c r="AP216" s="22">
        <f t="shared" si="1547"/>
        <v>195.73000000000002</v>
      </c>
      <c r="AQ216" s="22">
        <f t="shared" si="1547"/>
        <v>180.87839241982508</v>
      </c>
      <c r="AR216" s="22">
        <f t="shared" si="1547"/>
        <v>176.45999999999998</v>
      </c>
      <c r="AS216" s="22">
        <f t="shared" si="1547"/>
        <v>161.80092103688929</v>
      </c>
      <c r="AT216" s="22">
        <f t="shared" si="1547"/>
        <v>216.26499999999999</v>
      </c>
      <c r="AU216" s="22">
        <f t="shared" si="1547"/>
        <v>217.56868889188641</v>
      </c>
      <c r="AV216" s="22">
        <f t="shared" si="1547"/>
        <v>120.27799999999999</v>
      </c>
      <c r="AW216" s="22">
        <f t="shared" si="1547"/>
        <v>98.321925280918293</v>
      </c>
      <c r="AX216" s="22">
        <f t="shared" si="1547"/>
        <v>138.98999999999998</v>
      </c>
      <c r="AY216" s="22">
        <f t="shared" si="1547"/>
        <v>114.22940205629811</v>
      </c>
      <c r="AZ216" s="22">
        <f t="shared" si="1547"/>
        <v>82.459000000000003</v>
      </c>
      <c r="BA216" s="22">
        <f t="shared" si="1547"/>
        <v>69.170545643069133</v>
      </c>
      <c r="BB216" s="22">
        <f t="shared" si="1547"/>
        <v>79.516999999999996</v>
      </c>
      <c r="BC216" s="22">
        <f t="shared" si="1547"/>
        <v>62.926166127337041</v>
      </c>
      <c r="BD216" s="22">
        <f t="shared" si="1547"/>
        <v>37.346999999999994</v>
      </c>
      <c r="BE216" s="22">
        <f t="shared" si="1547"/>
        <v>22.496416343592262</v>
      </c>
      <c r="BF216" s="22">
        <f t="shared" si="1547"/>
        <v>117.99999999999999</v>
      </c>
      <c r="BG216" s="22">
        <f t="shared" si="1547"/>
        <v>87.564376733493376</v>
      </c>
      <c r="BH216" s="22">
        <f t="shared" si="1547"/>
        <v>60.335999999999999</v>
      </c>
      <c r="BI216" s="22">
        <f t="shared" si="1547"/>
        <v>58.155725803245858</v>
      </c>
      <c r="BJ216" s="22">
        <f t="shared" si="1547"/>
        <v>170.339</v>
      </c>
      <c r="BK216" s="22">
        <f t="shared" si="1547"/>
        <v>147.24632549940208</v>
      </c>
      <c r="BL216" s="22">
        <f t="shared" si="1547"/>
        <v>221.04499999999999</v>
      </c>
      <c r="BM216" s="22">
        <f t="shared" si="1547"/>
        <v>197.93262548349202</v>
      </c>
      <c r="BN216" s="22">
        <f t="shared" si="1547"/>
        <v>185.072</v>
      </c>
      <c r="BO216" s="22">
        <f t="shared" si="1547"/>
        <v>117.14669629534885</v>
      </c>
      <c r="BP216" s="22">
        <f t="shared" ref="BP216:CU216" si="1548">BP177-BP209</f>
        <v>202.07599999999999</v>
      </c>
      <c r="BQ216" s="22">
        <f t="shared" si="1548"/>
        <v>236.83167773075772</v>
      </c>
      <c r="BR216" s="22">
        <f t="shared" si="1548"/>
        <v>80.150000000000006</v>
      </c>
      <c r="BS216" s="22">
        <f t="shared" si="1548"/>
        <v>19.752795574759489</v>
      </c>
      <c r="BT216" s="22">
        <f t="shared" si="1548"/>
        <v>155.78700000000001</v>
      </c>
      <c r="BU216" s="22">
        <f t="shared" si="1548"/>
        <v>107.59570929730484</v>
      </c>
      <c r="BV216" s="22">
        <f t="shared" si="1548"/>
        <v>49.078000000000003</v>
      </c>
      <c r="BW216" s="22">
        <f t="shared" si="1548"/>
        <v>-162.79772620539592</v>
      </c>
      <c r="BX216" s="22">
        <f t="shared" si="1548"/>
        <v>23.112000000000009</v>
      </c>
      <c r="BY216" s="22">
        <f t="shared" si="1548"/>
        <v>-96.171205214497974</v>
      </c>
      <c r="BZ216" s="22">
        <f t="shared" si="1548"/>
        <v>-250.99900000000002</v>
      </c>
      <c r="CA216" s="22">
        <f t="shared" si="1548"/>
        <v>-313.86296445868118</v>
      </c>
      <c r="CB216" s="22">
        <f t="shared" si="1548"/>
        <v>-300.93899999999996</v>
      </c>
      <c r="CC216" s="22">
        <f t="shared" si="1548"/>
        <v>-346.31833455789609</v>
      </c>
      <c r="CD216" s="22">
        <f t="shared" si="1548"/>
        <v>-320.09499999999997</v>
      </c>
      <c r="CE216" s="22">
        <f t="shared" si="1548"/>
        <v>-400.65852144891619</v>
      </c>
      <c r="CF216" s="22">
        <f t="shared" si="1548"/>
        <v>-301.88200000000001</v>
      </c>
      <c r="CG216" s="22">
        <f t="shared" si="1548"/>
        <v>-387.38085006471931</v>
      </c>
      <c r="CH216" s="22">
        <f t="shared" si="1548"/>
        <v>-342.92729999999995</v>
      </c>
      <c r="CI216" s="22">
        <f t="shared" si="1548"/>
        <v>-386.41796389654343</v>
      </c>
      <c r="CJ216" s="22">
        <f t="shared" si="1548"/>
        <v>-155.01399999999998</v>
      </c>
      <c r="CK216" s="22">
        <f t="shared" si="1548"/>
        <v>-217.21103829077509</v>
      </c>
      <c r="CL216" s="22">
        <f t="shared" si="1548"/>
        <v>-138.44999999999999</v>
      </c>
      <c r="CM216" s="21">
        <f t="shared" si="1548"/>
        <v>-333.19498434084795</v>
      </c>
      <c r="CN216" s="21">
        <f t="shared" si="1548"/>
        <v>-225.47773318055306</v>
      </c>
      <c r="CO216" s="21">
        <f t="shared" si="1548"/>
        <v>-44.194690584906823</v>
      </c>
      <c r="CP216" s="21">
        <f t="shared" si="1548"/>
        <v>97.09027369545575</v>
      </c>
      <c r="CQ216" s="21">
        <f t="shared" si="1548"/>
        <v>295.47125555772465</v>
      </c>
      <c r="CR216" s="21">
        <f t="shared" si="1548"/>
        <v>319.9612261775103</v>
      </c>
      <c r="CS216" s="21">
        <f t="shared" si="1548"/>
        <v>282.13017877526136</v>
      </c>
      <c r="CT216" s="21">
        <f t="shared" si="1548"/>
        <v>459.28529959566504</v>
      </c>
      <c r="CU216" s="21">
        <f t="shared" si="1548"/>
        <v>526.86799691187264</v>
      </c>
      <c r="CV216" s="21">
        <f t="shared" ref="CV216:DB216" si="1549">CV177-CV209</f>
        <v>451.72827414897137</v>
      </c>
      <c r="CW216" s="21">
        <f t="shared" si="1549"/>
        <v>284.43474554188725</v>
      </c>
      <c r="CX216" s="21">
        <f t="shared" si="1549"/>
        <v>424.82094225668635</v>
      </c>
      <c r="CY216" s="21">
        <f t="shared" si="1549"/>
        <v>520.10145831556076</v>
      </c>
      <c r="CZ216" s="21">
        <f t="shared" si="1549"/>
        <v>405.35818853413764</v>
      </c>
      <c r="DA216" s="21">
        <f t="shared" si="1549"/>
        <v>157.99501701087235</v>
      </c>
      <c r="DB216" s="21">
        <f t="shared" si="1549"/>
        <v>341.36287098704003</v>
      </c>
      <c r="DE216" s="126"/>
      <c r="DF216" s="22">
        <v>-85.253873838840263</v>
      </c>
    </row>
    <row r="217" spans="1:110" x14ac:dyDescent="0.2">
      <c r="CE217" s="111"/>
      <c r="CG217" s="111"/>
    </row>
    <row r="218" spans="1:110" s="49" customFormat="1" x14ac:dyDescent="0.2">
      <c r="A218" s="49" t="s">
        <v>81</v>
      </c>
      <c r="B218" s="49">
        <f>'Annual Raw'!C85</f>
        <v>0</v>
      </c>
      <c r="C218" s="49">
        <f>'Annual Raw'!D85</f>
        <v>1.9699999999999999E-2</v>
      </c>
      <c r="D218" s="49">
        <f>'Annual Raw'!E85</f>
        <v>0</v>
      </c>
      <c r="E218" s="49">
        <f>'Annual Raw'!F85</f>
        <v>0</v>
      </c>
      <c r="F218" s="49">
        <f>'Annual Raw'!G85</f>
        <v>0</v>
      </c>
      <c r="G218" s="49">
        <f>'Annual Raw'!H85</f>
        <v>0</v>
      </c>
      <c r="H218" s="49">
        <f>'Annual Raw'!I85</f>
        <v>0</v>
      </c>
      <c r="I218" s="49">
        <f>'Annual Raw'!J85</f>
        <v>0</v>
      </c>
      <c r="J218" s="49">
        <f>'Annual Raw'!K85</f>
        <v>0</v>
      </c>
      <c r="K218" s="49">
        <f>'Annual Raw'!L85</f>
        <v>0</v>
      </c>
      <c r="L218" s="49">
        <f>'Annual Raw'!M85</f>
        <v>0</v>
      </c>
      <c r="M218" s="49">
        <f>'Annual Raw'!N85</f>
        <v>2</v>
      </c>
      <c r="N218" s="49">
        <f>'Annual Raw'!O85</f>
        <v>3.63</v>
      </c>
      <c r="O218" s="49">
        <f>'Annual Raw'!P85</f>
        <v>0</v>
      </c>
      <c r="P218" s="49">
        <f>'Annual Raw'!Q85</f>
        <v>0.54930000000000001</v>
      </c>
      <c r="Q218" s="49">
        <f>'Annual Raw'!R85</f>
        <v>3.6507000000000001</v>
      </c>
      <c r="R218" s="49">
        <f>'Annual Raw'!S85</f>
        <v>2.1137999999999999</v>
      </c>
      <c r="S218" s="49">
        <f>'Annual Raw'!T85</f>
        <v>2.1137999999999999</v>
      </c>
      <c r="T218" s="49">
        <f>'Annual Raw'!U85</f>
        <v>1.9985999999999999</v>
      </c>
      <c r="U218" s="49">
        <f>'Annual Raw'!V85</f>
        <v>1.9985999999999999</v>
      </c>
      <c r="V218" s="49">
        <f>'Annual Raw'!W85</f>
        <v>2.0914000000000001</v>
      </c>
      <c r="W218" s="49">
        <f>'Annual Raw'!X85</f>
        <v>2.9708999999999999</v>
      </c>
      <c r="X218" s="49">
        <f>'Annual Raw'!Y85</f>
        <v>6.1519000000000004</v>
      </c>
      <c r="Y218" s="49">
        <f>'Annual Raw'!Z85</f>
        <v>9.7848000000000006</v>
      </c>
      <c r="Z218" s="49">
        <f>'Annual Raw'!AA85</f>
        <v>12.892899999999999</v>
      </c>
      <c r="AA218" s="49">
        <f>'Annual Raw'!AB85</f>
        <v>12.256</v>
      </c>
      <c r="AB218" s="50"/>
      <c r="AC218" s="50"/>
      <c r="AD218" s="50"/>
      <c r="AE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E218" s="138"/>
    </row>
    <row r="219" spans="1:110" s="29" customFormat="1" x14ac:dyDescent="0.2">
      <c r="A219" s="29" t="s">
        <v>82</v>
      </c>
      <c r="B219" s="29">
        <f>'Annual Raw'!C95</f>
        <v>0</v>
      </c>
      <c r="C219" s="29">
        <f>'Annual Raw'!D95</f>
        <v>0</v>
      </c>
      <c r="D219" s="29">
        <f>'Annual Raw'!E95</f>
        <v>0</v>
      </c>
      <c r="E219" s="29">
        <f>'Annual Raw'!F95</f>
        <v>0</v>
      </c>
      <c r="F219" s="29">
        <f>'Annual Raw'!G95</f>
        <v>0</v>
      </c>
      <c r="G219" s="29">
        <f>'Annual Raw'!H95</f>
        <v>0</v>
      </c>
      <c r="H219" s="29">
        <f>'Annual Raw'!I95</f>
        <v>0</v>
      </c>
      <c r="I219" s="29">
        <f>'Annual Raw'!J95</f>
        <v>0</v>
      </c>
      <c r="J219" s="29">
        <f>'Annual Raw'!K95</f>
        <v>0</v>
      </c>
      <c r="K219" s="29">
        <f>'Annual Raw'!L95</f>
        <v>0</v>
      </c>
      <c r="L219" s="29">
        <f>'Annual Raw'!M95</f>
        <v>0</v>
      </c>
      <c r="M219" s="29">
        <f>'Annual Raw'!N95</f>
        <v>0</v>
      </c>
      <c r="N219" s="29">
        <f>'Annual Raw'!O95</f>
        <v>0</v>
      </c>
      <c r="O219" s="29">
        <f>'Annual Raw'!P95</f>
        <v>0</v>
      </c>
      <c r="P219" s="29">
        <f>'Annual Raw'!Q95</f>
        <v>0</v>
      </c>
      <c r="Q219" s="29">
        <f>'Annual Raw'!R95</f>
        <v>0</v>
      </c>
      <c r="R219" s="29">
        <f>'Annual Raw'!S95</f>
        <v>0</v>
      </c>
      <c r="S219" s="29">
        <f>'Annual Raw'!T95</f>
        <v>0</v>
      </c>
      <c r="T219" s="29">
        <f>'Annual Raw'!U95</f>
        <v>0</v>
      </c>
      <c r="U219" s="29">
        <f>'Annual Raw'!V95</f>
        <v>0</v>
      </c>
      <c r="V219" s="29">
        <f>'Annual Raw'!W95</f>
        <v>0</v>
      </c>
      <c r="W219" s="29">
        <f>'Annual Raw'!X95</f>
        <v>0</v>
      </c>
      <c r="X219" s="29">
        <f>'Annual Raw'!Y95</f>
        <v>0</v>
      </c>
      <c r="Y219" s="29">
        <f>'Annual Raw'!Z95</f>
        <v>0</v>
      </c>
      <c r="Z219" s="29">
        <f>'Annual Raw'!AA95</f>
        <v>0</v>
      </c>
      <c r="AA219" s="29">
        <f>'Annual Raw'!AB95</f>
        <v>0</v>
      </c>
      <c r="AB219" s="30"/>
      <c r="AC219" s="30"/>
      <c r="AD219" s="30"/>
      <c r="AE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29" customFormat="1" x14ac:dyDescent="0.2">
      <c r="A220" s="29" t="s">
        <v>83</v>
      </c>
      <c r="B220" s="29">
        <f>'Annual Raw'!C93</f>
        <v>0</v>
      </c>
      <c r="C220" s="29">
        <f>'Annual Raw'!D93</f>
        <v>1.9699999999999999E-2</v>
      </c>
      <c r="D220" s="29">
        <f>'Annual Raw'!E93</f>
        <v>0</v>
      </c>
      <c r="E220" s="29">
        <f>'Annual Raw'!F93</f>
        <v>0</v>
      </c>
      <c r="F220" s="29">
        <f>'Annual Raw'!G93</f>
        <v>0</v>
      </c>
      <c r="G220" s="29">
        <f>'Annual Raw'!H93</f>
        <v>0</v>
      </c>
      <c r="H220" s="29">
        <f>'Annual Raw'!I93</f>
        <v>0</v>
      </c>
      <c r="I220" s="29">
        <f>'Annual Raw'!J93</f>
        <v>0</v>
      </c>
      <c r="J220" s="29">
        <f>'Annual Raw'!K93</f>
        <v>0</v>
      </c>
      <c r="K220" s="29">
        <f>'Annual Raw'!L93</f>
        <v>0</v>
      </c>
      <c r="L220" s="29">
        <f>'Annual Raw'!M93</f>
        <v>0</v>
      </c>
      <c r="M220" s="29">
        <f>'Annual Raw'!N93</f>
        <v>2</v>
      </c>
      <c r="N220" s="29">
        <f>'Annual Raw'!O93</f>
        <v>3.63</v>
      </c>
      <c r="O220" s="29">
        <f>'Annual Raw'!P93</f>
        <v>0</v>
      </c>
      <c r="P220" s="29">
        <f>'Annual Raw'!Q93</f>
        <v>0.54930000000000001</v>
      </c>
      <c r="Q220" s="29">
        <f>'Annual Raw'!R93</f>
        <v>3.6507000000000001</v>
      </c>
      <c r="R220" s="29">
        <f>'Annual Raw'!S93</f>
        <v>2.1137999999999999</v>
      </c>
      <c r="S220" s="29">
        <f>'Annual Raw'!T93</f>
        <v>2.1137999999999999</v>
      </c>
      <c r="T220" s="29">
        <f>'Annual Raw'!U93</f>
        <v>1.9985999999999999</v>
      </c>
      <c r="U220" s="29">
        <f>'Annual Raw'!V93</f>
        <v>1.9985999999999999</v>
      </c>
      <c r="V220" s="29">
        <f>'Annual Raw'!W93</f>
        <v>2.0914000000000001</v>
      </c>
      <c r="W220" s="29">
        <f>'Annual Raw'!X93</f>
        <v>2.9708999999999999</v>
      </c>
      <c r="X220" s="29">
        <f>'Annual Raw'!Y93</f>
        <v>6.1519000000000004</v>
      </c>
      <c r="Y220" s="29">
        <f>'Annual Raw'!Z93</f>
        <v>9.7848000000000006</v>
      </c>
      <c r="Z220" s="29">
        <f>'Annual Raw'!AA93</f>
        <v>12.892899999999999</v>
      </c>
      <c r="AA220" s="29">
        <f>'Annual Raw'!AB93</f>
        <v>12.256</v>
      </c>
      <c r="AB220" s="30"/>
      <c r="AC220" s="30"/>
      <c r="AD220" s="30"/>
      <c r="AE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29" customFormat="1" x14ac:dyDescent="0.2">
      <c r="A221" s="29" t="s">
        <v>84</v>
      </c>
      <c r="B221" s="29">
        <f t="shared" ref="B221:V221" si="1550">B218-B219-B220</f>
        <v>0</v>
      </c>
      <c r="C221" s="29">
        <f t="shared" si="1550"/>
        <v>0</v>
      </c>
      <c r="D221" s="29">
        <f t="shared" si="1550"/>
        <v>0</v>
      </c>
      <c r="E221" s="29">
        <f t="shared" si="1550"/>
        <v>0</v>
      </c>
      <c r="F221" s="29">
        <f t="shared" si="1550"/>
        <v>0</v>
      </c>
      <c r="G221" s="29">
        <f t="shared" si="1550"/>
        <v>0</v>
      </c>
      <c r="H221" s="29">
        <f t="shared" si="1550"/>
        <v>0</v>
      </c>
      <c r="I221" s="29">
        <f t="shared" si="1550"/>
        <v>0</v>
      </c>
      <c r="J221" s="29">
        <f t="shared" si="1550"/>
        <v>0</v>
      </c>
      <c r="K221" s="29">
        <f t="shared" si="1550"/>
        <v>0</v>
      </c>
      <c r="L221" s="29">
        <f t="shared" si="1550"/>
        <v>0</v>
      </c>
      <c r="M221" s="29">
        <f t="shared" si="1550"/>
        <v>0</v>
      </c>
      <c r="N221" s="29">
        <f t="shared" si="1550"/>
        <v>0</v>
      </c>
      <c r="O221" s="29">
        <f t="shared" si="1550"/>
        <v>0</v>
      </c>
      <c r="P221" s="29">
        <f t="shared" si="1550"/>
        <v>0</v>
      </c>
      <c r="Q221" s="29">
        <f t="shared" si="1550"/>
        <v>0</v>
      </c>
      <c r="R221" s="29">
        <f t="shared" si="1550"/>
        <v>0</v>
      </c>
      <c r="S221" s="29">
        <f t="shared" si="1550"/>
        <v>0</v>
      </c>
      <c r="T221" s="29">
        <f t="shared" si="1550"/>
        <v>0</v>
      </c>
      <c r="U221" s="29">
        <f t="shared" si="1550"/>
        <v>0</v>
      </c>
      <c r="V221" s="29">
        <f t="shared" si="1550"/>
        <v>0</v>
      </c>
      <c r="W221" s="29">
        <f t="shared" ref="W221" si="1551">W218-W219-W220</f>
        <v>0</v>
      </c>
      <c r="X221" s="29">
        <f t="shared" ref="X221:Y221" si="1552">X218-X219-X220</f>
        <v>0</v>
      </c>
      <c r="Y221" s="29">
        <f t="shared" si="1552"/>
        <v>0</v>
      </c>
      <c r="Z221" s="29">
        <f t="shared" ref="Z221:AA221" si="1553">Z218-Z219-Z220</f>
        <v>0</v>
      </c>
      <c r="AA221" s="29">
        <f t="shared" si="1553"/>
        <v>0</v>
      </c>
      <c r="AB221" s="30">
        <f t="shared" ref="AA221:AD221" si="1554">AB218-AB219-AB220</f>
        <v>0</v>
      </c>
      <c r="AC221" s="30">
        <f t="shared" si="1554"/>
        <v>0</v>
      </c>
      <c r="AD221" s="30">
        <f t="shared" si="1554"/>
        <v>0</v>
      </c>
      <c r="AE221" s="30">
        <f t="shared" ref="AE221" si="1555">AE218-AE219-AE220</f>
        <v>0</v>
      </c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  <c r="DF221" s="29">
        <v>0</v>
      </c>
    </row>
    <row r="222" spans="1:110" s="5" customFormat="1" x14ac:dyDescent="0.2">
      <c r="AB222" s="63"/>
      <c r="AC222" s="63"/>
      <c r="AD222" s="63"/>
      <c r="AE222" s="63"/>
      <c r="CE222" s="112"/>
      <c r="CG222" s="112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95" customFormat="1" x14ac:dyDescent="0.2">
      <c r="A223" s="95" t="s">
        <v>85</v>
      </c>
      <c r="B223" s="95">
        <f t="shared" ref="B223:AE223" si="1556">B218/B169</f>
        <v>0</v>
      </c>
      <c r="C223" s="95">
        <f t="shared" si="1556"/>
        <v>1.6279822682815775E-3</v>
      </c>
      <c r="D223" s="95">
        <f t="shared" si="1556"/>
        <v>0</v>
      </c>
      <c r="E223" s="95">
        <f t="shared" si="1556"/>
        <v>0</v>
      </c>
      <c r="F223" s="95">
        <f t="shared" si="1556"/>
        <v>0</v>
      </c>
      <c r="G223" s="95">
        <f t="shared" si="1556"/>
        <v>0</v>
      </c>
      <c r="H223" s="95">
        <f t="shared" si="1556"/>
        <v>0</v>
      </c>
      <c r="I223" s="95">
        <f t="shared" si="1556"/>
        <v>0</v>
      </c>
      <c r="J223" s="95">
        <f t="shared" si="1556"/>
        <v>0</v>
      </c>
      <c r="K223" s="95">
        <f t="shared" si="1556"/>
        <v>0</v>
      </c>
      <c r="L223" s="95">
        <f t="shared" si="1556"/>
        <v>0</v>
      </c>
      <c r="M223" s="95">
        <f t="shared" si="1556"/>
        <v>1.3783023106002591E-2</v>
      </c>
      <c r="N223" s="95">
        <f t="shared" si="1556"/>
        <v>2.1181087772932802E-2</v>
      </c>
      <c r="O223" s="95">
        <f t="shared" si="1556"/>
        <v>0</v>
      </c>
      <c r="P223" s="95">
        <f t="shared" si="1556"/>
        <v>2.4101281646442241E-3</v>
      </c>
      <c r="Q223" s="95">
        <f t="shared" si="1556"/>
        <v>1.312149306087719E-2</v>
      </c>
      <c r="R223" s="95">
        <f t="shared" si="1556"/>
        <v>5.8317827915071929E-3</v>
      </c>
      <c r="S223" s="95">
        <f t="shared" si="1556"/>
        <v>4.5257226250679759E-3</v>
      </c>
      <c r="T223" s="95">
        <f t="shared" si="1556"/>
        <v>3.4791109176648544E-3</v>
      </c>
      <c r="U223" s="95">
        <f t="shared" si="1556"/>
        <v>3.0367336853825712E-3</v>
      </c>
      <c r="V223" s="95">
        <f t="shared" si="1556"/>
        <v>2.3383540375795883E-3</v>
      </c>
      <c r="W223" s="95">
        <f t="shared" si="1556"/>
        <v>2.3770084737483742E-3</v>
      </c>
      <c r="X223" s="95">
        <f t="shared" si="1556"/>
        <v>3.958154829037038E-3</v>
      </c>
      <c r="Y223" s="95">
        <f t="shared" si="1556"/>
        <v>5.6826979132195681E-3</v>
      </c>
      <c r="Z223" s="95">
        <f t="shared" si="1556"/>
        <v>6.9878016307453944E-3</v>
      </c>
      <c r="AA223" s="95">
        <f t="shared" ref="AA223" si="1557">AA218/AA169</f>
        <v>6.866235689366478E-3</v>
      </c>
      <c r="AB223" s="87">
        <f t="shared" si="1556"/>
        <v>0</v>
      </c>
      <c r="AC223" s="87">
        <f t="shared" si="1556"/>
        <v>0</v>
      </c>
      <c r="AD223" s="87">
        <f t="shared" si="1556"/>
        <v>0</v>
      </c>
      <c r="AE223" s="87">
        <f t="shared" si="1556"/>
        <v>0</v>
      </c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E223" s="140"/>
      <c r="DF223" s="95">
        <v>0</v>
      </c>
    </row>
    <row r="224" spans="1:110" x14ac:dyDescent="0.2">
      <c r="A224" s="152" t="s">
        <v>492</v>
      </c>
      <c r="CE224" s="111"/>
      <c r="CG224" s="111"/>
    </row>
    <row r="225" spans="1:110" s="6" customFormat="1" x14ac:dyDescent="0.2">
      <c r="AB225" s="19"/>
      <c r="AC225" s="19"/>
      <c r="AD225" s="19"/>
      <c r="AE225" s="19"/>
      <c r="CE225" s="113"/>
      <c r="CG225" s="113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3"/>
    </row>
    <row r="226" spans="1:110" s="62" customFormat="1" x14ac:dyDescent="0.2">
      <c r="A226" s="153" t="s">
        <v>493</v>
      </c>
      <c r="AB226" s="63"/>
      <c r="AC226" s="63"/>
      <c r="AD226" s="63"/>
      <c r="AE226" s="63"/>
      <c r="CE226" s="114"/>
      <c r="CG226" s="114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outlineLevel="1" x14ac:dyDescent="0.2">
      <c r="A227" s="68" t="s">
        <v>464</v>
      </c>
      <c r="B227" s="67">
        <f t="shared" ref="B227:AE227" si="1558">B192/B57*365</f>
        <v>67.69298365664136</v>
      </c>
      <c r="C227" s="67">
        <f t="shared" si="1558"/>
        <v>32.497522688845038</v>
      </c>
      <c r="D227" s="67">
        <f t="shared" si="1558"/>
        <v>35.880730805080859</v>
      </c>
      <c r="E227" s="67">
        <f t="shared" si="1558"/>
        <v>42.858849162635408</v>
      </c>
      <c r="F227" s="67">
        <f t="shared" si="1558"/>
        <v>57.727492708904464</v>
      </c>
      <c r="G227" s="67">
        <f t="shared" si="1558"/>
        <v>56.414789350322195</v>
      </c>
      <c r="H227" s="67">
        <f t="shared" si="1558"/>
        <v>59.440280503916647</v>
      </c>
      <c r="I227" s="67">
        <f t="shared" si="1558"/>
        <v>50.884512521563423</v>
      </c>
      <c r="J227" s="67">
        <f t="shared" si="1558"/>
        <v>44.159013619532907</v>
      </c>
      <c r="K227" s="67">
        <f t="shared" si="1558"/>
        <v>42.143331085427057</v>
      </c>
      <c r="L227" s="67">
        <f t="shared" si="1558"/>
        <v>68.76613275842395</v>
      </c>
      <c r="M227" s="67">
        <f t="shared" si="1558"/>
        <v>80.67096869220363</v>
      </c>
      <c r="N227" s="67">
        <f t="shared" si="1558"/>
        <v>37.233944906458049</v>
      </c>
      <c r="O227" s="67">
        <f t="shared" si="1558"/>
        <v>49.567060649716183</v>
      </c>
      <c r="P227" s="67">
        <f t="shared" si="1558"/>
        <v>60.884608563852574</v>
      </c>
      <c r="Q227" s="67">
        <f t="shared" si="1558"/>
        <v>40.792263388596744</v>
      </c>
      <c r="R227" s="67">
        <f t="shared" si="1558"/>
        <v>49.450358384183332</v>
      </c>
      <c r="S227" s="67">
        <f t="shared" si="1558"/>
        <v>37.183642877173163</v>
      </c>
      <c r="T227" s="67">
        <f t="shared" si="1558"/>
        <v>63.146665360676167</v>
      </c>
      <c r="U227" s="67">
        <f t="shared" si="1558"/>
        <v>42.440047914547264</v>
      </c>
      <c r="V227" s="67">
        <f t="shared" si="1558"/>
        <v>30.597593466981834</v>
      </c>
      <c r="W227" s="67">
        <f t="shared" si="1558"/>
        <v>34.889035576759305</v>
      </c>
      <c r="X227" s="67">
        <f t="shared" si="1558"/>
        <v>46.844718678636255</v>
      </c>
      <c r="Y227" s="67">
        <f t="shared" si="1558"/>
        <v>63.753980430261493</v>
      </c>
      <c r="Z227" s="67">
        <f t="shared" si="1558"/>
        <v>71.343723633730164</v>
      </c>
      <c r="AA227" s="67">
        <f t="shared" ref="AA227" si="1559">AA192/AA57*365</f>
        <v>60.864508917704889</v>
      </c>
      <c r="AB227" s="18">
        <f t="shared" si="1558"/>
        <v>64.650714960299936</v>
      </c>
      <c r="AC227" s="18">
        <f t="shared" si="1558"/>
        <v>64.812770539387529</v>
      </c>
      <c r="AD227" s="18">
        <f t="shared" si="1558"/>
        <v>64.886782869345637</v>
      </c>
      <c r="AE227" s="18">
        <f t="shared" si="1558"/>
        <v>64.958499646681645</v>
      </c>
      <c r="AI227" s="67">
        <f>AJ192/AI57*90</f>
        <v>59.268887440593446</v>
      </c>
      <c r="AJ227" s="67">
        <f>AJ192/AJ57*90</f>
        <v>64.23010689542977</v>
      </c>
      <c r="AK227" s="67">
        <f t="shared" ref="AK227:CE227" si="1560">+AJ227</f>
        <v>64.23010689542977</v>
      </c>
      <c r="AL227" s="67">
        <f>AL192/AL57*90</f>
        <v>36.100508905852422</v>
      </c>
      <c r="AM227" s="67">
        <f t="shared" ref="AM227:AM228" si="1561">+AL227</f>
        <v>36.100508905852422</v>
      </c>
      <c r="AN227" s="67">
        <f>AN192/AN57*90</f>
        <v>50.18936241569056</v>
      </c>
      <c r="AO227" s="67">
        <f t="shared" ref="AO227:AO228" si="1562">+AN227</f>
        <v>50.18936241569056</v>
      </c>
      <c r="AP227" s="67">
        <f>AP192/AP57*90</f>
        <v>47.560932944606414</v>
      </c>
      <c r="AQ227" s="67">
        <f t="shared" ref="AQ227:AQ228" si="1563">+AP227</f>
        <v>47.560932944606414</v>
      </c>
      <c r="AR227" s="67">
        <f>AR192/AR57*90</f>
        <v>64.259222333001006</v>
      </c>
      <c r="AS227" s="67">
        <f t="shared" ref="AS227:AS228" si="1564">+AR227</f>
        <v>64.259222333001006</v>
      </c>
      <c r="AT227" s="67">
        <f>AT192/AT57*90</f>
        <v>68.212922371349563</v>
      </c>
      <c r="AU227" s="67">
        <f t="shared" ref="AU227:AU228" si="1565">+AT227</f>
        <v>68.212922371349563</v>
      </c>
      <c r="AV227" s="67">
        <f>AV192/AV57*90</f>
        <v>36.046355856844244</v>
      </c>
      <c r="AW227" s="67">
        <f t="shared" ref="AW227:AW228" si="1566">+AV227</f>
        <v>36.046355856844244</v>
      </c>
      <c r="AX227" s="67">
        <f>AX192/AX57*90</f>
        <v>39.029594020062802</v>
      </c>
      <c r="AY227" s="67">
        <f t="shared" ref="AY227:AY228" si="1567">+AX227</f>
        <v>39.029594020062802</v>
      </c>
      <c r="AZ227" s="67">
        <f>AZ192/AZ57*90</f>
        <v>35.920325760524186</v>
      </c>
      <c r="BA227" s="67">
        <f t="shared" ref="BA227:BA228" si="1568">+AZ227</f>
        <v>35.920325760524186</v>
      </c>
      <c r="BB227" s="67">
        <f>BB192/BB57*90</f>
        <v>46.123246747195047</v>
      </c>
      <c r="BC227" s="67">
        <f t="shared" ref="BC227:BC228" si="1569">+BB227</f>
        <v>46.123246747195047</v>
      </c>
      <c r="BD227" s="67">
        <f>BD192/BD57*90</f>
        <v>27.19879518072289</v>
      </c>
      <c r="BE227" s="67">
        <f t="shared" ref="BE227:BE228" si="1570">+BD227</f>
        <v>27.19879518072289</v>
      </c>
      <c r="BF227" s="67">
        <f>BF192/BF57*90</f>
        <v>31.404496802265239</v>
      </c>
      <c r="BG227" s="67">
        <f t="shared" ref="BG227:BG228" si="1571">+BF227</f>
        <v>31.404496802265239</v>
      </c>
      <c r="BH227" s="67">
        <f>BH192/BH57*90</f>
        <v>67.294595106798994</v>
      </c>
      <c r="BI227" s="67">
        <f t="shared" ref="BI227:BI228" si="1572">+BH227</f>
        <v>67.294595106798994</v>
      </c>
      <c r="BJ227" s="67">
        <f>BJ192/BJ57*90</f>
        <v>64.793995260809893</v>
      </c>
      <c r="BK227" s="67">
        <f t="shared" ref="BK227:BK228" si="1573">+BJ227</f>
        <v>64.793995260809893</v>
      </c>
      <c r="BL227" s="67">
        <f>BL192/BL57*90</f>
        <v>48.051246848226434</v>
      </c>
      <c r="BM227" s="67">
        <f t="shared" ref="BM227:BM228" si="1574">+BL227</f>
        <v>48.051246848226434</v>
      </c>
      <c r="BN227" s="67">
        <f>BN192/BN57*90</f>
        <v>37.951609715262357</v>
      </c>
      <c r="BO227" s="67">
        <f t="shared" ref="BO227:BO228" si="1575">+BN227</f>
        <v>37.951609715262357</v>
      </c>
      <c r="BP227" s="67">
        <f>BP192/BP57*90</f>
        <v>42.337624165589531</v>
      </c>
      <c r="BQ227" s="67">
        <f t="shared" ref="BQ227:BQ228" si="1576">+BP227</f>
        <v>42.337624165589531</v>
      </c>
      <c r="BR227" s="67">
        <f>BR192/BR57*90</f>
        <v>23.89760261234585</v>
      </c>
      <c r="BS227" s="67">
        <f t="shared" ref="BS227:BS228" si="1577">+BR227</f>
        <v>23.89760261234585</v>
      </c>
      <c r="BT227" s="67">
        <f>BT192/BT57*90</f>
        <v>40.51663106557892</v>
      </c>
      <c r="BU227" s="67">
        <f t="shared" ref="BU227:BU228" si="1578">+BT227</f>
        <v>40.51663106557892</v>
      </c>
      <c r="BV227" s="67">
        <f>BV192/BV57*90</f>
        <v>25.64465904460215</v>
      </c>
      <c r="BW227" s="67">
        <f t="shared" ref="BW227:BW228" si="1579">+BV227</f>
        <v>25.64465904460215</v>
      </c>
      <c r="BX227" s="67">
        <f>BX192/BX57*90</f>
        <v>65.168175690533786</v>
      </c>
      <c r="BY227" s="67">
        <f t="shared" ref="BY227:BY228" si="1580">+BX227</f>
        <v>65.168175690533786</v>
      </c>
      <c r="BZ227" s="67">
        <f>BZ192/BZ57*90</f>
        <v>57.814062516573152</v>
      </c>
      <c r="CA227" s="67">
        <f t="shared" ref="CA227:CA228" si="1581">+BZ227</f>
        <v>57.814062516573152</v>
      </c>
      <c r="CB227" s="67">
        <f>CB192/CB57*90</f>
        <v>55.299728809283557</v>
      </c>
      <c r="CC227" s="67">
        <f t="shared" ref="CC227:CC228" si="1582">+CB227</f>
        <v>55.299728809283557</v>
      </c>
      <c r="CD227" s="67">
        <f>CD192/CD57*90</f>
        <v>62.37884025830018</v>
      </c>
      <c r="CE227" s="67">
        <f t="shared" si="1560"/>
        <v>62.37884025830018</v>
      </c>
      <c r="CF227" s="67">
        <f>CF192/CF57*90</f>
        <v>76.439404640757843</v>
      </c>
      <c r="CG227" s="67">
        <f t="shared" ref="CG227:CI228" si="1583">+CF227</f>
        <v>76.439404640757843</v>
      </c>
      <c r="CH227" s="67">
        <f>CH192/CH57*90</f>
        <v>69.857139212084107</v>
      </c>
      <c r="CI227" s="67">
        <f t="shared" si="1583"/>
        <v>69.857139212084107</v>
      </c>
      <c r="CJ227" s="67">
        <f>CJ192/CJ57*90</f>
        <v>78.62103291127346</v>
      </c>
      <c r="CK227" s="67">
        <f t="shared" ref="CK227:CK228" si="1584">+CJ227</f>
        <v>78.62103291127346</v>
      </c>
      <c r="CL227" s="67">
        <f>CL192/CL57*90</f>
        <v>56.335660332433264</v>
      </c>
      <c r="CM227" s="30">
        <f t="shared" ref="CM227:CM228" si="1585">+CL227</f>
        <v>56.335660332433264</v>
      </c>
      <c r="CN227" s="30">
        <f t="shared" ref="CN227:CN228" si="1586">+CM227</f>
        <v>56.335660332433264</v>
      </c>
      <c r="CO227" s="30">
        <f t="shared" ref="CO227:CO228" si="1587">+CN227</f>
        <v>56.335660332433264</v>
      </c>
      <c r="CP227" s="30">
        <f t="shared" ref="CP227:CP228" si="1588">+CO227</f>
        <v>56.335660332433264</v>
      </c>
      <c r="CQ227" s="30">
        <f t="shared" ref="CQ227:CQ228" si="1589">+CP227</f>
        <v>56.335660332433264</v>
      </c>
      <c r="CR227" s="30">
        <f t="shared" ref="CR227:CR228" si="1590">+CQ227</f>
        <v>56.335660332433264</v>
      </c>
      <c r="CS227" s="30">
        <f t="shared" ref="CS227:CS228" si="1591">+CR227</f>
        <v>56.335660332433264</v>
      </c>
      <c r="CT227" s="30">
        <f t="shared" ref="CT227:CT228" si="1592">+CS227</f>
        <v>56.335660332433264</v>
      </c>
      <c r="CU227" s="30">
        <f t="shared" ref="CU227:CU228" si="1593">+CT227</f>
        <v>56.335660332433264</v>
      </c>
      <c r="CV227" s="30">
        <f t="shared" ref="CV227:CV228" si="1594">+CU227</f>
        <v>56.335660332433264</v>
      </c>
      <c r="CW227" s="30">
        <f t="shared" ref="CW227:CW228" si="1595">+CV227</f>
        <v>56.335660332433264</v>
      </c>
      <c r="CX227" s="30">
        <f t="shared" ref="CX227:CX228" si="1596">+CW227</f>
        <v>56.335660332433264</v>
      </c>
      <c r="CY227" s="30">
        <f t="shared" ref="CY227:CY228" si="1597">+CX227</f>
        <v>56.335660332433264</v>
      </c>
      <c r="CZ227" s="30">
        <f t="shared" ref="CZ227:CZ228" si="1598">+CY227</f>
        <v>56.335660332433264</v>
      </c>
      <c r="DA227" s="30">
        <f t="shared" ref="DA227:DA228" si="1599">+CZ227</f>
        <v>56.335660332433264</v>
      </c>
      <c r="DB227" s="30">
        <f t="shared" ref="DB227:DB228" si="1600">+DA227</f>
        <v>56.335660332433264</v>
      </c>
      <c r="DE227" s="139"/>
      <c r="DF227" s="62">
        <v>78.62103291127346</v>
      </c>
    </row>
    <row r="228" spans="1:110" s="62" customFormat="1" outlineLevel="1" x14ac:dyDescent="0.2">
      <c r="A228" s="68" t="s">
        <v>465</v>
      </c>
      <c r="B228" s="67">
        <f t="shared" ref="B228:AE228" si="1601">B193/B57*365</f>
        <v>77.437455906380322</v>
      </c>
      <c r="C228" s="67">
        <f t="shared" si="1601"/>
        <v>70.653376972474177</v>
      </c>
      <c r="D228" s="67">
        <f t="shared" si="1601"/>
        <v>70.251188678910992</v>
      </c>
      <c r="E228" s="67">
        <f t="shared" si="1601"/>
        <v>75.109764619357662</v>
      </c>
      <c r="F228" s="67">
        <f t="shared" si="1601"/>
        <v>81.867656696743509</v>
      </c>
      <c r="G228" s="67">
        <f t="shared" si="1601"/>
        <v>72.527627939591312</v>
      </c>
      <c r="H228" s="67">
        <f t="shared" si="1601"/>
        <v>74.426340332531439</v>
      </c>
      <c r="I228" s="67">
        <f t="shared" si="1601"/>
        <v>90.509301195651247</v>
      </c>
      <c r="J228" s="67">
        <f t="shared" si="1601"/>
        <v>78.059676797979293</v>
      </c>
      <c r="K228" s="67">
        <f t="shared" si="1601"/>
        <v>87.886410207564495</v>
      </c>
      <c r="L228" s="67">
        <f t="shared" si="1601"/>
        <v>71.836653422389546</v>
      </c>
      <c r="M228" s="67">
        <f t="shared" si="1601"/>
        <v>61.692724826313309</v>
      </c>
      <c r="N228" s="67">
        <f t="shared" si="1601"/>
        <v>68.044448341107184</v>
      </c>
      <c r="O228" s="67">
        <f t="shared" si="1601"/>
        <v>71.929852438027652</v>
      </c>
      <c r="P228" s="67">
        <f t="shared" si="1601"/>
        <v>64.671107029748185</v>
      </c>
      <c r="Q228" s="67">
        <f t="shared" si="1601"/>
        <v>65.002419036582012</v>
      </c>
      <c r="R228" s="67">
        <f t="shared" si="1601"/>
        <v>62.093575996183255</v>
      </c>
      <c r="S228" s="67">
        <f t="shared" si="1601"/>
        <v>72.065103581573666</v>
      </c>
      <c r="T228" s="67">
        <f t="shared" si="1601"/>
        <v>64.720455263768656</v>
      </c>
      <c r="U228" s="67">
        <f t="shared" si="1601"/>
        <v>80.911926460624329</v>
      </c>
      <c r="V228" s="67">
        <f t="shared" si="1601"/>
        <v>85.069815199925657</v>
      </c>
      <c r="W228" s="67">
        <f t="shared" si="1601"/>
        <v>92.282800859372813</v>
      </c>
      <c r="X228" s="67">
        <f t="shared" si="1601"/>
        <v>58.445494220205504</v>
      </c>
      <c r="Y228" s="67">
        <f t="shared" si="1601"/>
        <v>70.975977695466042</v>
      </c>
      <c r="Z228" s="67">
        <f t="shared" si="1601"/>
        <v>71.731837267721602</v>
      </c>
      <c r="AA228" s="67">
        <f t="shared" ref="AA228" si="1602">AA193/AA57*365</f>
        <v>83.525539153905655</v>
      </c>
      <c r="AB228" s="18">
        <f t="shared" si="1601"/>
        <v>90.483583183084818</v>
      </c>
      <c r="AC228" s="18">
        <f t="shared" si="1601"/>
        <v>90.710392267557609</v>
      </c>
      <c r="AD228" s="18">
        <f t="shared" si="1601"/>
        <v>90.813978141564561</v>
      </c>
      <c r="AE228" s="18">
        <f t="shared" si="1601"/>
        <v>90.914351215422926</v>
      </c>
      <c r="AI228" s="67">
        <f>AJ193/AI57*90</f>
        <v>53.882424446576209</v>
      </c>
      <c r="AJ228" s="67">
        <f>AJ193/AJ57*90</f>
        <v>58.3927593622779</v>
      </c>
      <c r="AK228" s="67">
        <f>+AJ228</f>
        <v>58.3927593622779</v>
      </c>
      <c r="AL228" s="67">
        <f>AL193/AL57*90</f>
        <v>65.973282442748086</v>
      </c>
      <c r="AM228" s="67">
        <f t="shared" si="1561"/>
        <v>65.973282442748086</v>
      </c>
      <c r="AN228" s="67">
        <f>AN193/AN57*90</f>
        <v>65.403070540449889</v>
      </c>
      <c r="AO228" s="67">
        <f t="shared" si="1562"/>
        <v>65.403070540449889</v>
      </c>
      <c r="AP228" s="67">
        <f>AP193/AP57*90</f>
        <v>69.02448979591837</v>
      </c>
      <c r="AQ228" s="67">
        <f t="shared" si="1563"/>
        <v>69.02448979591837</v>
      </c>
      <c r="AR228" s="67">
        <f>AR193/AR57*90</f>
        <v>62.368893320039881</v>
      </c>
      <c r="AS228" s="67">
        <f t="shared" si="1564"/>
        <v>62.368893320039881</v>
      </c>
      <c r="AT228" s="67">
        <f>AT193/AT57*90</f>
        <v>72.45525055641734</v>
      </c>
      <c r="AU228" s="67">
        <f t="shared" si="1565"/>
        <v>72.45525055641734</v>
      </c>
      <c r="AV228" s="67">
        <f>AV193/AV57*90</f>
        <v>55.961705027081344</v>
      </c>
      <c r="AW228" s="67">
        <f t="shared" si="1566"/>
        <v>55.961705027081344</v>
      </c>
      <c r="AX228" s="67">
        <f>AX193/AX57*90</f>
        <v>62.193958929613473</v>
      </c>
      <c r="AY228" s="67">
        <f t="shared" si="1567"/>
        <v>62.193958929613473</v>
      </c>
      <c r="AZ228" s="67">
        <f>AZ193/AZ57*90</f>
        <v>54.536598683713706</v>
      </c>
      <c r="BA228" s="67">
        <f t="shared" si="1568"/>
        <v>54.536598683713706</v>
      </c>
      <c r="BB228" s="67">
        <f>BB193/BB57*90</f>
        <v>57.915823155104306</v>
      </c>
      <c r="BC228" s="67">
        <f t="shared" si="1569"/>
        <v>57.915823155104306</v>
      </c>
      <c r="BD228" s="67">
        <f>BD193/BD57*90</f>
        <v>66.216599069545509</v>
      </c>
      <c r="BE228" s="67">
        <f t="shared" si="1570"/>
        <v>66.216599069545509</v>
      </c>
      <c r="BF228" s="67">
        <f>BF193/BF57*90</f>
        <v>60.864739540293805</v>
      </c>
      <c r="BG228" s="67">
        <f t="shared" si="1571"/>
        <v>60.864739540293805</v>
      </c>
      <c r="BH228" s="67">
        <f>BH193/BH57*90</f>
        <v>62.389422254681271</v>
      </c>
      <c r="BI228" s="67">
        <f t="shared" si="1572"/>
        <v>62.389422254681271</v>
      </c>
      <c r="BJ228" s="67">
        <f>BJ193/BJ57*90</f>
        <v>66.408761765237983</v>
      </c>
      <c r="BK228" s="67">
        <f t="shared" si="1573"/>
        <v>66.408761765237983</v>
      </c>
      <c r="BL228" s="67">
        <f>BL193/BL57*90</f>
        <v>63.730643819883568</v>
      </c>
      <c r="BM228" s="67">
        <f t="shared" si="1574"/>
        <v>63.730643819883568</v>
      </c>
      <c r="BN228" s="67">
        <f>BN193/BN57*90</f>
        <v>72.354869839202877</v>
      </c>
      <c r="BO228" s="67">
        <f t="shared" si="1575"/>
        <v>72.354869839202877</v>
      </c>
      <c r="BP228" s="67">
        <f>BP193/BP57*90</f>
        <v>67.990580236202348</v>
      </c>
      <c r="BQ228" s="67">
        <f t="shared" si="1576"/>
        <v>67.990580236202348</v>
      </c>
      <c r="BR228" s="67">
        <f>BR193/BR57*90</f>
        <v>66.441934720336974</v>
      </c>
      <c r="BS228" s="67">
        <f t="shared" si="1577"/>
        <v>66.441934720336974</v>
      </c>
      <c r="BT228" s="67">
        <f>BT193/BT57*90</f>
        <v>69.695548881276238</v>
      </c>
      <c r="BU228" s="67">
        <f t="shared" si="1578"/>
        <v>69.695548881276238</v>
      </c>
      <c r="BV228" s="67">
        <f>BV193/BV57*90</f>
        <v>67.831171527206465</v>
      </c>
      <c r="BW228" s="67">
        <f t="shared" si="1579"/>
        <v>67.831171527206465</v>
      </c>
      <c r="BX228" s="67">
        <f>BX193/BX57*90</f>
        <v>69.552312296233978</v>
      </c>
      <c r="BY228" s="67">
        <f t="shared" si="1580"/>
        <v>69.552312296233978</v>
      </c>
      <c r="BZ228" s="67">
        <f>BZ193/BZ57*90</f>
        <v>72.131354808600008</v>
      </c>
      <c r="CA228" s="67">
        <f t="shared" si="1581"/>
        <v>72.131354808600008</v>
      </c>
      <c r="CB228" s="67">
        <f>CB193/CB57*90</f>
        <v>82.397593970736636</v>
      </c>
      <c r="CC228" s="67">
        <f t="shared" si="1582"/>
        <v>82.397593970736636</v>
      </c>
      <c r="CD228" s="67">
        <f>CD193/CD57*90</f>
        <v>69.445132955014884</v>
      </c>
      <c r="CE228" s="114">
        <f t="shared" ref="CE228" si="1603">+CD228</f>
        <v>69.445132955014884</v>
      </c>
      <c r="CF228" s="67">
        <f>CF193/CF57*90</f>
        <v>75.460486677064026</v>
      </c>
      <c r="CG228" s="67">
        <f t="shared" si="1583"/>
        <v>75.460486677064026</v>
      </c>
      <c r="CH228" s="67">
        <f>CH193/CH57*90</f>
        <v>70.237165748111863</v>
      </c>
      <c r="CI228" s="67">
        <f t="shared" si="1583"/>
        <v>70.237165748111863</v>
      </c>
      <c r="CJ228" s="67">
        <f>CJ193/CJ57*90</f>
        <v>75.85854729967815</v>
      </c>
      <c r="CK228" s="67">
        <f t="shared" si="1584"/>
        <v>75.85854729967815</v>
      </c>
      <c r="CL228" s="67">
        <f>CL193/CL57*90</f>
        <v>78.846033040685327</v>
      </c>
      <c r="CM228" s="30">
        <f t="shared" si="1585"/>
        <v>78.846033040685327</v>
      </c>
      <c r="CN228" s="30">
        <f t="shared" si="1586"/>
        <v>78.846033040685327</v>
      </c>
      <c r="CO228" s="30">
        <f t="shared" si="1587"/>
        <v>78.846033040685327</v>
      </c>
      <c r="CP228" s="30">
        <f t="shared" si="1588"/>
        <v>78.846033040685327</v>
      </c>
      <c r="CQ228" s="30">
        <f t="shared" si="1589"/>
        <v>78.846033040685327</v>
      </c>
      <c r="CR228" s="30">
        <f t="shared" si="1590"/>
        <v>78.846033040685327</v>
      </c>
      <c r="CS228" s="30">
        <f t="shared" si="1591"/>
        <v>78.846033040685327</v>
      </c>
      <c r="CT228" s="30">
        <f t="shared" si="1592"/>
        <v>78.846033040685327</v>
      </c>
      <c r="CU228" s="30">
        <f t="shared" si="1593"/>
        <v>78.846033040685327</v>
      </c>
      <c r="CV228" s="30">
        <f t="shared" si="1594"/>
        <v>78.846033040685327</v>
      </c>
      <c r="CW228" s="30">
        <f t="shared" si="1595"/>
        <v>78.846033040685327</v>
      </c>
      <c r="CX228" s="30">
        <f t="shared" si="1596"/>
        <v>78.846033040685327</v>
      </c>
      <c r="CY228" s="30">
        <f t="shared" si="1597"/>
        <v>78.846033040685327</v>
      </c>
      <c r="CZ228" s="30">
        <f t="shared" si="1598"/>
        <v>78.846033040685327</v>
      </c>
      <c r="DA228" s="30">
        <f t="shared" si="1599"/>
        <v>78.846033040685327</v>
      </c>
      <c r="DB228" s="30">
        <f t="shared" si="1600"/>
        <v>78.846033040685327</v>
      </c>
      <c r="DE228" s="139"/>
      <c r="DF228" s="62">
        <v>75.85854729967815</v>
      </c>
    </row>
    <row r="229" spans="1:110" s="62" customFormat="1" outlineLevel="1" x14ac:dyDescent="0.2">
      <c r="A229" s="68" t="s">
        <v>466</v>
      </c>
      <c r="B229" s="67">
        <f>B230-B228-B227</f>
        <v>21.373380482934081</v>
      </c>
      <c r="C229" s="67">
        <f t="shared" ref="C229:U229" si="1604">C230-C228-C227</f>
        <v>18.441830853785007</v>
      </c>
      <c r="D229" s="67">
        <f t="shared" si="1604"/>
        <v>25.955489846336349</v>
      </c>
      <c r="E229" s="67">
        <f t="shared" si="1604"/>
        <v>14.100837787754585</v>
      </c>
      <c r="F229" s="67">
        <f t="shared" si="1604"/>
        <v>17.710692105493919</v>
      </c>
      <c r="G229" s="67">
        <f t="shared" si="1604"/>
        <v>13.526534355996986</v>
      </c>
      <c r="H229" s="67">
        <f t="shared" si="1604"/>
        <v>19.427256810695404</v>
      </c>
      <c r="I229" s="67">
        <f t="shared" si="1604"/>
        <v>22.971643626433092</v>
      </c>
      <c r="J229" s="67">
        <f t="shared" si="1604"/>
        <v>15.386426666946555</v>
      </c>
      <c r="K229" s="67">
        <f t="shared" si="1604"/>
        <v>33.109879092865988</v>
      </c>
      <c r="L229" s="67">
        <f t="shared" si="1604"/>
        <v>31.330422261749732</v>
      </c>
      <c r="M229" s="67">
        <f t="shared" si="1604"/>
        <v>32.388191156047625</v>
      </c>
      <c r="N229" s="67">
        <f t="shared" si="1604"/>
        <v>25.549941612057026</v>
      </c>
      <c r="O229" s="67">
        <f t="shared" si="1604"/>
        <v>19.070698943460187</v>
      </c>
      <c r="P229" s="67">
        <f t="shared" si="1604"/>
        <v>21.328632866070727</v>
      </c>
      <c r="Q229" s="67">
        <f t="shared" si="1604"/>
        <v>19.186807196912035</v>
      </c>
      <c r="R229" s="67">
        <f t="shared" si="1604"/>
        <v>28.815564289028927</v>
      </c>
      <c r="S229" s="67">
        <f t="shared" si="1604"/>
        <v>50.988498653933682</v>
      </c>
      <c r="T229" s="67">
        <f t="shared" si="1604"/>
        <v>40.78466094019052</v>
      </c>
      <c r="U229" s="67">
        <f t="shared" si="1604"/>
        <v>47.13505260197671</v>
      </c>
      <c r="V229" s="67">
        <f>V230-V228-V227</f>
        <v>44.132752238334334</v>
      </c>
      <c r="W229" s="67">
        <f t="shared" ref="W229" si="1605">W230-W228-W227</f>
        <v>9.5859283846231094</v>
      </c>
      <c r="X229" s="67">
        <f t="shared" ref="X229:Y229" si="1606">X230-X228-X227</f>
        <v>12.357573853165079</v>
      </c>
      <c r="Y229" s="67">
        <f t="shared" si="1606"/>
        <v>22.104426630527456</v>
      </c>
      <c r="Z229" s="67">
        <f t="shared" ref="Z229:AA229" si="1607">Z230-Z228-Z227</f>
        <v>28.320985940892754</v>
      </c>
      <c r="AA229" s="67">
        <f t="shared" si="1607"/>
        <v>25.092077109305173</v>
      </c>
      <c r="AB229" s="18">
        <f t="shared" ref="AA229:AD229" si="1608">AB230-AB228-AB227</f>
        <v>84.75777092564762</v>
      </c>
      <c r="AC229" s="18">
        <f t="shared" si="1608"/>
        <v>84.970227503397226</v>
      </c>
      <c r="AD229" s="18">
        <f t="shared" si="1608"/>
        <v>85.067258450574144</v>
      </c>
      <c r="AE229" s="18">
        <f t="shared" ref="AE229" si="1609">AE230-AE228-AE227</f>
        <v>85.161279903990447</v>
      </c>
      <c r="AI229" s="67">
        <f t="shared" ref="AI229:AK229" si="1610">AI230-AI228-AI227</f>
        <v>-113.15131188716965</v>
      </c>
      <c r="AJ229" s="67">
        <f t="shared" ref="AJ229:AM229" si="1611">AJ230-AJ228-AJ227</f>
        <v>30.200220615660555</v>
      </c>
      <c r="AK229" s="67">
        <f t="shared" si="1610"/>
        <v>35.319733447181335</v>
      </c>
      <c r="AL229" s="67">
        <f t="shared" si="1611"/>
        <v>25.241730279898221</v>
      </c>
      <c r="AM229" s="67">
        <f t="shared" si="1611"/>
        <v>25.490364025695925</v>
      </c>
      <c r="AN229" s="67">
        <f t="shared" ref="AN229:AY229" si="1612">AN230-AN228-AN227</f>
        <v>19.618853018992148</v>
      </c>
      <c r="AO229" s="67">
        <f t="shared" si="1612"/>
        <v>22.972220202167129</v>
      </c>
      <c r="AP229" s="67">
        <f t="shared" si="1612"/>
        <v>18.682215743440231</v>
      </c>
      <c r="AQ229" s="67">
        <f t="shared" si="1612"/>
        <v>19.480756368942657</v>
      </c>
      <c r="AR229" s="67">
        <f t="shared" si="1612"/>
        <v>16.797607178464588</v>
      </c>
      <c r="AS229" s="67">
        <f t="shared" si="1612"/>
        <v>17.837883621784911</v>
      </c>
      <c r="AT229" s="67">
        <f t="shared" si="1612"/>
        <v>23.895798205975552</v>
      </c>
      <c r="AU229" s="67">
        <f t="shared" si="1612"/>
        <v>22.194429827858357</v>
      </c>
      <c r="AV229" s="67">
        <f t="shared" si="1612"/>
        <v>21.669804021203127</v>
      </c>
      <c r="AW229" s="67">
        <f t="shared" si="1612"/>
        <v>23.123163089890774</v>
      </c>
      <c r="AX229" s="67">
        <f t="shared" si="1612"/>
        <v>18.357629143857508</v>
      </c>
      <c r="AY229" s="67">
        <f t="shared" si="1612"/>
        <v>18.170106495335361</v>
      </c>
      <c r="AZ229" s="67">
        <f t="shared" ref="AZ229:BC229" si="1613">AZ230-AZ228-AZ227</f>
        <v>18.396698247468798</v>
      </c>
      <c r="BA229" s="67">
        <f t="shared" si="1613"/>
        <v>17.573021862168467</v>
      </c>
      <c r="BB229" s="67">
        <f t="shared" si="1613"/>
        <v>26.87684127140276</v>
      </c>
      <c r="BC229" s="67">
        <f t="shared" si="1613"/>
        <v>25.945889209330666</v>
      </c>
      <c r="BD229" s="67">
        <f t="shared" ref="BD229:CE229" si="1614">BD230-BD228-BD227</f>
        <v>41.255815340570201</v>
      </c>
      <c r="BE229" s="67">
        <f t="shared" si="1614"/>
        <v>37.929326393617181</v>
      </c>
      <c r="BF229" s="67">
        <f t="shared" si="1614"/>
        <v>43.253308372856253</v>
      </c>
      <c r="BG229" s="67">
        <f t="shared" si="1614"/>
        <v>42.496046358609703</v>
      </c>
      <c r="BH229" s="67">
        <f t="shared" si="1614"/>
        <v>49.99024687877008</v>
      </c>
      <c r="BI229" s="67">
        <f t="shared" si="1614"/>
        <v>45.286038506955208</v>
      </c>
      <c r="BJ229" s="67">
        <f t="shared" si="1614"/>
        <v>42.062165465689404</v>
      </c>
      <c r="BK229" s="67">
        <f t="shared" si="1614"/>
        <v>42.749566098745603</v>
      </c>
      <c r="BL229" s="67">
        <f t="shared" si="1614"/>
        <v>39.051365658539147</v>
      </c>
      <c r="BM229" s="67">
        <f t="shared" si="1614"/>
        <v>39.006395182735197</v>
      </c>
      <c r="BN229" s="67">
        <f t="shared" si="1614"/>
        <v>42.301852131753655</v>
      </c>
      <c r="BO229" s="67">
        <f t="shared" si="1614"/>
        <v>48.966040105872331</v>
      </c>
      <c r="BP229" s="67">
        <f t="shared" si="1614"/>
        <v>55.366963542681077</v>
      </c>
      <c r="BQ229" s="67">
        <f t="shared" si="1614"/>
        <v>39.871776235760336</v>
      </c>
      <c r="BR229" s="67">
        <f t="shared" si="1614"/>
        <v>34.539772096011433</v>
      </c>
      <c r="BS229" s="67">
        <f t="shared" si="1614"/>
        <v>31.731180147376946</v>
      </c>
      <c r="BT229" s="67">
        <f t="shared" si="1614"/>
        <v>34.219423167273121</v>
      </c>
      <c r="BU229" s="67">
        <f t="shared" si="1614"/>
        <v>31.847122031527945</v>
      </c>
      <c r="BV229" s="67">
        <f t="shared" si="1614"/>
        <v>7.0461168221065407</v>
      </c>
      <c r="BW229" s="67">
        <f t="shared" si="1614"/>
        <v>8.2046847674925232</v>
      </c>
      <c r="BX229" s="67">
        <f t="shared" si="1614"/>
        <v>30.006883825877438</v>
      </c>
      <c r="BY229" s="67">
        <f t="shared" si="1614"/>
        <v>32.137766491224497</v>
      </c>
      <c r="BZ229" s="67">
        <f t="shared" si="1614"/>
        <v>15.251286076432713</v>
      </c>
      <c r="CA229" s="67">
        <f t="shared" si="1614"/>
        <v>15.505280661155588</v>
      </c>
      <c r="CB229" s="67">
        <f t="shared" si="1614"/>
        <v>22.630549949545944</v>
      </c>
      <c r="CC229" s="67">
        <f t="shared" si="1614"/>
        <v>22.464432723459559</v>
      </c>
      <c r="CD229" s="67">
        <f t="shared" si="1614"/>
        <v>21.628073837323093</v>
      </c>
      <c r="CE229" s="114">
        <f t="shared" si="1614"/>
        <v>23.26901384289895</v>
      </c>
      <c r="CF229" s="67">
        <f t="shared" ref="CF229:CG229" si="1615">CF230-CF228-CF227</f>
        <v>20.882112989105849</v>
      </c>
      <c r="CG229" s="67">
        <f t="shared" si="1615"/>
        <v>23.162780435394325</v>
      </c>
      <c r="CH229" s="67">
        <f t="shared" ref="CH229" si="1616">CH230-CH228-CH227</f>
        <v>27.730863441518707</v>
      </c>
      <c r="CI229" s="67">
        <f>CH229</f>
        <v>27.730863441518707</v>
      </c>
      <c r="CJ229" s="67">
        <f t="shared" ref="CJ229:CL229" si="1617">CJ230-CJ228-CJ227</f>
        <v>43.462173177664482</v>
      </c>
      <c r="CK229" s="67">
        <f t="shared" ref="CK229:DB229" si="1618">CJ229</f>
        <v>43.462173177664482</v>
      </c>
      <c r="CL229" s="67">
        <f t="shared" si="1617"/>
        <v>73.856646385636822</v>
      </c>
      <c r="CM229" s="30">
        <f t="shared" si="1618"/>
        <v>73.856646385636822</v>
      </c>
      <c r="CN229" s="30">
        <f t="shared" si="1618"/>
        <v>73.856646385636822</v>
      </c>
      <c r="CO229" s="30">
        <f t="shared" si="1618"/>
        <v>73.856646385636822</v>
      </c>
      <c r="CP229" s="30">
        <f t="shared" si="1618"/>
        <v>73.856646385636822</v>
      </c>
      <c r="CQ229" s="30">
        <f t="shared" si="1618"/>
        <v>73.856646385636822</v>
      </c>
      <c r="CR229" s="30">
        <f t="shared" si="1618"/>
        <v>73.856646385636822</v>
      </c>
      <c r="CS229" s="30">
        <f t="shared" si="1618"/>
        <v>73.856646385636822</v>
      </c>
      <c r="CT229" s="30">
        <f t="shared" si="1618"/>
        <v>73.856646385636822</v>
      </c>
      <c r="CU229" s="30">
        <f t="shared" si="1618"/>
        <v>73.856646385636822</v>
      </c>
      <c r="CV229" s="30">
        <f t="shared" si="1618"/>
        <v>73.856646385636822</v>
      </c>
      <c r="CW229" s="30">
        <f t="shared" si="1618"/>
        <v>73.856646385636822</v>
      </c>
      <c r="CX229" s="30">
        <f t="shared" si="1618"/>
        <v>73.856646385636822</v>
      </c>
      <c r="CY229" s="30">
        <f t="shared" si="1618"/>
        <v>73.856646385636822</v>
      </c>
      <c r="CZ229" s="30">
        <f t="shared" si="1618"/>
        <v>73.856646385636822</v>
      </c>
      <c r="DA229" s="30">
        <f t="shared" si="1618"/>
        <v>73.856646385636822</v>
      </c>
      <c r="DB229" s="30">
        <f t="shared" si="1618"/>
        <v>73.856646385636822</v>
      </c>
      <c r="DE229" s="139"/>
      <c r="DF229" s="62">
        <v>43.462173177664482</v>
      </c>
    </row>
    <row r="230" spans="1:110" s="7" customFormat="1" outlineLevel="1" x14ac:dyDescent="0.2">
      <c r="A230" s="69" t="s">
        <v>467</v>
      </c>
      <c r="B230" s="70">
        <f t="shared" ref="B230:AE230" si="1619">B196/B57*365</f>
        <v>166.50382004595576</v>
      </c>
      <c r="C230" s="70">
        <f t="shared" si="1619"/>
        <v>121.59273051510422</v>
      </c>
      <c r="D230" s="70">
        <f t="shared" si="1619"/>
        <v>132.0874093303282</v>
      </c>
      <c r="E230" s="70">
        <f t="shared" si="1619"/>
        <v>132.06945156974766</v>
      </c>
      <c r="F230" s="70">
        <f t="shared" si="1619"/>
        <v>157.30584151114189</v>
      </c>
      <c r="G230" s="70">
        <f t="shared" si="1619"/>
        <v>142.46895164591049</v>
      </c>
      <c r="H230" s="70">
        <f t="shared" si="1619"/>
        <v>153.29387764714349</v>
      </c>
      <c r="I230" s="70">
        <f t="shared" si="1619"/>
        <v>164.36545734364776</v>
      </c>
      <c r="J230" s="70">
        <f t="shared" si="1619"/>
        <v>137.60511708445875</v>
      </c>
      <c r="K230" s="70">
        <f t="shared" si="1619"/>
        <v>163.13962038585754</v>
      </c>
      <c r="L230" s="70">
        <f t="shared" si="1619"/>
        <v>171.93320844256323</v>
      </c>
      <c r="M230" s="70">
        <f t="shared" si="1619"/>
        <v>174.75188467456456</v>
      </c>
      <c r="N230" s="70">
        <f t="shared" si="1619"/>
        <v>130.82833485962226</v>
      </c>
      <c r="O230" s="70">
        <f t="shared" si="1619"/>
        <v>140.56761203120402</v>
      </c>
      <c r="P230" s="70">
        <f t="shared" si="1619"/>
        <v>146.88434845967149</v>
      </c>
      <c r="Q230" s="70">
        <f t="shared" si="1619"/>
        <v>124.98148962209079</v>
      </c>
      <c r="R230" s="70">
        <f t="shared" si="1619"/>
        <v>140.35949866939552</v>
      </c>
      <c r="S230" s="70">
        <f t="shared" si="1619"/>
        <v>160.23724511268051</v>
      </c>
      <c r="T230" s="70">
        <f t="shared" si="1619"/>
        <v>168.65178156463534</v>
      </c>
      <c r="U230" s="70">
        <f t="shared" si="1619"/>
        <v>170.4870269771483</v>
      </c>
      <c r="V230" s="70">
        <f t="shared" si="1619"/>
        <v>159.80016090524182</v>
      </c>
      <c r="W230" s="70">
        <f t="shared" si="1619"/>
        <v>136.75776482075523</v>
      </c>
      <c r="X230" s="70">
        <f t="shared" si="1619"/>
        <v>117.64778675200684</v>
      </c>
      <c r="Y230" s="70">
        <f t="shared" si="1619"/>
        <v>156.83438475625499</v>
      </c>
      <c r="Z230" s="70">
        <f t="shared" si="1619"/>
        <v>171.39654684234452</v>
      </c>
      <c r="AA230" s="70">
        <f t="shared" ref="AA230" si="1620">AA196/AA57*365</f>
        <v>169.48212518091572</v>
      </c>
      <c r="AB230" s="71">
        <f t="shared" si="1619"/>
        <v>239.89206906903237</v>
      </c>
      <c r="AC230" s="71">
        <f t="shared" si="1619"/>
        <v>240.49339031034236</v>
      </c>
      <c r="AD230" s="71">
        <f t="shared" si="1619"/>
        <v>240.76801946148433</v>
      </c>
      <c r="AE230" s="71">
        <f t="shared" si="1619"/>
        <v>241.03413076609502</v>
      </c>
      <c r="AI230" s="70">
        <f t="shared" ref="AI230:CD230" si="1621">AI196/AI57*90</f>
        <v>0</v>
      </c>
      <c r="AJ230" s="70">
        <f t="shared" si="1621"/>
        <v>152.82308687336823</v>
      </c>
      <c r="AK230" s="70">
        <f t="shared" si="1621"/>
        <v>157.94259970488901</v>
      </c>
      <c r="AL230" s="70">
        <f t="shared" si="1621"/>
        <v>127.31552162849873</v>
      </c>
      <c r="AM230" s="70">
        <f t="shared" si="1621"/>
        <v>127.56415537429643</v>
      </c>
      <c r="AN230" s="70">
        <f t="shared" si="1621"/>
        <v>135.2112859751326</v>
      </c>
      <c r="AO230" s="70">
        <f t="shared" si="1621"/>
        <v>138.56465315830758</v>
      </c>
      <c r="AP230" s="70">
        <f t="shared" si="1621"/>
        <v>135.26763848396502</v>
      </c>
      <c r="AQ230" s="70">
        <f t="shared" si="1621"/>
        <v>136.06617910946744</v>
      </c>
      <c r="AR230" s="70">
        <f t="shared" si="1621"/>
        <v>143.42572283150548</v>
      </c>
      <c r="AS230" s="70">
        <f t="shared" si="1621"/>
        <v>144.4659992748258</v>
      </c>
      <c r="AT230" s="70">
        <f t="shared" si="1621"/>
        <v>164.56397113374246</v>
      </c>
      <c r="AU230" s="70">
        <f t="shared" si="1621"/>
        <v>162.86260275562526</v>
      </c>
      <c r="AV230" s="70">
        <f t="shared" si="1621"/>
        <v>113.67786490512871</v>
      </c>
      <c r="AW230" s="70">
        <f t="shared" si="1621"/>
        <v>115.13122397381636</v>
      </c>
      <c r="AX230" s="70">
        <f t="shared" si="1621"/>
        <v>119.58118209353378</v>
      </c>
      <c r="AY230" s="70">
        <f t="shared" si="1621"/>
        <v>119.39365944501164</v>
      </c>
      <c r="AZ230" s="70">
        <f t="shared" si="1621"/>
        <v>108.85362269170669</v>
      </c>
      <c r="BA230" s="70">
        <f t="shared" si="1621"/>
        <v>108.02994630640636</v>
      </c>
      <c r="BB230" s="70">
        <f t="shared" si="1621"/>
        <v>130.91591117370211</v>
      </c>
      <c r="BC230" s="70">
        <f t="shared" si="1621"/>
        <v>129.98495911163002</v>
      </c>
      <c r="BD230" s="70">
        <f t="shared" si="1621"/>
        <v>134.6712095908386</v>
      </c>
      <c r="BE230" s="70">
        <f t="shared" si="1621"/>
        <v>131.34472064388558</v>
      </c>
      <c r="BF230" s="70">
        <f t="shared" si="1621"/>
        <v>135.52254471541531</v>
      </c>
      <c r="BG230" s="70">
        <f t="shared" si="1621"/>
        <v>134.76528270116876</v>
      </c>
      <c r="BH230" s="70">
        <f t="shared" si="1621"/>
        <v>179.67426424025035</v>
      </c>
      <c r="BI230" s="70">
        <f t="shared" si="1621"/>
        <v>174.97005586843548</v>
      </c>
      <c r="BJ230" s="70">
        <f t="shared" si="1621"/>
        <v>173.26492249173728</v>
      </c>
      <c r="BK230" s="70">
        <f t="shared" si="1621"/>
        <v>173.95232312479348</v>
      </c>
      <c r="BL230" s="70">
        <f t="shared" si="1621"/>
        <v>150.83325632664915</v>
      </c>
      <c r="BM230" s="70">
        <f t="shared" si="1621"/>
        <v>150.7882858508452</v>
      </c>
      <c r="BN230" s="70">
        <f t="shared" si="1621"/>
        <v>152.60833168621889</v>
      </c>
      <c r="BO230" s="70">
        <f t="shared" si="1621"/>
        <v>159.27251966033757</v>
      </c>
      <c r="BP230" s="70">
        <f t="shared" si="1621"/>
        <v>165.69516794447296</v>
      </c>
      <c r="BQ230" s="70">
        <f t="shared" si="1621"/>
        <v>150.19998063755222</v>
      </c>
      <c r="BR230" s="70">
        <f t="shared" si="1621"/>
        <v>124.87930942869426</v>
      </c>
      <c r="BS230" s="70">
        <f t="shared" si="1621"/>
        <v>122.07071748005977</v>
      </c>
      <c r="BT230" s="70">
        <f t="shared" si="1621"/>
        <v>144.43160311412828</v>
      </c>
      <c r="BU230" s="70">
        <f t="shared" si="1621"/>
        <v>142.0593019783831</v>
      </c>
      <c r="BV230" s="70">
        <f t="shared" si="1621"/>
        <v>100.52194739391516</v>
      </c>
      <c r="BW230" s="70">
        <f t="shared" si="1621"/>
        <v>101.68051533930114</v>
      </c>
      <c r="BX230" s="70">
        <f t="shared" si="1621"/>
        <v>164.7273718126452</v>
      </c>
      <c r="BY230" s="70">
        <f t="shared" si="1621"/>
        <v>166.85825447799226</v>
      </c>
      <c r="BZ230" s="70">
        <f t="shared" si="1621"/>
        <v>145.19670340160587</v>
      </c>
      <c r="CA230" s="70">
        <f t="shared" si="1621"/>
        <v>145.45069798632875</v>
      </c>
      <c r="CB230" s="70">
        <f t="shared" si="1621"/>
        <v>160.32787272956614</v>
      </c>
      <c r="CC230" s="70">
        <f t="shared" si="1621"/>
        <v>160.16175550347975</v>
      </c>
      <c r="CD230" s="70">
        <f t="shared" si="1621"/>
        <v>153.45204705063816</v>
      </c>
      <c r="CE230" s="115">
        <f>CE196/CE59*90</f>
        <v>155.09298705621401</v>
      </c>
      <c r="CF230" s="70">
        <f>CF196/CF57*90</f>
        <v>172.78200430692772</v>
      </c>
      <c r="CG230" s="70">
        <f>CG196/CG59*90</f>
        <v>175.06267175321619</v>
      </c>
      <c r="CH230" s="70">
        <f>CH196/CH57*90</f>
        <v>167.82516840171468</v>
      </c>
      <c r="CI230" s="70">
        <f>CI227+CI228+CI229</f>
        <v>167.82516840171468</v>
      </c>
      <c r="CJ230" s="70">
        <f>CJ196/CJ57*90</f>
        <v>197.94175338861609</v>
      </c>
      <c r="CK230" s="70">
        <f t="shared" ref="CK230:DB230" si="1622">CK227+CK228+CK229</f>
        <v>197.94175338861609</v>
      </c>
      <c r="CL230" s="70">
        <f>CL196/CL57*90</f>
        <v>209.0383397587554</v>
      </c>
      <c r="CM230" s="50">
        <f t="shared" si="1622"/>
        <v>209.03833975875543</v>
      </c>
      <c r="CN230" s="50">
        <f t="shared" si="1622"/>
        <v>209.03833975875543</v>
      </c>
      <c r="CO230" s="50">
        <f t="shared" si="1622"/>
        <v>209.03833975875543</v>
      </c>
      <c r="CP230" s="50">
        <f t="shared" si="1622"/>
        <v>209.03833975875543</v>
      </c>
      <c r="CQ230" s="50">
        <f t="shared" si="1622"/>
        <v>209.03833975875543</v>
      </c>
      <c r="CR230" s="50">
        <f t="shared" si="1622"/>
        <v>209.03833975875543</v>
      </c>
      <c r="CS230" s="50">
        <f t="shared" si="1622"/>
        <v>209.03833975875543</v>
      </c>
      <c r="CT230" s="50">
        <f t="shared" si="1622"/>
        <v>209.03833975875543</v>
      </c>
      <c r="CU230" s="50">
        <f t="shared" si="1622"/>
        <v>209.03833975875543</v>
      </c>
      <c r="CV230" s="50">
        <f t="shared" si="1622"/>
        <v>209.03833975875543</v>
      </c>
      <c r="CW230" s="50">
        <f t="shared" si="1622"/>
        <v>209.03833975875543</v>
      </c>
      <c r="CX230" s="50">
        <f t="shared" si="1622"/>
        <v>209.03833975875543</v>
      </c>
      <c r="CY230" s="50">
        <f t="shared" si="1622"/>
        <v>209.03833975875543</v>
      </c>
      <c r="CZ230" s="50">
        <f t="shared" si="1622"/>
        <v>209.03833975875543</v>
      </c>
      <c r="DA230" s="50">
        <f t="shared" si="1622"/>
        <v>209.03833975875543</v>
      </c>
      <c r="DB230" s="50">
        <f t="shared" si="1622"/>
        <v>209.03833975875543</v>
      </c>
      <c r="DE230" s="138"/>
      <c r="DF230" s="7">
        <v>197.94175338861609</v>
      </c>
    </row>
    <row r="231" spans="1:110" s="62" customFormat="1" outlineLevel="1" x14ac:dyDescent="0.2">
      <c r="A231" s="68" t="s">
        <v>468</v>
      </c>
      <c r="B231" s="67">
        <f t="shared" ref="B231:AE231" si="1623">B201/B57*365</f>
        <v>26.900087280940379</v>
      </c>
      <c r="C231" s="67">
        <f t="shared" si="1623"/>
        <v>40.847150008656456</v>
      </c>
      <c r="D231" s="67">
        <f t="shared" si="1623"/>
        <v>26.614642173401567</v>
      </c>
      <c r="E231" s="67">
        <f t="shared" si="1623"/>
        <v>40.518985475871403</v>
      </c>
      <c r="F231" s="67">
        <f t="shared" si="1623"/>
        <v>54.600791816890691</v>
      </c>
      <c r="G231" s="67">
        <f t="shared" si="1623"/>
        <v>40.474286865497142</v>
      </c>
      <c r="H231" s="67">
        <f t="shared" si="1623"/>
        <v>38.895337545911801</v>
      </c>
      <c r="I231" s="67">
        <f t="shared" si="1623"/>
        <v>51.045746575820409</v>
      </c>
      <c r="J231" s="67">
        <f t="shared" si="1623"/>
        <v>31.013490677285699</v>
      </c>
      <c r="K231" s="67">
        <f t="shared" si="1623"/>
        <v>41.854070699319948</v>
      </c>
      <c r="L231" s="67">
        <f t="shared" si="1623"/>
        <v>32.58592688729977</v>
      </c>
      <c r="M231" s="67">
        <f t="shared" si="1623"/>
        <v>26.071318466279607</v>
      </c>
      <c r="N231" s="67">
        <f t="shared" si="1623"/>
        <v>23.295316142130932</v>
      </c>
      <c r="O231" s="67">
        <f t="shared" si="1623"/>
        <v>47.221464322396351</v>
      </c>
      <c r="P231" s="67">
        <f t="shared" si="1623"/>
        <v>25.762312985637742</v>
      </c>
      <c r="Q231" s="67">
        <f t="shared" si="1623"/>
        <v>25.340647329673494</v>
      </c>
      <c r="R231" s="67">
        <f t="shared" si="1623"/>
        <v>25.715011031606451</v>
      </c>
      <c r="S231" s="67">
        <f t="shared" si="1623"/>
        <v>29.983385518073678</v>
      </c>
      <c r="T231" s="67">
        <f t="shared" si="1623"/>
        <v>32.91798273919872</v>
      </c>
      <c r="U231" s="67">
        <f t="shared" si="1623"/>
        <v>23.154358440054999</v>
      </c>
      <c r="V231" s="67">
        <f t="shared" si="1623"/>
        <v>21.37361774718784</v>
      </c>
      <c r="W231" s="67">
        <f t="shared" si="1623"/>
        <v>28.381135710596762</v>
      </c>
      <c r="X231" s="67">
        <f t="shared" si="1623"/>
        <v>9.6074448074456473</v>
      </c>
      <c r="Y231" s="67">
        <f t="shared" si="1623"/>
        <v>17.286487784742615</v>
      </c>
      <c r="Z231" s="67">
        <f t="shared" si="1623"/>
        <v>18.010359244509498</v>
      </c>
      <c r="AA231" s="67">
        <f t="shared" ref="AA231" si="1624">AA201/AA57*365</f>
        <v>14.081135234921888</v>
      </c>
      <c r="AB231" s="18">
        <f t="shared" si="1623"/>
        <v>22.24135078377828</v>
      </c>
      <c r="AC231" s="18">
        <f t="shared" si="1623"/>
        <v>22.297101675058745</v>
      </c>
      <c r="AD231" s="18">
        <f t="shared" si="1623"/>
        <v>22.322563639306683</v>
      </c>
      <c r="AE231" s="18">
        <f t="shared" si="1623"/>
        <v>22.347235880020371</v>
      </c>
      <c r="AI231" s="67">
        <f>AJ201/AI57*90</f>
        <v>0</v>
      </c>
      <c r="AJ231" s="67">
        <f>AJ201/AJ57*90</f>
        <v>0</v>
      </c>
      <c r="AK231" s="67">
        <f t="shared" ref="AK231:CE231" si="1625">+AJ231</f>
        <v>0</v>
      </c>
      <c r="AL231" s="67">
        <f>AL201/AL57*90</f>
        <v>22.589058524173026</v>
      </c>
      <c r="AM231" s="67">
        <f t="shared" ref="AM231" si="1626">+AL231</f>
        <v>22.589058524173026</v>
      </c>
      <c r="AN231" s="67">
        <f>AN201/AN57*90</f>
        <v>51.345286745251961</v>
      </c>
      <c r="AO231" s="67">
        <f t="shared" ref="AO231" si="1627">+AN231</f>
        <v>51.345286745251961</v>
      </c>
      <c r="AP231" s="67">
        <f>AP201/AP57*90</f>
        <v>45.640233236151602</v>
      </c>
      <c r="AQ231" s="67">
        <f t="shared" ref="AQ231" si="1628">+AP231</f>
        <v>45.640233236151602</v>
      </c>
      <c r="AR231" s="67">
        <f>AR201/AR57*90</f>
        <v>39.786640079760723</v>
      </c>
      <c r="AS231" s="67">
        <f t="shared" ref="AS231" si="1629">+AR231</f>
        <v>39.786640079760723</v>
      </c>
      <c r="AT231" s="67">
        <f>AT201/AT57*90</f>
        <v>28.863492277601672</v>
      </c>
      <c r="AU231" s="67">
        <f t="shared" ref="AU231" si="1630">+AT231</f>
        <v>28.863492277601672</v>
      </c>
      <c r="AV231" s="67">
        <f>AV201/AV57*90</f>
        <v>20.487002113383607</v>
      </c>
      <c r="AW231" s="67">
        <f t="shared" ref="AW231" si="1631">+AV231</f>
        <v>20.487002113383607</v>
      </c>
      <c r="AX231" s="67">
        <f>AX201/AX57*90</f>
        <v>24.677411287409342</v>
      </c>
      <c r="AY231" s="67">
        <f t="shared" ref="AY231" si="1632">+AX231</f>
        <v>24.677411287409342</v>
      </c>
      <c r="AZ231" s="67">
        <f>AZ201/AZ57*90</f>
        <v>19.724602238732274</v>
      </c>
      <c r="BA231" s="67">
        <f t="shared" ref="BA231" si="1633">+AZ231</f>
        <v>19.724602238732274</v>
      </c>
      <c r="BB231" s="67">
        <f>BB201/BB57*90</f>
        <v>23.984964352467891</v>
      </c>
      <c r="BC231" s="67">
        <f t="shared" ref="BC231" si="1634">+BB231</f>
        <v>23.984964352467891</v>
      </c>
      <c r="BD231" s="67">
        <f>BD201/BD57*90</f>
        <v>25.906894906358104</v>
      </c>
      <c r="BE231" s="67">
        <f t="shared" ref="BE231" si="1635">+BD231</f>
        <v>25.906894906358104</v>
      </c>
      <c r="BF231" s="67">
        <f>BF201/BF57*90</f>
        <v>25.246399855876749</v>
      </c>
      <c r="BG231" s="67">
        <f t="shared" ref="BG231" si="1636">+BF231</f>
        <v>25.246399855876749</v>
      </c>
      <c r="BH231" s="67">
        <f>BH201/BH57*90</f>
        <v>33.201334929578763</v>
      </c>
      <c r="BI231" s="67">
        <f t="shared" ref="BI231" si="1637">+BH231</f>
        <v>33.201334929578763</v>
      </c>
      <c r="BJ231" s="67">
        <f>BJ201/BJ57*90</f>
        <v>33.77665794432113</v>
      </c>
      <c r="BK231" s="67">
        <f t="shared" ref="BK231" si="1638">+BJ231</f>
        <v>33.77665794432113</v>
      </c>
      <c r="BL231" s="67">
        <f>BL201/BL57*90</f>
        <v>10.231152063999156</v>
      </c>
      <c r="BM231" s="67">
        <f t="shared" ref="BM231" si="1639">+BL231</f>
        <v>10.231152063999156</v>
      </c>
      <c r="BN231" s="67">
        <f>BN201/BN57*90</f>
        <v>20.705507563161998</v>
      </c>
      <c r="BO231" s="67">
        <f t="shared" ref="BO231" si="1640">+BN231</f>
        <v>20.705507563161998</v>
      </c>
      <c r="BP231" s="67">
        <f>BP201/BP57*90</f>
        <v>20.341590381925386</v>
      </c>
      <c r="BQ231" s="67">
        <f t="shared" ref="BQ231" si="1641">+BP231</f>
        <v>20.341590381925386</v>
      </c>
      <c r="BR231" s="67">
        <f>BR201/BR57*90</f>
        <v>16.693629025635577</v>
      </c>
      <c r="BS231" s="67">
        <f t="shared" ref="BS231" si="1642">+BR231</f>
        <v>16.693629025635577</v>
      </c>
      <c r="BT231" s="67">
        <f>BT201/BT57*90</f>
        <v>15.152330175203003</v>
      </c>
      <c r="BU231" s="67">
        <f t="shared" ref="BU231" si="1643">+BT231</f>
        <v>15.152330175203003</v>
      </c>
      <c r="BV231" s="67">
        <f>BV201/BV57*90</f>
        <v>20.861211277785042</v>
      </c>
      <c r="BW231" s="67">
        <f t="shared" ref="BW231" si="1644">+BV231</f>
        <v>20.861211277785042</v>
      </c>
      <c r="BX231" s="67">
        <f>BX201/BX57*90</f>
        <v>12.055300067882172</v>
      </c>
      <c r="BY231" s="67">
        <f t="shared" ref="BY231" si="1645">+BX231</f>
        <v>12.055300067882172</v>
      </c>
      <c r="BZ231" s="67">
        <f>BZ201/BZ57*90</f>
        <v>11.857253471080517</v>
      </c>
      <c r="CA231" s="67">
        <f t="shared" ref="CA231" si="1646">+BZ231</f>
        <v>11.857253471080517</v>
      </c>
      <c r="CB231" s="67">
        <f>CB201/CB57*90</f>
        <v>9.9681508577194755</v>
      </c>
      <c r="CC231" s="67">
        <f t="shared" ref="CC231" si="1647">+CB231</f>
        <v>9.9681508577194755</v>
      </c>
      <c r="CD231" s="67">
        <f>CD201/CD57*90</f>
        <v>16.913660774465679</v>
      </c>
      <c r="CE231" s="114">
        <f t="shared" si="1625"/>
        <v>16.913660774465679</v>
      </c>
      <c r="CF231" s="67">
        <f>CF201/CF57*90</f>
        <v>14.047848986545896</v>
      </c>
      <c r="CG231" s="67">
        <f t="shared" ref="CG231:CI231" si="1648">+CF231</f>
        <v>14.047848986545896</v>
      </c>
      <c r="CH231" s="67">
        <f>CH201/CH57*90</f>
        <v>17.635078587466825</v>
      </c>
      <c r="CI231" s="67">
        <f t="shared" si="1648"/>
        <v>17.635078587466825</v>
      </c>
      <c r="CJ231" s="67">
        <f>CJ201/CJ57*90</f>
        <v>18.702606356738475</v>
      </c>
      <c r="CK231" s="67">
        <f t="shared" ref="CK231" si="1649">+CJ231</f>
        <v>18.702606356738475</v>
      </c>
      <c r="CL231" s="67">
        <f>CL201/CL57*90</f>
        <v>19.380778447057391</v>
      </c>
      <c r="CM231" s="30">
        <f t="shared" ref="CM231" si="1650">+CL231</f>
        <v>19.380778447057391</v>
      </c>
      <c r="CN231" s="30">
        <f t="shared" ref="CN231" si="1651">+CM231</f>
        <v>19.380778447057391</v>
      </c>
      <c r="CO231" s="30">
        <f t="shared" ref="CO231" si="1652">+CN231</f>
        <v>19.380778447057391</v>
      </c>
      <c r="CP231" s="30">
        <f t="shared" ref="CP231" si="1653">+CO231</f>
        <v>19.380778447057391</v>
      </c>
      <c r="CQ231" s="30">
        <f t="shared" ref="CQ231" si="1654">+CP231</f>
        <v>19.380778447057391</v>
      </c>
      <c r="CR231" s="30">
        <f t="shared" ref="CR231" si="1655">+CQ231</f>
        <v>19.380778447057391</v>
      </c>
      <c r="CS231" s="30">
        <f t="shared" ref="CS231" si="1656">+CR231</f>
        <v>19.380778447057391</v>
      </c>
      <c r="CT231" s="30">
        <f t="shared" ref="CT231" si="1657">+CS231</f>
        <v>19.380778447057391</v>
      </c>
      <c r="CU231" s="30">
        <f t="shared" ref="CU231" si="1658">+CT231</f>
        <v>19.380778447057391</v>
      </c>
      <c r="CV231" s="30">
        <f t="shared" ref="CV231" si="1659">+CU231</f>
        <v>19.380778447057391</v>
      </c>
      <c r="CW231" s="30">
        <f t="shared" ref="CW231" si="1660">+CV231</f>
        <v>19.380778447057391</v>
      </c>
      <c r="CX231" s="30">
        <f t="shared" ref="CX231" si="1661">+CW231</f>
        <v>19.380778447057391</v>
      </c>
      <c r="CY231" s="30">
        <f t="shared" ref="CY231" si="1662">+CX231</f>
        <v>19.380778447057391</v>
      </c>
      <c r="CZ231" s="30">
        <f t="shared" ref="CZ231" si="1663">+CY231</f>
        <v>19.380778447057391</v>
      </c>
      <c r="DA231" s="30">
        <f t="shared" ref="DA231" si="1664">+CZ231</f>
        <v>19.380778447057391</v>
      </c>
      <c r="DB231" s="30">
        <f t="shared" ref="DB231" si="1665">+DA231</f>
        <v>19.380778447057391</v>
      </c>
      <c r="DE231" s="139"/>
      <c r="DF231" s="62">
        <v>18.702606356738475</v>
      </c>
    </row>
    <row r="232" spans="1:110" s="62" customFormat="1" outlineLevel="1" x14ac:dyDescent="0.2">
      <c r="A232" s="68" t="s">
        <v>466</v>
      </c>
      <c r="B232" s="67">
        <f>B233-B231</f>
        <v>7.0846381282011812</v>
      </c>
      <c r="C232" s="67">
        <f t="shared" ref="C232:V232" si="1666">C233-C231</f>
        <v>10.094621311319194</v>
      </c>
      <c r="D232" s="67">
        <f t="shared" si="1666"/>
        <v>9.6896449354262337</v>
      </c>
      <c r="E232" s="67">
        <f t="shared" si="1666"/>
        <v>10.414488371275652</v>
      </c>
      <c r="F232" s="67">
        <f t="shared" si="1666"/>
        <v>9.8828543088359737</v>
      </c>
      <c r="G232" s="67">
        <f t="shared" si="1666"/>
        <v>10.068696197595472</v>
      </c>
      <c r="H232" s="67">
        <f t="shared" si="1666"/>
        <v>8.8283254728270606</v>
      </c>
      <c r="I232" s="67">
        <f t="shared" si="1666"/>
        <v>5.2321440482425103</v>
      </c>
      <c r="J232" s="67">
        <f t="shared" si="1666"/>
        <v>8.832178336608397</v>
      </c>
      <c r="K232" s="67">
        <f t="shared" si="1666"/>
        <v>10.307390151986937</v>
      </c>
      <c r="L232" s="67">
        <f t="shared" si="1666"/>
        <v>20.310478833045245</v>
      </c>
      <c r="M232" s="67">
        <f t="shared" si="1666"/>
        <v>25.101904975908894</v>
      </c>
      <c r="N232" s="67">
        <f t="shared" si="1666"/>
        <v>21.369417120159479</v>
      </c>
      <c r="O232" s="67">
        <f t="shared" si="1666"/>
        <v>15.703792021300117</v>
      </c>
      <c r="P232" s="67">
        <f t="shared" si="1666"/>
        <v>23.903424681444818</v>
      </c>
      <c r="Q232" s="67">
        <f t="shared" si="1666"/>
        <v>27.648537292416847</v>
      </c>
      <c r="R232" s="67">
        <f t="shared" si="1666"/>
        <v>32.644068493143557</v>
      </c>
      <c r="S232" s="67">
        <f t="shared" si="1666"/>
        <v>37.087337099574327</v>
      </c>
      <c r="T232" s="67">
        <f t="shared" si="1666"/>
        <v>37.029102725295644</v>
      </c>
      <c r="U232" s="67">
        <f t="shared" si="1666"/>
        <v>32.013976664670068</v>
      </c>
      <c r="V232" s="67">
        <f t="shared" si="1666"/>
        <v>41.553228547435594</v>
      </c>
      <c r="W232" s="67">
        <f t="shared" ref="W232" si="1667">W233-W231</f>
        <v>12.729903897879456</v>
      </c>
      <c r="X232" s="67">
        <f t="shared" ref="X232:Y232" si="1668">X233-X231</f>
        <v>9.8632225569586556</v>
      </c>
      <c r="Y232" s="67">
        <f t="shared" si="1668"/>
        <v>15.094113614557006</v>
      </c>
      <c r="Z232" s="67">
        <f t="shared" ref="Z232:AA232" si="1669">Z233-Z231</f>
        <v>14.484372677501536</v>
      </c>
      <c r="AA232" s="67">
        <f t="shared" si="1669"/>
        <v>27.250553855117523</v>
      </c>
      <c r="AB232" s="18">
        <f t="shared" ref="AA232:AD232" si="1670">AB233-AB231</f>
        <v>67.775502568946166</v>
      </c>
      <c r="AC232" s="18">
        <f t="shared" si="1670"/>
        <v>67.945390842007143</v>
      </c>
      <c r="AD232" s="18">
        <f t="shared" si="1670"/>
        <v>68.022980438074086</v>
      </c>
      <c r="AE232" s="18">
        <f t="shared" ref="AE232" si="1671">AE233-AE231</f>
        <v>68.098163529700486</v>
      </c>
      <c r="AI232" s="67">
        <f t="shared" ref="AI232:AK232" si="1672">AI233-AI231</f>
        <v>0</v>
      </c>
      <c r="AJ232" s="67">
        <f t="shared" ref="AJ232:AM232" si="1673">AJ233-AJ231</f>
        <v>57.374276848846534</v>
      </c>
      <c r="AK232" s="67">
        <f t="shared" si="1672"/>
        <v>67.100309988305838</v>
      </c>
      <c r="AL232" s="67">
        <f t="shared" si="1673"/>
        <v>40.286259541984741</v>
      </c>
      <c r="AM232" s="67">
        <f t="shared" si="1673"/>
        <v>40.683083511777305</v>
      </c>
      <c r="AN232" s="67">
        <f t="shared" ref="AN232:AY232" si="1674">AN233-AN231</f>
        <v>29.029463276485281</v>
      </c>
      <c r="AO232" s="67">
        <f t="shared" si="1674"/>
        <v>33.991346083921179</v>
      </c>
      <c r="AP232" s="67">
        <f t="shared" si="1674"/>
        <v>33.738192419825069</v>
      </c>
      <c r="AQ232" s="67">
        <f t="shared" si="1674"/>
        <v>35.180276038183251</v>
      </c>
      <c r="AR232" s="67">
        <f t="shared" si="1674"/>
        <v>34.528414755732804</v>
      </c>
      <c r="AS232" s="67">
        <f t="shared" si="1674"/>
        <v>36.666760778113449</v>
      </c>
      <c r="AT232" s="67">
        <f t="shared" si="1674"/>
        <v>46.563026910366212</v>
      </c>
      <c r="AU232" s="67">
        <f t="shared" si="1674"/>
        <v>43.247763662331799</v>
      </c>
      <c r="AV232" s="67">
        <f t="shared" si="1674"/>
        <v>32.659572010948025</v>
      </c>
      <c r="AW232" s="67">
        <f t="shared" si="1674"/>
        <v>34.849997227305508</v>
      </c>
      <c r="AX232" s="67">
        <f t="shared" si="1674"/>
        <v>38.59393669936366</v>
      </c>
      <c r="AY232" s="67">
        <f t="shared" si="1674"/>
        <v>38.199700756908989</v>
      </c>
      <c r="AZ232" s="67">
        <f t="shared" ref="AZ232:BC232" si="1675">AZ233-AZ231</f>
        <v>27.832658538143832</v>
      </c>
      <c r="BA232" s="67">
        <f t="shared" si="1675"/>
        <v>26.586505382310506</v>
      </c>
      <c r="BB232" s="67">
        <f t="shared" si="1675"/>
        <v>40.654029957388651</v>
      </c>
      <c r="BC232" s="67">
        <f t="shared" si="1675"/>
        <v>39.245867716960468</v>
      </c>
      <c r="BD232" s="67">
        <f t="shared" ref="BD232:CE232" si="1676">BD233-BD231</f>
        <v>45.076494095192643</v>
      </c>
      <c r="BE232" s="67">
        <f t="shared" si="1676"/>
        <v>41.441940805256891</v>
      </c>
      <c r="BF232" s="67">
        <f t="shared" si="1676"/>
        <v>34.734331491323232</v>
      </c>
      <c r="BG232" s="67">
        <f t="shared" si="1676"/>
        <v>34.126216394048186</v>
      </c>
      <c r="BH232" s="67">
        <f t="shared" si="1676"/>
        <v>70.738741154011478</v>
      </c>
      <c r="BI232" s="67">
        <f t="shared" si="1676"/>
        <v>64.082047116165711</v>
      </c>
      <c r="BJ232" s="67">
        <f t="shared" si="1676"/>
        <v>52.556559189130752</v>
      </c>
      <c r="BK232" s="67">
        <f t="shared" si="1676"/>
        <v>53.415464375249456</v>
      </c>
      <c r="BL232" s="67">
        <f t="shared" si="1676"/>
        <v>25.606394635054322</v>
      </c>
      <c r="BM232" s="67">
        <f t="shared" si="1676"/>
        <v>25.576907017119751</v>
      </c>
      <c r="BN232" s="67">
        <f t="shared" si="1676"/>
        <v>34.97041007336442</v>
      </c>
      <c r="BO232" s="67">
        <f t="shared" si="1676"/>
        <v>40.479610605176987</v>
      </c>
      <c r="BP232" s="67">
        <f t="shared" si="1676"/>
        <v>40.108858473360833</v>
      </c>
      <c r="BQ232" s="67">
        <f t="shared" si="1676"/>
        <v>28.883856505672902</v>
      </c>
      <c r="BR232" s="67">
        <f t="shared" si="1676"/>
        <v>38.382282614471279</v>
      </c>
      <c r="BS232" s="67">
        <f t="shared" si="1676"/>
        <v>35.26123799317034</v>
      </c>
      <c r="BT232" s="67">
        <f t="shared" si="1676"/>
        <v>34.095139548021528</v>
      </c>
      <c r="BU232" s="67">
        <f t="shared" si="1676"/>
        <v>31.731454518096278</v>
      </c>
      <c r="BV232" s="67">
        <f t="shared" si="1676"/>
        <v>9.3568786953813969</v>
      </c>
      <c r="BW232" s="67">
        <f t="shared" si="1676"/>
        <v>10.895397002560539</v>
      </c>
      <c r="BX232" s="67">
        <f t="shared" si="1676"/>
        <v>31.997456808773059</v>
      </c>
      <c r="BY232" s="67">
        <f t="shared" si="1676"/>
        <v>34.269696287042535</v>
      </c>
      <c r="BZ232" s="67">
        <f t="shared" si="1676"/>
        <v>12.172657749870067</v>
      </c>
      <c r="CA232" s="67">
        <f t="shared" si="1676"/>
        <v>12.375380925781746</v>
      </c>
      <c r="CB232" s="67">
        <f t="shared" si="1676"/>
        <v>12.4117053481332</v>
      </c>
      <c r="CC232" s="67">
        <f t="shared" si="1676"/>
        <v>12.320598500618217</v>
      </c>
      <c r="CD232" s="67">
        <f t="shared" si="1676"/>
        <v>14.768551736133755</v>
      </c>
      <c r="CE232" s="114">
        <f t="shared" si="1676"/>
        <v>15.889054077235368</v>
      </c>
      <c r="CF232" s="67">
        <f t="shared" ref="CF232:CG232" si="1677">CF233-CF231</f>
        <v>11.835489199528373</v>
      </c>
      <c r="CG232" s="67">
        <f t="shared" si="1677"/>
        <v>13.128117725307613</v>
      </c>
      <c r="CH232" s="67">
        <f t="shared" ref="CH232" si="1678">CH233-CH231</f>
        <v>14.182562767911826</v>
      </c>
      <c r="CI232" s="67">
        <f>CH232</f>
        <v>14.182562767911826</v>
      </c>
      <c r="CJ232" s="67">
        <f t="shared" ref="CJ232:CL232" si="1679">CJ233-CJ231</f>
        <v>17.840006812469166</v>
      </c>
      <c r="CK232" s="67">
        <f t="shared" ref="CK232:DB232" si="1680">CJ232</f>
        <v>17.840006812469166</v>
      </c>
      <c r="CL232" s="67">
        <f t="shared" si="1679"/>
        <v>59.058553241503006</v>
      </c>
      <c r="CM232" s="30">
        <f t="shared" si="1680"/>
        <v>59.058553241503006</v>
      </c>
      <c r="CN232" s="30">
        <f t="shared" si="1680"/>
        <v>59.058553241503006</v>
      </c>
      <c r="CO232" s="30">
        <f t="shared" si="1680"/>
        <v>59.058553241503006</v>
      </c>
      <c r="CP232" s="30">
        <f t="shared" si="1680"/>
        <v>59.058553241503006</v>
      </c>
      <c r="CQ232" s="30">
        <f t="shared" si="1680"/>
        <v>59.058553241503006</v>
      </c>
      <c r="CR232" s="30">
        <f t="shared" si="1680"/>
        <v>59.058553241503006</v>
      </c>
      <c r="CS232" s="30">
        <f t="shared" si="1680"/>
        <v>59.058553241503006</v>
      </c>
      <c r="CT232" s="30">
        <f t="shared" si="1680"/>
        <v>59.058553241503006</v>
      </c>
      <c r="CU232" s="30">
        <f t="shared" si="1680"/>
        <v>59.058553241503006</v>
      </c>
      <c r="CV232" s="30">
        <f t="shared" si="1680"/>
        <v>59.058553241503006</v>
      </c>
      <c r="CW232" s="30">
        <f t="shared" si="1680"/>
        <v>59.058553241503006</v>
      </c>
      <c r="CX232" s="30">
        <f t="shared" si="1680"/>
        <v>59.058553241503006</v>
      </c>
      <c r="CY232" s="30">
        <f t="shared" si="1680"/>
        <v>59.058553241503006</v>
      </c>
      <c r="CZ232" s="30">
        <f t="shared" si="1680"/>
        <v>59.058553241503006</v>
      </c>
      <c r="DA232" s="30">
        <f t="shared" si="1680"/>
        <v>59.058553241503006</v>
      </c>
      <c r="DB232" s="30">
        <f t="shared" si="1680"/>
        <v>59.058553241503006</v>
      </c>
      <c r="DE232" s="139"/>
      <c r="DF232" s="62">
        <v>17.840006812469166</v>
      </c>
    </row>
    <row r="233" spans="1:110" s="7" customFormat="1" outlineLevel="1" x14ac:dyDescent="0.2">
      <c r="A233" s="69" t="s">
        <v>469</v>
      </c>
      <c r="B233" s="70">
        <f t="shared" ref="B233:AE233" si="1681">B204/B57*365</f>
        <v>33.984725409141561</v>
      </c>
      <c r="C233" s="70">
        <f t="shared" si="1681"/>
        <v>50.941771319975651</v>
      </c>
      <c r="D233" s="70">
        <f t="shared" si="1681"/>
        <v>36.304287108827801</v>
      </c>
      <c r="E233" s="70">
        <f t="shared" si="1681"/>
        <v>50.933473847147056</v>
      </c>
      <c r="F233" s="70">
        <f t="shared" si="1681"/>
        <v>64.483646125726665</v>
      </c>
      <c r="G233" s="70">
        <f t="shared" si="1681"/>
        <v>50.542983063092613</v>
      </c>
      <c r="H233" s="70">
        <f t="shared" si="1681"/>
        <v>47.723663018738861</v>
      </c>
      <c r="I233" s="70">
        <f t="shared" si="1681"/>
        <v>56.27789062406292</v>
      </c>
      <c r="J233" s="70">
        <f t="shared" si="1681"/>
        <v>39.845669013894096</v>
      </c>
      <c r="K233" s="70">
        <f t="shared" si="1681"/>
        <v>52.161460851306884</v>
      </c>
      <c r="L233" s="70">
        <f t="shared" si="1681"/>
        <v>52.896405720345015</v>
      </c>
      <c r="M233" s="70">
        <f t="shared" si="1681"/>
        <v>51.173223442188501</v>
      </c>
      <c r="N233" s="70">
        <f t="shared" si="1681"/>
        <v>44.664733262290412</v>
      </c>
      <c r="O233" s="70">
        <f t="shared" si="1681"/>
        <v>62.925256343696468</v>
      </c>
      <c r="P233" s="70">
        <f t="shared" si="1681"/>
        <v>49.66573766708256</v>
      </c>
      <c r="Q233" s="70">
        <f t="shared" si="1681"/>
        <v>52.989184622090342</v>
      </c>
      <c r="R233" s="70">
        <f t="shared" si="1681"/>
        <v>58.359079524750008</v>
      </c>
      <c r="S233" s="70">
        <f t="shared" si="1681"/>
        <v>67.070722617648002</v>
      </c>
      <c r="T233" s="70">
        <f t="shared" si="1681"/>
        <v>69.947085464494364</v>
      </c>
      <c r="U233" s="70">
        <f t="shared" si="1681"/>
        <v>55.168335104725067</v>
      </c>
      <c r="V233" s="70">
        <f t="shared" si="1681"/>
        <v>62.926846294623431</v>
      </c>
      <c r="W233" s="70">
        <f t="shared" si="1681"/>
        <v>41.111039608476219</v>
      </c>
      <c r="X233" s="70">
        <f t="shared" si="1681"/>
        <v>19.470667364404303</v>
      </c>
      <c r="Y233" s="70">
        <f t="shared" si="1681"/>
        <v>32.380601399299621</v>
      </c>
      <c r="Z233" s="70">
        <f t="shared" si="1681"/>
        <v>32.494731922011034</v>
      </c>
      <c r="AA233" s="70">
        <f t="shared" ref="AA233" si="1682">AA204/AA57*365</f>
        <v>41.331689090039411</v>
      </c>
      <c r="AB233" s="71">
        <f t="shared" si="1681"/>
        <v>90.016853352724439</v>
      </c>
      <c r="AC233" s="71">
        <f t="shared" si="1681"/>
        <v>90.242492517065884</v>
      </c>
      <c r="AD233" s="71">
        <f t="shared" si="1681"/>
        <v>90.345544077380765</v>
      </c>
      <c r="AE233" s="71">
        <f t="shared" si="1681"/>
        <v>90.445399409720864</v>
      </c>
      <c r="AI233" s="70">
        <f t="shared" ref="AI233:CD233" si="1683">AI204/AI57*90</f>
        <v>0</v>
      </c>
      <c r="AJ233" s="70">
        <f t="shared" si="1683"/>
        <v>57.374276848846534</v>
      </c>
      <c r="AK233" s="70">
        <f t="shared" si="1683"/>
        <v>67.100309988305838</v>
      </c>
      <c r="AL233" s="70">
        <f t="shared" si="1683"/>
        <v>62.875318066157767</v>
      </c>
      <c r="AM233" s="70">
        <f t="shared" si="1683"/>
        <v>63.272142035950331</v>
      </c>
      <c r="AN233" s="70">
        <f t="shared" si="1683"/>
        <v>80.374750021737242</v>
      </c>
      <c r="AO233" s="70">
        <f t="shared" si="1683"/>
        <v>85.336632829173141</v>
      </c>
      <c r="AP233" s="70">
        <f t="shared" si="1683"/>
        <v>79.37842565597667</v>
      </c>
      <c r="AQ233" s="70">
        <f t="shared" si="1683"/>
        <v>80.820509274334853</v>
      </c>
      <c r="AR233" s="70">
        <f t="shared" si="1683"/>
        <v>74.315054835493527</v>
      </c>
      <c r="AS233" s="70">
        <f t="shared" si="1683"/>
        <v>76.453400857874172</v>
      </c>
      <c r="AT233" s="70">
        <f t="shared" si="1683"/>
        <v>75.426519187967884</v>
      </c>
      <c r="AU233" s="70">
        <f t="shared" si="1683"/>
        <v>72.111255939933471</v>
      </c>
      <c r="AV233" s="70">
        <f t="shared" si="1683"/>
        <v>53.146574124331636</v>
      </c>
      <c r="AW233" s="70">
        <f t="shared" si="1683"/>
        <v>55.336999340689111</v>
      </c>
      <c r="AX233" s="70">
        <f t="shared" si="1683"/>
        <v>63.271347986773002</v>
      </c>
      <c r="AY233" s="70">
        <f t="shared" si="1683"/>
        <v>62.877112044318331</v>
      </c>
      <c r="AZ233" s="70">
        <f t="shared" si="1683"/>
        <v>47.557260776876106</v>
      </c>
      <c r="BA233" s="70">
        <f t="shared" si="1683"/>
        <v>46.31110762104278</v>
      </c>
      <c r="BB233" s="70">
        <f t="shared" si="1683"/>
        <v>64.638994309856542</v>
      </c>
      <c r="BC233" s="70">
        <f t="shared" si="1683"/>
        <v>63.230832069428359</v>
      </c>
      <c r="BD233" s="70">
        <f t="shared" si="1683"/>
        <v>70.983389001550748</v>
      </c>
      <c r="BE233" s="70">
        <f t="shared" si="1683"/>
        <v>67.348835711614996</v>
      </c>
      <c r="BF233" s="70">
        <f t="shared" si="1683"/>
        <v>59.980731347199985</v>
      </c>
      <c r="BG233" s="70">
        <f t="shared" si="1683"/>
        <v>59.372616249924938</v>
      </c>
      <c r="BH233" s="70">
        <f t="shared" si="1683"/>
        <v>103.94007608359024</v>
      </c>
      <c r="BI233" s="70">
        <f t="shared" si="1683"/>
        <v>97.283382045744474</v>
      </c>
      <c r="BJ233" s="70">
        <f t="shared" si="1683"/>
        <v>86.333217133451882</v>
      </c>
      <c r="BK233" s="70">
        <f t="shared" si="1683"/>
        <v>87.192122319570586</v>
      </c>
      <c r="BL233" s="70">
        <f t="shared" si="1683"/>
        <v>35.837546699053476</v>
      </c>
      <c r="BM233" s="70">
        <f t="shared" si="1683"/>
        <v>35.808059081118905</v>
      </c>
      <c r="BN233" s="70">
        <f t="shared" si="1683"/>
        <v>55.675917636526414</v>
      </c>
      <c r="BO233" s="70">
        <f t="shared" si="1683"/>
        <v>61.185118168338981</v>
      </c>
      <c r="BP233" s="70">
        <f t="shared" si="1683"/>
        <v>60.450448855286218</v>
      </c>
      <c r="BQ233" s="70">
        <f t="shared" si="1683"/>
        <v>49.225446887598288</v>
      </c>
      <c r="BR233" s="70">
        <f t="shared" si="1683"/>
        <v>55.075911640106852</v>
      </c>
      <c r="BS233" s="70">
        <f t="shared" si="1683"/>
        <v>51.954867018805913</v>
      </c>
      <c r="BT233" s="70">
        <f t="shared" si="1683"/>
        <v>49.247469723224533</v>
      </c>
      <c r="BU233" s="70">
        <f t="shared" si="1683"/>
        <v>46.883784693299283</v>
      </c>
      <c r="BV233" s="70">
        <f t="shared" si="1683"/>
        <v>30.218089973166439</v>
      </c>
      <c r="BW233" s="70">
        <f t="shared" si="1683"/>
        <v>31.756608280345581</v>
      </c>
      <c r="BX233" s="70">
        <f t="shared" si="1683"/>
        <v>44.052756876655231</v>
      </c>
      <c r="BY233" s="70">
        <f t="shared" si="1683"/>
        <v>46.324996354924707</v>
      </c>
      <c r="BZ233" s="70">
        <f t="shared" si="1683"/>
        <v>24.029911220950584</v>
      </c>
      <c r="CA233" s="70">
        <f t="shared" si="1683"/>
        <v>24.232634396862263</v>
      </c>
      <c r="CB233" s="70">
        <f t="shared" si="1683"/>
        <v>22.379856205852676</v>
      </c>
      <c r="CC233" s="70">
        <f t="shared" si="1683"/>
        <v>22.288749358337693</v>
      </c>
      <c r="CD233" s="70">
        <f t="shared" si="1683"/>
        <v>31.682212510599435</v>
      </c>
      <c r="CE233" s="115">
        <f>CE204/CE59*90</f>
        <v>32.802714851701047</v>
      </c>
      <c r="CF233" s="70">
        <f>CF204/CF57*90</f>
        <v>25.883338186074269</v>
      </c>
      <c r="CG233" s="70">
        <f>CG204/CG59*90</f>
        <v>27.175966711853508</v>
      </c>
      <c r="CH233" s="70">
        <f>CH204/CH57*90</f>
        <v>31.817641355378651</v>
      </c>
      <c r="CI233" s="70">
        <f>CI231+CI232</f>
        <v>31.817641355378651</v>
      </c>
      <c r="CJ233" s="70">
        <f>CJ204/CJ57*90</f>
        <v>36.542613169207641</v>
      </c>
      <c r="CK233" s="70">
        <f t="shared" ref="CK233:DB233" si="1684">CK231+CK232</f>
        <v>36.542613169207641</v>
      </c>
      <c r="CL233" s="70">
        <f>CL204/CL57*90</f>
        <v>78.439331688560401</v>
      </c>
      <c r="CM233" s="50">
        <f t="shared" si="1684"/>
        <v>78.439331688560401</v>
      </c>
      <c r="CN233" s="50">
        <f t="shared" si="1684"/>
        <v>78.439331688560401</v>
      </c>
      <c r="CO233" s="50">
        <f t="shared" si="1684"/>
        <v>78.439331688560401</v>
      </c>
      <c r="CP233" s="50">
        <f t="shared" si="1684"/>
        <v>78.439331688560401</v>
      </c>
      <c r="CQ233" s="50">
        <f t="shared" si="1684"/>
        <v>78.439331688560401</v>
      </c>
      <c r="CR233" s="50">
        <f t="shared" si="1684"/>
        <v>78.439331688560401</v>
      </c>
      <c r="CS233" s="50">
        <f t="shared" si="1684"/>
        <v>78.439331688560401</v>
      </c>
      <c r="CT233" s="50">
        <f t="shared" si="1684"/>
        <v>78.439331688560401</v>
      </c>
      <c r="CU233" s="50">
        <f t="shared" si="1684"/>
        <v>78.439331688560401</v>
      </c>
      <c r="CV233" s="50">
        <f t="shared" si="1684"/>
        <v>78.439331688560401</v>
      </c>
      <c r="CW233" s="50">
        <f t="shared" si="1684"/>
        <v>78.439331688560401</v>
      </c>
      <c r="CX233" s="50">
        <f t="shared" si="1684"/>
        <v>78.439331688560401</v>
      </c>
      <c r="CY233" s="50">
        <f t="shared" si="1684"/>
        <v>78.439331688560401</v>
      </c>
      <c r="CZ233" s="50">
        <f t="shared" si="1684"/>
        <v>78.439331688560401</v>
      </c>
      <c r="DA233" s="50">
        <f t="shared" si="1684"/>
        <v>78.439331688560401</v>
      </c>
      <c r="DB233" s="50">
        <f t="shared" si="1684"/>
        <v>78.439331688560401</v>
      </c>
      <c r="DE233" s="138"/>
      <c r="DF233" s="7">
        <v>36.542613169207641</v>
      </c>
    </row>
    <row r="234" spans="1:110" s="7" customFormat="1" x14ac:dyDescent="0.2">
      <c r="A234" s="69" t="s">
        <v>470</v>
      </c>
      <c r="B234" s="70">
        <f>B230-B233</f>
        <v>132.5190946368142</v>
      </c>
      <c r="C234" s="70">
        <f t="shared" ref="C234:V234" si="1685">C230-C233</f>
        <v>70.650959195128564</v>
      </c>
      <c r="D234" s="70">
        <f t="shared" si="1685"/>
        <v>95.783122221500406</v>
      </c>
      <c r="E234" s="70">
        <f t="shared" si="1685"/>
        <v>81.1359777226006</v>
      </c>
      <c r="F234" s="70">
        <f t="shared" si="1685"/>
        <v>92.822195385415228</v>
      </c>
      <c r="G234" s="70">
        <f t="shared" si="1685"/>
        <v>91.925968582817887</v>
      </c>
      <c r="H234" s="70">
        <f t="shared" si="1685"/>
        <v>105.57021462840463</v>
      </c>
      <c r="I234" s="70">
        <f t="shared" si="1685"/>
        <v>108.08756671958484</v>
      </c>
      <c r="J234" s="70">
        <f t="shared" si="1685"/>
        <v>97.759448070564659</v>
      </c>
      <c r="K234" s="70">
        <f t="shared" si="1685"/>
        <v>110.97815953455066</v>
      </c>
      <c r="L234" s="70">
        <f t="shared" si="1685"/>
        <v>119.03680272221821</v>
      </c>
      <c r="M234" s="70">
        <f t="shared" si="1685"/>
        <v>123.57866123237606</v>
      </c>
      <c r="N234" s="70">
        <f t="shared" si="1685"/>
        <v>86.163601597331848</v>
      </c>
      <c r="O234" s="70">
        <f t="shared" si="1685"/>
        <v>77.642355687507546</v>
      </c>
      <c r="P234" s="70">
        <f t="shared" si="1685"/>
        <v>97.218610792588919</v>
      </c>
      <c r="Q234" s="70">
        <f t="shared" si="1685"/>
        <v>71.992305000000442</v>
      </c>
      <c r="R234" s="70">
        <f t="shared" si="1685"/>
        <v>82.00041914464552</v>
      </c>
      <c r="S234" s="70">
        <f t="shared" si="1685"/>
        <v>93.16652249503251</v>
      </c>
      <c r="T234" s="70">
        <f t="shared" si="1685"/>
        <v>98.704696100140978</v>
      </c>
      <c r="U234" s="70">
        <f t="shared" si="1685"/>
        <v>115.31869187242324</v>
      </c>
      <c r="V234" s="70">
        <f t="shared" si="1685"/>
        <v>96.873314610618394</v>
      </c>
      <c r="W234" s="70">
        <f t="shared" ref="W234" si="1686">W230-W233</f>
        <v>95.646725212279009</v>
      </c>
      <c r="X234" s="70">
        <f t="shared" ref="X234:Y234" si="1687">X230-X233</f>
        <v>98.177119387602531</v>
      </c>
      <c r="Y234" s="70">
        <f t="shared" si="1687"/>
        <v>124.45378335695537</v>
      </c>
      <c r="Z234" s="70">
        <f t="shared" ref="Z234:AA234" si="1688">Z230-Z233</f>
        <v>138.90181492033349</v>
      </c>
      <c r="AA234" s="70">
        <f t="shared" si="1688"/>
        <v>128.1504360908763</v>
      </c>
      <c r="AB234" s="71">
        <f t="shared" ref="AA234:AD234" si="1689">AB230-AB233</f>
        <v>149.87521571630793</v>
      </c>
      <c r="AC234" s="71">
        <f t="shared" si="1689"/>
        <v>150.25089779327647</v>
      </c>
      <c r="AD234" s="71">
        <f t="shared" si="1689"/>
        <v>150.42247538410356</v>
      </c>
      <c r="AE234" s="71">
        <f t="shared" ref="AE234" si="1690">AE230-AE233</f>
        <v>150.58873135637415</v>
      </c>
      <c r="AI234" s="70">
        <f t="shared" ref="AI234:AK234" si="1691">AI230-AI233</f>
        <v>0</v>
      </c>
      <c r="AJ234" s="70">
        <f t="shared" ref="AJ234:AM234" si="1692">AJ230-AJ233</f>
        <v>95.448810024521691</v>
      </c>
      <c r="AK234" s="70">
        <f t="shared" si="1691"/>
        <v>90.842289716583167</v>
      </c>
      <c r="AL234" s="70">
        <f t="shared" si="1692"/>
        <v>64.440203562340969</v>
      </c>
      <c r="AM234" s="70">
        <f t="shared" si="1692"/>
        <v>64.292013338346095</v>
      </c>
      <c r="AN234" s="70">
        <f t="shared" ref="AN234:AY234" si="1693">AN230-AN233</f>
        <v>54.836535953395355</v>
      </c>
      <c r="AO234" s="70">
        <f t="shared" si="1693"/>
        <v>53.228020329134438</v>
      </c>
      <c r="AP234" s="70">
        <f t="shared" si="1693"/>
        <v>55.889212827988345</v>
      </c>
      <c r="AQ234" s="70">
        <f t="shared" si="1693"/>
        <v>55.245669835132588</v>
      </c>
      <c r="AR234" s="70">
        <f t="shared" si="1693"/>
        <v>69.110667996011955</v>
      </c>
      <c r="AS234" s="70">
        <f t="shared" si="1693"/>
        <v>68.012598416951633</v>
      </c>
      <c r="AT234" s="70">
        <f t="shared" si="1693"/>
        <v>89.137451945774572</v>
      </c>
      <c r="AU234" s="70">
        <f t="shared" si="1693"/>
        <v>90.75134681569179</v>
      </c>
      <c r="AV234" s="70">
        <f t="shared" si="1693"/>
        <v>60.531290780797079</v>
      </c>
      <c r="AW234" s="70">
        <f t="shared" si="1693"/>
        <v>59.79422463312725</v>
      </c>
      <c r="AX234" s="70">
        <f t="shared" si="1693"/>
        <v>56.309834106760782</v>
      </c>
      <c r="AY234" s="70">
        <f t="shared" si="1693"/>
        <v>56.516547400693305</v>
      </c>
      <c r="AZ234" s="70">
        <f t="shared" ref="AZ234:BC234" si="1694">AZ230-AZ233</f>
        <v>61.296361914830584</v>
      </c>
      <c r="BA234" s="70">
        <f t="shared" si="1694"/>
        <v>61.718838685363579</v>
      </c>
      <c r="BB234" s="70">
        <f t="shared" si="1694"/>
        <v>66.276916863845571</v>
      </c>
      <c r="BC234" s="70">
        <f t="shared" si="1694"/>
        <v>66.754127042201659</v>
      </c>
      <c r="BD234" s="70">
        <f t="shared" ref="BD234:CE234" si="1695">BD230-BD233</f>
        <v>63.687820589287853</v>
      </c>
      <c r="BE234" s="70">
        <f t="shared" si="1695"/>
        <v>63.995884932270584</v>
      </c>
      <c r="BF234" s="70">
        <f t="shared" si="1695"/>
        <v>75.541813368215315</v>
      </c>
      <c r="BG234" s="70">
        <f t="shared" si="1695"/>
        <v>75.392666451243826</v>
      </c>
      <c r="BH234" s="70">
        <f t="shared" si="1695"/>
        <v>75.73418815666011</v>
      </c>
      <c r="BI234" s="70">
        <f t="shared" si="1695"/>
        <v>77.686673822691006</v>
      </c>
      <c r="BJ234" s="70">
        <f t="shared" si="1695"/>
        <v>86.931705358285399</v>
      </c>
      <c r="BK234" s="70">
        <f t="shared" si="1695"/>
        <v>86.760200805222894</v>
      </c>
      <c r="BL234" s="70">
        <f t="shared" si="1695"/>
        <v>114.99570962759567</v>
      </c>
      <c r="BM234" s="70">
        <f t="shared" si="1695"/>
        <v>114.9802267697263</v>
      </c>
      <c r="BN234" s="70">
        <f t="shared" si="1695"/>
        <v>96.932414049692483</v>
      </c>
      <c r="BO234" s="70">
        <f t="shared" si="1695"/>
        <v>98.087401491998577</v>
      </c>
      <c r="BP234" s="70">
        <f t="shared" si="1695"/>
        <v>105.24471908918673</v>
      </c>
      <c r="BQ234" s="70">
        <f t="shared" si="1695"/>
        <v>100.97453374995393</v>
      </c>
      <c r="BR234" s="70">
        <f t="shared" si="1695"/>
        <v>69.803397788587404</v>
      </c>
      <c r="BS234" s="70">
        <f t="shared" si="1695"/>
        <v>70.115850461253856</v>
      </c>
      <c r="BT234" s="70">
        <f t="shared" si="1695"/>
        <v>95.184133390903753</v>
      </c>
      <c r="BU234" s="70">
        <f t="shared" si="1695"/>
        <v>95.175517285083828</v>
      </c>
      <c r="BV234" s="70">
        <f t="shared" si="1695"/>
        <v>70.303857420748713</v>
      </c>
      <c r="BW234" s="70">
        <f t="shared" si="1695"/>
        <v>69.923907058955564</v>
      </c>
      <c r="BX234" s="70">
        <f t="shared" si="1695"/>
        <v>120.67461493598998</v>
      </c>
      <c r="BY234" s="70">
        <f t="shared" si="1695"/>
        <v>120.53325812306755</v>
      </c>
      <c r="BZ234" s="70">
        <f t="shared" si="1695"/>
        <v>121.16679218065529</v>
      </c>
      <c r="CA234" s="70">
        <f t="shared" si="1695"/>
        <v>121.21806358946648</v>
      </c>
      <c r="CB234" s="70">
        <f t="shared" si="1695"/>
        <v>137.94801652371348</v>
      </c>
      <c r="CC234" s="70">
        <f t="shared" si="1695"/>
        <v>137.87300614514206</v>
      </c>
      <c r="CD234" s="70">
        <f t="shared" si="1695"/>
        <v>121.76983454003872</v>
      </c>
      <c r="CE234" s="115">
        <f t="shared" si="1695"/>
        <v>122.29027220451297</v>
      </c>
      <c r="CF234" s="70">
        <f t="shared" ref="CF234:CG234" si="1696">CF230-CF233</f>
        <v>146.89866612085345</v>
      </c>
      <c r="CG234" s="70">
        <f t="shared" si="1696"/>
        <v>147.88670504136269</v>
      </c>
      <c r="CH234" s="70">
        <f t="shared" ref="CH234:CI234" si="1697">CH230-CH233</f>
        <v>136.00752704633604</v>
      </c>
      <c r="CI234" s="70">
        <f t="shared" si="1697"/>
        <v>136.00752704633604</v>
      </c>
      <c r="CJ234" s="70">
        <f t="shared" ref="CJ234:DB234" si="1698">CJ230-CJ233</f>
        <v>161.39914021940845</v>
      </c>
      <c r="CK234" s="70">
        <f t="shared" si="1698"/>
        <v>161.39914021940845</v>
      </c>
      <c r="CL234" s="70">
        <f t="shared" ref="CL234" si="1699">CL230-CL233</f>
        <v>130.599008070195</v>
      </c>
      <c r="CM234" s="50">
        <f t="shared" si="1698"/>
        <v>130.59900807019503</v>
      </c>
      <c r="CN234" s="50">
        <f t="shared" si="1698"/>
        <v>130.59900807019503</v>
      </c>
      <c r="CO234" s="50">
        <f t="shared" si="1698"/>
        <v>130.59900807019503</v>
      </c>
      <c r="CP234" s="50">
        <f t="shared" si="1698"/>
        <v>130.59900807019503</v>
      </c>
      <c r="CQ234" s="50">
        <f t="shared" si="1698"/>
        <v>130.59900807019503</v>
      </c>
      <c r="CR234" s="50">
        <f t="shared" si="1698"/>
        <v>130.59900807019503</v>
      </c>
      <c r="CS234" s="50">
        <f t="shared" si="1698"/>
        <v>130.59900807019503</v>
      </c>
      <c r="CT234" s="50">
        <f t="shared" si="1698"/>
        <v>130.59900807019503</v>
      </c>
      <c r="CU234" s="50">
        <f t="shared" si="1698"/>
        <v>130.59900807019503</v>
      </c>
      <c r="CV234" s="50">
        <f t="shared" si="1698"/>
        <v>130.59900807019503</v>
      </c>
      <c r="CW234" s="50">
        <f t="shared" si="1698"/>
        <v>130.59900807019503</v>
      </c>
      <c r="CX234" s="50">
        <f t="shared" si="1698"/>
        <v>130.59900807019503</v>
      </c>
      <c r="CY234" s="50">
        <f t="shared" si="1698"/>
        <v>130.59900807019503</v>
      </c>
      <c r="CZ234" s="50">
        <f t="shared" si="1698"/>
        <v>130.59900807019503</v>
      </c>
      <c r="DA234" s="50">
        <f t="shared" si="1698"/>
        <v>130.59900807019503</v>
      </c>
      <c r="DB234" s="50">
        <f t="shared" si="1698"/>
        <v>130.59900807019503</v>
      </c>
      <c r="DE234" s="138"/>
      <c r="DF234" s="7">
        <v>161.39914021940845</v>
      </c>
    </row>
    <row r="235" spans="1:110" s="7" customFormat="1" x14ac:dyDescent="0.2">
      <c r="A235" s="69" t="s">
        <v>86</v>
      </c>
      <c r="AB235" s="77"/>
      <c r="AC235" s="77"/>
      <c r="AD235" s="77"/>
      <c r="AE235" s="77"/>
      <c r="CE235" s="115"/>
      <c r="CG235" s="115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86" customFormat="1" x14ac:dyDescent="0.2">
      <c r="A236" s="86" t="s">
        <v>440</v>
      </c>
      <c r="C236" s="86">
        <f t="shared" ref="C236:AE236" si="1700">C59/B59-1</f>
        <v>0.39970366165309179</v>
      </c>
      <c r="D236" s="86">
        <f t="shared" si="1700"/>
        <v>0.23329107256445769</v>
      </c>
      <c r="E236" s="86">
        <f t="shared" si="1700"/>
        <v>0.57195745603398795</v>
      </c>
      <c r="F236" s="86">
        <f t="shared" si="1700"/>
        <v>0.23722788090383462</v>
      </c>
      <c r="G236" s="86">
        <f t="shared" si="1700"/>
        <v>0.46607276700517786</v>
      </c>
      <c r="H236" s="86">
        <f t="shared" si="1700"/>
        <v>0.36458815958100477</v>
      </c>
      <c r="I236" s="86">
        <f t="shared" si="1700"/>
        <v>0.24110069730054007</v>
      </c>
      <c r="J236" s="86">
        <f t="shared" si="1700"/>
        <v>0.15548325839193144</v>
      </c>
      <c r="K236" s="86">
        <f t="shared" si="1700"/>
        <v>4.0562407088494901E-2</v>
      </c>
      <c r="L236" s="86">
        <f t="shared" si="1700"/>
        <v>0.3240748090248986</v>
      </c>
      <c r="M236" s="86">
        <f t="shared" si="1700"/>
        <v>0.29631742225215896</v>
      </c>
      <c r="N236" s="86">
        <f t="shared" si="1700"/>
        <v>0.1385298084548956</v>
      </c>
      <c r="O236" s="86">
        <f t="shared" si="1700"/>
        <v>0.19212796963248668</v>
      </c>
      <c r="P236" s="86">
        <f t="shared" si="1700"/>
        <v>1.417515668477165E-2</v>
      </c>
      <c r="Q236" s="86">
        <f t="shared" si="1700"/>
        <v>3.9384601550730203E-2</v>
      </c>
      <c r="R236" s="86">
        <f t="shared" si="1700"/>
        <v>4.2508973933159444E-2</v>
      </c>
      <c r="S236" s="86">
        <f t="shared" si="1700"/>
        <v>0.28449430223003946</v>
      </c>
      <c r="T236" s="86">
        <f t="shared" si="1700"/>
        <v>9.5000527748787311E-2</v>
      </c>
      <c r="U236" s="86">
        <f t="shared" si="1700"/>
        <v>-7.7190212435402916E-3</v>
      </c>
      <c r="V236" s="86">
        <f t="shared" si="1700"/>
        <v>0.40146886824636185</v>
      </c>
      <c r="W236" s="86">
        <f t="shared" si="1700"/>
        <v>0.77122617465134735</v>
      </c>
      <c r="X236" s="86">
        <f t="shared" si="1700"/>
        <v>1.3996396547808043E-2</v>
      </c>
      <c r="Y236" s="86">
        <f t="shared" si="1700"/>
        <v>-0.30308394904023772</v>
      </c>
      <c r="Z236" s="86">
        <f t="shared" si="1700"/>
        <v>-0.14890445582825118</v>
      </c>
      <c r="AA236" s="86">
        <f t="shared" ref="AA236" si="1701">AA59/Z59-1</f>
        <v>-7.5542823325491115E-2</v>
      </c>
      <c r="AB236" s="87">
        <f t="shared" si="1700"/>
        <v>0.50122456362670076</v>
      </c>
      <c r="AC236" s="87">
        <f t="shared" si="1700"/>
        <v>0.51227392325211873</v>
      </c>
      <c r="AD236" s="87">
        <f t="shared" si="1700"/>
        <v>0.38248219592020827</v>
      </c>
      <c r="AE236" s="87">
        <f t="shared" si="1700"/>
        <v>0.39340648044494375</v>
      </c>
      <c r="AN236" s="86">
        <f t="shared" ref="AN236:BS236" si="1702">+(AN59+AM59)/(AJ59+AI59)-1</f>
        <v>0.1467951403435277</v>
      </c>
      <c r="AO236" s="86">
        <f t="shared" si="1702"/>
        <v>0.27706977758954809</v>
      </c>
      <c r="AP236" s="86">
        <f t="shared" si="1702"/>
        <v>0.23987866434481142</v>
      </c>
      <c r="AQ236" s="86">
        <f t="shared" si="1702"/>
        <v>0.19316002556999812</v>
      </c>
      <c r="AR236" s="86">
        <f t="shared" si="1702"/>
        <v>4.5849744614996135E-2</v>
      </c>
      <c r="AS236" s="86">
        <f t="shared" si="1702"/>
        <v>-2.143211266095868E-2</v>
      </c>
      <c r="AT236" s="86">
        <f t="shared" si="1702"/>
        <v>-6.1693796317271121E-2</v>
      </c>
      <c r="AU236" s="86">
        <f t="shared" si="1702"/>
        <v>-8.3531267672708909E-2</v>
      </c>
      <c r="AV236" s="86">
        <f t="shared" si="1702"/>
        <v>5.6833481519116047E-2</v>
      </c>
      <c r="AW236" s="86">
        <f t="shared" si="1702"/>
        <v>0.14840514024770135</v>
      </c>
      <c r="AX236" s="86">
        <f t="shared" si="1702"/>
        <v>0.18033013043808133</v>
      </c>
      <c r="AY236" s="86">
        <f t="shared" si="1702"/>
        <v>0.17479685358518493</v>
      </c>
      <c r="AZ236" s="86">
        <f t="shared" si="1702"/>
        <v>6.3473129458142319E-2</v>
      </c>
      <c r="BA236" s="86">
        <f t="shared" si="1702"/>
        <v>5.0351884916790546E-2</v>
      </c>
      <c r="BB236" s="86">
        <f t="shared" si="1702"/>
        <v>9.0958764814511817E-2</v>
      </c>
      <c r="BC236" s="86">
        <f t="shared" si="1702"/>
        <v>8.7040779372289157E-2</v>
      </c>
      <c r="BD236" s="86">
        <f t="shared" si="1702"/>
        <v>0.13369384335895917</v>
      </c>
      <c r="BE236" s="86">
        <f t="shared" si="1702"/>
        <v>0.19200785535699594</v>
      </c>
      <c r="BF236" s="86">
        <f t="shared" si="1702"/>
        <v>0.27001481140236927</v>
      </c>
      <c r="BG236" s="86">
        <f t="shared" si="1702"/>
        <v>0.31029571834023373</v>
      </c>
      <c r="BH236" s="86">
        <f t="shared" si="1702"/>
        <v>0.18682260761645098</v>
      </c>
      <c r="BI236" s="86">
        <f t="shared" si="1702"/>
        <v>8.3627559049494149E-2</v>
      </c>
      <c r="BJ236" s="86">
        <f t="shared" si="1702"/>
        <v>-1.8429943438484586E-2</v>
      </c>
      <c r="BK236" s="86">
        <f t="shared" si="1702"/>
        <v>-0.12737372482648313</v>
      </c>
      <c r="BL236" s="86">
        <f t="shared" si="1702"/>
        <v>-5.4591498189942578E-2</v>
      </c>
      <c r="BM236" s="86">
        <f t="shared" si="1702"/>
        <v>-8.5025980160602366E-4</v>
      </c>
      <c r="BN236" s="86">
        <f t="shared" si="1702"/>
        <v>4.3200446893765898E-2</v>
      </c>
      <c r="BO236" s="86">
        <f t="shared" si="1702"/>
        <v>6.9704491568022942E-2</v>
      </c>
      <c r="BP236" s="86">
        <f t="shared" si="1702"/>
        <v>0.12230415565377672</v>
      </c>
      <c r="BQ236" s="86">
        <f t="shared" si="1702"/>
        <v>0.48320022516975691</v>
      </c>
      <c r="BR236" s="86">
        <f t="shared" si="1702"/>
        <v>0.66033216487966051</v>
      </c>
      <c r="BS236" s="86">
        <f t="shared" si="1702"/>
        <v>0.79797977697702582</v>
      </c>
      <c r="BT236" s="86">
        <f t="shared" ref="BT236:CY236" si="1703">+(BT59+BS59)/(BP59+BO59)-1</f>
        <v>0.93236426246054305</v>
      </c>
      <c r="BU236" s="86">
        <f t="shared" si="1703"/>
        <v>0.61691415423298634</v>
      </c>
      <c r="BV236" s="86">
        <f t="shared" si="1703"/>
        <v>0.66872498173441763</v>
      </c>
      <c r="BW236" s="86">
        <f t="shared" si="1703"/>
        <v>0.67747523750599936</v>
      </c>
      <c r="BX236" s="86">
        <f t="shared" si="1703"/>
        <v>0.32907762485994674</v>
      </c>
      <c r="BY236" s="86">
        <f t="shared" si="1703"/>
        <v>0.11266719724782415</v>
      </c>
      <c r="BZ236" s="86">
        <f t="shared" si="1703"/>
        <v>-0.21402389573473113</v>
      </c>
      <c r="CA236" s="86">
        <f t="shared" si="1703"/>
        <v>-0.35536469916679192</v>
      </c>
      <c r="CB236" s="86">
        <f t="shared" si="1703"/>
        <v>-0.34946637590253748</v>
      </c>
      <c r="CC236" s="86">
        <f t="shared" si="1703"/>
        <v>-0.3705000222495809</v>
      </c>
      <c r="CD236" s="86">
        <f t="shared" si="1703"/>
        <v>-0.2459447880205381</v>
      </c>
      <c r="CE236" s="86">
        <f t="shared" si="1703"/>
        <v>-0.14585570247297519</v>
      </c>
      <c r="CF236" s="86">
        <f t="shared" si="1703"/>
        <v>-0.13336381522760155</v>
      </c>
      <c r="CG236" s="86">
        <f t="shared" si="1703"/>
        <v>-0.13652405675073509</v>
      </c>
      <c r="CH236" s="86">
        <f t="shared" si="1703"/>
        <v>-0.16535786628537752</v>
      </c>
      <c r="CI236" s="86">
        <f t="shared" si="1703"/>
        <v>-0.10969809048145518</v>
      </c>
      <c r="CJ236" s="86">
        <f t="shared" si="1703"/>
        <v>-4.4743989098299686E-2</v>
      </c>
      <c r="CL236" s="86">
        <f>+(CL59+CK59)/(CH59+CG59)-1</f>
        <v>9.1111959318121771E-2</v>
      </c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E236" s="141"/>
      <c r="DF236" s="86">
        <v>1.9967011298673176E-2</v>
      </c>
    </row>
    <row r="237" spans="1:110" s="86" customFormat="1" x14ac:dyDescent="0.2">
      <c r="A237" s="86" t="s">
        <v>441</v>
      </c>
      <c r="C237" s="86">
        <f t="shared" ref="C237" si="1704">C234/B234-1</f>
        <v>-0.46686204438117618</v>
      </c>
      <c r="D237" s="86">
        <f t="shared" ref="D237" si="1705">D234/C234-1</f>
        <v>0.35572288490748072</v>
      </c>
      <c r="E237" s="86">
        <f>E234/D234-1</f>
        <v>-0.15291988984268012</v>
      </c>
      <c r="F237" s="86">
        <f t="shared" ref="F237" si="1706">F234/E234-1</f>
        <v>0.14403249940204277</v>
      </c>
      <c r="G237" s="86">
        <f t="shared" ref="G237" si="1707">G234/F234-1</f>
        <v>-9.6553071049013672E-3</v>
      </c>
      <c r="H237" s="86">
        <f t="shared" ref="H237" si="1708">H234/G234-1</f>
        <v>0.14842645942092392</v>
      </c>
      <c r="I237" s="86">
        <f t="shared" ref="I237" si="1709">I234/H234-1</f>
        <v>2.3845287234103063E-2</v>
      </c>
      <c r="J237" s="86">
        <f t="shared" ref="J237" si="1710">J234/I234-1</f>
        <v>-9.555325337108167E-2</v>
      </c>
      <c r="K237" s="86">
        <f>K234/J234-1</f>
        <v>0.13521671536488711</v>
      </c>
      <c r="L237" s="86">
        <f t="shared" ref="L237" si="1711">L234/K234-1</f>
        <v>7.2614676810878853E-2</v>
      </c>
      <c r="M237" s="86">
        <f t="shared" ref="M237" si="1712">M234/L234-1</f>
        <v>3.8155078146349775E-2</v>
      </c>
      <c r="N237" s="86">
        <f t="shared" ref="N237" si="1713">N234/M234-1</f>
        <v>-0.30276310862997069</v>
      </c>
      <c r="O237" s="86">
        <f t="shared" ref="O237" si="1714">O234/N234-1</f>
        <v>-9.8896120308974766E-2</v>
      </c>
      <c r="P237" s="86">
        <f t="shared" ref="P237" si="1715">P234/O234-1</f>
        <v>0.25213370887240028</v>
      </c>
      <c r="Q237" s="86">
        <f t="shared" ref="Q237" si="1716">Q234/P234-1</f>
        <v>-0.25948021255320697</v>
      </c>
      <c r="R237" s="86">
        <f t="shared" ref="R237" si="1717">R234/Q234-1</f>
        <v>0.13901644272460811</v>
      </c>
      <c r="S237" s="86">
        <f t="shared" ref="S237" si="1718">S234/R234-1</f>
        <v>0.13617129603557787</v>
      </c>
      <c r="T237" s="86">
        <f t="shared" ref="T237" si="1719">T234/S234-1</f>
        <v>5.9443815834209657E-2</v>
      </c>
      <c r="U237" s="86">
        <f t="shared" ref="U237" si="1720">U234/T234-1</f>
        <v>0.16832021604551128</v>
      </c>
      <c r="V237" s="86">
        <f t="shared" ref="V237" si="1721">V234/U234-1</f>
        <v>-0.15995132239455956</v>
      </c>
      <c r="W237" s="86">
        <f t="shared" ref="W237:AA237" si="1722">W234/V234-1</f>
        <v>-1.266178826717812E-2</v>
      </c>
      <c r="X237" s="86">
        <f t="shared" si="1722"/>
        <v>2.6455627934020232E-2</v>
      </c>
      <c r="Y237" s="86">
        <f t="shared" si="1722"/>
        <v>0.26764549757884804</v>
      </c>
      <c r="Z237" s="86">
        <f t="shared" si="1722"/>
        <v>0.1160915415639765</v>
      </c>
      <c r="AA237" s="86">
        <f t="shared" si="1722"/>
        <v>-7.7402723899781978E-2</v>
      </c>
      <c r="AB237" s="87">
        <f t="shared" ref="AB237" si="1723">AB234/AA234-1</f>
        <v>0.16952560044372977</v>
      </c>
      <c r="AC237" s="87">
        <f t="shared" ref="AC237" si="1724">AC234/AB234-1</f>
        <v>2.5066324353431035E-3</v>
      </c>
      <c r="AD237" s="87">
        <f t="shared" ref="AD237" si="1725">AD234/AC234-1</f>
        <v>1.1419405364430091E-3</v>
      </c>
      <c r="AE237" s="87">
        <f t="shared" ref="AE237" si="1726">AE234/AD234-1</f>
        <v>1.1052601803425155E-3</v>
      </c>
      <c r="AN237" s="86">
        <f t="shared" ref="AN237:CI237" si="1727">+AN234/AJ234-1</f>
        <v>-0.42548748445048878</v>
      </c>
      <c r="AO237" s="86">
        <f t="shared" si="1727"/>
        <v>-0.41406122087852093</v>
      </c>
      <c r="AP237" s="86">
        <f t="shared" si="1727"/>
        <v>-0.13269651958936157</v>
      </c>
      <c r="AQ237" s="86">
        <f t="shared" si="1727"/>
        <v>-0.14070711171550665</v>
      </c>
      <c r="AR237" s="86">
        <f t="shared" si="1727"/>
        <v>0.26030331410335528</v>
      </c>
      <c r="AS237" s="86">
        <f t="shared" si="1727"/>
        <v>0.27775930790581804</v>
      </c>
      <c r="AT237" s="86">
        <f t="shared" si="1727"/>
        <v>0.59489546256654546</v>
      </c>
      <c r="AU237" s="86">
        <f t="shared" si="1727"/>
        <v>0.64268705740227872</v>
      </c>
      <c r="AV237" s="86">
        <f t="shared" si="1727"/>
        <v>-0.12413969455062934</v>
      </c>
      <c r="AW237" s="86">
        <f t="shared" si="1727"/>
        <v>-0.12083605060111946</v>
      </c>
      <c r="AX237" s="86">
        <f t="shared" si="1727"/>
        <v>-0.36828086424305662</v>
      </c>
      <c r="AY237" s="86">
        <f t="shared" si="1727"/>
        <v>-0.37723737020152914</v>
      </c>
      <c r="AZ237" s="86">
        <f t="shared" si="1727"/>
        <v>1.2639266801761639E-2</v>
      </c>
      <c r="BA237" s="86">
        <f t="shared" si="1727"/>
        <v>3.2187290060954332E-2</v>
      </c>
      <c r="BB237" s="86">
        <f t="shared" si="1727"/>
        <v>0.17700429978514354</v>
      </c>
      <c r="BC237" s="86">
        <f t="shared" si="1727"/>
        <v>0.18114304769761591</v>
      </c>
      <c r="BD237" s="86">
        <f t="shared" si="1727"/>
        <v>3.901469189607254E-2</v>
      </c>
      <c r="BE237" s="86">
        <f t="shared" si="1727"/>
        <v>3.6893860860136352E-2</v>
      </c>
      <c r="BF237" s="86">
        <f t="shared" si="1727"/>
        <v>0.13979069852333148</v>
      </c>
      <c r="BG237" s="86">
        <f t="shared" si="1727"/>
        <v>0.12940831963214672</v>
      </c>
      <c r="BH237" s="86">
        <f t="shared" si="1727"/>
        <v>0.18914711566371967</v>
      </c>
      <c r="BI237" s="86">
        <f t="shared" si="1727"/>
        <v>0.21393233181961513</v>
      </c>
      <c r="BJ237" s="86">
        <f t="shared" si="1727"/>
        <v>0.15077599387973462</v>
      </c>
      <c r="BK237" s="86">
        <f t="shared" si="1727"/>
        <v>0.15077772002307954</v>
      </c>
      <c r="BL237" s="86">
        <f t="shared" si="1727"/>
        <v>0.51841212570630657</v>
      </c>
      <c r="BM237" s="86">
        <f t="shared" si="1727"/>
        <v>0.48005083899141598</v>
      </c>
      <c r="BN237" s="86">
        <f t="shared" si="1727"/>
        <v>0.11504098131043872</v>
      </c>
      <c r="BO237" s="86">
        <f t="shared" si="1727"/>
        <v>0.13055756650685146</v>
      </c>
      <c r="BP237" s="86">
        <f t="shared" si="1727"/>
        <v>-8.4794385546962947E-2</v>
      </c>
      <c r="BQ237" s="86">
        <f t="shared" si="1727"/>
        <v>-0.12180957903154865</v>
      </c>
      <c r="BR237" s="86">
        <f t="shared" si="1727"/>
        <v>-0.27987558678975399</v>
      </c>
      <c r="BS237" s="86">
        <f t="shared" si="1727"/>
        <v>-0.2851696609887916</v>
      </c>
      <c r="BT237" s="86">
        <f t="shared" si="1727"/>
        <v>-9.559230890965098E-2</v>
      </c>
      <c r="BU237" s="86">
        <f t="shared" si="1727"/>
        <v>-5.743048518778382E-2</v>
      </c>
      <c r="BV237" s="86">
        <f t="shared" si="1727"/>
        <v>7.169559763796185E-3</v>
      </c>
      <c r="BW237" s="86">
        <f t="shared" si="1727"/>
        <v>-2.7375179939429506E-3</v>
      </c>
      <c r="BX237" s="86">
        <f t="shared" si="1727"/>
        <v>0.26780179255718495</v>
      </c>
      <c r="BY237" s="86">
        <f t="shared" si="1727"/>
        <v>0.26643134244312505</v>
      </c>
      <c r="BZ237" s="86">
        <f t="shared" si="1727"/>
        <v>0.72347288791717768</v>
      </c>
      <c r="CA237" s="86">
        <f t="shared" si="1727"/>
        <v>0.73357108731442633</v>
      </c>
      <c r="CB237" s="86">
        <f t="shared" si="1727"/>
        <v>0.14314030831493363</v>
      </c>
      <c r="CC237" s="86">
        <f t="shared" si="1727"/>
        <v>0.14385861870895567</v>
      </c>
      <c r="CD237" s="86">
        <f t="shared" si="1727"/>
        <v>4.976960671569941E-3</v>
      </c>
      <c r="CE237" s="86">
        <f t="shared" si="1727"/>
        <v>8.8452874373392554E-3</v>
      </c>
      <c r="CF237" s="86">
        <f t="shared" si="1727"/>
        <v>6.4884221047146085E-2</v>
      </c>
      <c r="CG237" s="86">
        <f t="shared" si="1727"/>
        <v>7.262987278074573E-2</v>
      </c>
      <c r="CH237" s="86">
        <f t="shared" si="1727"/>
        <v>0.11692298474476348</v>
      </c>
      <c r="CI237" s="86">
        <f t="shared" si="1727"/>
        <v>0.1121696320937362</v>
      </c>
      <c r="CJ237" s="86">
        <f>+CJ234/CF234-1</f>
        <v>9.8710726798740822E-2</v>
      </c>
      <c r="CL237" s="86">
        <f>+CL234/CH234-1</f>
        <v>-3.9766320979414793E-2</v>
      </c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E237" s="141"/>
      <c r="DF237" s="86">
        <v>5.6416771344470984E-2</v>
      </c>
    </row>
    <row r="238" spans="1:110" s="103" customFormat="1" x14ac:dyDescent="0.2">
      <c r="A238" s="147" t="s">
        <v>87</v>
      </c>
      <c r="C238" s="103">
        <f>IF(C237&gt;C236,"RF",0)</f>
        <v>0</v>
      </c>
      <c r="D238" s="103" t="str">
        <f>IF(D237&gt;D236,"RF",0)</f>
        <v>RF</v>
      </c>
      <c r="E238" s="103">
        <f t="shared" ref="E238:U238" si="1728">IF(E237&gt;E236,"RF",0)</f>
        <v>0</v>
      </c>
      <c r="F238" s="103">
        <f t="shared" si="1728"/>
        <v>0</v>
      </c>
      <c r="G238" s="103">
        <f t="shared" si="1728"/>
        <v>0</v>
      </c>
      <c r="H238" s="103">
        <f t="shared" si="1728"/>
        <v>0</v>
      </c>
      <c r="I238" s="103">
        <f t="shared" si="1728"/>
        <v>0</v>
      </c>
      <c r="J238" s="103">
        <f t="shared" si="1728"/>
        <v>0</v>
      </c>
      <c r="K238" s="103" t="str">
        <f t="shared" si="1728"/>
        <v>RF</v>
      </c>
      <c r="L238" s="103">
        <f t="shared" si="1728"/>
        <v>0</v>
      </c>
      <c r="M238" s="103">
        <f t="shared" si="1728"/>
        <v>0</v>
      </c>
      <c r="N238" s="103">
        <f t="shared" si="1728"/>
        <v>0</v>
      </c>
      <c r="O238" s="103">
        <f t="shared" si="1728"/>
        <v>0</v>
      </c>
      <c r="P238" s="103" t="str">
        <f t="shared" si="1728"/>
        <v>RF</v>
      </c>
      <c r="Q238" s="103">
        <f t="shared" si="1728"/>
        <v>0</v>
      </c>
      <c r="R238" s="103" t="str">
        <f t="shared" si="1728"/>
        <v>RF</v>
      </c>
      <c r="S238" s="103">
        <f t="shared" si="1728"/>
        <v>0</v>
      </c>
      <c r="T238" s="103">
        <f t="shared" si="1728"/>
        <v>0</v>
      </c>
      <c r="U238" s="103" t="str">
        <f t="shared" si="1728"/>
        <v>RF</v>
      </c>
      <c r="V238" s="103">
        <f>IF(V237&gt;V236,"RF",0)</f>
        <v>0</v>
      </c>
      <c r="W238" s="103">
        <f t="shared" ref="W238" si="1729">IF(W237&gt;W236,"RF",0)</f>
        <v>0</v>
      </c>
      <c r="X238" s="103" t="str">
        <f t="shared" ref="X238:Y238" si="1730">IF(X237&gt;X236,"RF",0)</f>
        <v>RF</v>
      </c>
      <c r="Y238" s="103" t="str">
        <f t="shared" si="1730"/>
        <v>RF</v>
      </c>
      <c r="Z238" s="103" t="str">
        <f t="shared" ref="Z238:AA238" si="1731">IF(Z237&gt;Z236,"RF",0)</f>
        <v>RF</v>
      </c>
      <c r="AA238" s="103">
        <f t="shared" si="1731"/>
        <v>0</v>
      </c>
      <c r="AB238" s="73">
        <f t="shared" ref="AA238:AD238" si="1732">IF(AB237&gt;AB236,"RF",0)</f>
        <v>0</v>
      </c>
      <c r="AC238" s="73">
        <f t="shared" si="1732"/>
        <v>0</v>
      </c>
      <c r="AD238" s="73">
        <f t="shared" si="1732"/>
        <v>0</v>
      </c>
      <c r="AE238" s="73">
        <f t="shared" ref="AE238" si="1733">IF(AE237&gt;AE236,"RF",0)</f>
        <v>0</v>
      </c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E238" s="142"/>
      <c r="DF238" s="103" t="s">
        <v>685</v>
      </c>
    </row>
    <row r="239" spans="1:110" x14ac:dyDescent="0.2">
      <c r="A239" s="153" t="s">
        <v>494</v>
      </c>
    </row>
    <row r="240" spans="1:110" x14ac:dyDescent="0.2">
      <c r="A240" s="152" t="s">
        <v>495</v>
      </c>
    </row>
    <row r="241" spans="1:110" s="23" customFormat="1" x14ac:dyDescent="0.2">
      <c r="A241" s="23" t="s">
        <v>22</v>
      </c>
      <c r="C241" s="23">
        <f t="shared" ref="C241:AE241" si="1734">C97</f>
        <v>3.7942286999999997</v>
      </c>
      <c r="D241" s="23">
        <f t="shared" si="1734"/>
        <v>4.1168079000000057</v>
      </c>
      <c r="E241" s="23">
        <f t="shared" si="1734"/>
        <v>7.1147343999999917</v>
      </c>
      <c r="F241" s="23">
        <f t="shared" si="1734"/>
        <v>4.5831009000000069</v>
      </c>
      <c r="G241" s="23">
        <f t="shared" si="1734"/>
        <v>8.7849693999999872</v>
      </c>
      <c r="H241" s="23">
        <f t="shared" si="1734"/>
        <v>10.036994099999998</v>
      </c>
      <c r="I241" s="23">
        <f t="shared" si="1734"/>
        <v>12.990171700000015</v>
      </c>
      <c r="J241" s="23">
        <f t="shared" si="1734"/>
        <v>15.062612500000009</v>
      </c>
      <c r="K241" s="23">
        <f t="shared" si="1734"/>
        <v>20.41697900000004</v>
      </c>
      <c r="L241" s="23">
        <f t="shared" si="1734"/>
        <v>26.589441200000017</v>
      </c>
      <c r="M241" s="23">
        <f t="shared" si="1734"/>
        <v>35.640683100000082</v>
      </c>
      <c r="N241" s="23">
        <f t="shared" si="1734"/>
        <v>31.168801199999962</v>
      </c>
      <c r="O241" s="23">
        <f t="shared" si="1734"/>
        <v>33.507600000000025</v>
      </c>
      <c r="P241" s="23">
        <f t="shared" si="1734"/>
        <v>34.272019599999986</v>
      </c>
      <c r="Q241" s="23">
        <f t="shared" si="1734"/>
        <v>57.613420699999978</v>
      </c>
      <c r="R241" s="23">
        <f t="shared" si="1734"/>
        <v>82.35177740000006</v>
      </c>
      <c r="S241" s="23">
        <f t="shared" si="1734"/>
        <v>113.18100399999992</v>
      </c>
      <c r="T241" s="23">
        <f t="shared" si="1734"/>
        <v>117.53301579999996</v>
      </c>
      <c r="U241" s="23">
        <f t="shared" si="1734"/>
        <v>104.79752690000002</v>
      </c>
      <c r="V241" s="23">
        <f t="shared" si="1734"/>
        <v>238.19249999999997</v>
      </c>
      <c r="W241" s="23">
        <f t="shared" si="1734"/>
        <v>368.41879999999998</v>
      </c>
      <c r="X241" s="23">
        <f t="shared" si="1734"/>
        <v>325.52000000000032</v>
      </c>
      <c r="Y241" s="23">
        <f t="shared" si="1734"/>
        <v>204.85360000000011</v>
      </c>
      <c r="Z241" s="23">
        <f t="shared" si="1734"/>
        <v>157.5209999999999</v>
      </c>
      <c r="AA241" s="23">
        <f t="shared" ref="AA241" si="1735">AA97</f>
        <v>165.52830000000029</v>
      </c>
      <c r="AB241" s="24">
        <f t="shared" si="1734"/>
        <v>249.6415110528385</v>
      </c>
      <c r="AC241" s="24">
        <f t="shared" si="1734"/>
        <v>333.48597969850317</v>
      </c>
      <c r="AD241" s="24">
        <f t="shared" si="1734"/>
        <v>472.82167905438581</v>
      </c>
      <c r="AE241" s="24">
        <f t="shared" si="1734"/>
        <v>719.5162512500201</v>
      </c>
      <c r="AI241" s="23">
        <f t="shared" ref="AI241:BN241" si="1736">AI97</f>
        <v>9.3669999999999902</v>
      </c>
      <c r="AJ241" s="23">
        <f t="shared" si="1736"/>
        <v>8.8910000000000018</v>
      </c>
      <c r="AK241" s="23">
        <f t="shared" si="1736"/>
        <v>7.1929999999999925</v>
      </c>
      <c r="AL241" s="23">
        <f t="shared" si="1736"/>
        <v>5.6999999999999922</v>
      </c>
      <c r="AM241" s="23">
        <f t="shared" si="1736"/>
        <v>8.5100000000000016</v>
      </c>
      <c r="AN241" s="23">
        <f t="shared" si="1736"/>
        <v>11.735000000000017</v>
      </c>
      <c r="AO241" s="23">
        <f t="shared" si="1736"/>
        <v>4.1999999999999762</v>
      </c>
      <c r="AP241" s="23">
        <f t="shared" si="1736"/>
        <v>9.0900000000000087</v>
      </c>
      <c r="AQ241" s="23">
        <f t="shared" si="1736"/>
        <v>9.3100000000000112</v>
      </c>
      <c r="AR241" s="23">
        <f t="shared" si="1736"/>
        <v>9.0879999999999939</v>
      </c>
      <c r="AS241" s="23">
        <f t="shared" si="1736"/>
        <v>6.1929999999999961</v>
      </c>
      <c r="AT241" s="23">
        <f t="shared" si="1736"/>
        <v>11.76900000000002</v>
      </c>
      <c r="AU241" s="23">
        <f t="shared" si="1736"/>
        <v>12.81600000000001</v>
      </c>
      <c r="AV241" s="23">
        <f t="shared" si="1736"/>
        <v>11.813999999999993</v>
      </c>
      <c r="AW241" s="23">
        <f t="shared" si="1736"/>
        <v>13.306000000000003</v>
      </c>
      <c r="AX241" s="23">
        <f t="shared" si="1736"/>
        <v>23.336000000000013</v>
      </c>
      <c r="AY241" s="23">
        <f t="shared" si="1736"/>
        <v>26.340000000000007</v>
      </c>
      <c r="AZ241" s="23">
        <f t="shared" si="1736"/>
        <v>21.730000000000004</v>
      </c>
      <c r="BA241" s="23">
        <f t="shared" si="1736"/>
        <v>19.629999999999992</v>
      </c>
      <c r="BB241" s="23">
        <f t="shared" si="1736"/>
        <v>17.873999999999985</v>
      </c>
      <c r="BC241" s="23">
        <f t="shared" si="1736"/>
        <v>22.754999999999988</v>
      </c>
      <c r="BD241" s="23">
        <f t="shared" si="1736"/>
        <v>29.163000000000029</v>
      </c>
      <c r="BE241" s="23">
        <f t="shared" si="1736"/>
        <v>28.085999999999984</v>
      </c>
      <c r="BF241" s="23">
        <f t="shared" si="1736"/>
        <v>33.175999999999938</v>
      </c>
      <c r="BG241" s="23">
        <f t="shared" si="1736"/>
        <v>33.824000000000026</v>
      </c>
      <c r="BH241" s="23">
        <f t="shared" si="1736"/>
        <v>30.981000000000005</v>
      </c>
      <c r="BI241" s="23">
        <f t="shared" si="1736"/>
        <v>26.271999999999981</v>
      </c>
      <c r="BJ241" s="23">
        <f t="shared" si="1736"/>
        <v>26.453000000000014</v>
      </c>
      <c r="BK241" s="23">
        <f t="shared" si="1736"/>
        <v>19.147999999999996</v>
      </c>
      <c r="BL241" s="23">
        <f t="shared" si="1736"/>
        <v>31.426999999999992</v>
      </c>
      <c r="BM241" s="23">
        <f t="shared" si="1736"/>
        <v>23.408000000000005</v>
      </c>
      <c r="BN241" s="23">
        <f t="shared" si="1736"/>
        <v>30.813999999999993</v>
      </c>
      <c r="BO241" s="23">
        <f t="shared" ref="BO241:CT241" si="1737">BO97</f>
        <v>32.964000000000013</v>
      </c>
      <c r="BP241" s="23">
        <f t="shared" si="1737"/>
        <v>45.760000000000005</v>
      </c>
      <c r="BQ241" s="23">
        <f t="shared" si="1737"/>
        <v>74.970000000000013</v>
      </c>
      <c r="BR241" s="23">
        <f t="shared" si="1737"/>
        <v>84.499000000000009</v>
      </c>
      <c r="BS241" s="23">
        <f t="shared" si="1737"/>
        <v>90.384999999999977</v>
      </c>
      <c r="BT241" s="23">
        <f t="shared" si="1737"/>
        <v>79.75099999999992</v>
      </c>
      <c r="BU241" s="23">
        <f t="shared" si="1737"/>
        <v>89.554999999999964</v>
      </c>
      <c r="BV241" s="23">
        <f t="shared" si="1737"/>
        <v>108.72300000000004</v>
      </c>
      <c r="BW241" s="23">
        <f t="shared" si="1737"/>
        <v>122.96800000000005</v>
      </c>
      <c r="BX241" s="23">
        <f t="shared" si="1737"/>
        <v>92.570000000000007</v>
      </c>
      <c r="BY241" s="23">
        <f t="shared" si="1737"/>
        <v>62.570999999999998</v>
      </c>
      <c r="BZ241" s="23">
        <f t="shared" si="1737"/>
        <v>47.408999999999963</v>
      </c>
      <c r="CA241" s="23">
        <f t="shared" si="1737"/>
        <v>52.732000000000014</v>
      </c>
      <c r="CB241" s="23">
        <f t="shared" si="1737"/>
        <v>34.711000000000013</v>
      </c>
      <c r="CC241" s="23">
        <f t="shared" si="1737"/>
        <v>49.373000000000047</v>
      </c>
      <c r="CD241" s="23">
        <f t="shared" si="1737"/>
        <v>68.03400000000002</v>
      </c>
      <c r="CE241" s="23">
        <f t="shared" si="1737"/>
        <v>43.292999999999999</v>
      </c>
      <c r="CF241" s="23">
        <f t="shared" si="1737"/>
        <v>40.97999999999999</v>
      </c>
      <c r="CG241" s="23">
        <f t="shared" si="1737"/>
        <v>33.184000000000026</v>
      </c>
      <c r="CH241" s="23">
        <f t="shared" si="1737"/>
        <v>40.062000000000019</v>
      </c>
      <c r="CI241" s="23">
        <f t="shared" si="1737"/>
        <v>38.000999999999991</v>
      </c>
      <c r="CJ241" s="23">
        <f t="shared" si="1737"/>
        <v>34.559000000000005</v>
      </c>
      <c r="CK241" s="23">
        <f t="shared" si="1737"/>
        <v>31.434000000000008</v>
      </c>
      <c r="CL241" s="23">
        <f t="shared" si="1737"/>
        <v>63.206000000000017</v>
      </c>
      <c r="CM241" s="24">
        <f t="shared" si="1737"/>
        <v>61.649612629082718</v>
      </c>
      <c r="CN241" s="24">
        <f t="shared" si="1737"/>
        <v>66.065665135433221</v>
      </c>
      <c r="CO241" s="24">
        <f t="shared" si="1737"/>
        <v>58.791619479230988</v>
      </c>
      <c r="CP241" s="24">
        <f t="shared" si="1737"/>
        <v>63.134613809091562</v>
      </c>
      <c r="CQ241" s="24">
        <f t="shared" si="1737"/>
        <v>84.929568732429772</v>
      </c>
      <c r="CR241" s="24">
        <f t="shared" si="1737"/>
        <v>78.926851499311013</v>
      </c>
      <c r="CS241" s="24">
        <f t="shared" si="1737"/>
        <v>73.070188340675415</v>
      </c>
      <c r="CT241" s="24">
        <f t="shared" si="1737"/>
        <v>96.559371126087257</v>
      </c>
      <c r="CU241" s="24">
        <f t="shared" ref="CU241:DB241" si="1738">CU97</f>
        <v>110.38874465689045</v>
      </c>
      <c r="CV241" s="24">
        <f t="shared" si="1738"/>
        <v>113.30660942752874</v>
      </c>
      <c r="CW241" s="24">
        <f t="shared" si="1738"/>
        <v>109.40338367156926</v>
      </c>
      <c r="CX241" s="24">
        <f t="shared" si="1738"/>
        <v>139.72294129839739</v>
      </c>
      <c r="CY241" s="24">
        <f t="shared" si="1738"/>
        <v>166.67365737070574</v>
      </c>
      <c r="CZ241" s="24">
        <f t="shared" si="1738"/>
        <v>171.74510532392941</v>
      </c>
      <c r="DA241" s="24">
        <f t="shared" si="1738"/>
        <v>165.7320066019779</v>
      </c>
      <c r="DB241" s="24">
        <f t="shared" si="1738"/>
        <v>215.36548195340788</v>
      </c>
      <c r="DE241" s="123"/>
      <c r="DF241" s="23">
        <v>50.380630503937923</v>
      </c>
    </row>
    <row r="242" spans="1:110" s="23" customFormat="1" x14ac:dyDescent="0.2">
      <c r="A242" s="23" t="s">
        <v>88</v>
      </c>
      <c r="C242" s="23">
        <f t="shared" ref="C242:AE242" si="1739">C81</f>
        <v>1.2016112000000001</v>
      </c>
      <c r="D242" s="23">
        <f t="shared" si="1739"/>
        <v>1.5107849</v>
      </c>
      <c r="E242" s="23">
        <f t="shared" si="1739"/>
        <v>2.3293642000000001</v>
      </c>
      <c r="F242" s="23">
        <f t="shared" si="1739"/>
        <v>2.8293366999999998</v>
      </c>
      <c r="G242" s="23">
        <f t="shared" si="1739"/>
        <v>3.2621327</v>
      </c>
      <c r="H242" s="23">
        <f t="shared" si="1739"/>
        <v>3.7871950999999999</v>
      </c>
      <c r="I242" s="23">
        <f t="shared" si="1739"/>
        <v>4.4501645999999999</v>
      </c>
      <c r="J242" s="23">
        <f t="shared" si="1739"/>
        <v>4.8592373000000002</v>
      </c>
      <c r="K242" s="23">
        <f t="shared" si="1739"/>
        <v>6.8745602999999997</v>
      </c>
      <c r="L242" s="23">
        <f t="shared" si="1739"/>
        <v>8.2951923000000001</v>
      </c>
      <c r="M242" s="23">
        <f t="shared" si="1739"/>
        <v>10.375450499999999</v>
      </c>
      <c r="N242" s="23">
        <f t="shared" si="1739"/>
        <v>12.714903700000001</v>
      </c>
      <c r="O242" s="23">
        <f t="shared" si="1739"/>
        <v>16.4894</v>
      </c>
      <c r="P242" s="23">
        <f t="shared" si="1739"/>
        <v>20.0756911</v>
      </c>
      <c r="Q242" s="23">
        <f t="shared" si="1739"/>
        <v>19.382180900000002</v>
      </c>
      <c r="R242" s="23">
        <f t="shared" si="1739"/>
        <v>19.711917199999998</v>
      </c>
      <c r="S242" s="23">
        <f t="shared" si="1739"/>
        <v>19.287928900000001</v>
      </c>
      <c r="T242" s="23">
        <f t="shared" si="1739"/>
        <v>19.553858900000002</v>
      </c>
      <c r="U242" s="23">
        <f t="shared" si="1739"/>
        <v>31.622983699999999</v>
      </c>
      <c r="V242" s="23">
        <f t="shared" si="1739"/>
        <v>34.411000000000001</v>
      </c>
      <c r="W242" s="23">
        <f t="shared" si="1739"/>
        <v>41.998600000000003</v>
      </c>
      <c r="X242" s="23">
        <f t="shared" si="1739"/>
        <v>45.573399999999999</v>
      </c>
      <c r="Y242" s="23">
        <f t="shared" si="1739"/>
        <v>45.373600000000003</v>
      </c>
      <c r="Z242" s="23">
        <f t="shared" si="1739"/>
        <v>48.436300000000003</v>
      </c>
      <c r="AA242" s="23">
        <f t="shared" ref="AA242" si="1740">AA81</f>
        <v>45.600999999999999</v>
      </c>
      <c r="AB242" s="24">
        <f t="shared" si="1739"/>
        <v>76.060010382534955</v>
      </c>
      <c r="AC242" s="24">
        <f t="shared" si="1739"/>
        <v>115.18116999101595</v>
      </c>
      <c r="AD242" s="24">
        <f t="shared" si="1739"/>
        <v>125.2068718812947</v>
      </c>
      <c r="AE242" s="24">
        <f t="shared" si="1739"/>
        <v>123.72814982878427</v>
      </c>
      <c r="AI242" s="23">
        <f t="shared" ref="AI242:BN242" si="1741">AI81</f>
        <v>3.1429999999999998</v>
      </c>
      <c r="AJ242" s="23">
        <f t="shared" si="1741"/>
        <v>3.1640000000000001</v>
      </c>
      <c r="AK242" s="23">
        <f t="shared" si="1741"/>
        <v>3.1720000000000002</v>
      </c>
      <c r="AL242" s="23">
        <f t="shared" si="1741"/>
        <v>3.22</v>
      </c>
      <c r="AM242" s="23">
        <f t="shared" si="1741"/>
        <v>3.77</v>
      </c>
      <c r="AN242" s="23">
        <f t="shared" si="1741"/>
        <v>3.786</v>
      </c>
      <c r="AO242" s="23">
        <f t="shared" si="1741"/>
        <v>4.5</v>
      </c>
      <c r="AP242" s="23">
        <f t="shared" si="1741"/>
        <v>4.41</v>
      </c>
      <c r="AQ242" s="23">
        <f t="shared" si="1741"/>
        <v>4.9000000000000004</v>
      </c>
      <c r="AR242" s="23">
        <f t="shared" si="1741"/>
        <v>4.9260000000000002</v>
      </c>
      <c r="AS242" s="23">
        <f t="shared" si="1741"/>
        <v>4.9809999999999999</v>
      </c>
      <c r="AT242" s="23">
        <f t="shared" si="1741"/>
        <v>3.7810000000000001</v>
      </c>
      <c r="AU242" s="23">
        <f t="shared" si="1741"/>
        <v>4.3920000000000003</v>
      </c>
      <c r="AV242" s="23">
        <f t="shared" si="1741"/>
        <v>4.3920000000000003</v>
      </c>
      <c r="AW242" s="23">
        <f t="shared" si="1741"/>
        <v>4.3920000000000003</v>
      </c>
      <c r="AX242" s="23">
        <f t="shared" si="1741"/>
        <v>4.7229999999999999</v>
      </c>
      <c r="AY242" s="23">
        <f t="shared" si="1741"/>
        <v>4.4909999999999997</v>
      </c>
      <c r="AZ242" s="23">
        <f t="shared" si="1741"/>
        <v>4.4909999999999997</v>
      </c>
      <c r="BA242" s="23">
        <f t="shared" si="1741"/>
        <v>4.4909999999999997</v>
      </c>
      <c r="BB242" s="23">
        <f t="shared" si="1741"/>
        <v>4.7489999999999997</v>
      </c>
      <c r="BC242" s="23">
        <f t="shared" si="1741"/>
        <v>4.391</v>
      </c>
      <c r="BD242" s="23">
        <f t="shared" si="1741"/>
        <v>4.37</v>
      </c>
      <c r="BE242" s="23">
        <f t="shared" si="1741"/>
        <v>4.37</v>
      </c>
      <c r="BF242" s="23">
        <f t="shared" si="1741"/>
        <v>6.1580000000000004</v>
      </c>
      <c r="BG242" s="23">
        <f t="shared" si="1741"/>
        <v>4.7069999999999999</v>
      </c>
      <c r="BH242" s="23">
        <f t="shared" si="1741"/>
        <v>4.734</v>
      </c>
      <c r="BI242" s="23">
        <f t="shared" si="1741"/>
        <v>4.7160000000000002</v>
      </c>
      <c r="BJ242" s="23">
        <f t="shared" si="1741"/>
        <v>5.3970000000000002</v>
      </c>
      <c r="BK242" s="23">
        <f t="shared" si="1741"/>
        <v>5.7119999999999997</v>
      </c>
      <c r="BL242" s="23">
        <f t="shared" si="1741"/>
        <v>7.8239999999999998</v>
      </c>
      <c r="BM242" s="23">
        <f t="shared" si="1741"/>
        <v>7.9640000000000004</v>
      </c>
      <c r="BN242" s="23">
        <f t="shared" si="1741"/>
        <v>10.122999999999999</v>
      </c>
      <c r="BO242" s="23">
        <f t="shared" ref="BO242:CT242" si="1742">BO81</f>
        <v>7.9349999999999996</v>
      </c>
      <c r="BP242" s="23">
        <f t="shared" si="1742"/>
        <v>9.2959999999999994</v>
      </c>
      <c r="BQ242" s="23">
        <f t="shared" si="1742"/>
        <v>8.7140000000000004</v>
      </c>
      <c r="BR242" s="23">
        <f t="shared" si="1742"/>
        <v>8.4670000000000005</v>
      </c>
      <c r="BS242" s="23">
        <f t="shared" si="1742"/>
        <v>9.6750000000000007</v>
      </c>
      <c r="BT242" s="23">
        <f t="shared" si="1742"/>
        <v>11.054</v>
      </c>
      <c r="BU242" s="23">
        <f t="shared" si="1742"/>
        <v>10.488</v>
      </c>
      <c r="BV242" s="23">
        <f t="shared" si="1742"/>
        <v>10.782</v>
      </c>
      <c r="BW242" s="23">
        <f t="shared" si="1742"/>
        <v>11.082000000000001</v>
      </c>
      <c r="BX242" s="23">
        <f t="shared" si="1742"/>
        <v>11.010999999999999</v>
      </c>
      <c r="BY242" s="23">
        <f t="shared" si="1742"/>
        <v>12.337</v>
      </c>
      <c r="BZ242" s="23">
        <f t="shared" si="1742"/>
        <v>11.144</v>
      </c>
      <c r="CA242" s="23">
        <f t="shared" si="1742"/>
        <v>11.493</v>
      </c>
      <c r="CB242" s="23">
        <f t="shared" si="1742"/>
        <v>10.78</v>
      </c>
      <c r="CC242" s="23">
        <f t="shared" si="1742"/>
        <v>10.848000000000001</v>
      </c>
      <c r="CD242" s="23">
        <f t="shared" si="1742"/>
        <v>12.252000000000001</v>
      </c>
      <c r="CE242" s="23">
        <f t="shared" si="1742"/>
        <v>11.653</v>
      </c>
      <c r="CF242" s="23">
        <f t="shared" si="1742"/>
        <v>12.002000000000001</v>
      </c>
      <c r="CG242" s="23">
        <f t="shared" si="1742"/>
        <v>11.879</v>
      </c>
      <c r="CH242" s="23">
        <f t="shared" si="1742"/>
        <v>12.903</v>
      </c>
      <c r="CI242" s="23">
        <f t="shared" si="1742"/>
        <v>13.972</v>
      </c>
      <c r="CJ242" s="23">
        <f t="shared" si="1742"/>
        <v>14.281000000000001</v>
      </c>
      <c r="CK242" s="23">
        <f t="shared" si="1742"/>
        <v>14.173</v>
      </c>
      <c r="CL242" s="23">
        <f t="shared" si="1742"/>
        <v>13.952999999999999</v>
      </c>
      <c r="CM242" s="24">
        <f t="shared" si="1742"/>
        <v>13.943807999399006</v>
      </c>
      <c r="CN242" s="24">
        <f t="shared" si="1742"/>
        <v>16.444142251867405</v>
      </c>
      <c r="CO242" s="24">
        <f t="shared" si="1742"/>
        <v>19.608090746231003</v>
      </c>
      <c r="CP242" s="24">
        <f t="shared" si="1742"/>
        <v>26.063969385037542</v>
      </c>
      <c r="CQ242" s="24">
        <f t="shared" si="1742"/>
        <v>27.17300984426198</v>
      </c>
      <c r="CR242" s="24">
        <f t="shared" si="1742"/>
        <v>28.26541469659805</v>
      </c>
      <c r="CS242" s="24">
        <f t="shared" si="1742"/>
        <v>29.341433476149078</v>
      </c>
      <c r="CT242" s="24">
        <f t="shared" si="1742"/>
        <v>30.401311974006845</v>
      </c>
      <c r="CU242" s="24">
        <f t="shared" ref="CU242:DB242" si="1743">CU81</f>
        <v>31.445292294396737</v>
      </c>
      <c r="CV242" s="24">
        <f t="shared" si="1743"/>
        <v>31.34861290998079</v>
      </c>
      <c r="CW242" s="24">
        <f t="shared" si="1743"/>
        <v>31.253383716331072</v>
      </c>
      <c r="CX242" s="24">
        <f t="shared" si="1743"/>
        <v>31.159582960586111</v>
      </c>
      <c r="CY242" s="24">
        <f t="shared" si="1743"/>
        <v>31.067189216177315</v>
      </c>
      <c r="CZ242" s="24">
        <f t="shared" si="1743"/>
        <v>30.976181377934658</v>
      </c>
      <c r="DA242" s="24">
        <f t="shared" si="1743"/>
        <v>30.886538657265639</v>
      </c>
      <c r="DB242" s="24">
        <f t="shared" si="1743"/>
        <v>30.798240577406652</v>
      </c>
      <c r="DE242" s="123"/>
      <c r="DF242" s="23">
        <v>13.982137024906622</v>
      </c>
    </row>
    <row r="243" spans="1:110" s="22" customFormat="1" x14ac:dyDescent="0.2">
      <c r="A243" s="22" t="s">
        <v>89</v>
      </c>
      <c r="C243" s="22">
        <f t="shared" ref="C243:W243" si="1744">C241+C242</f>
        <v>4.9958399</v>
      </c>
      <c r="D243" s="22">
        <f t="shared" si="1744"/>
        <v>5.6275928000000057</v>
      </c>
      <c r="E243" s="22">
        <f t="shared" si="1744"/>
        <v>9.4440985999999914</v>
      </c>
      <c r="F243" s="22">
        <f t="shared" si="1744"/>
        <v>7.4124376000000067</v>
      </c>
      <c r="G243" s="22">
        <f t="shared" si="1744"/>
        <v>12.047102099999988</v>
      </c>
      <c r="H243" s="22">
        <f t="shared" si="1744"/>
        <v>13.824189199999998</v>
      </c>
      <c r="I243" s="22">
        <f t="shared" si="1744"/>
        <v>17.440336300000016</v>
      </c>
      <c r="J243" s="22">
        <f t="shared" si="1744"/>
        <v>19.921849800000011</v>
      </c>
      <c r="K243" s="22">
        <f t="shared" si="1744"/>
        <v>27.291539300000039</v>
      </c>
      <c r="L243" s="22">
        <f t="shared" si="1744"/>
        <v>34.884633500000021</v>
      </c>
      <c r="M243" s="22">
        <f t="shared" si="1744"/>
        <v>46.016133600000082</v>
      </c>
      <c r="N243" s="22">
        <f t="shared" si="1744"/>
        <v>43.883704899999962</v>
      </c>
      <c r="O243" s="22">
        <f t="shared" si="1744"/>
        <v>49.997000000000028</v>
      </c>
      <c r="P243" s="22">
        <f t="shared" si="1744"/>
        <v>54.347710699999986</v>
      </c>
      <c r="Q243" s="22">
        <f t="shared" si="1744"/>
        <v>76.995601599999986</v>
      </c>
      <c r="R243" s="22">
        <f t="shared" si="1744"/>
        <v>102.06369460000006</v>
      </c>
      <c r="S243" s="22">
        <f t="shared" si="1744"/>
        <v>132.46893289999991</v>
      </c>
      <c r="T243" s="22">
        <f t="shared" si="1744"/>
        <v>137.08687469999995</v>
      </c>
      <c r="U243" s="22">
        <f t="shared" si="1744"/>
        <v>136.42051060000003</v>
      </c>
      <c r="V243" s="22">
        <f t="shared" si="1744"/>
        <v>272.60349999999994</v>
      </c>
      <c r="W243" s="22">
        <f t="shared" si="1744"/>
        <v>410.41739999999999</v>
      </c>
      <c r="X243" s="22">
        <f t="shared" ref="X243:Y243" si="1745">X241+X242</f>
        <v>371.09340000000032</v>
      </c>
      <c r="Y243" s="22">
        <f t="shared" si="1745"/>
        <v>250.22720000000012</v>
      </c>
      <c r="Z243" s="22">
        <f t="shared" ref="Z243:AA243" si="1746">Z241+Z242</f>
        <v>205.95729999999992</v>
      </c>
      <c r="AA243" s="22">
        <f t="shared" si="1746"/>
        <v>211.12930000000028</v>
      </c>
      <c r="AB243" s="21">
        <f t="shared" ref="AA243:AD243" si="1747">AB241+AB242</f>
        <v>325.70152143537348</v>
      </c>
      <c r="AC243" s="21">
        <f t="shared" si="1747"/>
        <v>448.66714968951914</v>
      </c>
      <c r="AD243" s="21">
        <f t="shared" si="1747"/>
        <v>598.02855093568053</v>
      </c>
      <c r="AE243" s="21">
        <f t="shared" ref="AE243" si="1748">AE241+AE242</f>
        <v>843.24440107880434</v>
      </c>
      <c r="AI243" s="22">
        <f t="shared" ref="AI243" si="1749">AI241+AI242</f>
        <v>12.509999999999991</v>
      </c>
      <c r="AJ243" s="22">
        <f t="shared" ref="AJ243:AL243" si="1750">AJ241+AJ242</f>
        <v>12.055000000000001</v>
      </c>
      <c r="AK243" s="22">
        <f t="shared" si="1750"/>
        <v>10.364999999999993</v>
      </c>
      <c r="AL243" s="22">
        <f t="shared" si="1750"/>
        <v>8.9199999999999928</v>
      </c>
      <c r="AM243" s="22">
        <f t="shared" ref="AM243" si="1751">AM241+AM242</f>
        <v>12.280000000000001</v>
      </c>
      <c r="AN243" s="22">
        <f t="shared" ref="AN243:CD243" si="1752">AN241+AN242</f>
        <v>15.521000000000017</v>
      </c>
      <c r="AO243" s="22">
        <f t="shared" si="1752"/>
        <v>8.6999999999999762</v>
      </c>
      <c r="AP243" s="22">
        <f t="shared" si="1752"/>
        <v>13.500000000000009</v>
      </c>
      <c r="AQ243" s="22">
        <f t="shared" si="1752"/>
        <v>14.210000000000012</v>
      </c>
      <c r="AR243" s="22">
        <f t="shared" si="1752"/>
        <v>14.013999999999994</v>
      </c>
      <c r="AS243" s="22">
        <f t="shared" si="1752"/>
        <v>11.173999999999996</v>
      </c>
      <c r="AT243" s="22">
        <f t="shared" si="1752"/>
        <v>15.55000000000002</v>
      </c>
      <c r="AU243" s="22">
        <f t="shared" si="1752"/>
        <v>17.208000000000009</v>
      </c>
      <c r="AV243" s="22">
        <f t="shared" si="1752"/>
        <v>16.205999999999992</v>
      </c>
      <c r="AW243" s="22">
        <f t="shared" si="1752"/>
        <v>17.698000000000004</v>
      </c>
      <c r="AX243" s="22">
        <f t="shared" si="1752"/>
        <v>28.059000000000012</v>
      </c>
      <c r="AY243" s="22">
        <f t="shared" si="1752"/>
        <v>30.831000000000007</v>
      </c>
      <c r="AZ243" s="22">
        <f t="shared" si="1752"/>
        <v>26.221000000000004</v>
      </c>
      <c r="BA243" s="22">
        <f t="shared" si="1752"/>
        <v>24.120999999999992</v>
      </c>
      <c r="BB243" s="22">
        <f t="shared" si="1752"/>
        <v>22.622999999999983</v>
      </c>
      <c r="BC243" s="22">
        <f t="shared" si="1752"/>
        <v>27.145999999999987</v>
      </c>
      <c r="BD243" s="22">
        <f t="shared" si="1752"/>
        <v>33.53300000000003</v>
      </c>
      <c r="BE243" s="22">
        <f t="shared" si="1752"/>
        <v>32.455999999999982</v>
      </c>
      <c r="BF243" s="22">
        <f t="shared" si="1752"/>
        <v>39.333999999999939</v>
      </c>
      <c r="BG243" s="22">
        <f t="shared" si="1752"/>
        <v>38.531000000000027</v>
      </c>
      <c r="BH243" s="22">
        <f t="shared" si="1752"/>
        <v>35.715000000000003</v>
      </c>
      <c r="BI243" s="22">
        <f t="shared" si="1752"/>
        <v>30.987999999999982</v>
      </c>
      <c r="BJ243" s="22">
        <f t="shared" si="1752"/>
        <v>31.850000000000016</v>
      </c>
      <c r="BK243" s="22">
        <f t="shared" si="1752"/>
        <v>24.859999999999996</v>
      </c>
      <c r="BL243" s="22">
        <f t="shared" si="1752"/>
        <v>39.250999999999991</v>
      </c>
      <c r="BM243" s="22">
        <f t="shared" si="1752"/>
        <v>31.372000000000007</v>
      </c>
      <c r="BN243" s="22">
        <f t="shared" si="1752"/>
        <v>40.936999999999991</v>
      </c>
      <c r="BO243" s="22">
        <f t="shared" si="1752"/>
        <v>40.899000000000015</v>
      </c>
      <c r="BP243" s="22">
        <f t="shared" si="1752"/>
        <v>55.056000000000004</v>
      </c>
      <c r="BQ243" s="22">
        <f t="shared" si="1752"/>
        <v>83.684000000000012</v>
      </c>
      <c r="BR243" s="22">
        <f t="shared" si="1752"/>
        <v>92.966000000000008</v>
      </c>
      <c r="BS243" s="22">
        <f t="shared" si="1752"/>
        <v>100.05999999999997</v>
      </c>
      <c r="BT243" s="22">
        <f t="shared" si="1752"/>
        <v>90.804999999999922</v>
      </c>
      <c r="BU243" s="22">
        <f t="shared" si="1752"/>
        <v>100.04299999999996</v>
      </c>
      <c r="BV243" s="22">
        <f t="shared" si="1752"/>
        <v>119.50500000000004</v>
      </c>
      <c r="BW243" s="22">
        <f t="shared" si="1752"/>
        <v>134.05000000000004</v>
      </c>
      <c r="BX243" s="22">
        <f t="shared" si="1752"/>
        <v>103.581</v>
      </c>
      <c r="BY243" s="22">
        <f t="shared" si="1752"/>
        <v>74.908000000000001</v>
      </c>
      <c r="BZ243" s="22">
        <f t="shared" si="1752"/>
        <v>58.552999999999962</v>
      </c>
      <c r="CA243" s="22">
        <f t="shared" si="1752"/>
        <v>64.225000000000009</v>
      </c>
      <c r="CB243" s="22">
        <f t="shared" si="1752"/>
        <v>45.491000000000014</v>
      </c>
      <c r="CC243" s="22">
        <f t="shared" si="1752"/>
        <v>60.221000000000046</v>
      </c>
      <c r="CD243" s="22">
        <f t="shared" si="1752"/>
        <v>80.286000000000016</v>
      </c>
      <c r="CE243" s="22">
        <f t="shared" ref="CE243:CF243" si="1753">CE241+CE242</f>
        <v>54.945999999999998</v>
      </c>
      <c r="CF243" s="22">
        <f t="shared" si="1753"/>
        <v>52.981999999999992</v>
      </c>
      <c r="CG243" s="22">
        <f t="shared" ref="CG243:CH243" si="1754">CG241+CG242</f>
        <v>45.063000000000024</v>
      </c>
      <c r="CH243" s="22">
        <f t="shared" si="1754"/>
        <v>52.965000000000018</v>
      </c>
      <c r="CI243" s="22">
        <f t="shared" ref="CI243:CJ243" si="1755">CI241+CI242</f>
        <v>51.972999999999992</v>
      </c>
      <c r="CJ243" s="22">
        <f t="shared" si="1755"/>
        <v>48.84</v>
      </c>
      <c r="CK243" s="22">
        <f t="shared" ref="CK243:DB243" si="1756">CK241+CK242</f>
        <v>45.607000000000006</v>
      </c>
      <c r="CL243" s="22">
        <f t="shared" si="1756"/>
        <v>77.15900000000002</v>
      </c>
      <c r="CM243" s="21">
        <f t="shared" si="1756"/>
        <v>75.593420628481724</v>
      </c>
      <c r="CN243" s="21">
        <f t="shared" si="1756"/>
        <v>82.509807387300626</v>
      </c>
      <c r="CO243" s="21">
        <f t="shared" si="1756"/>
        <v>78.399710225461988</v>
      </c>
      <c r="CP243" s="21">
        <f t="shared" si="1756"/>
        <v>89.1985831941291</v>
      </c>
      <c r="CQ243" s="21">
        <f t="shared" si="1756"/>
        <v>112.10257857669176</v>
      </c>
      <c r="CR243" s="21">
        <f t="shared" si="1756"/>
        <v>107.19226619590907</v>
      </c>
      <c r="CS243" s="21">
        <f t="shared" si="1756"/>
        <v>102.41162181682449</v>
      </c>
      <c r="CT243" s="21">
        <f t="shared" si="1756"/>
        <v>126.9606831000941</v>
      </c>
      <c r="CU243" s="21">
        <f t="shared" si="1756"/>
        <v>141.8340369512872</v>
      </c>
      <c r="CV243" s="21">
        <f t="shared" si="1756"/>
        <v>144.65522233750954</v>
      </c>
      <c r="CW243" s="21">
        <f t="shared" si="1756"/>
        <v>140.65676738790035</v>
      </c>
      <c r="CX243" s="21">
        <f t="shared" si="1756"/>
        <v>170.88252425898349</v>
      </c>
      <c r="CY243" s="21">
        <f t="shared" si="1756"/>
        <v>197.74084658688307</v>
      </c>
      <c r="CZ243" s="21">
        <f t="shared" si="1756"/>
        <v>202.72128670186407</v>
      </c>
      <c r="DA243" s="21">
        <f t="shared" si="1756"/>
        <v>196.61854525924355</v>
      </c>
      <c r="DB243" s="21">
        <f t="shared" si="1756"/>
        <v>246.16372253081454</v>
      </c>
      <c r="DE243" s="126"/>
      <c r="DF243" s="22">
        <v>64.362767528844543</v>
      </c>
    </row>
    <row r="244" spans="1:110" s="23" customFormat="1" x14ac:dyDescent="0.2">
      <c r="A244" s="23" t="s">
        <v>65</v>
      </c>
      <c r="C244" s="23">
        <f t="shared" ref="C244:AA244" si="1757">B196-C196+B211+B212-C211-C212</f>
        <v>3.8277271999999991</v>
      </c>
      <c r="D244" s="23">
        <f t="shared" si="1757"/>
        <v>-2.9285510999999982</v>
      </c>
      <c r="E244" s="23">
        <f>D196-E196+D211+D212-E211-E212</f>
        <v>-9.0392724000000015</v>
      </c>
      <c r="F244" s="23">
        <f t="shared" si="1757"/>
        <v>-12.080076000000002</v>
      </c>
      <c r="G244" s="23">
        <f t="shared" si="1757"/>
        <v>-13.481071099999992</v>
      </c>
      <c r="H244" s="23">
        <f t="shared" si="1757"/>
        <v>-24.412078700000009</v>
      </c>
      <c r="I244" s="23">
        <f t="shared" si="1757"/>
        <v>-21.71079000000001</v>
      </c>
      <c r="J244" s="23">
        <f>I196-J196+I211+I212-J211-J212</f>
        <v>11.345715300000016</v>
      </c>
      <c r="K244" s="23">
        <f>J196-K196+J211+J212-K211-K212</f>
        <v>-14.908831099999993</v>
      </c>
      <c r="L244" s="23">
        <f t="shared" si="1757"/>
        <v>-45.83229819999999</v>
      </c>
      <c r="M244" s="23">
        <f t="shared" si="1757"/>
        <v>-53.201556000000011</v>
      </c>
      <c r="N244" s="23">
        <f t="shared" si="1757"/>
        <v>36.46654400000002</v>
      </c>
      <c r="O244" s="23">
        <f t="shared" si="1757"/>
        <v>-55.009848200000057</v>
      </c>
      <c r="P244" s="23">
        <f t="shared" si="1757"/>
        <v>-11.386140399999988</v>
      </c>
      <c r="Q244" s="23">
        <f t="shared" si="1757"/>
        <v>37.378898799999995</v>
      </c>
      <c r="R244" s="23">
        <f t="shared" si="1757"/>
        <v>-41.525923599999935</v>
      </c>
      <c r="S244" s="23">
        <f t="shared" si="1757"/>
        <v>-104.13362470000004</v>
      </c>
      <c r="T244" s="23">
        <f t="shared" si="1757"/>
        <v>-56.268886599999995</v>
      </c>
      <c r="U244" s="23">
        <f t="shared" si="1757"/>
        <v>-3.2604820000000037</v>
      </c>
      <c r="V244" s="23">
        <f t="shared" si="1757"/>
        <v>-133.45554149999998</v>
      </c>
      <c r="W244" s="23">
        <f t="shared" si="1757"/>
        <v>-276.60020000000009</v>
      </c>
      <c r="X244" s="23">
        <f t="shared" si="1757"/>
        <v>124.56140000000011</v>
      </c>
      <c r="Y244" s="23">
        <f t="shared" si="1757"/>
        <v>61.015899999999732</v>
      </c>
      <c r="Z244" s="23">
        <f t="shared" si="1757"/>
        <v>58.912100000000024</v>
      </c>
      <c r="AA244" s="23">
        <f t="shared" si="1757"/>
        <v>50.617800000000059</v>
      </c>
      <c r="AB244" s="24">
        <f t="shared" ref="AB244" si="1758">AA196-AB196+AA211+AA212-AB211-AB212</f>
        <v>-651.74481436933547</v>
      </c>
      <c r="AC244" s="24">
        <f t="shared" ref="AC244" si="1759">AB196-AC196+AB211+AB212-AC211-AC212</f>
        <v>-657.63092939254716</v>
      </c>
      <c r="AD244" s="24">
        <f t="shared" ref="AD244" si="1760">AC196-AD196+AC211+AC212-AD211-AD212</f>
        <v>-741.98641194102447</v>
      </c>
      <c r="AE244" s="24">
        <f t="shared" ref="AE244" si="1761">AD196-AE196+AD211+AD212-AE211-AE212</f>
        <v>-1056.0619182092014</v>
      </c>
      <c r="AI244" s="23">
        <f>AH196-AI196+AH211+AH212-AI211-AJ212</f>
        <v>0</v>
      </c>
      <c r="AJ244" s="23">
        <f t="shared" ref="AJ244:AL244" si="1762">AI196-AJ196+AI211+AI212-AJ211-AK212</f>
        <v>-171.55600000000001</v>
      </c>
      <c r="AK244" s="23">
        <f t="shared" si="1762"/>
        <v>24.885629468855882</v>
      </c>
      <c r="AL244" s="23">
        <f t="shared" si="1762"/>
        <v>-13.649629468855863</v>
      </c>
      <c r="AM244" s="23">
        <f t="shared" ref="AM244" si="1763">AL196-AM196+AL211+AL212-AM211-AM212</f>
        <v>1.5651314673451964</v>
      </c>
      <c r="AN244" s="23">
        <f t="shared" ref="AN244" si="1764">AM196-AN196+AM211+AM212-AN211-AN212</f>
        <v>-33.623131467345203</v>
      </c>
      <c r="AO244" s="23">
        <f t="shared" ref="AO244" si="1765">AN196-AO196+AN211+AN212-AO211-AO212</f>
        <v>30.187606046679207</v>
      </c>
      <c r="AP244" s="23">
        <f t="shared" ref="AP244" si="1766">AO196-AP196+AO211+AO212-AP211-AP212</f>
        <v>-53.1296060466792</v>
      </c>
      <c r="AQ244" s="23">
        <f t="shared" ref="AQ244" si="1767">AP196-AQ196+AP211+AP212-AQ211-AQ212</f>
        <v>9.1066169096209819</v>
      </c>
      <c r="AR244" s="23">
        <f t="shared" ref="AR244" si="1768">AQ196-AR196+AQ211+AQ212-AR211-AR212</f>
        <v>13.74338309037902</v>
      </c>
      <c r="AS244" s="23">
        <f t="shared" ref="AS244" si="1769">AR196-AS196+AR211+AR212-AS211-AS212</f>
        <v>12.344834297108662</v>
      </c>
      <c r="AT244" s="23">
        <f t="shared" ref="AT244" si="1770">AS196-AT196+AS211+AS212-AT211-AT212</f>
        <v>-45.857834297108617</v>
      </c>
      <c r="AU244" s="23">
        <f t="shared" ref="AU244" si="1771">AT196-AU196+AT211+AT212-AU211-AU212</f>
        <v>-17.764827261077755</v>
      </c>
      <c r="AV244" s="23">
        <f t="shared" ref="AV244" si="1772">AU196-AV196+AU211+AU212-AV211-AV212</f>
        <v>79.527827261077704</v>
      </c>
      <c r="AW244" s="23">
        <f t="shared" ref="AW244" si="1773">AV196-AW196+AV211+AV212-AW211-AW212</f>
        <v>11.127863808016969</v>
      </c>
      <c r="AX244" s="23">
        <f t="shared" ref="AX244" si="1774">AW196-AX196+AW211+AW212-AX211-AX212</f>
        <v>-35.51186380801699</v>
      </c>
      <c r="AY244" s="23">
        <f t="shared" ref="AY244" si="1775">AX196-AY196+AX211+AX212-AY211-AY212</f>
        <v>-2.088579309195012</v>
      </c>
      <c r="AZ244" s="23">
        <f t="shared" ref="AZ244" si="1776">AY196-AZ196+AY211+AY212-AZ211-AZ212</f>
        <v>39.870579309195037</v>
      </c>
      <c r="BA244" s="23">
        <f t="shared" ref="BA244" si="1777">AZ196-BA196+AZ211+AZ212-BA211-BA212</f>
        <v>-8.1099658148950411</v>
      </c>
      <c r="BB244" s="23">
        <f t="shared" ref="BB244" si="1778">BA196-BB196+BA211+BA212-BB211-BB212</f>
        <v>-71.199034185104949</v>
      </c>
      <c r="BC244" s="23">
        <f t="shared" ref="BC244" si="1779">BB196-BC196+BB211+BB212-BC211-BC212</f>
        <v>-8.01100838247703</v>
      </c>
      <c r="BD244" s="23">
        <f t="shared" ref="BD244" si="1780">BC196-BD196+BC211+BC212-BD211-BD212</f>
        <v>-2.0079916175229684</v>
      </c>
      <c r="BE244" s="23">
        <f t="shared" ref="BE244" si="1781">BD196-BE196+BD211+BD212-BE211-BE212</f>
        <v>-18.314607017177643</v>
      </c>
      <c r="BF244" s="23">
        <f t="shared" ref="BF244" si="1782">BE196-BF196+BE211+BE212-BF211-BF212</f>
        <v>-75.800392982822288</v>
      </c>
      <c r="BG244" s="23">
        <f t="shared" ref="BG244" si="1783">BF196-BG196+BF211+BF212-BG211-BG212</f>
        <v>-4.66472250398499</v>
      </c>
      <c r="BH244" s="23">
        <f t="shared" ref="BH244" si="1784">BG196-BH196+BG211+BG212-BH211-BH212</f>
        <v>-44.23627749601507</v>
      </c>
      <c r="BI244" s="23">
        <f t="shared" ref="BI244" si="1785">BH196-BI196+BH211+BH212-BI211-BI212</f>
        <v>-32.382099135161646</v>
      </c>
      <c r="BJ244" s="23">
        <f t="shared" ref="BJ244" si="1786">BI196-BJ196+BI211+BI212-BJ211-BJ212</f>
        <v>25.015099135161684</v>
      </c>
      <c r="BK244" s="23">
        <f t="shared" ref="BK244" si="1787">BJ196-BK196+BJ211+BJ212-BK211-BK212</f>
        <v>5.3122538511435664</v>
      </c>
      <c r="BL244" s="23">
        <f t="shared" ref="BL244" si="1788">BK196-BL196+BK211+BK212-BL211-BL212</f>
        <v>51.06074614885641</v>
      </c>
      <c r="BM244" s="23">
        <f t="shared" ref="BM244" si="1789">BL196-BM196+BL211+BL212-BM211-BM212</f>
        <v>-0.32540950394496804</v>
      </c>
      <c r="BN244" s="23">
        <f t="shared" ref="BN244" si="1790">BM196-BN196+BM211+BM212-BN211-BN212</f>
        <v>-59.308590496055075</v>
      </c>
      <c r="BO244" s="23">
        <f t="shared" ref="BO244" si="1791">BN196-BO196+BN211+BN212-BO211-BO212</f>
        <v>43.040362694601754</v>
      </c>
      <c r="BP244" s="23">
        <f t="shared" ref="BP244" si="1792">BO196-BP196+BO211+BO212-BP211-BP212</f>
        <v>-128.28336269460166</v>
      </c>
      <c r="BQ244" s="23">
        <f t="shared" ref="BQ244" si="1793">BP196-BQ196+BP211+BP212-BQ211-BQ212</f>
        <v>-134.52930897179385</v>
      </c>
      <c r="BR244" s="23">
        <f t="shared" ref="BR244" si="1794">BQ196-BR196+BQ211+BQ212-BR211-BR212</f>
        <v>86.31830897179384</v>
      </c>
      <c r="BS244" s="23">
        <f t="shared" ref="BS244" si="1795">BR196-BS196+BR211+BR212-BS211-BS212</f>
        <v>-36.785255829231346</v>
      </c>
      <c r="BT244" s="23">
        <f t="shared" ref="BT244" si="1796">BS196-BT196+BS211+BS212-BT211-BT212</f>
        <v>-217.30274417076868</v>
      </c>
      <c r="BU244" s="23">
        <f t="shared" ref="BU244" si="1797">BT196-BU196+BT211+BT212-BU211-BU212</f>
        <v>-47.956993234208092</v>
      </c>
      <c r="BV244" s="23">
        <f t="shared" ref="BV244" si="1798">BU196-BV196+BU211+BU212-BV211-BV212</f>
        <v>25.44299323420811</v>
      </c>
      <c r="BW244" s="23">
        <f t="shared" ref="BW244" si="1799">BV196-BW196+BV211+BV212-BW211-BW212</f>
        <v>114.44972971144307</v>
      </c>
      <c r="BX244" s="23">
        <f t="shared" ref="BX244" si="1800">BW196-BX196+BW211+BW212-BX211-BX212</f>
        <v>-381.34472971144322</v>
      </c>
      <c r="BY244" s="23">
        <f t="shared" ref="BY244" si="1801">BX196-BY196+BX211+BX212-BY211-BY212</f>
        <v>62.285772279215507</v>
      </c>
      <c r="BZ244" s="23">
        <f t="shared" ref="BZ244" si="1802">BY196-BZ196+BY211+BY212-BZ211-BZ212</f>
        <v>329.17122772078454</v>
      </c>
      <c r="CA244" s="23">
        <f t="shared" ref="CA244" si="1803">BZ196-CA196+BZ211+BZ212-CA211-CA212</f>
        <v>11.149316806499883</v>
      </c>
      <c r="CB244" s="23">
        <f t="shared" ref="CB244" si="1804">CA196-CB196+CA211+CA212-CB211-CB212</f>
        <v>71.846683193500013</v>
      </c>
      <c r="CC244" s="23">
        <f t="shared" ref="CC244" si="1805">CB196-CC196+CB211+CB212-CC211-CC212</f>
        <v>-4.3053362922553333</v>
      </c>
      <c r="CD244" s="23">
        <f t="shared" ref="CD244" si="1806">CC196-CD196+CC211+CC212-CD211-CD212</f>
        <v>-17.676663707744609</v>
      </c>
      <c r="CE244" s="23">
        <f t="shared" ref="CE244" si="1807">CD196-CE196+CD211+CD212-CE211-CE212</f>
        <v>42.756373356332119</v>
      </c>
      <c r="CF244" s="23">
        <f t="shared" ref="CF244" si="1808">CE196-CF196+CE211+CE212-CF211-CF212</f>
        <v>3.3946266436678911</v>
      </c>
      <c r="CG244" s="23">
        <f t="shared" ref="CG244" si="1809">CF196-CG196+CF211+CF212-CG211-CG212</f>
        <v>57.646008755113371</v>
      </c>
      <c r="CH244" s="23">
        <f t="shared" ref="CH244:CL244" si="1810">CG196-CH196+CG211+CG212-CH211-CH212</f>
        <v>-44.882908755113462</v>
      </c>
      <c r="CI244" s="23">
        <f t="shared" si="1810"/>
        <v>-10.466696335986967</v>
      </c>
      <c r="CJ244" s="23">
        <f t="shared" si="1810"/>
        <v>-73.40140366401279</v>
      </c>
      <c r="CK244" s="23">
        <f t="shared" ref="CK244" si="1811">CJ196-CK196+CJ211+CJ212-CK211-CK212</f>
        <v>20.34621289553445</v>
      </c>
      <c r="CL244" s="23">
        <f t="shared" si="1810"/>
        <v>-180.23521289553463</v>
      </c>
      <c r="CM244" s="24">
        <f t="shared" ref="CM244" si="1812">CL196-CM196+CL211+CL212-CM211-CM212</f>
        <v>-148.66073923150543</v>
      </c>
      <c r="CN244" s="24">
        <f t="shared" ref="CN244" si="1813">CM196-CN196+CM211+CM212-CN211-CN212</f>
        <v>-32.37567267524696</v>
      </c>
      <c r="CO244" s="24">
        <f t="shared" ref="CO244" si="1814">CN196-CO196+CN211+CN212-CO211-CO212</f>
        <v>32.520029680938251</v>
      </c>
      <c r="CP244" s="24">
        <f t="shared" ref="CP244" si="1815">CO196-CP196+CO211+CO212-CP211-CP212</f>
        <v>-208.85353214352131</v>
      </c>
      <c r="CQ244" s="24">
        <f t="shared" ref="CQ244" si="1816">CP196-CQ196+CP211+CP212-CQ211-CQ212</f>
        <v>-336.90251304989329</v>
      </c>
      <c r="CR244" s="24">
        <f t="shared" ref="CR244" si="1817">CQ196-CR196+CQ211+CQ212-CR211-CR212</f>
        <v>-50.710968495540783</v>
      </c>
      <c r="CS244" s="24">
        <f t="shared" ref="CS244" si="1818">CR196-CS196+CR211+CR212-CS211-CS212</f>
        <v>56.692757693890144</v>
      </c>
      <c r="CT244" s="24">
        <f t="shared" ref="CT244" si="1819">CS196-CT196+CS211+CS212-CT211-CT212</f>
        <v>-326.71020554100323</v>
      </c>
      <c r="CU244" s="24">
        <f t="shared" ref="CU244" si="1820">CT196-CU196+CT211+CT212-CU211-CU212</f>
        <v>-295.17963822733236</v>
      </c>
      <c r="CV244" s="24">
        <f t="shared" ref="CV244" si="1821">CU196-CV196+CU211+CU212-CV211-CV212</f>
        <v>-71.252042891522251</v>
      </c>
      <c r="CW244" s="24">
        <f t="shared" ref="CW244" si="1822">CV196-CW196+CV211+CV212-CW211-CW212</f>
        <v>82.650419748792046</v>
      </c>
      <c r="CX244" s="24">
        <f t="shared" ref="CX244" si="1823">CW196-CX196+CW211+CW212-CX211-CX212</f>
        <v>-458.20515057096191</v>
      </c>
      <c r="CY244" s="24">
        <f t="shared" ref="CY244" si="1824">CX196-CY196+CX211+CX212-CY211-CY212</f>
        <v>-428.99820982740493</v>
      </c>
      <c r="CZ244" s="24">
        <f t="shared" ref="CZ244" si="1825">CY196-CZ196+CY211+CY212-CZ211-CZ212</f>
        <v>-100.8033697413066</v>
      </c>
      <c r="DA244" s="24">
        <f t="shared" ref="DA244" si="1826">CZ196-DA196+CZ211+CZ212-DA211-DA212</f>
        <v>121.23775788073544</v>
      </c>
      <c r="DB244" s="24">
        <f t="shared" ref="DB244" si="1827">DA196-DB196+DA211+DA212-DB211-DB212</f>
        <v>-647.49809652122531</v>
      </c>
      <c r="DE244" s="123"/>
      <c r="DF244" s="23">
        <v>-240.76901220528532</v>
      </c>
    </row>
    <row r="245" spans="1:110" s="23" customFormat="1" x14ac:dyDescent="0.2">
      <c r="A245" s="23" t="s">
        <v>73</v>
      </c>
      <c r="C245" s="23">
        <f t="shared" ref="C245:AA245" si="1828">B204-C204</f>
        <v>-3.0134032999999998</v>
      </c>
      <c r="D245" s="23">
        <f t="shared" si="1828"/>
        <v>0.70283549999999995</v>
      </c>
      <c r="E245" s="23">
        <f>D204-E204</f>
        <v>-6.4005019000000001</v>
      </c>
      <c r="F245" s="23">
        <f t="shared" si="1828"/>
        <v>-6.0824473000000019</v>
      </c>
      <c r="G245" s="23">
        <f t="shared" si="1828"/>
        <v>-2.6788110999999972</v>
      </c>
      <c r="H245" s="23">
        <f t="shared" si="1828"/>
        <v>-5.5936062</v>
      </c>
      <c r="I245" s="23">
        <f t="shared" si="1828"/>
        <v>-11.158634500000002</v>
      </c>
      <c r="J245" s="23">
        <f>I204-J204</f>
        <v>7.0884894999999979</v>
      </c>
      <c r="K245" s="23">
        <f>J204-K204</f>
        <v>-9.7392598999999969</v>
      </c>
      <c r="L245" s="23">
        <f t="shared" si="1828"/>
        <v>-14.699660100000003</v>
      </c>
      <c r="M245" s="23">
        <f t="shared" si="1828"/>
        <v>-13.826312600000001</v>
      </c>
      <c r="N245" s="23">
        <f t="shared" si="1828"/>
        <v>5.3439800000006699E-2</v>
      </c>
      <c r="O245" s="23">
        <f t="shared" si="1828"/>
        <v>-46.982839100000007</v>
      </c>
      <c r="P245" s="23">
        <f t="shared" si="1828"/>
        <v>23.390920100000002</v>
      </c>
      <c r="Q245" s="23">
        <f t="shared" si="1828"/>
        <v>-9.6927670999999975</v>
      </c>
      <c r="R245" s="23">
        <f t="shared" si="1828"/>
        <v>-15.449979900000002</v>
      </c>
      <c r="S245" s="23">
        <f t="shared" si="1828"/>
        <v>-43.897887399999973</v>
      </c>
      <c r="T245" s="23">
        <f t="shared" si="1828"/>
        <v>-20.011818300000016</v>
      </c>
      <c r="U245" s="23">
        <f t="shared" si="1828"/>
        <v>39.284146599999985</v>
      </c>
      <c r="V245" s="23">
        <f t="shared" si="1828"/>
        <v>-84.659614000000005</v>
      </c>
      <c r="W245" s="23">
        <f t="shared" si="1828"/>
        <v>-35.915100000000024</v>
      </c>
      <c r="X245" s="23">
        <f t="shared" si="1828"/>
        <v>136.15060000000003</v>
      </c>
      <c r="Y245" s="23">
        <f t="shared" si="1828"/>
        <v>-19.853499999999997</v>
      </c>
      <c r="Z245" s="23">
        <f t="shared" si="1828"/>
        <v>21.016199999999998</v>
      </c>
      <c r="AA245" s="23">
        <f t="shared" si="1828"/>
        <v>-21.842199999999991</v>
      </c>
      <c r="AB245" s="24">
        <f t="shared" ref="AB245" si="1829">AA204-AB204</f>
        <v>-331.63221923850631</v>
      </c>
      <c r="AC245" s="24">
        <f t="shared" ref="AC245" si="1830">AB204-AC204</f>
        <v>-246.76875380281848</v>
      </c>
      <c r="AD245" s="24">
        <f t="shared" ref="AD245" si="1831">AC204-AD204</f>
        <v>-278.42221834432235</v>
      </c>
      <c r="AE245" s="24">
        <f t="shared" ref="AE245" si="1832">AD204-AE204</f>
        <v>-396.27558840004292</v>
      </c>
      <c r="AI245" s="23">
        <f t="shared" ref="AI245" si="1833">AH204-AI204</f>
        <v>0</v>
      </c>
      <c r="AJ245" s="23">
        <f t="shared" ref="AJ245" si="1834">AI204-AJ204</f>
        <v>-80.331000000000003</v>
      </c>
      <c r="AK245" s="23">
        <f t="shared" ref="AK245" si="1835">AJ204-AK204</f>
        <v>0</v>
      </c>
      <c r="AL245" s="23">
        <f t="shared" ref="AL245" si="1836">AK204-AL204</f>
        <v>-18.509</v>
      </c>
      <c r="AM245" s="23">
        <f t="shared" ref="AM245" si="1837">AL204-AM204</f>
        <v>0.34636556403732754</v>
      </c>
      <c r="AN245" s="23">
        <f t="shared" ref="AN245" si="1838">AM204-AN204</f>
        <v>-45.300365564037335</v>
      </c>
      <c r="AO245" s="23">
        <f t="shared" ref="AO245" si="1839">AN204-AO204</f>
        <v>13.409106885115591</v>
      </c>
      <c r="AP245" s="23">
        <f t="shared" ref="AP245" si="1840">AO204-AP204</f>
        <v>-20.875106885115571</v>
      </c>
      <c r="AQ245" s="23">
        <f t="shared" ref="AQ245" si="1841">AP204-AQ204</f>
        <v>3.5650093294460703</v>
      </c>
      <c r="AR245" s="23">
        <f t="shared" ref="AR245" si="1842">AQ204-AR204</f>
        <v>23.464990670553917</v>
      </c>
      <c r="AS245" s="23">
        <f t="shared" ref="AS245" si="1843">AR204-AS204</f>
        <v>3.8787553339980008</v>
      </c>
      <c r="AT245" s="23">
        <f t="shared" ref="AT245" si="1844">AS204-AT204</f>
        <v>-3.9097553339979925</v>
      </c>
      <c r="AU245" s="23">
        <f t="shared" ref="AU245" si="1845">AT204-AU204</f>
        <v>-3.6451383691913293</v>
      </c>
      <c r="AV245" s="23">
        <f t="shared" ref="AV245" si="1846">AU204-AV204</f>
        <v>25.639138369191315</v>
      </c>
      <c r="AW245" s="23">
        <f t="shared" ref="AW245" si="1847">AV204-AW204</f>
        <v>2.4777890889353387</v>
      </c>
      <c r="AX245" s="23">
        <f t="shared" ref="AX245" si="1848">AW204-AX204</f>
        <v>-26.707789088935328</v>
      </c>
      <c r="AY245" s="23">
        <f t="shared" ref="AY245" si="1849">AX204-AY204</f>
        <v>-0.5091772528968761</v>
      </c>
      <c r="AZ245" s="23">
        <f t="shared" ref="AZ245" si="1850">AY204-AZ204</f>
        <v>36.039177252896891</v>
      </c>
      <c r="BA245" s="23">
        <f t="shared" ref="BA245" si="1851">AZ204-BA204</f>
        <v>-1.7684201718259089</v>
      </c>
      <c r="BB245" s="23">
        <f t="shared" ref="BB245" si="1852">BA204-BB204</f>
        <v>-45.980579828174115</v>
      </c>
      <c r="BC245" s="23">
        <f t="shared" ref="BC245" si="1853">BB204-BC204</f>
        <v>-1.8468422551400181</v>
      </c>
      <c r="BD245" s="23">
        <f t="shared" ref="BD245" si="1854">BC204-BD204</f>
        <v>-18.118157744859957</v>
      </c>
      <c r="BE245" s="23">
        <f t="shared" ref="BE245" si="1855">BD204-BE204</f>
        <v>-5.0791906735854582</v>
      </c>
      <c r="BF245" s="23">
        <f t="shared" ref="BF245" si="1856">BE204-BF204</f>
        <v>-6.4098093264145746</v>
      </c>
      <c r="BG245" s="23">
        <f t="shared" ref="BG245" si="1857">BF204-BG204</f>
        <v>-1.2763457704915595</v>
      </c>
      <c r="BH245" s="23">
        <f t="shared" ref="BH245" si="1858">BG204-BH204</f>
        <v>-78.40365422950839</v>
      </c>
      <c r="BI245" s="23">
        <f t="shared" ref="BI245" si="1859">BH204-BI204</f>
        <v>-8.2903733319158164</v>
      </c>
      <c r="BJ245" s="23">
        <f t="shared" ref="BJ245" si="1860">BI204-BJ204</f>
        <v>40.752373331915777</v>
      </c>
      <c r="BK245" s="23">
        <f t="shared" ref="BK245" si="1861">BJ204-BK204</f>
        <v>1.3675793505456397</v>
      </c>
      <c r="BL245" s="23">
        <f t="shared" ref="BL245" si="1862">BK204-BL204</f>
        <v>125.52942064945438</v>
      </c>
      <c r="BM245" s="23">
        <f t="shared" ref="BM245" si="1863">BL204-BM204</f>
        <v>-2.9784020452979121E-2</v>
      </c>
      <c r="BN245" s="23">
        <f t="shared" ref="BN245" si="1864">BM204-BN204</f>
        <v>-69.100215979547045</v>
      </c>
      <c r="BO245" s="23">
        <f t="shared" ref="BO245" si="1865">BN204-BO204</f>
        <v>8.0790589899506529</v>
      </c>
      <c r="BP245" s="23">
        <f t="shared" ref="BP245" si="1866">BO204-BP204</f>
        <v>-38.128058989950631</v>
      </c>
      <c r="BQ245" s="23">
        <f t="shared" ref="BQ245" si="1867">BP204-BQ204</f>
        <v>-24.803631241036157</v>
      </c>
      <c r="BR245" s="23">
        <f t="shared" ref="BR245" si="1868">BQ204-BR204</f>
        <v>-38.89636875896386</v>
      </c>
      <c r="BS245" s="23">
        <f t="shared" ref="BS245" si="1869">BR204-BS204</f>
        <v>-6.7974602544718437</v>
      </c>
      <c r="BT245" s="23">
        <f t="shared" ref="BT245" si="1870">BS204-BT204</f>
        <v>-27.510539745528149</v>
      </c>
      <c r="BU245" s="23">
        <f t="shared" ref="BU245" si="1871">BT204-BU204</f>
        <v>-6.5932839369033331</v>
      </c>
      <c r="BV245" s="23">
        <f t="shared" ref="BV245" si="1872">BU204-BV204</f>
        <v>32.258283936903297</v>
      </c>
      <c r="BW245" s="23">
        <f t="shared" ref="BW245" si="1873">BV204-BW204</f>
        <v>25.542003506047166</v>
      </c>
      <c r="BX245" s="23">
        <f t="shared" ref="BX245" si="1874">BW204-BX204</f>
        <v>-70.703003506047168</v>
      </c>
      <c r="BY245" s="23">
        <f t="shared" ref="BY245" si="1875">BX204-BY204</f>
        <v>5.5735670647175652</v>
      </c>
      <c r="BZ245" s="23">
        <f t="shared" ref="BZ245" si="1876">BY204-BZ204</f>
        <v>175.73843293528248</v>
      </c>
      <c r="CA245" s="23">
        <f t="shared" ref="CA245" si="1877">BZ204-CA204</f>
        <v>1.0173523478187008</v>
      </c>
      <c r="CB245" s="23">
        <f t="shared" ref="CB245" si="1878">CA204-CB204</f>
        <v>30.216647652181294</v>
      </c>
      <c r="CC245" s="23">
        <f t="shared" ref="CC245" si="1879">CB204-CC204</f>
        <v>-0.31167085015135854</v>
      </c>
      <c r="CD245" s="23">
        <f t="shared" ref="CD245" si="1880">CC204-CD204</f>
        <v>-50.776329149848621</v>
      </c>
      <c r="CE245" s="23">
        <f t="shared" ref="CE245" si="1881">CD204-CE204</f>
        <v>5.4858519074158494</v>
      </c>
      <c r="CF245" s="23">
        <f t="shared" ref="CF245" si="1882">CE204-CF204</f>
        <v>40.46914809258412</v>
      </c>
      <c r="CG245" s="23">
        <f t="shared" ref="CG245" si="1883">CF204-CG204</f>
        <v>5.3311586903941759</v>
      </c>
      <c r="CH245" s="23">
        <f t="shared" ref="CH245:CL245" si="1884">CG204-CH204</f>
        <v>-30.269858690394173</v>
      </c>
      <c r="CI245" s="23">
        <f t="shared" si="1884"/>
        <v>-1.9843602325304488</v>
      </c>
      <c r="CJ245" s="23">
        <f t="shared" si="1884"/>
        <v>-11.589939767469545</v>
      </c>
      <c r="CK245" s="23">
        <f t="shared" ref="CK245" si="1885">CJ204-CK204</f>
        <v>3.7561746047593374</v>
      </c>
      <c r="CL245" s="23">
        <f t="shared" si="1884"/>
        <v>-209.55717460475938</v>
      </c>
      <c r="CM245" s="24">
        <f t="shared" ref="CM245" si="1886">CL204-CM204</f>
        <v>-55.783302943871661</v>
      </c>
      <c r="CN245" s="24">
        <f t="shared" ref="CN245" si="1887">CM204-CN204</f>
        <v>-12.148614127651229</v>
      </c>
      <c r="CO245" s="24">
        <f t="shared" ref="CO245" si="1888">CN204-CO204</f>
        <v>12.202782502046261</v>
      </c>
      <c r="CP245" s="24">
        <f t="shared" ref="CP245" si="1889">CO204-CP204</f>
        <v>-78.369984669029634</v>
      </c>
      <c r="CQ245" s="24">
        <f t="shared" ref="CQ245" si="1890">CP204-CQ204</f>
        <v>-126.41895261093265</v>
      </c>
      <c r="CR245" s="24">
        <f t="shared" ref="CR245" si="1891">CQ204-CR204</f>
        <v>-19.028731679846032</v>
      </c>
      <c r="CS245" s="24">
        <f t="shared" ref="CS245" si="1892">CR204-CS204</f>
        <v>21.273332108465411</v>
      </c>
      <c r="CT245" s="24">
        <f t="shared" ref="CT245" si="1893">CS204-CT204</f>
        <v>-122.59440162050521</v>
      </c>
      <c r="CU245" s="24">
        <f t="shared" ref="CU245" si="1894">CT204-CU204</f>
        <v>-110.76290395983801</v>
      </c>
      <c r="CV245" s="24">
        <f t="shared" ref="CV245" si="1895">CU204-CV204</f>
        <v>-26.736543316913526</v>
      </c>
      <c r="CW245" s="24">
        <f t="shared" ref="CW245" si="1896">CV204-CW204</f>
        <v>31.013658529608279</v>
      </c>
      <c r="CX245" s="24">
        <f t="shared" ref="CX245" si="1897">CW204-CX204</f>
        <v>-171.93642959717909</v>
      </c>
      <c r="CY245" s="24">
        <f t="shared" ref="CY245" si="1898">CX204-CY204</f>
        <v>-160.97684718164749</v>
      </c>
      <c r="CZ245" s="24">
        <f t="shared" ref="CZ245" si="1899">CY204-CZ204</f>
        <v>-37.825352820865646</v>
      </c>
      <c r="DA245" s="24">
        <f t="shared" ref="DA245" si="1900">CZ204-DA204</f>
        <v>45.493131616713754</v>
      </c>
      <c r="DB245" s="24">
        <f t="shared" ref="DB245" si="1901">DA204-DB204</f>
        <v>-242.96652001424354</v>
      </c>
      <c r="DE245" s="123"/>
      <c r="DF245" s="23">
        <v>-44.449080224505963</v>
      </c>
    </row>
    <row r="246" spans="1:110" s="22" customFormat="1" x14ac:dyDescent="0.2">
      <c r="A246" s="22" t="s">
        <v>90</v>
      </c>
      <c r="C246" s="22">
        <f t="shared" ref="C246:W246" si="1902">C244-C245</f>
        <v>6.8411304999999984</v>
      </c>
      <c r="D246" s="22">
        <f t="shared" si="1902"/>
        <v>-3.6313865999999981</v>
      </c>
      <c r="E246" s="22">
        <f t="shared" si="1902"/>
        <v>-2.6387705000000015</v>
      </c>
      <c r="F246" s="22">
        <f t="shared" si="1902"/>
        <v>-5.9976286999999999</v>
      </c>
      <c r="G246" s="22">
        <f t="shared" si="1902"/>
        <v>-10.802259999999995</v>
      </c>
      <c r="H246" s="22">
        <f t="shared" si="1902"/>
        <v>-18.818472500000009</v>
      </c>
      <c r="I246" s="22">
        <f t="shared" si="1902"/>
        <v>-10.552155500000008</v>
      </c>
      <c r="J246" s="22">
        <f>J244-J245</f>
        <v>4.2572258000000183</v>
      </c>
      <c r="K246" s="22">
        <f t="shared" si="1902"/>
        <v>-5.1695711999999965</v>
      </c>
      <c r="L246" s="22">
        <f t="shared" si="1902"/>
        <v>-31.132638099999987</v>
      </c>
      <c r="M246" s="22">
        <f t="shared" si="1902"/>
        <v>-39.375243400000009</v>
      </c>
      <c r="N246" s="22">
        <f t="shared" si="1902"/>
        <v>36.413104200000014</v>
      </c>
      <c r="O246" s="22">
        <f t="shared" si="1902"/>
        <v>-8.0270091000000505</v>
      </c>
      <c r="P246" s="22">
        <f t="shared" si="1902"/>
        <v>-34.77706049999999</v>
      </c>
      <c r="Q246" s="22">
        <f t="shared" si="1902"/>
        <v>47.071665899999992</v>
      </c>
      <c r="R246" s="22">
        <f t="shared" si="1902"/>
        <v>-26.075943699999932</v>
      </c>
      <c r="S246" s="22">
        <f t="shared" si="1902"/>
        <v>-60.235737300000068</v>
      </c>
      <c r="T246" s="22">
        <f t="shared" si="1902"/>
        <v>-36.257068299999979</v>
      </c>
      <c r="U246" s="22">
        <f t="shared" si="1902"/>
        <v>-42.544628599999989</v>
      </c>
      <c r="V246" s="22">
        <f t="shared" si="1902"/>
        <v>-48.795927499999976</v>
      </c>
      <c r="W246" s="22">
        <f t="shared" si="1902"/>
        <v>-240.68510000000006</v>
      </c>
      <c r="X246" s="22">
        <f t="shared" ref="X246:Y246" si="1903">X244-X245</f>
        <v>-11.58919999999992</v>
      </c>
      <c r="Y246" s="22">
        <f t="shared" si="1903"/>
        <v>80.869399999999729</v>
      </c>
      <c r="Z246" s="22">
        <f t="shared" ref="Z246:AA246" si="1904">Z244-Z245</f>
        <v>37.895900000000026</v>
      </c>
      <c r="AA246" s="22">
        <f t="shared" si="1904"/>
        <v>72.460000000000051</v>
      </c>
      <c r="AB246" s="21">
        <f t="shared" ref="AA246:AD246" si="1905">AB244-AB245</f>
        <v>-320.11259513082916</v>
      </c>
      <c r="AC246" s="21">
        <f t="shared" si="1905"/>
        <v>-410.86217558972868</v>
      </c>
      <c r="AD246" s="21">
        <f t="shared" si="1905"/>
        <v>-463.56419359670213</v>
      </c>
      <c r="AE246" s="21">
        <f t="shared" ref="AE246" si="1906">AE244-AE245</f>
        <v>-659.78632980915847</v>
      </c>
      <c r="AI246" s="22">
        <f t="shared" ref="AI246" si="1907">AI244-AI245</f>
        <v>0</v>
      </c>
      <c r="AJ246" s="22">
        <f t="shared" ref="AJ246:AL246" si="1908">AJ244-AJ245</f>
        <v>-91.225000000000009</v>
      </c>
      <c r="AK246" s="22">
        <f t="shared" si="1908"/>
        <v>24.885629468855882</v>
      </c>
      <c r="AL246" s="22">
        <f t="shared" si="1908"/>
        <v>4.8593705311441369</v>
      </c>
      <c r="AM246" s="22">
        <f t="shared" ref="AM246" si="1909">AM244-AM245</f>
        <v>1.2187659033078688</v>
      </c>
      <c r="AN246" s="22">
        <f t="shared" ref="AN246:CD246" si="1910">AN244-AN245</f>
        <v>11.677234096692132</v>
      </c>
      <c r="AO246" s="22">
        <f t="shared" si="1910"/>
        <v>16.778499161563616</v>
      </c>
      <c r="AP246" s="22">
        <f t="shared" si="1910"/>
        <v>-32.254499161563629</v>
      </c>
      <c r="AQ246" s="22">
        <f t="shared" si="1910"/>
        <v>5.5416075801749116</v>
      </c>
      <c r="AR246" s="22">
        <f t="shared" si="1910"/>
        <v>-9.7216075801748971</v>
      </c>
      <c r="AS246" s="22">
        <f t="shared" si="1910"/>
        <v>8.466078963110661</v>
      </c>
      <c r="AT246" s="22">
        <f t="shared" si="1910"/>
        <v>-41.948078963110625</v>
      </c>
      <c r="AU246" s="22">
        <f t="shared" si="1910"/>
        <v>-14.119688891886426</v>
      </c>
      <c r="AV246" s="22">
        <f t="shared" si="1910"/>
        <v>53.888688891886389</v>
      </c>
      <c r="AW246" s="22">
        <f t="shared" si="1910"/>
        <v>8.6500747190816298</v>
      </c>
      <c r="AX246" s="22">
        <f t="shared" si="1910"/>
        <v>-8.8040747190816617</v>
      </c>
      <c r="AY246" s="22">
        <f t="shared" si="1910"/>
        <v>-1.5794020562981359</v>
      </c>
      <c r="AZ246" s="22">
        <f t="shared" si="1910"/>
        <v>3.8314020562981455</v>
      </c>
      <c r="BA246" s="22">
        <f t="shared" si="1910"/>
        <v>-6.3415456430691322</v>
      </c>
      <c r="BB246" s="22">
        <f t="shared" si="1910"/>
        <v>-25.218454356930835</v>
      </c>
      <c r="BC246" s="22">
        <f t="shared" si="1910"/>
        <v>-6.1641661273370119</v>
      </c>
      <c r="BD246" s="22">
        <f t="shared" si="1910"/>
        <v>16.110166127336988</v>
      </c>
      <c r="BE246" s="22">
        <f t="shared" si="1910"/>
        <v>-13.235416343592185</v>
      </c>
      <c r="BF246" s="22">
        <f t="shared" si="1910"/>
        <v>-69.390583656407713</v>
      </c>
      <c r="BG246" s="22">
        <f t="shared" si="1910"/>
        <v>-3.3883767334934305</v>
      </c>
      <c r="BH246" s="22">
        <f t="shared" si="1910"/>
        <v>34.16737673349332</v>
      </c>
      <c r="BI246" s="22">
        <f t="shared" si="1910"/>
        <v>-24.091725803245829</v>
      </c>
      <c r="BJ246" s="22">
        <f t="shared" si="1910"/>
        <v>-15.737274196754093</v>
      </c>
      <c r="BK246" s="22">
        <f t="shared" si="1910"/>
        <v>3.9446745005979267</v>
      </c>
      <c r="BL246" s="22">
        <f t="shared" si="1910"/>
        <v>-74.46867450059797</v>
      </c>
      <c r="BM246" s="22">
        <f t="shared" si="1910"/>
        <v>-0.29562548349198892</v>
      </c>
      <c r="BN246" s="22">
        <f t="shared" si="1910"/>
        <v>9.7916254834919698</v>
      </c>
      <c r="BO246" s="22">
        <f t="shared" si="1910"/>
        <v>34.961303704651101</v>
      </c>
      <c r="BP246" s="22">
        <f t="shared" si="1910"/>
        <v>-90.155303704651033</v>
      </c>
      <c r="BQ246" s="22">
        <f t="shared" si="1910"/>
        <v>-109.7256777307577</v>
      </c>
      <c r="BR246" s="22">
        <f t="shared" si="1910"/>
        <v>125.2146777307577</v>
      </c>
      <c r="BS246" s="22">
        <f t="shared" si="1910"/>
        <v>-29.987795574759502</v>
      </c>
      <c r="BT246" s="22">
        <f t="shared" si="1910"/>
        <v>-189.79220442524053</v>
      </c>
      <c r="BU246" s="22">
        <f t="shared" si="1910"/>
        <v>-41.363709297304759</v>
      </c>
      <c r="BV246" s="22">
        <f t="shared" si="1910"/>
        <v>-6.8152907026951866</v>
      </c>
      <c r="BW246" s="22">
        <f t="shared" si="1910"/>
        <v>88.907726205395903</v>
      </c>
      <c r="BX246" s="22">
        <f t="shared" si="1910"/>
        <v>-310.64172620539603</v>
      </c>
      <c r="BY246" s="22">
        <f t="shared" si="1910"/>
        <v>56.712205214497942</v>
      </c>
      <c r="BZ246" s="22">
        <f t="shared" si="1910"/>
        <v>153.43279478550207</v>
      </c>
      <c r="CA246" s="22">
        <f t="shared" si="1910"/>
        <v>10.131964458681182</v>
      </c>
      <c r="CB246" s="22">
        <f t="shared" si="1910"/>
        <v>41.630035541318719</v>
      </c>
      <c r="CC246" s="22">
        <f t="shared" si="1910"/>
        <v>-3.9936654421039748</v>
      </c>
      <c r="CD246" s="22">
        <f t="shared" si="1910"/>
        <v>33.099665442104012</v>
      </c>
      <c r="CE246" s="22">
        <f t="shared" ref="CE246:CF246" si="1911">CE244-CE245</f>
        <v>37.27052144891627</v>
      </c>
      <c r="CF246" s="22">
        <f t="shared" si="1911"/>
        <v>-37.074521448916229</v>
      </c>
      <c r="CG246" s="22">
        <f t="shared" ref="CG246:CH246" si="1912">CG244-CG245</f>
        <v>52.314850064719195</v>
      </c>
      <c r="CH246" s="22">
        <f t="shared" si="1912"/>
        <v>-14.613050064719289</v>
      </c>
      <c r="CI246" s="22">
        <f t="shared" ref="CI246:CJ246" si="1913">CI244-CI245</f>
        <v>-8.4823361034565181</v>
      </c>
      <c r="CJ246" s="22">
        <f t="shared" si="1913"/>
        <v>-61.811463896543245</v>
      </c>
      <c r="CK246" s="22">
        <f t="shared" ref="CK246:DB246" si="1914">CK244-CK245</f>
        <v>16.590038290775112</v>
      </c>
      <c r="CL246" s="22">
        <f t="shared" si="1914"/>
        <v>29.321961709224752</v>
      </c>
      <c r="CM246" s="21">
        <f t="shared" si="1914"/>
        <v>-92.87743628763377</v>
      </c>
      <c r="CN246" s="21">
        <f t="shared" si="1914"/>
        <v>-20.227058547595732</v>
      </c>
      <c r="CO246" s="21">
        <f t="shared" si="1914"/>
        <v>20.317247178891989</v>
      </c>
      <c r="CP246" s="21">
        <f t="shared" si="1914"/>
        <v>-130.48354747449167</v>
      </c>
      <c r="CQ246" s="21">
        <f t="shared" si="1914"/>
        <v>-210.48356043896064</v>
      </c>
      <c r="CR246" s="21">
        <f t="shared" si="1914"/>
        <v>-31.68223681569475</v>
      </c>
      <c r="CS246" s="21">
        <f t="shared" si="1914"/>
        <v>35.419425585424733</v>
      </c>
      <c r="CT246" s="21">
        <f t="shared" si="1914"/>
        <v>-204.11580392049802</v>
      </c>
      <c r="CU246" s="21">
        <f t="shared" si="1914"/>
        <v>-184.41673426749435</v>
      </c>
      <c r="CV246" s="21">
        <f t="shared" si="1914"/>
        <v>-44.515499574608725</v>
      </c>
      <c r="CW246" s="21">
        <f t="shared" si="1914"/>
        <v>51.636761219183768</v>
      </c>
      <c r="CX246" s="21">
        <f t="shared" si="1914"/>
        <v>-286.26872097378282</v>
      </c>
      <c r="CY246" s="21">
        <f t="shared" si="1914"/>
        <v>-268.02136264575745</v>
      </c>
      <c r="CZ246" s="21">
        <f t="shared" si="1914"/>
        <v>-62.97801692044095</v>
      </c>
      <c r="DA246" s="21">
        <f t="shared" si="1914"/>
        <v>75.74462626402169</v>
      </c>
      <c r="DB246" s="21">
        <f t="shared" si="1914"/>
        <v>-404.53157650698176</v>
      </c>
      <c r="DE246" s="126"/>
      <c r="DF246" s="22">
        <v>-196.31993198077936</v>
      </c>
    </row>
    <row r="247" spans="1:110" s="22" customFormat="1" x14ac:dyDescent="0.2">
      <c r="A247" s="22" t="s">
        <v>91</v>
      </c>
      <c r="C247" s="22">
        <f t="shared" ref="C247:W247" si="1915">C243+C246</f>
        <v>11.836970399999998</v>
      </c>
      <c r="D247" s="22">
        <f>D243+D246</f>
        <v>1.9962062000000076</v>
      </c>
      <c r="E247" s="22">
        <f t="shared" si="1915"/>
        <v>6.8053280999999899</v>
      </c>
      <c r="F247" s="22">
        <f t="shared" si="1915"/>
        <v>1.4148089000000068</v>
      </c>
      <c r="G247" s="22">
        <f t="shared" si="1915"/>
        <v>1.2448420999999925</v>
      </c>
      <c r="H247" s="22">
        <f t="shared" si="1915"/>
        <v>-4.9942833000000117</v>
      </c>
      <c r="I247" s="22">
        <f t="shared" si="1915"/>
        <v>6.8881808000000078</v>
      </c>
      <c r="J247" s="22">
        <f>J243+J246</f>
        <v>24.179075600000029</v>
      </c>
      <c r="K247" s="22">
        <f t="shared" si="1915"/>
        <v>22.121968100000043</v>
      </c>
      <c r="L247" s="22">
        <f t="shared" si="1915"/>
        <v>3.751995400000034</v>
      </c>
      <c r="M247" s="22">
        <f t="shared" si="1915"/>
        <v>6.6408902000000722</v>
      </c>
      <c r="N247" s="22">
        <f t="shared" si="1915"/>
        <v>80.296809099999976</v>
      </c>
      <c r="O247" s="22">
        <f t="shared" si="1915"/>
        <v>41.969990899999978</v>
      </c>
      <c r="P247" s="22">
        <f t="shared" si="1915"/>
        <v>19.570650199999996</v>
      </c>
      <c r="Q247" s="22">
        <f t="shared" si="1915"/>
        <v>124.06726749999999</v>
      </c>
      <c r="R247" s="22">
        <f t="shared" si="1915"/>
        <v>75.987750900000123</v>
      </c>
      <c r="S247" s="22">
        <f t="shared" si="1915"/>
        <v>72.233195599999846</v>
      </c>
      <c r="T247" s="22">
        <f t="shared" si="1915"/>
        <v>100.82980639999997</v>
      </c>
      <c r="U247" s="22">
        <f t="shared" si="1915"/>
        <v>93.875882000000047</v>
      </c>
      <c r="V247" s="22">
        <f t="shared" si="1915"/>
        <v>223.80757249999996</v>
      </c>
      <c r="W247" s="22">
        <f t="shared" si="1915"/>
        <v>169.73229999999992</v>
      </c>
      <c r="X247" s="22">
        <f t="shared" ref="X247:Y247" si="1916">X243+X246</f>
        <v>359.50420000000042</v>
      </c>
      <c r="Y247" s="22">
        <f t="shared" si="1916"/>
        <v>331.09659999999985</v>
      </c>
      <c r="Z247" s="22">
        <f t="shared" ref="Z247:AA247" si="1917">Z243+Z246</f>
        <v>243.85319999999996</v>
      </c>
      <c r="AA247" s="22">
        <f t="shared" si="1917"/>
        <v>283.58930000000032</v>
      </c>
      <c r="AB247" s="21">
        <f t="shared" ref="AA247:AD247" si="1918">AB243+AB246</f>
        <v>5.5889263045443158</v>
      </c>
      <c r="AC247" s="21">
        <f t="shared" si="1918"/>
        <v>37.804974099790456</v>
      </c>
      <c r="AD247" s="21">
        <f t="shared" si="1918"/>
        <v>134.4643573389784</v>
      </c>
      <c r="AE247" s="21">
        <f t="shared" ref="AE247" si="1919">AE243+AE246</f>
        <v>183.45807126964587</v>
      </c>
      <c r="AI247" s="22">
        <f t="shared" ref="AI247" si="1920">AI243+AI246</f>
        <v>12.509999999999991</v>
      </c>
      <c r="AJ247" s="22">
        <f t="shared" ref="AJ247:AL247" si="1921">AJ243+AJ246</f>
        <v>-79.17</v>
      </c>
      <c r="AK247" s="22">
        <f t="shared" si="1921"/>
        <v>35.250629468855877</v>
      </c>
      <c r="AL247" s="22">
        <f t="shared" si="1921"/>
        <v>13.77937053114413</v>
      </c>
      <c r="AM247" s="22">
        <f t="shared" ref="AM247" si="1922">AM243+AM246</f>
        <v>13.49876590330787</v>
      </c>
      <c r="AN247" s="22">
        <f t="shared" ref="AN247:CD247" si="1923">AN243+AN246</f>
        <v>27.198234096692147</v>
      </c>
      <c r="AO247" s="22">
        <f t="shared" si="1923"/>
        <v>25.47849916156359</v>
      </c>
      <c r="AP247" s="22">
        <f t="shared" si="1923"/>
        <v>-18.754499161563622</v>
      </c>
      <c r="AQ247" s="22">
        <f t="shared" si="1923"/>
        <v>19.751607580174923</v>
      </c>
      <c r="AR247" s="22">
        <f t="shared" si="1923"/>
        <v>4.2923924198250969</v>
      </c>
      <c r="AS247" s="22">
        <f t="shared" si="1923"/>
        <v>19.640078963110657</v>
      </c>
      <c r="AT247" s="22">
        <f t="shared" si="1923"/>
        <v>-26.398078963110606</v>
      </c>
      <c r="AU247" s="22">
        <f t="shared" si="1923"/>
        <v>3.088311108113583</v>
      </c>
      <c r="AV247" s="22">
        <f t="shared" si="1923"/>
        <v>70.094688891886378</v>
      </c>
      <c r="AW247" s="22">
        <f t="shared" si="1923"/>
        <v>26.348074719081634</v>
      </c>
      <c r="AX247" s="22">
        <f t="shared" si="1923"/>
        <v>19.25492528091835</v>
      </c>
      <c r="AY247" s="22">
        <f t="shared" si="1923"/>
        <v>29.251597943701871</v>
      </c>
      <c r="AZ247" s="22">
        <f t="shared" si="1923"/>
        <v>30.052402056298149</v>
      </c>
      <c r="BA247" s="22">
        <f t="shared" si="1923"/>
        <v>17.779454356930859</v>
      </c>
      <c r="BB247" s="22">
        <f t="shared" si="1923"/>
        <v>-2.5954543569308512</v>
      </c>
      <c r="BC247" s="22">
        <f t="shared" si="1923"/>
        <v>20.981833872662975</v>
      </c>
      <c r="BD247" s="22">
        <f t="shared" si="1923"/>
        <v>49.643166127337018</v>
      </c>
      <c r="BE247" s="22">
        <f t="shared" si="1923"/>
        <v>19.220583656407797</v>
      </c>
      <c r="BF247" s="22">
        <f t="shared" si="1923"/>
        <v>-30.056583656407774</v>
      </c>
      <c r="BG247" s="22">
        <f t="shared" si="1923"/>
        <v>35.142623266506597</v>
      </c>
      <c r="BH247" s="22">
        <f t="shared" si="1923"/>
        <v>69.882376733493317</v>
      </c>
      <c r="BI247" s="22">
        <f t="shared" si="1923"/>
        <v>6.8962741967541525</v>
      </c>
      <c r="BJ247" s="22">
        <f t="shared" si="1923"/>
        <v>16.112725803245922</v>
      </c>
      <c r="BK247" s="22">
        <f t="shared" si="1923"/>
        <v>28.804674500597923</v>
      </c>
      <c r="BL247" s="22">
        <f t="shared" si="1923"/>
        <v>-35.21767450059798</v>
      </c>
      <c r="BM247" s="22">
        <f t="shared" si="1923"/>
        <v>31.076374516508018</v>
      </c>
      <c r="BN247" s="22">
        <f t="shared" si="1923"/>
        <v>50.72862548349196</v>
      </c>
      <c r="BO247" s="22">
        <f t="shared" si="1923"/>
        <v>75.860303704651116</v>
      </c>
      <c r="BP247" s="22">
        <f t="shared" si="1923"/>
        <v>-35.099303704651028</v>
      </c>
      <c r="BQ247" s="22">
        <f t="shared" si="1923"/>
        <v>-26.041677730757684</v>
      </c>
      <c r="BR247" s="22">
        <f t="shared" si="1923"/>
        <v>218.18067773075771</v>
      </c>
      <c r="BS247" s="22">
        <f t="shared" si="1923"/>
        <v>70.072204425240471</v>
      </c>
      <c r="BT247" s="22">
        <f t="shared" si="1923"/>
        <v>-98.987204425240606</v>
      </c>
      <c r="BU247" s="22">
        <f t="shared" si="1923"/>
        <v>58.679290702695205</v>
      </c>
      <c r="BV247" s="22">
        <f t="shared" si="1923"/>
        <v>112.68970929730486</v>
      </c>
      <c r="BW247" s="22">
        <f t="shared" si="1923"/>
        <v>222.95772620539594</v>
      </c>
      <c r="BX247" s="22">
        <f t="shared" si="1923"/>
        <v>-207.06072620539601</v>
      </c>
      <c r="BY247" s="22">
        <f t="shared" si="1923"/>
        <v>131.62020521449796</v>
      </c>
      <c r="BZ247" s="22">
        <f t="shared" si="1923"/>
        <v>211.98579478550204</v>
      </c>
      <c r="CA247" s="22">
        <f t="shared" si="1923"/>
        <v>74.35696445868119</v>
      </c>
      <c r="CB247" s="22">
        <f t="shared" si="1923"/>
        <v>87.121035541318733</v>
      </c>
      <c r="CC247" s="22">
        <f t="shared" si="1923"/>
        <v>56.227334557896071</v>
      </c>
      <c r="CD247" s="22">
        <f t="shared" si="1923"/>
        <v>113.38566544210403</v>
      </c>
      <c r="CE247" s="22">
        <f t="shared" ref="CE247:CF247" si="1924">CE243+CE246</f>
        <v>92.216521448916268</v>
      </c>
      <c r="CF247" s="22">
        <f t="shared" si="1924"/>
        <v>15.907478551083763</v>
      </c>
      <c r="CG247" s="22">
        <f t="shared" ref="CG247:CH247" si="1925">CG243+CG246</f>
        <v>97.377850064719212</v>
      </c>
      <c r="CH247" s="22">
        <f t="shared" si="1925"/>
        <v>38.351949935280729</v>
      </c>
      <c r="CI247" s="22">
        <f t="shared" ref="CI247:CJ247" si="1926">CI243+CI246</f>
        <v>43.490663896543474</v>
      </c>
      <c r="CJ247" s="22">
        <f t="shared" si="1926"/>
        <v>-12.971463896543241</v>
      </c>
      <c r="CK247" s="22">
        <f t="shared" ref="CK247:DB247" si="1927">CK243+CK246</f>
        <v>62.197038290775119</v>
      </c>
      <c r="CL247" s="22">
        <f t="shared" si="1927"/>
        <v>106.48096170922477</v>
      </c>
      <c r="CM247" s="21">
        <f t="shared" si="1927"/>
        <v>-17.284015659152047</v>
      </c>
      <c r="CN247" s="21">
        <f t="shared" si="1927"/>
        <v>62.282748839704894</v>
      </c>
      <c r="CO247" s="21">
        <f t="shared" si="1927"/>
        <v>98.716957404353977</v>
      </c>
      <c r="CP247" s="21">
        <f t="shared" si="1927"/>
        <v>-41.284964280362573</v>
      </c>
      <c r="CQ247" s="21">
        <f t="shared" si="1927"/>
        <v>-98.380981862268882</v>
      </c>
      <c r="CR247" s="21">
        <f t="shared" si="1927"/>
        <v>75.51002938021432</v>
      </c>
      <c r="CS247" s="21">
        <f t="shared" si="1927"/>
        <v>137.83104740224923</v>
      </c>
      <c r="CT247" s="21">
        <f t="shared" si="1927"/>
        <v>-77.155120820403923</v>
      </c>
      <c r="CU247" s="21">
        <f t="shared" si="1927"/>
        <v>-42.582697316207145</v>
      </c>
      <c r="CV247" s="21">
        <f t="shared" si="1927"/>
        <v>100.13972276290082</v>
      </c>
      <c r="CW247" s="21">
        <f t="shared" si="1927"/>
        <v>192.29352860708411</v>
      </c>
      <c r="CX247" s="21">
        <f t="shared" si="1927"/>
        <v>-115.38619671479933</v>
      </c>
      <c r="CY247" s="21">
        <f t="shared" si="1927"/>
        <v>-70.280516058874383</v>
      </c>
      <c r="CZ247" s="21">
        <f t="shared" si="1927"/>
        <v>139.74326978142312</v>
      </c>
      <c r="DA247" s="21">
        <f t="shared" si="1927"/>
        <v>272.36317152326524</v>
      </c>
      <c r="DB247" s="21">
        <f t="shared" si="1927"/>
        <v>-158.36785397616723</v>
      </c>
      <c r="DE247" s="126"/>
      <c r="DF247" s="22">
        <v>-131.95716445193483</v>
      </c>
    </row>
    <row r="248" spans="1:110" s="23" customFormat="1" x14ac:dyDescent="0.2">
      <c r="AB248" s="24"/>
      <c r="AC248" s="24"/>
      <c r="AD248" s="24"/>
      <c r="AE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E248" s="123"/>
    </row>
    <row r="249" spans="1:110" s="22" customFormat="1" x14ac:dyDescent="0.2">
      <c r="A249" s="22" t="s">
        <v>92</v>
      </c>
      <c r="C249" s="22">
        <f t="shared" ref="C249:W249" si="1928">C250+C251</f>
        <v>-5.8322483999999992</v>
      </c>
      <c r="D249" s="22">
        <f>D250+D251</f>
        <v>-11.866657100000001</v>
      </c>
      <c r="E249" s="22">
        <f t="shared" si="1928"/>
        <v>-13.840950099999995</v>
      </c>
      <c r="F249" s="22">
        <f t="shared" si="1928"/>
        <v>-8.3508842000000083</v>
      </c>
      <c r="G249" s="22">
        <f t="shared" si="1928"/>
        <v>-11.67751899999999</v>
      </c>
      <c r="H249" s="22">
        <f t="shared" si="1928"/>
        <v>-7.1869154000000064</v>
      </c>
      <c r="I249" s="22">
        <f t="shared" si="1928"/>
        <v>-21.656641600000004</v>
      </c>
      <c r="J249" s="22">
        <f t="shared" si="1928"/>
        <v>-44.214822299999994</v>
      </c>
      <c r="K249" s="22">
        <f t="shared" si="1928"/>
        <v>-16.876502600000006</v>
      </c>
      <c r="L249" s="22">
        <f t="shared" si="1928"/>
        <v>-57.404791199999991</v>
      </c>
      <c r="M249" s="22">
        <f t="shared" si="1928"/>
        <v>-59.135128199999997</v>
      </c>
      <c r="N249" s="22">
        <f t="shared" si="1928"/>
        <v>-85.361047100000008</v>
      </c>
      <c r="O249" s="22">
        <f t="shared" si="1928"/>
        <v>-52.685452800000007</v>
      </c>
      <c r="P249" s="22">
        <f t="shared" si="1928"/>
        <v>-30.998030799999981</v>
      </c>
      <c r="Q249" s="22">
        <f t="shared" si="1928"/>
        <v>-32.032453900000007</v>
      </c>
      <c r="R249" s="22">
        <f t="shared" si="1928"/>
        <v>-13.184169399999959</v>
      </c>
      <c r="S249" s="22">
        <f t="shared" si="1928"/>
        <v>-107.91184099999998</v>
      </c>
      <c r="T249" s="22">
        <f t="shared" si="1928"/>
        <v>-169.57273580000015</v>
      </c>
      <c r="U249" s="22">
        <f t="shared" si="1928"/>
        <v>-61.684443900000019</v>
      </c>
      <c r="V249" s="22">
        <f t="shared" si="1928"/>
        <v>-131.33568589999993</v>
      </c>
      <c r="W249" s="22">
        <f t="shared" si="1928"/>
        <v>-147.90950000000001</v>
      </c>
      <c r="X249" s="22">
        <f t="shared" ref="X249:Y249" si="1929">X250+X251</f>
        <v>-117.20349999999996</v>
      </c>
      <c r="Y249" s="22">
        <f t="shared" si="1929"/>
        <v>-252.23039999999992</v>
      </c>
      <c r="Z249" s="22">
        <f t="shared" ref="Z249:AA249" si="1930">Z250+Z251</f>
        <v>-188.63140000000021</v>
      </c>
      <c r="AA249" s="22">
        <f t="shared" si="1930"/>
        <v>43.352499999999964</v>
      </c>
      <c r="AB249" s="21">
        <f t="shared" ref="AA249:AD249" si="1931">AB250+AB251</f>
        <v>-740.36620000000005</v>
      </c>
      <c r="AC249" s="21">
        <f t="shared" si="1931"/>
        <v>-399.99999999999977</v>
      </c>
      <c r="AD249" s="21">
        <f t="shared" si="1931"/>
        <v>-100</v>
      </c>
      <c r="AE249" s="21">
        <f t="shared" ref="AE249" si="1932">AE250+AE251</f>
        <v>-100.00000000000023</v>
      </c>
      <c r="AI249" s="22">
        <f t="shared" ref="AI249" si="1933">AI250+AI251</f>
        <v>-3.1429999999999998</v>
      </c>
      <c r="AJ249" s="22">
        <f t="shared" ref="AJ249:AL249" si="1934">AJ250+AJ251</f>
        <v>-265.76400000000001</v>
      </c>
      <c r="AK249" s="22">
        <f t="shared" si="1934"/>
        <v>-3.171999999999997</v>
      </c>
      <c r="AL249" s="22">
        <f t="shared" si="1934"/>
        <v>-38.303000000000011</v>
      </c>
      <c r="AM249" s="22">
        <f t="shared" ref="AM249" si="1935">AM250+AM251</f>
        <v>-3.7699999999999818</v>
      </c>
      <c r="AN249" s="22">
        <f t="shared" ref="AN249:CD249" si="1936">AN250+AN251</f>
        <v>-27.64</v>
      </c>
      <c r="AO249" s="22">
        <f t="shared" si="1936"/>
        <v>-4.5</v>
      </c>
      <c r="AP249" s="22">
        <f t="shared" si="1936"/>
        <v>-16.783000000000001</v>
      </c>
      <c r="AQ249" s="22">
        <f t="shared" si="1936"/>
        <v>-4.8999999999999773</v>
      </c>
      <c r="AR249" s="22">
        <f t="shared" si="1936"/>
        <v>-0.85599999999999454</v>
      </c>
      <c r="AS249" s="22">
        <f t="shared" si="1936"/>
        <v>-4.9809999999999945</v>
      </c>
      <c r="AT249" s="22">
        <f t="shared" si="1936"/>
        <v>-18.382000000000055</v>
      </c>
      <c r="AU249" s="22">
        <f t="shared" si="1936"/>
        <v>-4.3919999999999959</v>
      </c>
      <c r="AV249" s="22">
        <f t="shared" si="1936"/>
        <v>19.37000000000004</v>
      </c>
      <c r="AW249" s="22">
        <f t="shared" si="1936"/>
        <v>-4.3919999999999959</v>
      </c>
      <c r="AX249" s="22">
        <f t="shared" si="1936"/>
        <v>-41.135000000000026</v>
      </c>
      <c r="AY249" s="22">
        <f t="shared" si="1936"/>
        <v>-4.4909999999999854</v>
      </c>
      <c r="AZ249" s="22">
        <f t="shared" si="1936"/>
        <v>-9.7679999999999936</v>
      </c>
      <c r="BA249" s="22">
        <f t="shared" si="1936"/>
        <v>-4.4909999999999854</v>
      </c>
      <c r="BB249" s="22">
        <f t="shared" si="1936"/>
        <v>7.0560000000000187</v>
      </c>
      <c r="BC249" s="22">
        <f t="shared" si="1936"/>
        <v>-4.3910000000000196</v>
      </c>
      <c r="BD249" s="22">
        <f t="shared" si="1936"/>
        <v>-30.28700000000001</v>
      </c>
      <c r="BE249" s="22">
        <f t="shared" si="1936"/>
        <v>-4.3700000000000045</v>
      </c>
      <c r="BF249" s="22">
        <f t="shared" si="1936"/>
        <v>-68.866000000000014</v>
      </c>
      <c r="BG249" s="22">
        <f t="shared" si="1936"/>
        <v>-4.7069999999999936</v>
      </c>
      <c r="BH249" s="22">
        <f t="shared" si="1936"/>
        <v>-14.293999999999983</v>
      </c>
      <c r="BI249" s="22">
        <f t="shared" si="1936"/>
        <v>-4.7160000000000082</v>
      </c>
      <c r="BJ249" s="22">
        <f t="shared" si="1936"/>
        <v>-145.8549999999999</v>
      </c>
      <c r="BK249" s="22">
        <f t="shared" si="1936"/>
        <v>-5.7119999999999891</v>
      </c>
      <c r="BL249" s="22">
        <f t="shared" si="1936"/>
        <v>-24.270000000000095</v>
      </c>
      <c r="BM249" s="22">
        <f t="shared" si="1936"/>
        <v>-7.9640000000000555</v>
      </c>
      <c r="BN249" s="22">
        <f t="shared" si="1936"/>
        <v>-23.739000000000033</v>
      </c>
      <c r="BO249" s="22">
        <f t="shared" si="1936"/>
        <v>-7.9349999999999454</v>
      </c>
      <c r="BP249" s="22">
        <f t="shared" si="1936"/>
        <v>-45.426000000000045</v>
      </c>
      <c r="BQ249" s="22">
        <f t="shared" si="1936"/>
        <v>-8.7140000000000555</v>
      </c>
      <c r="BR249" s="22">
        <f t="shared" si="1936"/>
        <v>-69.261999999999944</v>
      </c>
      <c r="BS249" s="22">
        <f t="shared" si="1936"/>
        <v>-9.6749999999999545</v>
      </c>
      <c r="BT249" s="22">
        <f t="shared" si="1936"/>
        <v>-39.411999999999921</v>
      </c>
      <c r="BU249" s="22">
        <f t="shared" si="1936"/>
        <v>-10.488000000000056</v>
      </c>
      <c r="BV249" s="22">
        <f t="shared" si="1936"/>
        <v>-88.334000000000174</v>
      </c>
      <c r="BW249" s="22">
        <f t="shared" si="1936"/>
        <v>-11.081999999999994</v>
      </c>
      <c r="BX249" s="22">
        <f t="shared" si="1936"/>
        <v>-7.8399999999999475</v>
      </c>
      <c r="BY249" s="22">
        <f t="shared" si="1936"/>
        <v>-12.336999999999989</v>
      </c>
      <c r="BZ249" s="22">
        <f t="shared" si="1936"/>
        <v>-85.945999999999998</v>
      </c>
      <c r="CA249" s="22">
        <f t="shared" si="1936"/>
        <v>-11.493000000000052</v>
      </c>
      <c r="CB249" s="22">
        <f t="shared" si="1936"/>
        <v>-83.643999999999977</v>
      </c>
      <c r="CC249" s="22">
        <f t="shared" si="1936"/>
        <v>-10.847999999999956</v>
      </c>
      <c r="CD249" s="22">
        <f t="shared" si="1936"/>
        <v>-146.24399999999997</v>
      </c>
      <c r="CE249" s="22">
        <f t="shared" ref="CE249:CF249" si="1937">CE250+CE251</f>
        <v>-11.65300000000002</v>
      </c>
      <c r="CF249" s="22">
        <f t="shared" si="1937"/>
        <v>-81.773999999999958</v>
      </c>
      <c r="CG249" s="22">
        <f t="shared" ref="CG249:CH249" si="1938">CG250+CG251</f>
        <v>-11.878999999999905</v>
      </c>
      <c r="CH249" s="22">
        <f t="shared" si="1938"/>
        <v>-83.326299999999975</v>
      </c>
      <c r="CI249" s="22">
        <f t="shared" ref="CI249:CJ249" si="1939">CI250+CI251</f>
        <v>0</v>
      </c>
      <c r="CJ249" s="22">
        <f t="shared" si="1939"/>
        <v>-183.85969999999983</v>
      </c>
      <c r="CK249" s="22">
        <f t="shared" ref="CK249:DB249" si="1940">CK250+CK251</f>
        <v>0</v>
      </c>
      <c r="CL249" s="22">
        <f t="shared" si="1940"/>
        <v>-185.96100000000007</v>
      </c>
      <c r="CM249" s="21">
        <f t="shared" si="1940"/>
        <v>212.029</v>
      </c>
      <c r="CN249" s="21">
        <f t="shared" si="1940"/>
        <v>-170</v>
      </c>
      <c r="CO249" s="21">
        <f t="shared" si="1940"/>
        <v>-280.00000000000023</v>
      </c>
      <c r="CP249" s="21">
        <f t="shared" si="1940"/>
        <v>-100</v>
      </c>
      <c r="CQ249" s="21">
        <f t="shared" si="1940"/>
        <v>-100</v>
      </c>
      <c r="CR249" s="21">
        <f t="shared" si="1940"/>
        <v>-100</v>
      </c>
      <c r="CS249" s="21">
        <f t="shared" si="1940"/>
        <v>-100.00000000000023</v>
      </c>
      <c r="CT249" s="21">
        <f t="shared" si="1940"/>
        <v>-99.999999999999773</v>
      </c>
      <c r="CU249" s="21">
        <f t="shared" si="1940"/>
        <v>-25.000000000000455</v>
      </c>
      <c r="CV249" s="21">
        <f t="shared" si="1940"/>
        <v>-24.999999999999545</v>
      </c>
      <c r="CW249" s="21">
        <f t="shared" si="1940"/>
        <v>-25</v>
      </c>
      <c r="CX249" s="21">
        <f t="shared" si="1940"/>
        <v>-24.999999999999773</v>
      </c>
      <c r="CY249" s="21">
        <f t="shared" si="1940"/>
        <v>-25</v>
      </c>
      <c r="CZ249" s="21">
        <f t="shared" si="1940"/>
        <v>-25</v>
      </c>
      <c r="DA249" s="21">
        <f t="shared" si="1940"/>
        <v>-25</v>
      </c>
      <c r="DB249" s="21">
        <f t="shared" si="1940"/>
        <v>-25</v>
      </c>
      <c r="DE249" s="126"/>
      <c r="DF249" s="22">
        <v>0</v>
      </c>
    </row>
    <row r="250" spans="1:110" s="23" customFormat="1" x14ac:dyDescent="0.2">
      <c r="A250" s="23" t="s">
        <v>93</v>
      </c>
      <c r="C250" s="23">
        <f t="shared" ref="C250:AE250" si="1941">B189-C189</f>
        <v>0</v>
      </c>
      <c r="D250" s="23">
        <f t="shared" si="1941"/>
        <v>-7.2520000000000001E-2</v>
      </c>
      <c r="E250" s="23">
        <f t="shared" si="1941"/>
        <v>5.1920000000000008E-2</v>
      </c>
      <c r="F250" s="23">
        <f t="shared" si="1941"/>
        <v>2.4999999999999988E-3</v>
      </c>
      <c r="G250" s="23">
        <f t="shared" si="1941"/>
        <v>0</v>
      </c>
      <c r="H250" s="23">
        <f t="shared" si="1941"/>
        <v>-0.3</v>
      </c>
      <c r="I250" s="23">
        <f t="shared" si="1941"/>
        <v>-0.29999999999999993</v>
      </c>
      <c r="J250" s="23">
        <f t="shared" si="1941"/>
        <v>-2.9699999999999998</v>
      </c>
      <c r="K250" s="23">
        <f t="shared" si="1941"/>
        <v>-0.10788030000000015</v>
      </c>
      <c r="L250" s="23">
        <f t="shared" si="1941"/>
        <v>-0.30999999999999961</v>
      </c>
      <c r="M250" s="23">
        <f t="shared" si="1941"/>
        <v>0</v>
      </c>
      <c r="N250" s="23">
        <f t="shared" si="1941"/>
        <v>3.9999999999999996</v>
      </c>
      <c r="O250" s="23">
        <f t="shared" si="1941"/>
        <v>0</v>
      </c>
      <c r="P250" s="23">
        <f t="shared" si="1941"/>
        <v>0</v>
      </c>
      <c r="Q250" s="23">
        <f t="shared" si="1941"/>
        <v>0</v>
      </c>
      <c r="R250" s="23">
        <f t="shared" si="1941"/>
        <v>1.4999999999999999E-2</v>
      </c>
      <c r="S250" s="23">
        <f t="shared" si="1941"/>
        <v>0</v>
      </c>
      <c r="T250" s="23">
        <f t="shared" si="1941"/>
        <v>0</v>
      </c>
      <c r="U250" s="23">
        <f t="shared" si="1941"/>
        <v>0</v>
      </c>
      <c r="V250" s="23">
        <f t="shared" si="1941"/>
        <v>0</v>
      </c>
      <c r="W250" s="23">
        <f t="shared" si="1941"/>
        <v>-1E-3</v>
      </c>
      <c r="X250" s="23">
        <f t="shared" si="1941"/>
        <v>0</v>
      </c>
      <c r="Y250" s="23">
        <f t="shared" si="1941"/>
        <v>0</v>
      </c>
      <c r="Z250" s="23">
        <f t="shared" si="1941"/>
        <v>0</v>
      </c>
      <c r="AA250" s="23">
        <f t="shared" ref="AA250" si="1942">Z189-AA189</f>
        <v>-66</v>
      </c>
      <c r="AB250" s="24">
        <f t="shared" si="1941"/>
        <v>61.397000000000006</v>
      </c>
      <c r="AC250" s="24">
        <f t="shared" si="1941"/>
        <v>0</v>
      </c>
      <c r="AD250" s="24">
        <f t="shared" si="1941"/>
        <v>0</v>
      </c>
      <c r="AE250" s="24">
        <f t="shared" si="1941"/>
        <v>0</v>
      </c>
      <c r="AI250" s="23">
        <f t="shared" ref="AI250:BN250" si="1943">AH189-AI189</f>
        <v>0</v>
      </c>
      <c r="AJ250" s="23">
        <f t="shared" si="1943"/>
        <v>-20.652999999999999</v>
      </c>
      <c r="AK250" s="23">
        <f t="shared" si="1943"/>
        <v>0</v>
      </c>
      <c r="AL250" s="23">
        <f t="shared" si="1943"/>
        <v>19.942999999999998</v>
      </c>
      <c r="AM250" s="23">
        <f t="shared" si="1943"/>
        <v>0</v>
      </c>
      <c r="AN250" s="23">
        <f t="shared" si="1943"/>
        <v>-3.0000000000000027E-3</v>
      </c>
      <c r="AO250" s="23">
        <f t="shared" si="1943"/>
        <v>0</v>
      </c>
      <c r="AP250" s="23">
        <f t="shared" si="1943"/>
        <v>3.0000000000000027E-3</v>
      </c>
      <c r="AQ250" s="23">
        <f t="shared" si="1943"/>
        <v>0</v>
      </c>
      <c r="AR250" s="23">
        <f t="shared" si="1943"/>
        <v>0</v>
      </c>
      <c r="AS250" s="23">
        <f t="shared" si="1943"/>
        <v>0</v>
      </c>
      <c r="AT250" s="23">
        <f t="shared" si="1943"/>
        <v>0.69499999999999995</v>
      </c>
      <c r="AU250" s="23">
        <f t="shared" si="1943"/>
        <v>0</v>
      </c>
      <c r="AV250" s="23">
        <f t="shared" si="1943"/>
        <v>-0.69799999999999995</v>
      </c>
      <c r="AW250" s="23">
        <f t="shared" si="1943"/>
        <v>0</v>
      </c>
      <c r="AX250" s="23">
        <f t="shared" si="1943"/>
        <v>0.69799999999999995</v>
      </c>
      <c r="AY250" s="23">
        <f t="shared" si="1943"/>
        <v>0</v>
      </c>
      <c r="AZ250" s="23">
        <f t="shared" si="1943"/>
        <v>-30.137999999999998</v>
      </c>
      <c r="BA250" s="23">
        <f t="shared" si="1943"/>
        <v>0</v>
      </c>
      <c r="BB250" s="23">
        <f t="shared" si="1943"/>
        <v>30.152999999999999</v>
      </c>
      <c r="BC250" s="23">
        <f t="shared" si="1943"/>
        <v>0</v>
      </c>
      <c r="BD250" s="23">
        <f t="shared" si="1943"/>
        <v>-30.148</v>
      </c>
      <c r="BE250" s="23">
        <f t="shared" si="1943"/>
        <v>0</v>
      </c>
      <c r="BF250" s="23">
        <f t="shared" si="1943"/>
        <v>30.148</v>
      </c>
      <c r="BG250" s="23">
        <f t="shared" si="1943"/>
        <v>0</v>
      </c>
      <c r="BH250" s="23">
        <f t="shared" si="1943"/>
        <v>-66</v>
      </c>
      <c r="BI250" s="23">
        <f t="shared" si="1943"/>
        <v>0</v>
      </c>
      <c r="BJ250" s="23">
        <f t="shared" si="1943"/>
        <v>66</v>
      </c>
      <c r="BK250" s="23">
        <f t="shared" si="1943"/>
        <v>0</v>
      </c>
      <c r="BL250" s="23">
        <f t="shared" si="1943"/>
        <v>0</v>
      </c>
      <c r="BM250" s="23">
        <f t="shared" si="1943"/>
        <v>0</v>
      </c>
      <c r="BN250" s="23">
        <f t="shared" si="1943"/>
        <v>0</v>
      </c>
      <c r="BO250" s="23">
        <f t="shared" ref="BO250:CT250" si="1944">BN189-BO189</f>
        <v>0</v>
      </c>
      <c r="BP250" s="23">
        <f t="shared" si="1944"/>
        <v>0</v>
      </c>
      <c r="BQ250" s="23">
        <f t="shared" si="1944"/>
        <v>0</v>
      </c>
      <c r="BR250" s="23">
        <f t="shared" si="1944"/>
        <v>0</v>
      </c>
      <c r="BS250" s="23">
        <f t="shared" si="1944"/>
        <v>0</v>
      </c>
      <c r="BT250" s="23">
        <f t="shared" si="1944"/>
        <v>0</v>
      </c>
      <c r="BU250" s="23">
        <f t="shared" si="1944"/>
        <v>0</v>
      </c>
      <c r="BV250" s="23">
        <f t="shared" si="1944"/>
        <v>-5.0190000000000001</v>
      </c>
      <c r="BW250" s="23">
        <f t="shared" si="1944"/>
        <v>0</v>
      </c>
      <c r="BX250" s="23">
        <f t="shared" si="1944"/>
        <v>5.0179999999999998</v>
      </c>
      <c r="BY250" s="23">
        <f t="shared" si="1944"/>
        <v>0</v>
      </c>
      <c r="BZ250" s="23">
        <f t="shared" si="1944"/>
        <v>-5.22</v>
      </c>
      <c r="CA250" s="23">
        <f t="shared" si="1944"/>
        <v>0</v>
      </c>
      <c r="CB250" s="23">
        <f t="shared" si="1944"/>
        <v>0.10200000000000031</v>
      </c>
      <c r="CC250" s="23">
        <f t="shared" si="1944"/>
        <v>0</v>
      </c>
      <c r="CD250" s="23">
        <f t="shared" si="1944"/>
        <v>0.10299999999999976</v>
      </c>
      <c r="CE250" s="23">
        <f t="shared" si="1944"/>
        <v>0</v>
      </c>
      <c r="CF250" s="23">
        <f t="shared" si="1944"/>
        <v>0.10299999999999976</v>
      </c>
      <c r="CG250" s="23">
        <f t="shared" si="1944"/>
        <v>0</v>
      </c>
      <c r="CH250" s="23">
        <f t="shared" si="1944"/>
        <v>4.9119999999999999</v>
      </c>
      <c r="CI250" s="23">
        <f t="shared" si="1944"/>
        <v>0</v>
      </c>
      <c r="CJ250" s="23">
        <f t="shared" si="1944"/>
        <v>-4.7059999999999995</v>
      </c>
      <c r="CK250" s="23">
        <f t="shared" si="1944"/>
        <v>0</v>
      </c>
      <c r="CL250" s="23">
        <f t="shared" si="1944"/>
        <v>0.10299999999999976</v>
      </c>
      <c r="CM250" s="24">
        <f t="shared" si="1944"/>
        <v>0</v>
      </c>
      <c r="CN250" s="24">
        <f t="shared" si="1944"/>
        <v>0</v>
      </c>
      <c r="CO250" s="24">
        <f t="shared" si="1944"/>
        <v>0</v>
      </c>
      <c r="CP250" s="24">
        <f t="shared" si="1944"/>
        <v>0</v>
      </c>
      <c r="CQ250" s="24">
        <f t="shared" si="1944"/>
        <v>0</v>
      </c>
      <c r="CR250" s="24">
        <f t="shared" si="1944"/>
        <v>0</v>
      </c>
      <c r="CS250" s="24">
        <f t="shared" si="1944"/>
        <v>0</v>
      </c>
      <c r="CT250" s="24">
        <f t="shared" si="1944"/>
        <v>0</v>
      </c>
      <c r="CU250" s="24">
        <f t="shared" ref="CU250:DB250" si="1945">CT189-CU189</f>
        <v>0</v>
      </c>
      <c r="CV250" s="24">
        <f t="shared" si="1945"/>
        <v>0</v>
      </c>
      <c r="CW250" s="24">
        <f t="shared" si="1945"/>
        <v>0</v>
      </c>
      <c r="CX250" s="24">
        <f t="shared" si="1945"/>
        <v>0</v>
      </c>
      <c r="CY250" s="24">
        <f t="shared" si="1945"/>
        <v>0</v>
      </c>
      <c r="CZ250" s="24">
        <f t="shared" si="1945"/>
        <v>0</v>
      </c>
      <c r="DA250" s="24">
        <f t="shared" si="1945"/>
        <v>0</v>
      </c>
      <c r="DB250" s="24">
        <f t="shared" si="1945"/>
        <v>0</v>
      </c>
      <c r="DE250" s="123"/>
      <c r="DF250" s="23">
        <v>0</v>
      </c>
    </row>
    <row r="251" spans="1:110" s="23" customFormat="1" x14ac:dyDescent="0.2">
      <c r="A251" s="23" t="s">
        <v>94</v>
      </c>
      <c r="C251" s="23">
        <f t="shared" ref="C251:AE251" si="1946">B187-C81-C187</f>
        <v>-5.8322483999999992</v>
      </c>
      <c r="D251" s="23">
        <f t="shared" si="1946"/>
        <v>-11.7941371</v>
      </c>
      <c r="E251" s="23">
        <f t="shared" si="1946"/>
        <v>-13.892870099999996</v>
      </c>
      <c r="F251" s="23">
        <f t="shared" si="1946"/>
        <v>-8.3533842000000078</v>
      </c>
      <c r="G251" s="23">
        <f t="shared" si="1946"/>
        <v>-11.67751899999999</v>
      </c>
      <c r="H251" s="23">
        <f t="shared" si="1946"/>
        <v>-6.8869154000000066</v>
      </c>
      <c r="I251" s="23">
        <f t="shared" si="1946"/>
        <v>-21.356641600000003</v>
      </c>
      <c r="J251" s="23">
        <f t="shared" si="1946"/>
        <v>-41.244822299999996</v>
      </c>
      <c r="K251" s="23">
        <f t="shared" si="1946"/>
        <v>-16.768622300000004</v>
      </c>
      <c r="L251" s="23">
        <f t="shared" si="1946"/>
        <v>-57.094791199999989</v>
      </c>
      <c r="M251" s="23">
        <f t="shared" si="1946"/>
        <v>-59.135128199999997</v>
      </c>
      <c r="N251" s="23">
        <f t="shared" si="1946"/>
        <v>-89.361047100000008</v>
      </c>
      <c r="O251" s="23">
        <f t="shared" si="1946"/>
        <v>-52.685452800000007</v>
      </c>
      <c r="P251" s="23">
        <f t="shared" si="1946"/>
        <v>-30.998030799999981</v>
      </c>
      <c r="Q251" s="23">
        <f t="shared" si="1946"/>
        <v>-32.032453900000007</v>
      </c>
      <c r="R251" s="23">
        <f t="shared" si="1946"/>
        <v>-13.19916939999996</v>
      </c>
      <c r="S251" s="23">
        <f t="shared" si="1946"/>
        <v>-107.91184099999998</v>
      </c>
      <c r="T251" s="23">
        <f t="shared" si="1946"/>
        <v>-169.57273580000015</v>
      </c>
      <c r="U251" s="23">
        <f t="shared" si="1946"/>
        <v>-61.684443900000019</v>
      </c>
      <c r="V251" s="23">
        <f t="shared" si="1946"/>
        <v>-131.33568589999993</v>
      </c>
      <c r="W251" s="23">
        <f t="shared" si="1946"/>
        <v>-147.9085</v>
      </c>
      <c r="X251" s="23">
        <f t="shared" si="1946"/>
        <v>-117.20349999999996</v>
      </c>
      <c r="Y251" s="23">
        <f t="shared" si="1946"/>
        <v>-252.23039999999992</v>
      </c>
      <c r="Z251" s="23">
        <f t="shared" si="1946"/>
        <v>-188.63140000000021</v>
      </c>
      <c r="AA251" s="23">
        <f t="shared" ref="AA251" si="1947">Z187-AA81-AA187</f>
        <v>109.35249999999996</v>
      </c>
      <c r="AB251" s="24">
        <f t="shared" si="1946"/>
        <v>-801.7632000000001</v>
      </c>
      <c r="AC251" s="24">
        <f t="shared" si="1946"/>
        <v>-399.99999999999977</v>
      </c>
      <c r="AD251" s="24">
        <f t="shared" si="1946"/>
        <v>-100</v>
      </c>
      <c r="AE251" s="24">
        <f t="shared" si="1946"/>
        <v>-100.00000000000023</v>
      </c>
      <c r="AI251" s="23">
        <f t="shared" ref="AI251:BN251" si="1948">AH187-AI81-AI187</f>
        <v>-3.1429999999999998</v>
      </c>
      <c r="AJ251" s="23">
        <f t="shared" si="1948"/>
        <v>-245.11099999999999</v>
      </c>
      <c r="AK251" s="23">
        <f t="shared" si="1948"/>
        <v>-3.171999999999997</v>
      </c>
      <c r="AL251" s="23">
        <f t="shared" si="1948"/>
        <v>-58.246000000000009</v>
      </c>
      <c r="AM251" s="23">
        <f t="shared" si="1948"/>
        <v>-3.7699999999999818</v>
      </c>
      <c r="AN251" s="23">
        <f t="shared" si="1948"/>
        <v>-27.637</v>
      </c>
      <c r="AO251" s="23">
        <f t="shared" si="1948"/>
        <v>-4.5</v>
      </c>
      <c r="AP251" s="23">
        <f t="shared" si="1948"/>
        <v>-16.786000000000001</v>
      </c>
      <c r="AQ251" s="23">
        <f t="shared" si="1948"/>
        <v>-4.8999999999999773</v>
      </c>
      <c r="AR251" s="23">
        <f t="shared" si="1948"/>
        <v>-0.85599999999999454</v>
      </c>
      <c r="AS251" s="23">
        <f t="shared" si="1948"/>
        <v>-4.9809999999999945</v>
      </c>
      <c r="AT251" s="23">
        <f t="shared" si="1948"/>
        <v>-19.077000000000055</v>
      </c>
      <c r="AU251" s="23">
        <f t="shared" si="1948"/>
        <v>-4.3919999999999959</v>
      </c>
      <c r="AV251" s="23">
        <f t="shared" si="1948"/>
        <v>20.06800000000004</v>
      </c>
      <c r="AW251" s="23">
        <f t="shared" si="1948"/>
        <v>-4.3919999999999959</v>
      </c>
      <c r="AX251" s="23">
        <f t="shared" si="1948"/>
        <v>-41.833000000000027</v>
      </c>
      <c r="AY251" s="23">
        <f t="shared" si="1948"/>
        <v>-4.4909999999999854</v>
      </c>
      <c r="AZ251" s="23">
        <f t="shared" si="1948"/>
        <v>20.370000000000005</v>
      </c>
      <c r="BA251" s="23">
        <f t="shared" si="1948"/>
        <v>-4.4909999999999854</v>
      </c>
      <c r="BB251" s="23">
        <f t="shared" si="1948"/>
        <v>-23.09699999999998</v>
      </c>
      <c r="BC251" s="23">
        <f t="shared" si="1948"/>
        <v>-4.3910000000000196</v>
      </c>
      <c r="BD251" s="23">
        <f t="shared" si="1948"/>
        <v>-0.13900000000001</v>
      </c>
      <c r="BE251" s="23">
        <f t="shared" si="1948"/>
        <v>-4.3700000000000045</v>
      </c>
      <c r="BF251" s="23">
        <f t="shared" si="1948"/>
        <v>-99.01400000000001</v>
      </c>
      <c r="BG251" s="23">
        <f t="shared" si="1948"/>
        <v>-4.7069999999999936</v>
      </c>
      <c r="BH251" s="23">
        <f t="shared" si="1948"/>
        <v>51.706000000000017</v>
      </c>
      <c r="BI251" s="23">
        <f t="shared" si="1948"/>
        <v>-4.7160000000000082</v>
      </c>
      <c r="BJ251" s="23">
        <f t="shared" si="1948"/>
        <v>-211.8549999999999</v>
      </c>
      <c r="BK251" s="23">
        <f t="shared" si="1948"/>
        <v>-5.7119999999999891</v>
      </c>
      <c r="BL251" s="23">
        <f t="shared" si="1948"/>
        <v>-24.270000000000095</v>
      </c>
      <c r="BM251" s="23">
        <f t="shared" si="1948"/>
        <v>-7.9640000000000555</v>
      </c>
      <c r="BN251" s="23">
        <f t="shared" si="1948"/>
        <v>-23.739000000000033</v>
      </c>
      <c r="BO251" s="23">
        <f t="shared" ref="BO251:CT251" si="1949">BN187-BO81-BO187</f>
        <v>-7.9349999999999454</v>
      </c>
      <c r="BP251" s="23">
        <f t="shared" si="1949"/>
        <v>-45.426000000000045</v>
      </c>
      <c r="BQ251" s="23">
        <f t="shared" si="1949"/>
        <v>-8.7140000000000555</v>
      </c>
      <c r="BR251" s="23">
        <f t="shared" si="1949"/>
        <v>-69.261999999999944</v>
      </c>
      <c r="BS251" s="23">
        <f t="shared" si="1949"/>
        <v>-9.6749999999999545</v>
      </c>
      <c r="BT251" s="23">
        <f t="shared" si="1949"/>
        <v>-39.411999999999921</v>
      </c>
      <c r="BU251" s="23">
        <f t="shared" si="1949"/>
        <v>-10.488000000000056</v>
      </c>
      <c r="BV251" s="23">
        <f t="shared" si="1949"/>
        <v>-83.315000000000168</v>
      </c>
      <c r="BW251" s="23">
        <f t="shared" si="1949"/>
        <v>-11.081999999999994</v>
      </c>
      <c r="BX251" s="23">
        <f t="shared" si="1949"/>
        <v>-12.857999999999947</v>
      </c>
      <c r="BY251" s="23">
        <f t="shared" si="1949"/>
        <v>-12.336999999999989</v>
      </c>
      <c r="BZ251" s="23">
        <f t="shared" si="1949"/>
        <v>-80.725999999999999</v>
      </c>
      <c r="CA251" s="23">
        <f t="shared" si="1949"/>
        <v>-11.493000000000052</v>
      </c>
      <c r="CB251" s="23">
        <f t="shared" si="1949"/>
        <v>-83.745999999999981</v>
      </c>
      <c r="CC251" s="23">
        <f t="shared" si="1949"/>
        <v>-10.847999999999956</v>
      </c>
      <c r="CD251" s="23">
        <f t="shared" si="1949"/>
        <v>-146.34699999999998</v>
      </c>
      <c r="CE251" s="23">
        <f t="shared" si="1949"/>
        <v>-11.65300000000002</v>
      </c>
      <c r="CF251" s="23">
        <f t="shared" si="1949"/>
        <v>-81.876999999999953</v>
      </c>
      <c r="CG251" s="23">
        <f t="shared" si="1949"/>
        <v>-11.878999999999905</v>
      </c>
      <c r="CH251" s="23">
        <f t="shared" si="1949"/>
        <v>-88.238299999999981</v>
      </c>
      <c r="CI251" s="23">
        <f t="shared" si="1949"/>
        <v>0</v>
      </c>
      <c r="CJ251" s="23">
        <f t="shared" si="1949"/>
        <v>-179.15369999999984</v>
      </c>
      <c r="CK251" s="23">
        <f t="shared" si="1949"/>
        <v>0</v>
      </c>
      <c r="CL251" s="23">
        <f t="shared" si="1949"/>
        <v>-186.06400000000008</v>
      </c>
      <c r="CM251" s="24">
        <f t="shared" si="1949"/>
        <v>212.029</v>
      </c>
      <c r="CN251" s="24">
        <f t="shared" si="1949"/>
        <v>-170</v>
      </c>
      <c r="CO251" s="24">
        <f t="shared" si="1949"/>
        <v>-280.00000000000023</v>
      </c>
      <c r="CP251" s="24">
        <f t="shared" si="1949"/>
        <v>-100</v>
      </c>
      <c r="CQ251" s="24">
        <f t="shared" si="1949"/>
        <v>-100</v>
      </c>
      <c r="CR251" s="24">
        <f t="shared" si="1949"/>
        <v>-100</v>
      </c>
      <c r="CS251" s="24">
        <f t="shared" si="1949"/>
        <v>-100.00000000000023</v>
      </c>
      <c r="CT251" s="24">
        <f t="shared" si="1949"/>
        <v>-99.999999999999773</v>
      </c>
      <c r="CU251" s="24">
        <f t="shared" ref="CU251:DB251" si="1950">CT187-CU81-CU187</f>
        <v>-25.000000000000455</v>
      </c>
      <c r="CV251" s="24">
        <f t="shared" si="1950"/>
        <v>-24.999999999999545</v>
      </c>
      <c r="CW251" s="24">
        <f t="shared" si="1950"/>
        <v>-25</v>
      </c>
      <c r="CX251" s="24">
        <f t="shared" si="1950"/>
        <v>-24.999999999999773</v>
      </c>
      <c r="CY251" s="24">
        <f t="shared" si="1950"/>
        <v>-25</v>
      </c>
      <c r="CZ251" s="24">
        <f t="shared" si="1950"/>
        <v>-25</v>
      </c>
      <c r="DA251" s="24">
        <f t="shared" si="1950"/>
        <v>-25</v>
      </c>
      <c r="DB251" s="24">
        <f t="shared" si="1950"/>
        <v>-25</v>
      </c>
      <c r="DE251" s="123"/>
      <c r="DF251" s="23">
        <v>0</v>
      </c>
    </row>
    <row r="252" spans="1:110" s="23" customFormat="1" x14ac:dyDescent="0.2">
      <c r="AB252" s="24"/>
      <c r="AC252" s="24"/>
      <c r="AD252" s="24"/>
      <c r="AE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E252" s="123"/>
    </row>
    <row r="253" spans="1:110" s="22" customFormat="1" x14ac:dyDescent="0.2">
      <c r="A253" s="22" t="s">
        <v>95</v>
      </c>
      <c r="C253" s="22">
        <f t="shared" ref="C253:W253" si="1951">C254+C255</f>
        <v>-5.3457187999999984</v>
      </c>
      <c r="D253" s="22">
        <f t="shared" si="1951"/>
        <v>9.9235176999999926</v>
      </c>
      <c r="E253" s="22">
        <f t="shared" si="1951"/>
        <v>9.0105731000000091</v>
      </c>
      <c r="F253" s="22">
        <f t="shared" si="1951"/>
        <v>6.0987322999999947</v>
      </c>
      <c r="G253" s="22">
        <f t="shared" si="1951"/>
        <v>10.411397700000016</v>
      </c>
      <c r="H253" s="22">
        <f t="shared" si="1951"/>
        <v>14.503802099999994</v>
      </c>
      <c r="I253" s="22">
        <f t="shared" si="1951"/>
        <v>15.887592499999982</v>
      </c>
      <c r="J253" s="22">
        <f t="shared" si="1951"/>
        <v>16.891591799999993</v>
      </c>
      <c r="K253" s="22">
        <f t="shared" si="1951"/>
        <v>-3.9936258000000464</v>
      </c>
      <c r="L253" s="22">
        <f t="shared" si="1951"/>
        <v>62.902590099999983</v>
      </c>
      <c r="M253" s="22">
        <f t="shared" si="1951"/>
        <v>47.942040599999913</v>
      </c>
      <c r="N253" s="22">
        <f t="shared" si="1951"/>
        <v>19.363098800000017</v>
      </c>
      <c r="O253" s="22">
        <f t="shared" si="1951"/>
        <v>17.783002299999993</v>
      </c>
      <c r="P253" s="22">
        <f t="shared" si="1951"/>
        <v>-11.261040099999988</v>
      </c>
      <c r="Q253" s="22">
        <f t="shared" si="1951"/>
        <v>-90.463268599999935</v>
      </c>
      <c r="R253" s="22">
        <f t="shared" si="1951"/>
        <v>-67.866673700000078</v>
      </c>
      <c r="S253" s="22">
        <f t="shared" si="1951"/>
        <v>56.342774500000075</v>
      </c>
      <c r="T253" s="22">
        <f t="shared" si="1951"/>
        <v>64.972963499999963</v>
      </c>
      <c r="U253" s="22">
        <f t="shared" si="1951"/>
        <v>3.7213583000001123</v>
      </c>
      <c r="V253" s="22">
        <f t="shared" si="1951"/>
        <v>-129.13977830000007</v>
      </c>
      <c r="W253" s="22">
        <f t="shared" si="1951"/>
        <v>10.092100000000038</v>
      </c>
      <c r="X253" s="22">
        <f t="shared" ref="X253:Y253" si="1952">X254+X255</f>
        <v>14.714999999999733</v>
      </c>
      <c r="Y253" s="22">
        <f t="shared" si="1952"/>
        <v>-47.648500000000297</v>
      </c>
      <c r="Z253" s="22">
        <f t="shared" ref="Z253:AA253" si="1953">Z254+Z255</f>
        <v>-41.480899999999899</v>
      </c>
      <c r="AA253" s="22">
        <f t="shared" si="1953"/>
        <v>-409.54080000000016</v>
      </c>
      <c r="AB253" s="21">
        <f t="shared" ref="AA253:AD253" si="1954">AB254+AB255</f>
        <v>649.66360000000032</v>
      </c>
      <c r="AC253" s="21">
        <f t="shared" si="1954"/>
        <v>200</v>
      </c>
      <c r="AD253" s="21">
        <f t="shared" si="1954"/>
        <v>4.5474735088646412E-13</v>
      </c>
      <c r="AE253" s="21">
        <f t="shared" ref="AE253" si="1955">AE254+AE255</f>
        <v>4.5474735088646412E-13</v>
      </c>
      <c r="AI253" s="22">
        <f t="shared" ref="AI253" si="1956">AI254+AI255</f>
        <v>-9.3669999999999902</v>
      </c>
      <c r="AJ253" s="22">
        <f t="shared" ref="AJ253:AL253" si="1957">AJ254+AJ255</f>
        <v>351.37</v>
      </c>
      <c r="AK253" s="22">
        <f t="shared" si="1957"/>
        <v>0</v>
      </c>
      <c r="AL253" s="22">
        <f t="shared" si="1957"/>
        <v>8.6360000000000241</v>
      </c>
      <c r="AM253" s="22">
        <f t="shared" ref="AM253" si="1958">AM254+AM255</f>
        <v>0</v>
      </c>
      <c r="AN253" s="22">
        <f t="shared" ref="AN253:CD253" si="1959">AN254+AN255</f>
        <v>-0.18500000000000227</v>
      </c>
      <c r="AO253" s="22">
        <f t="shared" si="1959"/>
        <v>0</v>
      </c>
      <c r="AP253" s="22">
        <f t="shared" si="1959"/>
        <v>12.510000000000019</v>
      </c>
      <c r="AQ253" s="22">
        <f t="shared" si="1959"/>
        <v>0</v>
      </c>
      <c r="AR253" s="22">
        <f t="shared" si="1959"/>
        <v>-11.588000000000051</v>
      </c>
      <c r="AS253" s="22">
        <f t="shared" si="1959"/>
        <v>0</v>
      </c>
      <c r="AT253" s="22">
        <f t="shared" si="1959"/>
        <v>0.73800000000001376</v>
      </c>
      <c r="AU253" s="22">
        <f t="shared" si="1959"/>
        <v>0</v>
      </c>
      <c r="AV253" s="22">
        <f t="shared" si="1959"/>
        <v>-60.795000000000002</v>
      </c>
      <c r="AW253" s="22">
        <f t="shared" si="1959"/>
        <v>5.6843418860808015E-14</v>
      </c>
      <c r="AX253" s="22">
        <f t="shared" si="1959"/>
        <v>-25.871000000000009</v>
      </c>
      <c r="AY253" s="22">
        <f t="shared" si="1959"/>
        <v>0</v>
      </c>
      <c r="AZ253" s="22">
        <f t="shared" si="1959"/>
        <v>-47.988000000000056</v>
      </c>
      <c r="BA253" s="22">
        <f t="shared" si="1959"/>
        <v>0</v>
      </c>
      <c r="BB253" s="22">
        <f t="shared" si="1959"/>
        <v>-19.867999999999938</v>
      </c>
      <c r="BC253" s="22">
        <f t="shared" si="1959"/>
        <v>0</v>
      </c>
      <c r="BD253" s="22">
        <f t="shared" si="1959"/>
        <v>-30.265000000000036</v>
      </c>
      <c r="BE253" s="22">
        <f t="shared" si="1959"/>
        <v>-5.6843418860808015E-14</v>
      </c>
      <c r="BF253" s="22">
        <f t="shared" si="1959"/>
        <v>99.051000000000101</v>
      </c>
      <c r="BG253" s="22">
        <f t="shared" si="1959"/>
        <v>0</v>
      </c>
      <c r="BH253" s="22">
        <f t="shared" si="1959"/>
        <v>-31.846999999999923</v>
      </c>
      <c r="BI253" s="22">
        <f t="shared" si="1959"/>
        <v>0</v>
      </c>
      <c r="BJ253" s="22">
        <f t="shared" si="1959"/>
        <v>69.618000000000009</v>
      </c>
      <c r="BK253" s="22">
        <f t="shared" si="1959"/>
        <v>0</v>
      </c>
      <c r="BL253" s="22">
        <f t="shared" si="1959"/>
        <v>23.360000000000021</v>
      </c>
      <c r="BM253" s="22">
        <f t="shared" si="1959"/>
        <v>0</v>
      </c>
      <c r="BN253" s="22">
        <f t="shared" si="1959"/>
        <v>-1.1550000000000633</v>
      </c>
      <c r="BO253" s="22">
        <f t="shared" si="1959"/>
        <v>0</v>
      </c>
      <c r="BP253" s="22">
        <f t="shared" si="1959"/>
        <v>-37.971000000000039</v>
      </c>
      <c r="BQ253" s="22">
        <f t="shared" si="1959"/>
        <v>0</v>
      </c>
      <c r="BR253" s="22">
        <f t="shared" si="1959"/>
        <v>-100.26000000000003</v>
      </c>
      <c r="BS253" s="22">
        <f t="shared" si="1959"/>
        <v>0</v>
      </c>
      <c r="BT253" s="22">
        <f t="shared" si="1959"/>
        <v>67.034000000000063</v>
      </c>
      <c r="BU253" s="22">
        <f t="shared" si="1959"/>
        <v>0</v>
      </c>
      <c r="BV253" s="22">
        <f t="shared" si="1959"/>
        <v>-29.665000000000084</v>
      </c>
      <c r="BW253" s="22">
        <f t="shared" si="1959"/>
        <v>0</v>
      </c>
      <c r="BX253" s="22">
        <f t="shared" si="1959"/>
        <v>39.566000000000145</v>
      </c>
      <c r="BY253" s="22">
        <f t="shared" si="1959"/>
        <v>0</v>
      </c>
      <c r="BZ253" s="22">
        <f t="shared" si="1959"/>
        <v>-24.847999999999971</v>
      </c>
      <c r="CA253" s="22">
        <f t="shared" si="1959"/>
        <v>0</v>
      </c>
      <c r="CB253" s="22">
        <f t="shared" si="1959"/>
        <v>-30.036999999999871</v>
      </c>
      <c r="CC253" s="22">
        <f t="shared" si="1959"/>
        <v>0</v>
      </c>
      <c r="CD253" s="22">
        <f t="shared" si="1959"/>
        <v>-17.608000000000271</v>
      </c>
      <c r="CE253" s="22">
        <f t="shared" ref="CE253:CF253" si="1960">CE254+CE255</f>
        <v>0</v>
      </c>
      <c r="CF253" s="22">
        <f t="shared" si="1960"/>
        <v>-37.45399999999988</v>
      </c>
      <c r="CG253" s="22">
        <f t="shared" ref="CG253:CH253" si="1961">CG254+CG255</f>
        <v>0</v>
      </c>
      <c r="CH253" s="22">
        <f t="shared" si="1961"/>
        <v>-4.0251000000001049</v>
      </c>
      <c r="CI253" s="22">
        <f t="shared" ref="CI253:CJ253" si="1962">CI254+CI255</f>
        <v>0</v>
      </c>
      <c r="CJ253" s="22">
        <f t="shared" si="1962"/>
        <v>-14.116899999999966</v>
      </c>
      <c r="CK253" s="22">
        <f t="shared" ref="CK253:DB253" si="1963">CK254+CK255</f>
        <v>0</v>
      </c>
      <c r="CL253" s="22">
        <f t="shared" si="1963"/>
        <v>102.5680000000001</v>
      </c>
      <c r="CM253" s="21">
        <f t="shared" si="1963"/>
        <v>0</v>
      </c>
      <c r="CN253" s="21">
        <f t="shared" si="1963"/>
        <v>2.2737367544323206E-13</v>
      </c>
      <c r="CO253" s="21">
        <f t="shared" si="1963"/>
        <v>0</v>
      </c>
      <c r="CP253" s="21">
        <f t="shared" si="1963"/>
        <v>150</v>
      </c>
      <c r="CQ253" s="21">
        <f t="shared" si="1963"/>
        <v>200</v>
      </c>
      <c r="CR253" s="21">
        <f t="shared" si="1963"/>
        <v>0</v>
      </c>
      <c r="CS253" s="21">
        <f t="shared" si="1963"/>
        <v>0</v>
      </c>
      <c r="CT253" s="21">
        <f t="shared" si="1963"/>
        <v>0</v>
      </c>
      <c r="CU253" s="21">
        <f t="shared" si="1963"/>
        <v>0</v>
      </c>
      <c r="CV253" s="21">
        <f t="shared" si="1963"/>
        <v>0</v>
      </c>
      <c r="CW253" s="21">
        <f t="shared" si="1963"/>
        <v>0</v>
      </c>
      <c r="CX253" s="21">
        <f t="shared" si="1963"/>
        <v>0</v>
      </c>
      <c r="CY253" s="21">
        <f t="shared" si="1963"/>
        <v>0</v>
      </c>
      <c r="CZ253" s="21">
        <f t="shared" si="1963"/>
        <v>0</v>
      </c>
      <c r="DA253" s="21">
        <f t="shared" si="1963"/>
        <v>0</v>
      </c>
      <c r="DB253" s="21">
        <f t="shared" si="1963"/>
        <v>-4.5474735088646412E-13</v>
      </c>
      <c r="DE253" s="126"/>
      <c r="DF253" s="22">
        <v>0</v>
      </c>
    </row>
    <row r="254" spans="1:110" s="23" customFormat="1" x14ac:dyDescent="0.2">
      <c r="A254" s="23" t="s">
        <v>49</v>
      </c>
      <c r="C254" s="23">
        <f t="shared" ref="C254:AE254" si="1964">C177-B177</f>
        <v>-2.3139289999999981</v>
      </c>
      <c r="D254" s="23">
        <f t="shared" si="1964"/>
        <v>10.762960499999998</v>
      </c>
      <c r="E254" s="23">
        <f t="shared" si="1964"/>
        <v>9.9478806000000013</v>
      </c>
      <c r="F254" s="23">
        <f t="shared" si="1964"/>
        <v>6.8062542999999991</v>
      </c>
      <c r="G254" s="23">
        <f t="shared" si="1964"/>
        <v>12.121847700000004</v>
      </c>
      <c r="H254" s="23">
        <f t="shared" si="1964"/>
        <v>12.876577199999993</v>
      </c>
      <c r="I254" s="23">
        <f t="shared" si="1964"/>
        <v>16.996852500000003</v>
      </c>
      <c r="J254" s="23">
        <f t="shared" si="1964"/>
        <v>18.371183799999997</v>
      </c>
      <c r="K254" s="23">
        <f t="shared" si="1964"/>
        <v>-2.0982482999999945</v>
      </c>
      <c r="L254" s="23">
        <f t="shared" si="1964"/>
        <v>65.169534200000001</v>
      </c>
      <c r="M254" s="23">
        <f t="shared" si="1964"/>
        <v>50.954685600000005</v>
      </c>
      <c r="N254" s="23">
        <f t="shared" si="1964"/>
        <v>24.258646899999974</v>
      </c>
      <c r="O254" s="23">
        <f t="shared" si="1964"/>
        <v>21.548802500000022</v>
      </c>
      <c r="P254" s="23">
        <f t="shared" si="1964"/>
        <v>-5.7664171000000124</v>
      </c>
      <c r="Q254" s="23">
        <f t="shared" si="1964"/>
        <v>-83.159568499999978</v>
      </c>
      <c r="R254" s="23">
        <f t="shared" si="1964"/>
        <v>-67.768738400000018</v>
      </c>
      <c r="S254" s="23">
        <f t="shared" si="1964"/>
        <v>46.922304499999996</v>
      </c>
      <c r="T254" s="23">
        <f t="shared" si="1964"/>
        <v>75.556892000000005</v>
      </c>
      <c r="U254" s="23">
        <f t="shared" si="1964"/>
        <v>32.162141099999985</v>
      </c>
      <c r="V254" s="23">
        <f t="shared" si="1964"/>
        <v>-132.49881359999998</v>
      </c>
      <c r="W254" s="23">
        <f t="shared" si="1964"/>
        <v>-26.429599999999994</v>
      </c>
      <c r="X254" s="23">
        <f t="shared" si="1964"/>
        <v>-43.063000000000017</v>
      </c>
      <c r="Y254" s="23">
        <f t="shared" si="1964"/>
        <v>-37.877299999999991</v>
      </c>
      <c r="Z254" s="23">
        <f t="shared" si="1964"/>
        <v>-9.0908999999999995</v>
      </c>
      <c r="AA254" s="23">
        <f t="shared" ref="AA254" si="1965">AA177-Z177</f>
        <v>-10.6061</v>
      </c>
      <c r="AB254" s="24">
        <f t="shared" si="1964"/>
        <v>282.911</v>
      </c>
      <c r="AC254" s="24">
        <f t="shared" si="1964"/>
        <v>200</v>
      </c>
      <c r="AD254" s="24">
        <f t="shared" si="1964"/>
        <v>0</v>
      </c>
      <c r="AE254" s="24">
        <f t="shared" si="1964"/>
        <v>0</v>
      </c>
      <c r="AI254" s="23">
        <f t="shared" ref="AI254:BN254" si="1966">AI177-AH177</f>
        <v>0</v>
      </c>
      <c r="AJ254" s="23">
        <f t="shared" si="1966"/>
        <v>195.80799999999999</v>
      </c>
      <c r="AK254" s="23">
        <f t="shared" si="1966"/>
        <v>0</v>
      </c>
      <c r="AL254" s="23">
        <f t="shared" si="1966"/>
        <v>13.50200000000001</v>
      </c>
      <c r="AM254" s="23">
        <f t="shared" si="1966"/>
        <v>0</v>
      </c>
      <c r="AN254" s="23">
        <f t="shared" si="1966"/>
        <v>-0.16900000000001114</v>
      </c>
      <c r="AO254" s="23">
        <f t="shared" si="1966"/>
        <v>0</v>
      </c>
      <c r="AP254" s="23">
        <f t="shared" si="1966"/>
        <v>16.269000000000034</v>
      </c>
      <c r="AQ254" s="23">
        <f t="shared" si="1966"/>
        <v>0</v>
      </c>
      <c r="AR254" s="23">
        <f t="shared" si="1966"/>
        <v>-12.57000000000005</v>
      </c>
      <c r="AS254" s="23">
        <f t="shared" si="1966"/>
        <v>0</v>
      </c>
      <c r="AT254" s="23">
        <f t="shared" si="1966"/>
        <v>10.422000000000025</v>
      </c>
      <c r="AU254" s="23">
        <f t="shared" si="1966"/>
        <v>0</v>
      </c>
      <c r="AV254" s="23">
        <f t="shared" si="1966"/>
        <v>-68.621000000000009</v>
      </c>
      <c r="AW254" s="23">
        <f t="shared" si="1966"/>
        <v>0</v>
      </c>
      <c r="AX254" s="23">
        <f t="shared" si="1966"/>
        <v>-7.0829999999999984</v>
      </c>
      <c r="AY254" s="23">
        <f t="shared" si="1966"/>
        <v>0</v>
      </c>
      <c r="AZ254" s="23">
        <f t="shared" si="1966"/>
        <v>-59.47399999999999</v>
      </c>
      <c r="BA254" s="23">
        <f t="shared" si="1966"/>
        <v>0</v>
      </c>
      <c r="BB254" s="23">
        <f t="shared" si="1966"/>
        <v>-5.0620000000000118</v>
      </c>
      <c r="BC254" s="23">
        <f t="shared" si="1966"/>
        <v>0</v>
      </c>
      <c r="BD254" s="23">
        <f t="shared" si="1966"/>
        <v>-36.487999999999992</v>
      </c>
      <c r="BE254" s="23">
        <f t="shared" si="1966"/>
        <v>0</v>
      </c>
      <c r="BF254" s="23">
        <f t="shared" si="1966"/>
        <v>95.634999999999991</v>
      </c>
      <c r="BG254" s="23">
        <f t="shared" si="1966"/>
        <v>0</v>
      </c>
      <c r="BH254" s="23">
        <f t="shared" si="1966"/>
        <v>-3.4889999999999759</v>
      </c>
      <c r="BI254" s="23">
        <f t="shared" si="1966"/>
        <v>0</v>
      </c>
      <c r="BJ254" s="23">
        <f t="shared" si="1966"/>
        <v>52.057999999999993</v>
      </c>
      <c r="BK254" s="23">
        <f t="shared" si="1966"/>
        <v>0</v>
      </c>
      <c r="BL254" s="23">
        <f t="shared" si="1966"/>
        <v>37.670999999999992</v>
      </c>
      <c r="BM254" s="23">
        <f t="shared" si="1966"/>
        <v>0</v>
      </c>
      <c r="BN254" s="23">
        <f t="shared" si="1966"/>
        <v>12.975000000000023</v>
      </c>
      <c r="BO254" s="23">
        <f t="shared" ref="BO254:CT254" si="1967">BO177-BN177</f>
        <v>0</v>
      </c>
      <c r="BP254" s="23">
        <f t="shared" si="1967"/>
        <v>-33.566000000000031</v>
      </c>
      <c r="BQ254" s="23">
        <f t="shared" si="1967"/>
        <v>0</v>
      </c>
      <c r="BR254" s="23">
        <f t="shared" si="1967"/>
        <v>-108.02399999999997</v>
      </c>
      <c r="BS254" s="23">
        <f t="shared" si="1967"/>
        <v>0</v>
      </c>
      <c r="BT254" s="23">
        <f t="shared" si="1967"/>
        <v>64.668999999999983</v>
      </c>
      <c r="BU254" s="23">
        <f t="shared" si="1967"/>
        <v>0</v>
      </c>
      <c r="BV254" s="23">
        <f t="shared" si="1967"/>
        <v>-63.825999999999993</v>
      </c>
      <c r="BW254" s="23">
        <f t="shared" si="1967"/>
        <v>0</v>
      </c>
      <c r="BX254" s="23">
        <f t="shared" si="1967"/>
        <v>10.573000000000008</v>
      </c>
      <c r="BY254" s="23">
        <f t="shared" si="1967"/>
        <v>0</v>
      </c>
      <c r="BZ254" s="23">
        <f t="shared" si="1967"/>
        <v>-53.635000000000005</v>
      </c>
      <c r="CA254" s="23">
        <f t="shared" si="1967"/>
        <v>0</v>
      </c>
      <c r="CB254" s="23">
        <f t="shared" si="1967"/>
        <v>-13.636000000000003</v>
      </c>
      <c r="CC254" s="23">
        <f t="shared" si="1967"/>
        <v>0</v>
      </c>
      <c r="CD254" s="23">
        <f t="shared" si="1967"/>
        <v>-24.242000000000001</v>
      </c>
      <c r="CE254" s="23">
        <f t="shared" si="1967"/>
        <v>0</v>
      </c>
      <c r="CF254" s="23">
        <f t="shared" si="1967"/>
        <v>-4.5449999999999999</v>
      </c>
      <c r="CG254" s="23">
        <f t="shared" si="1967"/>
        <v>0</v>
      </c>
      <c r="CH254" s="23">
        <f t="shared" si="1967"/>
        <v>-4.5458999999999996</v>
      </c>
      <c r="CI254" s="23">
        <f t="shared" si="1967"/>
        <v>0</v>
      </c>
      <c r="CJ254" s="23">
        <f t="shared" si="1967"/>
        <v>20.454900000000002</v>
      </c>
      <c r="CK254" s="23">
        <f t="shared" si="1967"/>
        <v>0</v>
      </c>
      <c r="CL254" s="23">
        <f t="shared" si="1967"/>
        <v>101.85</v>
      </c>
      <c r="CM254" s="24">
        <f t="shared" si="1967"/>
        <v>0</v>
      </c>
      <c r="CN254" s="24">
        <f t="shared" si="1967"/>
        <v>0</v>
      </c>
      <c r="CO254" s="24">
        <f t="shared" si="1967"/>
        <v>0</v>
      </c>
      <c r="CP254" s="24">
        <f t="shared" si="1967"/>
        <v>150</v>
      </c>
      <c r="CQ254" s="24">
        <f t="shared" si="1967"/>
        <v>200</v>
      </c>
      <c r="CR254" s="24">
        <f t="shared" si="1967"/>
        <v>0</v>
      </c>
      <c r="CS254" s="24">
        <f t="shared" si="1967"/>
        <v>0</v>
      </c>
      <c r="CT254" s="24">
        <f t="shared" si="1967"/>
        <v>0</v>
      </c>
      <c r="CU254" s="24">
        <f t="shared" ref="CU254:DB254" si="1968">CU177-CT177</f>
        <v>0</v>
      </c>
      <c r="CV254" s="24">
        <f t="shared" si="1968"/>
        <v>0</v>
      </c>
      <c r="CW254" s="24">
        <f t="shared" si="1968"/>
        <v>0</v>
      </c>
      <c r="CX254" s="24">
        <f t="shared" si="1968"/>
        <v>0</v>
      </c>
      <c r="CY254" s="24">
        <f t="shared" si="1968"/>
        <v>0</v>
      </c>
      <c r="CZ254" s="24">
        <f t="shared" si="1968"/>
        <v>0</v>
      </c>
      <c r="DA254" s="24">
        <f t="shared" si="1968"/>
        <v>0</v>
      </c>
      <c r="DB254" s="24">
        <f t="shared" si="1968"/>
        <v>0</v>
      </c>
      <c r="DE254" s="123"/>
      <c r="DF254" s="23">
        <v>0</v>
      </c>
    </row>
    <row r="255" spans="1:110" s="23" customFormat="1" x14ac:dyDescent="0.2">
      <c r="A255" s="23" t="s">
        <v>27</v>
      </c>
      <c r="C255" s="23">
        <f t="shared" ref="C255:AE255" si="1969">C169-C97-B169+C171-B171</f>
        <v>-3.0317898000000003</v>
      </c>
      <c r="D255" s="23">
        <f t="shared" si="1969"/>
        <v>-0.83944280000000582</v>
      </c>
      <c r="E255" s="23">
        <f t="shared" si="1969"/>
        <v>-0.93730749999999219</v>
      </c>
      <c r="F255" s="23">
        <f t="shared" si="1969"/>
        <v>-0.70752200000000443</v>
      </c>
      <c r="G255" s="23">
        <f t="shared" si="1969"/>
        <v>-1.7104499999999874</v>
      </c>
      <c r="H255" s="23">
        <f t="shared" si="1969"/>
        <v>1.6272249000000016</v>
      </c>
      <c r="I255" s="23">
        <f t="shared" si="1969"/>
        <v>-1.1092600000000203</v>
      </c>
      <c r="J255" s="23">
        <f t="shared" si="1969"/>
        <v>-1.4795920000000038</v>
      </c>
      <c r="K255" s="23">
        <f t="shared" si="1969"/>
        <v>-1.8953775000000519</v>
      </c>
      <c r="L255" s="23">
        <f t="shared" si="1969"/>
        <v>-2.2669441000000177</v>
      </c>
      <c r="M255" s="23">
        <f t="shared" si="1969"/>
        <v>-3.0126450000000915</v>
      </c>
      <c r="N255" s="23">
        <f t="shared" si="1969"/>
        <v>-4.8955480999999565</v>
      </c>
      <c r="O255" s="23">
        <f t="shared" si="1969"/>
        <v>-3.7658002000000295</v>
      </c>
      <c r="P255" s="23">
        <f t="shared" si="1969"/>
        <v>-5.4946229999999758</v>
      </c>
      <c r="Q255" s="23">
        <f t="shared" si="1969"/>
        <v>-7.3037000999999577</v>
      </c>
      <c r="R255" s="23">
        <f t="shared" si="1969"/>
        <v>-9.7935300000059788E-2</v>
      </c>
      <c r="S255" s="23">
        <f t="shared" si="1969"/>
        <v>9.4204700000000798</v>
      </c>
      <c r="T255" s="23">
        <f t="shared" si="1969"/>
        <v>-10.583928500000034</v>
      </c>
      <c r="U255" s="23">
        <f t="shared" si="1969"/>
        <v>-28.440782799999873</v>
      </c>
      <c r="V255" s="23">
        <f t="shared" si="1969"/>
        <v>3.3590352999999098</v>
      </c>
      <c r="W255" s="23">
        <f t="shared" si="1969"/>
        <v>36.521700000000031</v>
      </c>
      <c r="X255" s="23">
        <f t="shared" si="1969"/>
        <v>57.77799999999975</v>
      </c>
      <c r="Y255" s="23">
        <f t="shared" si="1969"/>
        <v>-9.7712000000003059</v>
      </c>
      <c r="Z255" s="23">
        <f t="shared" si="1969"/>
        <v>-32.389999999999901</v>
      </c>
      <c r="AA255" s="23">
        <f t="shared" ref="AA255" si="1970">AA169-AA97-Z169+AA171-Z171</f>
        <v>-398.93470000000013</v>
      </c>
      <c r="AB255" s="24">
        <f t="shared" si="1969"/>
        <v>366.75260000000037</v>
      </c>
      <c r="AC255" s="24">
        <f t="shared" si="1969"/>
        <v>0</v>
      </c>
      <c r="AD255" s="24">
        <f t="shared" si="1969"/>
        <v>4.5474735088646412E-13</v>
      </c>
      <c r="AE255" s="24">
        <f t="shared" si="1969"/>
        <v>4.5474735088646412E-13</v>
      </c>
      <c r="AI255" s="23">
        <f t="shared" ref="AI255:BN255" si="1971">AI169-AI97-AH169+AI171-AH171</f>
        <v>-9.3669999999999902</v>
      </c>
      <c r="AJ255" s="23">
        <f t="shared" si="1971"/>
        <v>155.56200000000001</v>
      </c>
      <c r="AK255" s="23">
        <f t="shared" si="1971"/>
        <v>0</v>
      </c>
      <c r="AL255" s="23">
        <f t="shared" si="1971"/>
        <v>-4.8659999999999854</v>
      </c>
      <c r="AM255" s="23">
        <f t="shared" si="1971"/>
        <v>0</v>
      </c>
      <c r="AN255" s="23">
        <f t="shared" si="1971"/>
        <v>-1.5999999999991132E-2</v>
      </c>
      <c r="AO255" s="23">
        <f t="shared" si="1971"/>
        <v>0</v>
      </c>
      <c r="AP255" s="23">
        <f t="shared" si="1971"/>
        <v>-3.7590000000000146</v>
      </c>
      <c r="AQ255" s="23">
        <f t="shared" si="1971"/>
        <v>0</v>
      </c>
      <c r="AR255" s="23">
        <f t="shared" si="1971"/>
        <v>0.98199999999999932</v>
      </c>
      <c r="AS255" s="23">
        <f t="shared" si="1971"/>
        <v>0</v>
      </c>
      <c r="AT255" s="23">
        <f t="shared" si="1971"/>
        <v>-9.6840000000000117</v>
      </c>
      <c r="AU255" s="23">
        <f t="shared" si="1971"/>
        <v>0</v>
      </c>
      <c r="AV255" s="23">
        <f t="shared" si="1971"/>
        <v>7.8260000000000067</v>
      </c>
      <c r="AW255" s="23">
        <f t="shared" si="1971"/>
        <v>5.6843418860808015E-14</v>
      </c>
      <c r="AX255" s="23">
        <f t="shared" si="1971"/>
        <v>-18.788000000000011</v>
      </c>
      <c r="AY255" s="23">
        <f t="shared" si="1971"/>
        <v>0</v>
      </c>
      <c r="AZ255" s="23">
        <f t="shared" si="1971"/>
        <v>11.485999999999933</v>
      </c>
      <c r="BA255" s="23">
        <f t="shared" si="1971"/>
        <v>0</v>
      </c>
      <c r="BB255" s="23">
        <f t="shared" si="1971"/>
        <v>-14.805999999999926</v>
      </c>
      <c r="BC255" s="23">
        <f t="shared" si="1971"/>
        <v>0</v>
      </c>
      <c r="BD255" s="23">
        <f t="shared" si="1971"/>
        <v>6.2229999999999563</v>
      </c>
      <c r="BE255" s="23">
        <f t="shared" si="1971"/>
        <v>-5.6843418860808015E-14</v>
      </c>
      <c r="BF255" s="23">
        <f t="shared" si="1971"/>
        <v>3.4160000000001105</v>
      </c>
      <c r="BG255" s="23">
        <f t="shared" si="1971"/>
        <v>0</v>
      </c>
      <c r="BH255" s="23">
        <f t="shared" si="1971"/>
        <v>-28.357999999999947</v>
      </c>
      <c r="BI255" s="23">
        <f t="shared" si="1971"/>
        <v>0</v>
      </c>
      <c r="BJ255" s="23">
        <f t="shared" si="1971"/>
        <v>17.56000000000002</v>
      </c>
      <c r="BK255" s="23">
        <f t="shared" si="1971"/>
        <v>0</v>
      </c>
      <c r="BL255" s="23">
        <f t="shared" si="1971"/>
        <v>-14.310999999999972</v>
      </c>
      <c r="BM255" s="23">
        <f t="shared" si="1971"/>
        <v>0</v>
      </c>
      <c r="BN255" s="23">
        <f t="shared" si="1971"/>
        <v>-14.130000000000086</v>
      </c>
      <c r="BO255" s="23">
        <f t="shared" ref="BO255:CT255" si="1972">BO169-BO97-BN169+BO171-BN171</f>
        <v>0</v>
      </c>
      <c r="BP255" s="23">
        <f t="shared" si="1972"/>
        <v>-4.4050000000000082</v>
      </c>
      <c r="BQ255" s="23">
        <f t="shared" si="1972"/>
        <v>0</v>
      </c>
      <c r="BR255" s="23">
        <f t="shared" si="1972"/>
        <v>7.7639999999999354</v>
      </c>
      <c r="BS255" s="23">
        <f t="shared" si="1972"/>
        <v>0</v>
      </c>
      <c r="BT255" s="23">
        <f t="shared" si="1972"/>
        <v>2.3650000000000784</v>
      </c>
      <c r="BU255" s="23">
        <f t="shared" si="1972"/>
        <v>0</v>
      </c>
      <c r="BV255" s="23">
        <f t="shared" si="1972"/>
        <v>34.160999999999909</v>
      </c>
      <c r="BW255" s="23">
        <f t="shared" si="1972"/>
        <v>0</v>
      </c>
      <c r="BX255" s="23">
        <f t="shared" si="1972"/>
        <v>28.993000000000137</v>
      </c>
      <c r="BY255" s="23">
        <f t="shared" si="1972"/>
        <v>0</v>
      </c>
      <c r="BZ255" s="23">
        <f t="shared" si="1972"/>
        <v>28.787000000000035</v>
      </c>
      <c r="CA255" s="23">
        <f t="shared" si="1972"/>
        <v>0</v>
      </c>
      <c r="CB255" s="23">
        <f t="shared" si="1972"/>
        <v>-16.400999999999868</v>
      </c>
      <c r="CC255" s="23">
        <f t="shared" si="1972"/>
        <v>0</v>
      </c>
      <c r="CD255" s="23">
        <f t="shared" si="1972"/>
        <v>6.6339999999997303</v>
      </c>
      <c r="CE255" s="23">
        <f t="shared" si="1972"/>
        <v>0</v>
      </c>
      <c r="CF255" s="23">
        <f t="shared" si="1972"/>
        <v>-32.908999999999878</v>
      </c>
      <c r="CG255" s="23">
        <f t="shared" si="1972"/>
        <v>0</v>
      </c>
      <c r="CH255" s="23">
        <f t="shared" si="1972"/>
        <v>0.52079999999989468</v>
      </c>
      <c r="CI255" s="23">
        <f t="shared" si="1972"/>
        <v>0</v>
      </c>
      <c r="CJ255" s="23">
        <f t="shared" si="1972"/>
        <v>-34.571799999999968</v>
      </c>
      <c r="CK255" s="23">
        <f t="shared" si="1972"/>
        <v>0</v>
      </c>
      <c r="CL255" s="23">
        <f t="shared" si="1972"/>
        <v>0.718000000000103</v>
      </c>
      <c r="CM255" s="24">
        <f t="shared" si="1972"/>
        <v>0</v>
      </c>
      <c r="CN255" s="24">
        <f t="shared" si="1972"/>
        <v>2.2737367544323206E-13</v>
      </c>
      <c r="CO255" s="24">
        <f t="shared" si="1972"/>
        <v>0</v>
      </c>
      <c r="CP255" s="24">
        <f t="shared" si="1972"/>
        <v>0</v>
      </c>
      <c r="CQ255" s="24">
        <f t="shared" si="1972"/>
        <v>0</v>
      </c>
      <c r="CR255" s="24">
        <f t="shared" si="1972"/>
        <v>0</v>
      </c>
      <c r="CS255" s="24">
        <f t="shared" si="1972"/>
        <v>0</v>
      </c>
      <c r="CT255" s="24">
        <f t="shared" si="1972"/>
        <v>0</v>
      </c>
      <c r="CU255" s="24">
        <f t="shared" ref="CU255:DB255" si="1973">CU169-CU97-CT169+CU171-CT171</f>
        <v>0</v>
      </c>
      <c r="CV255" s="24">
        <f t="shared" si="1973"/>
        <v>0</v>
      </c>
      <c r="CW255" s="24">
        <f t="shared" si="1973"/>
        <v>0</v>
      </c>
      <c r="CX255" s="24">
        <f t="shared" si="1973"/>
        <v>0</v>
      </c>
      <c r="CY255" s="24">
        <f t="shared" si="1973"/>
        <v>0</v>
      </c>
      <c r="CZ255" s="24">
        <f t="shared" si="1973"/>
        <v>0</v>
      </c>
      <c r="DA255" s="24">
        <f t="shared" si="1973"/>
        <v>0</v>
      </c>
      <c r="DB255" s="24">
        <f t="shared" si="1973"/>
        <v>-4.5474735088646412E-13</v>
      </c>
      <c r="DE255" s="123"/>
      <c r="DF255" s="23">
        <v>0</v>
      </c>
    </row>
    <row r="256" spans="1:110" s="23" customFormat="1" x14ac:dyDescent="0.2">
      <c r="AB256" s="24"/>
      <c r="AC256" s="24"/>
      <c r="AD256" s="24"/>
      <c r="AE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E256" s="123"/>
    </row>
    <row r="257" spans="1:110" s="23" customFormat="1" x14ac:dyDescent="0.2">
      <c r="A257" s="23" t="s">
        <v>442</v>
      </c>
      <c r="C257" s="23">
        <f t="shared" ref="C257" si="1974">B209</f>
        <v>0.2432831</v>
      </c>
      <c r="D257" s="23">
        <f t="shared" ref="D257" si="1975">C209</f>
        <v>0.90228629999999999</v>
      </c>
      <c r="E257" s="23">
        <f>D209</f>
        <v>0.95535309999999996</v>
      </c>
      <c r="F257" s="23">
        <f t="shared" ref="F257" si="1976">E209</f>
        <v>2.9303042000000001</v>
      </c>
      <c r="G257" s="23">
        <f t="shared" ref="G257" si="1977">F209</f>
        <v>2.0929612</v>
      </c>
      <c r="H257" s="23">
        <f t="shared" ref="H257" si="1978">G209</f>
        <v>2.071682</v>
      </c>
      <c r="I257" s="23">
        <f t="shared" ref="I257" si="1979">H209</f>
        <v>4.3942854000000002</v>
      </c>
      <c r="J257" s="23">
        <f>I209</f>
        <v>5.5134170999999998</v>
      </c>
      <c r="K257" s="23">
        <f>J209</f>
        <v>2.3692622000000001</v>
      </c>
      <c r="L257" s="23">
        <f t="shared" ref="L257" si="1980">K209</f>
        <v>3.6211019000000002</v>
      </c>
      <c r="M257" s="23">
        <f t="shared" ref="M257" si="1981">L209</f>
        <v>12.870896200000001</v>
      </c>
      <c r="N257" s="23">
        <f t="shared" ref="N257" si="1982">M209</f>
        <v>8.3186987999999999</v>
      </c>
      <c r="O257" s="23">
        <f t="shared" ref="O257" si="1983">N209</f>
        <v>22.6175596</v>
      </c>
      <c r="P257" s="23">
        <f t="shared" ref="P257" si="1984">O209</f>
        <v>29.685100000000002</v>
      </c>
      <c r="Q257" s="23">
        <f t="shared" ref="Q257" si="1985">P209</f>
        <v>6.9966793000000003</v>
      </c>
      <c r="R257" s="23">
        <f t="shared" ref="R257" si="1986">Q209</f>
        <v>8.5682243000000007</v>
      </c>
      <c r="S257" s="23">
        <f t="shared" ref="S257" si="1987">R209</f>
        <v>3.5051321</v>
      </c>
      <c r="T257" s="23">
        <f t="shared" ref="T257" si="1988">S209</f>
        <v>24.169261199999998</v>
      </c>
      <c r="U257" s="23">
        <f t="shared" ref="U257" si="1989">T209</f>
        <v>20.399295299999999</v>
      </c>
      <c r="V257" s="23">
        <f t="shared" ref="V257" si="1990">U209</f>
        <v>56.312091699999996</v>
      </c>
      <c r="W257" s="23">
        <f t="shared" ref="W257:AA257" si="1991">V209</f>
        <v>19.644200000000001</v>
      </c>
      <c r="X257" s="23">
        <f t="shared" si="1991"/>
        <v>51.559100000000001</v>
      </c>
      <c r="Y257" s="23">
        <f t="shared" si="1991"/>
        <v>308.57479999999998</v>
      </c>
      <c r="Z257" s="23">
        <f t="shared" si="1991"/>
        <v>339.79250000000002</v>
      </c>
      <c r="AA257" s="23">
        <f t="shared" si="1991"/>
        <v>353.53339999999997</v>
      </c>
      <c r="AB257" s="24">
        <f t="shared" ref="AB257" si="1992">AA209</f>
        <v>270.93439999999998</v>
      </c>
      <c r="AC257" s="24">
        <f t="shared" ref="AC257" si="1993">AB209</f>
        <v>185.82072630454425</v>
      </c>
      <c r="AD257" s="24">
        <f t="shared" ref="AD257" si="1994">AC209</f>
        <v>23.625700404334978</v>
      </c>
      <c r="AE257" s="24">
        <f t="shared" ref="AE257" si="1995">AD209</f>
        <v>58.09005774331365</v>
      </c>
      <c r="AI257" s="23">
        <f t="shared" ref="AI257" si="1996">AH209</f>
        <v>0</v>
      </c>
      <c r="AJ257" s="23">
        <f t="shared" ref="AJ257" si="1997">AI209</f>
        <v>0</v>
      </c>
      <c r="AK257" s="23">
        <f t="shared" ref="AK257" si="1998">AJ209</f>
        <v>6.4359999999999999</v>
      </c>
      <c r="AL257" s="23">
        <f t="shared" ref="AL257" si="1999">AK209</f>
        <v>38.51462946885588</v>
      </c>
      <c r="AM257" s="23">
        <f t="shared" ref="AM257" si="2000">AL209</f>
        <v>22.62</v>
      </c>
      <c r="AN257" s="23">
        <f t="shared" ref="AN257" si="2001">AM209</f>
        <v>32.348765903307893</v>
      </c>
      <c r="AO257" s="23">
        <f t="shared" ref="AO257" si="2002">AN209</f>
        <v>31.731000000000002</v>
      </c>
      <c r="AP257" s="23">
        <f t="shared" ref="AP257" si="2003">AO209</f>
        <v>52.709499161563592</v>
      </c>
      <c r="AQ257" s="23">
        <f t="shared" ref="AQ257" si="2004">AP209</f>
        <v>29.68</v>
      </c>
      <c r="AR257" s="23">
        <f t="shared" ref="AR257" si="2005">AQ209</f>
        <v>44.531607580174949</v>
      </c>
      <c r="AS257" s="23">
        <f t="shared" ref="AS257" si="2006">AR209</f>
        <v>36.380000000000003</v>
      </c>
      <c r="AT257" s="23">
        <f t="shared" ref="AT257" si="2007">AS209</f>
        <v>51.039078963110668</v>
      </c>
      <c r="AU257" s="23">
        <f t="shared" ref="AU257" si="2008">AT209</f>
        <v>6.9969999999999999</v>
      </c>
      <c r="AV257" s="23">
        <f t="shared" ref="AV257" si="2009">AU209</f>
        <v>5.693311108113587</v>
      </c>
      <c r="AW257" s="23">
        <f t="shared" ref="AW257" si="2010">AV209</f>
        <v>34.363</v>
      </c>
      <c r="AX257" s="23">
        <f t="shared" ref="AX257" si="2011">AW209</f>
        <v>56.319074719081698</v>
      </c>
      <c r="AY257" s="23">
        <f t="shared" ref="AY257" si="2012">AX209</f>
        <v>8.5679999999999996</v>
      </c>
      <c r="AZ257" s="23">
        <f t="shared" ref="AZ257" si="2013">AY209</f>
        <v>33.328597943701887</v>
      </c>
      <c r="BA257" s="23">
        <f t="shared" ref="BA257" si="2014">AZ209</f>
        <v>5.625</v>
      </c>
      <c r="BB257" s="23">
        <f t="shared" ref="BB257" si="2015">BA209</f>
        <v>18.913454356930874</v>
      </c>
      <c r="BC257" s="23">
        <f t="shared" ref="BC257" si="2016">BB209</f>
        <v>3.5050000000000003</v>
      </c>
      <c r="BD257" s="23">
        <f t="shared" ref="BD257" si="2017">BC209</f>
        <v>20.095833872662954</v>
      </c>
      <c r="BE257" s="23">
        <f t="shared" ref="BE257" si="2018">BD209</f>
        <v>9.1870000000000012</v>
      </c>
      <c r="BF257" s="23">
        <f t="shared" ref="BF257" si="2019">BE209</f>
        <v>24.037583656407737</v>
      </c>
      <c r="BG257" s="23">
        <f t="shared" ref="BG257" si="2020">BF209</f>
        <v>24.169</v>
      </c>
      <c r="BH257" s="23">
        <f t="shared" ref="BH257" si="2021">BG209</f>
        <v>54.604623266506607</v>
      </c>
      <c r="BI257" s="23">
        <f t="shared" ref="BI257" si="2022">BH209</f>
        <v>78.344000000000008</v>
      </c>
      <c r="BJ257" s="23">
        <f t="shared" ref="BJ257" si="2023">BI209</f>
        <v>80.524274196754149</v>
      </c>
      <c r="BK257" s="23">
        <f t="shared" ref="BK257" si="2024">BJ209</f>
        <v>20.399000000000001</v>
      </c>
      <c r="BL257" s="23">
        <f t="shared" ref="BL257" si="2025">BK209</f>
        <v>43.491674500597938</v>
      </c>
      <c r="BM257" s="23">
        <f t="shared" ref="BM257" si="2026">BL209</f>
        <v>7.3639999999999999</v>
      </c>
      <c r="BN257" s="23">
        <f t="shared" ref="BN257" si="2027">BM209</f>
        <v>30.476374516507963</v>
      </c>
      <c r="BO257" s="23">
        <f t="shared" ref="BO257" si="2028">BN209</f>
        <v>56.311999999999998</v>
      </c>
      <c r="BP257" s="23">
        <f t="shared" ref="BP257" si="2029">BO209</f>
        <v>124.23730370465117</v>
      </c>
      <c r="BQ257" s="23">
        <f t="shared" ref="BQ257" si="2030">BP209</f>
        <v>5.742</v>
      </c>
      <c r="BR257" s="23">
        <f t="shared" ref="BR257" si="2031">BQ209</f>
        <v>-29.013677730757738</v>
      </c>
      <c r="BS257" s="23">
        <f t="shared" ref="BS257" si="2032">BR209</f>
        <v>19.644000000000002</v>
      </c>
      <c r="BT257" s="23">
        <f t="shared" ref="BT257" si="2033">BS209</f>
        <v>80.041204425240522</v>
      </c>
      <c r="BU257" s="23">
        <f t="shared" ref="BU257" si="2034">BT209</f>
        <v>8.6760000000000002</v>
      </c>
      <c r="BV257" s="23">
        <f t="shared" ref="BV257" si="2035">BU209</f>
        <v>56.867290702695151</v>
      </c>
      <c r="BW257" s="23">
        <f t="shared" ref="BW257" si="2036">BV209</f>
        <v>51.558999999999997</v>
      </c>
      <c r="BX257" s="23">
        <f t="shared" ref="BX257" si="2037">BW209</f>
        <v>263.43472620539592</v>
      </c>
      <c r="BY257" s="23">
        <f t="shared" ref="BY257" si="2038">BX209</f>
        <v>88.097999999999999</v>
      </c>
      <c r="BZ257" s="23">
        <f t="shared" ref="BZ257" si="2039">BY209</f>
        <v>207.38120521449798</v>
      </c>
      <c r="CA257" s="23">
        <f t="shared" ref="CA257" si="2040">BZ209</f>
        <v>308.57400000000001</v>
      </c>
      <c r="CB257" s="23">
        <f t="shared" ref="CB257" si="2041">CA209</f>
        <v>371.43796445868117</v>
      </c>
      <c r="CC257" s="23">
        <f t="shared" ref="CC257" si="2042">CB209</f>
        <v>344.87799999999999</v>
      </c>
      <c r="CD257" s="23">
        <f t="shared" ref="CD257" si="2043">CC209</f>
        <v>390.25733455789612</v>
      </c>
      <c r="CE257" s="23">
        <f t="shared" ref="CE257" si="2044">CD209</f>
        <v>339.79199999999997</v>
      </c>
      <c r="CF257" s="23">
        <f t="shared" ref="CF257" si="2045">CE209</f>
        <v>420.35552144891619</v>
      </c>
      <c r="CG257" s="23">
        <f t="shared" ref="CG257" si="2046">CF209</f>
        <v>317.03399999999999</v>
      </c>
      <c r="CH257" s="23">
        <f t="shared" ref="CH257:CL257" si="2047">CG209</f>
        <v>402.5328500647193</v>
      </c>
      <c r="CI257" s="23">
        <f t="shared" si="2047"/>
        <v>353.53339999999997</v>
      </c>
      <c r="CJ257" s="23">
        <f t="shared" si="2047"/>
        <v>397.02406389654345</v>
      </c>
      <c r="CK257" s="23">
        <f t="shared" ref="CK257" si="2048">CJ209</f>
        <v>186.07499999999999</v>
      </c>
      <c r="CL257" s="23">
        <f t="shared" si="2047"/>
        <v>248.2720382907751</v>
      </c>
      <c r="CM257" s="24">
        <f t="shared" ref="CM257" si="2049">CL209</f>
        <v>271.36099999999999</v>
      </c>
      <c r="CN257" s="24">
        <f t="shared" ref="CN257" si="2050">CM209</f>
        <v>466.10598434084795</v>
      </c>
      <c r="CO257" s="24">
        <f t="shared" ref="CO257" si="2051">CN209</f>
        <v>358.38873318055306</v>
      </c>
      <c r="CP257" s="24">
        <f t="shared" ref="CP257" si="2052">CO209</f>
        <v>177.10569058490682</v>
      </c>
      <c r="CQ257" s="24">
        <f t="shared" ref="CQ257" si="2053">CP209</f>
        <v>185.82072630454425</v>
      </c>
      <c r="CR257" s="24">
        <f t="shared" ref="CR257" si="2054">CQ209</f>
        <v>187.43974444227536</v>
      </c>
      <c r="CS257" s="24">
        <f t="shared" ref="CS257" si="2055">CR209</f>
        <v>162.94977382248968</v>
      </c>
      <c r="CT257" s="24">
        <f t="shared" ref="CT257" si="2056">CS209</f>
        <v>200.78082122473867</v>
      </c>
      <c r="CU257" s="24">
        <f t="shared" ref="CU257" si="2057">CT209</f>
        <v>23.625700404334978</v>
      </c>
      <c r="CV257" s="24">
        <f t="shared" ref="CV257" si="2058">CU209</f>
        <v>-43.956996911872622</v>
      </c>
      <c r="CW257" s="24">
        <f t="shared" ref="CW257" si="2059">CV209</f>
        <v>31.18272585102865</v>
      </c>
      <c r="CX257" s="24">
        <f t="shared" ref="CX257" si="2060">CW209</f>
        <v>198.47625445811275</v>
      </c>
      <c r="CY257" s="24">
        <f t="shared" ref="CY257" si="2061">CX209</f>
        <v>58.09005774331365</v>
      </c>
      <c r="CZ257" s="24">
        <f t="shared" ref="CZ257" si="2062">CY209</f>
        <v>-37.190458315560733</v>
      </c>
      <c r="DA257" s="24">
        <f t="shared" ref="DA257" si="2063">CZ209</f>
        <v>77.552811465862391</v>
      </c>
      <c r="DB257" s="24">
        <f t="shared" ref="DB257" si="2064">DA209</f>
        <v>324.91598298912766</v>
      </c>
      <c r="DE257" s="123"/>
      <c r="DF257" s="23">
        <v>248.2720382907751</v>
      </c>
    </row>
    <row r="258" spans="1:110" s="23" customFormat="1" x14ac:dyDescent="0.2">
      <c r="A258" s="23" t="s">
        <v>443</v>
      </c>
      <c r="C258" s="23">
        <f t="shared" ref="C258:W258" si="2065">C257+C253+C249+C247</f>
        <v>0.9022863000000001</v>
      </c>
      <c r="D258" s="23">
        <f t="shared" si="2065"/>
        <v>0.95535309999999907</v>
      </c>
      <c r="E258" s="23">
        <f t="shared" si="2065"/>
        <v>2.9303042000000037</v>
      </c>
      <c r="F258" s="23">
        <f t="shared" si="2065"/>
        <v>2.0929611999999933</v>
      </c>
      <c r="G258" s="23">
        <f t="shared" si="2065"/>
        <v>2.0716820000000187</v>
      </c>
      <c r="H258" s="23">
        <f t="shared" si="2065"/>
        <v>4.3942853999999745</v>
      </c>
      <c r="I258" s="23">
        <f t="shared" si="2065"/>
        <v>5.5134170999999874</v>
      </c>
      <c r="J258" s="23">
        <f>J257+J253+J249+J247</f>
        <v>2.3692622000000263</v>
      </c>
      <c r="K258" s="23">
        <f>K257+K253+K249+K247</f>
        <v>3.6211018999999922</v>
      </c>
      <c r="L258" s="23">
        <f>L257+L253+L249+L247</f>
        <v>12.870896200000026</v>
      </c>
      <c r="M258" s="23">
        <f>M257+M253+M249+M247</f>
        <v>8.3186987999999928</v>
      </c>
      <c r="N258" s="23">
        <f t="shared" si="2065"/>
        <v>22.617559599999986</v>
      </c>
      <c r="O258" s="23">
        <f t="shared" si="2065"/>
        <v>29.685099999999963</v>
      </c>
      <c r="P258" s="23">
        <f t="shared" si="2065"/>
        <v>6.9966793000000287</v>
      </c>
      <c r="Q258" s="23">
        <f t="shared" si="2065"/>
        <v>8.5682243000000398</v>
      </c>
      <c r="R258" s="23">
        <f t="shared" si="2065"/>
        <v>3.5051321000000826</v>
      </c>
      <c r="S258" s="23">
        <f t="shared" si="2065"/>
        <v>24.169261199999937</v>
      </c>
      <c r="T258" s="23">
        <f t="shared" si="2065"/>
        <v>20.399295299999778</v>
      </c>
      <c r="U258" s="23">
        <f t="shared" si="2065"/>
        <v>56.312091700000138</v>
      </c>
      <c r="V258" s="23">
        <f t="shared" si="2065"/>
        <v>19.644199999999955</v>
      </c>
      <c r="W258" s="23">
        <f t="shared" si="2065"/>
        <v>51.559099999999958</v>
      </c>
      <c r="X258" s="23">
        <f t="shared" ref="X258:Y258" si="2066">X257+X253+X249+X247</f>
        <v>308.57480000000021</v>
      </c>
      <c r="Y258" s="23">
        <f t="shared" si="2066"/>
        <v>339.79249999999962</v>
      </c>
      <c r="Z258" s="23">
        <f t="shared" ref="Z258:AA258" si="2067">Z257+Z253+Z249+Z247</f>
        <v>353.53339999999986</v>
      </c>
      <c r="AA258" s="23">
        <f t="shared" si="2067"/>
        <v>270.9344000000001</v>
      </c>
      <c r="AB258" s="24">
        <f t="shared" ref="AA258:AD258" si="2068">AB257+AB253+AB249+AB247</f>
        <v>185.82072630454456</v>
      </c>
      <c r="AC258" s="24">
        <f t="shared" si="2068"/>
        <v>23.625700404334907</v>
      </c>
      <c r="AD258" s="24">
        <f t="shared" si="2068"/>
        <v>58.090057743313835</v>
      </c>
      <c r="AE258" s="24">
        <f t="shared" ref="AE258" si="2069">AE257+AE253+AE249+AE247</f>
        <v>141.54812901295975</v>
      </c>
      <c r="AI258" s="23">
        <f t="shared" ref="AI258" si="2070">AI257+AI253+AI249+AI247</f>
        <v>0</v>
      </c>
      <c r="AJ258" s="23">
        <f t="shared" ref="AJ258:AL258" si="2071">AJ257+AJ253+AJ249+AJ247</f>
        <v>6.4359999999999928</v>
      </c>
      <c r="AK258" s="23">
        <f t="shared" si="2071"/>
        <v>38.51462946885588</v>
      </c>
      <c r="AL258" s="23">
        <f t="shared" si="2071"/>
        <v>22.627000000000024</v>
      </c>
      <c r="AM258" s="23">
        <f t="shared" ref="AM258" si="2072">AM257+AM253+AM249+AM247</f>
        <v>32.348765903307893</v>
      </c>
      <c r="AN258" s="23">
        <f t="shared" ref="AN258:CD258" si="2073">AN257+AN253+AN249+AN247</f>
        <v>31.722000000000037</v>
      </c>
      <c r="AO258" s="23">
        <f t="shared" si="2073"/>
        <v>52.709499161563592</v>
      </c>
      <c r="AP258" s="23">
        <f t="shared" si="2073"/>
        <v>29.681999999999995</v>
      </c>
      <c r="AQ258" s="23">
        <f t="shared" si="2073"/>
        <v>44.531607580174949</v>
      </c>
      <c r="AR258" s="23">
        <f t="shared" si="2073"/>
        <v>36.380000000000003</v>
      </c>
      <c r="AS258" s="23">
        <f t="shared" si="2073"/>
        <v>51.039078963110668</v>
      </c>
      <c r="AT258" s="23">
        <f t="shared" si="2073"/>
        <v>6.9970000000000212</v>
      </c>
      <c r="AU258" s="23">
        <f t="shared" si="2073"/>
        <v>5.693311108113587</v>
      </c>
      <c r="AV258" s="23">
        <f t="shared" si="2073"/>
        <v>34.363000000000007</v>
      </c>
      <c r="AW258" s="23">
        <f t="shared" si="2073"/>
        <v>56.319074719081698</v>
      </c>
      <c r="AX258" s="23">
        <f t="shared" si="2073"/>
        <v>8.5680000000000121</v>
      </c>
      <c r="AY258" s="23">
        <f t="shared" si="2073"/>
        <v>33.328597943701887</v>
      </c>
      <c r="AZ258" s="23">
        <f t="shared" si="2073"/>
        <v>5.6249999999999858</v>
      </c>
      <c r="BA258" s="23">
        <f t="shared" si="2073"/>
        <v>18.913454356930874</v>
      </c>
      <c r="BB258" s="23">
        <f t="shared" si="2073"/>
        <v>3.5060000000001033</v>
      </c>
      <c r="BC258" s="23">
        <f t="shared" si="2073"/>
        <v>20.095833872662954</v>
      </c>
      <c r="BD258" s="23">
        <f t="shared" si="2073"/>
        <v>9.1869999999999266</v>
      </c>
      <c r="BE258" s="23">
        <f t="shared" si="2073"/>
        <v>24.037583656407737</v>
      </c>
      <c r="BF258" s="23">
        <f t="shared" si="2073"/>
        <v>24.166000000000047</v>
      </c>
      <c r="BG258" s="23">
        <f t="shared" si="2073"/>
        <v>54.604623266506607</v>
      </c>
      <c r="BH258" s="23">
        <f t="shared" si="2073"/>
        <v>78.346000000000018</v>
      </c>
      <c r="BI258" s="23">
        <f t="shared" si="2073"/>
        <v>80.524274196754149</v>
      </c>
      <c r="BJ258" s="23">
        <f t="shared" si="2073"/>
        <v>20.400000000000176</v>
      </c>
      <c r="BK258" s="23">
        <f t="shared" si="2073"/>
        <v>43.491674500597938</v>
      </c>
      <c r="BL258" s="23">
        <f t="shared" si="2073"/>
        <v>7.3639999999998906</v>
      </c>
      <c r="BM258" s="23">
        <f t="shared" si="2073"/>
        <v>30.476374516507963</v>
      </c>
      <c r="BN258" s="23">
        <f t="shared" si="2073"/>
        <v>56.310999999999829</v>
      </c>
      <c r="BO258" s="23">
        <f t="shared" si="2073"/>
        <v>124.23730370465117</v>
      </c>
      <c r="BP258" s="23">
        <f t="shared" si="2073"/>
        <v>5.7410000000000636</v>
      </c>
      <c r="BQ258" s="23">
        <f t="shared" si="2073"/>
        <v>-29.013677730757738</v>
      </c>
      <c r="BR258" s="23">
        <f t="shared" si="2073"/>
        <v>19.644999999999982</v>
      </c>
      <c r="BS258" s="23">
        <f t="shared" si="2073"/>
        <v>80.041204425240522</v>
      </c>
      <c r="BT258" s="23">
        <f t="shared" si="2073"/>
        <v>8.676000000000073</v>
      </c>
      <c r="BU258" s="23">
        <f t="shared" si="2073"/>
        <v>56.867290702695151</v>
      </c>
      <c r="BV258" s="23">
        <f t="shared" si="2073"/>
        <v>51.557999999999751</v>
      </c>
      <c r="BW258" s="23">
        <f t="shared" si="2073"/>
        <v>263.43472620539592</v>
      </c>
      <c r="BX258" s="23">
        <f t="shared" si="2073"/>
        <v>88.10000000000008</v>
      </c>
      <c r="BY258" s="23">
        <f t="shared" si="2073"/>
        <v>207.38120521449798</v>
      </c>
      <c r="BZ258" s="23">
        <f t="shared" si="2073"/>
        <v>308.57300000000009</v>
      </c>
      <c r="CA258" s="23">
        <f t="shared" si="2073"/>
        <v>371.43796445868117</v>
      </c>
      <c r="CB258" s="23">
        <f t="shared" si="2073"/>
        <v>344.87800000000004</v>
      </c>
      <c r="CC258" s="23">
        <f t="shared" si="2073"/>
        <v>390.25733455789612</v>
      </c>
      <c r="CD258" s="23">
        <f t="shared" si="2073"/>
        <v>339.79099999999988</v>
      </c>
      <c r="CE258" s="23">
        <f t="shared" ref="CE258:CF258" si="2074">CE257+CE253+CE249+CE247</f>
        <v>420.35552144891619</v>
      </c>
      <c r="CF258" s="23">
        <f t="shared" si="2074"/>
        <v>317.03500000000014</v>
      </c>
      <c r="CG258" s="23">
        <f t="shared" ref="CG258:CH258" si="2075">CG257+CG253+CG249+CG247</f>
        <v>402.5328500647193</v>
      </c>
      <c r="CH258" s="23">
        <f t="shared" si="2075"/>
        <v>353.53339999999997</v>
      </c>
      <c r="CI258" s="23">
        <f t="shared" ref="CI258:CJ258" si="2076">CI257+CI253+CI249+CI247</f>
        <v>397.02406389654345</v>
      </c>
      <c r="CJ258" s="23">
        <f t="shared" si="2076"/>
        <v>186.07600000000039</v>
      </c>
      <c r="CK258" s="23">
        <f t="shared" ref="CK258:DB258" si="2077">CK257+CK253+CK249+CK247</f>
        <v>248.2720382907751</v>
      </c>
      <c r="CL258" s="23">
        <f t="shared" si="2077"/>
        <v>271.3599999999999</v>
      </c>
      <c r="CM258" s="24">
        <f t="shared" si="2077"/>
        <v>466.10598434084795</v>
      </c>
      <c r="CN258" s="24">
        <f t="shared" si="2077"/>
        <v>358.38873318055306</v>
      </c>
      <c r="CO258" s="24">
        <f t="shared" si="2077"/>
        <v>177.10569058490682</v>
      </c>
      <c r="CP258" s="24">
        <f t="shared" si="2077"/>
        <v>185.82072630454425</v>
      </c>
      <c r="CQ258" s="24">
        <f t="shared" si="2077"/>
        <v>187.43974444227536</v>
      </c>
      <c r="CR258" s="24">
        <f t="shared" si="2077"/>
        <v>162.94977382248968</v>
      </c>
      <c r="CS258" s="24">
        <f t="shared" si="2077"/>
        <v>200.78082122473867</v>
      </c>
      <c r="CT258" s="24">
        <f t="shared" si="2077"/>
        <v>23.625700404334978</v>
      </c>
      <c r="CU258" s="24">
        <f t="shared" si="2077"/>
        <v>-43.956996911872622</v>
      </c>
      <c r="CV258" s="24">
        <f t="shared" si="2077"/>
        <v>31.18272585102865</v>
      </c>
      <c r="CW258" s="24">
        <f t="shared" si="2077"/>
        <v>198.47625445811275</v>
      </c>
      <c r="CX258" s="24">
        <f t="shared" si="2077"/>
        <v>58.09005774331365</v>
      </c>
      <c r="CY258" s="24">
        <f t="shared" si="2077"/>
        <v>-37.190458315560733</v>
      </c>
      <c r="CZ258" s="24">
        <f t="shared" si="2077"/>
        <v>77.552811465862391</v>
      </c>
      <c r="DA258" s="24">
        <f t="shared" si="2077"/>
        <v>324.91598298912766</v>
      </c>
      <c r="DB258" s="24">
        <f t="shared" si="2077"/>
        <v>141.54812901295998</v>
      </c>
      <c r="DE258" s="123"/>
      <c r="DF258" s="23">
        <v>116.31487383884027</v>
      </c>
    </row>
    <row r="259" spans="1:110" s="28" customFormat="1" x14ac:dyDescent="0.2">
      <c r="A259" s="28" t="s">
        <v>444</v>
      </c>
      <c r="C259" s="28">
        <f t="shared" ref="C259:W259" si="2078">C258-C209</f>
        <v>0</v>
      </c>
      <c r="D259" s="28">
        <f t="shared" si="2078"/>
        <v>-8.8817841970012523E-16</v>
      </c>
      <c r="E259" s="28">
        <f t="shared" si="2078"/>
        <v>3.5527136788005009E-15</v>
      </c>
      <c r="F259" s="28">
        <f t="shared" si="2078"/>
        <v>-6.6613381477509392E-15</v>
      </c>
      <c r="G259" s="28">
        <f t="shared" si="2078"/>
        <v>1.865174681370263E-14</v>
      </c>
      <c r="H259" s="28">
        <f t="shared" si="2078"/>
        <v>-2.5757174171303632E-14</v>
      </c>
      <c r="I259" s="28">
        <f t="shared" si="2078"/>
        <v>-1.2434497875801753E-14</v>
      </c>
      <c r="J259" s="28">
        <f>J258-J209</f>
        <v>2.6201263381153694E-14</v>
      </c>
      <c r="K259" s="28">
        <f t="shared" si="2078"/>
        <v>-7.9936057773011271E-15</v>
      </c>
      <c r="L259" s="28">
        <f t="shared" si="2078"/>
        <v>2.4868995751603507E-14</v>
      </c>
      <c r="M259" s="28">
        <f t="shared" si="2078"/>
        <v>0</v>
      </c>
      <c r="N259" s="28">
        <f t="shared" si="2078"/>
        <v>0</v>
      </c>
      <c r="O259" s="28">
        <f t="shared" si="2078"/>
        <v>-3.907985046680551E-14</v>
      </c>
      <c r="P259" s="28">
        <f t="shared" si="2078"/>
        <v>2.8421709430404007E-14</v>
      </c>
      <c r="Q259" s="28">
        <f t="shared" si="2078"/>
        <v>3.907985046680551E-14</v>
      </c>
      <c r="R259" s="28">
        <f t="shared" si="2078"/>
        <v>8.2600593032111647E-14</v>
      </c>
      <c r="S259" s="28">
        <f t="shared" si="2078"/>
        <v>-6.0396132539608516E-14</v>
      </c>
      <c r="T259" s="28">
        <f t="shared" si="2078"/>
        <v>-2.2026824808563106E-13</v>
      </c>
      <c r="U259" s="28">
        <f t="shared" si="2078"/>
        <v>1.4210854715202004E-13</v>
      </c>
      <c r="V259" s="28">
        <f t="shared" si="2078"/>
        <v>-4.6185277824406512E-14</v>
      </c>
      <c r="W259" s="28">
        <f t="shared" si="2078"/>
        <v>0</v>
      </c>
      <c r="X259" s="28">
        <f t="shared" ref="X259:Y259" si="2079">X258-X209</f>
        <v>0</v>
      </c>
      <c r="Y259" s="28">
        <f t="shared" si="2079"/>
        <v>0</v>
      </c>
      <c r="Z259" s="28">
        <f t="shared" ref="Z259:AA259" si="2080">Z258-Z209</f>
        <v>0</v>
      </c>
      <c r="AA259" s="28">
        <f t="shared" si="2080"/>
        <v>0</v>
      </c>
      <c r="AB259" s="30">
        <f t="shared" ref="AA259:AD259" si="2081">AB258-AB209</f>
        <v>3.1263880373444408E-13</v>
      </c>
      <c r="AC259" s="30">
        <f t="shared" si="2081"/>
        <v>-7.1054273576010019E-14</v>
      </c>
      <c r="AD259" s="30">
        <f t="shared" si="2081"/>
        <v>1.8474111129762605E-13</v>
      </c>
      <c r="AE259" s="30">
        <f t="shared" ref="AE259" si="2082">AE258-AE209</f>
        <v>-2.2737367544323206E-13</v>
      </c>
      <c r="AI259" s="28">
        <f t="shared" ref="AI259" si="2083">AI258-AI209</f>
        <v>0</v>
      </c>
      <c r="AJ259" s="28">
        <f t="shared" ref="AJ259:AL259" si="2084">AJ258-AJ209</f>
        <v>-7.1054273576010019E-15</v>
      </c>
      <c r="AK259" s="28">
        <f t="shared" si="2084"/>
        <v>0</v>
      </c>
      <c r="AL259" s="28">
        <f t="shared" si="2084"/>
        <v>7.0000000000227658E-3</v>
      </c>
      <c r="AM259" s="28">
        <f t="shared" ref="AM259" si="2085">AM258-AM209</f>
        <v>0</v>
      </c>
      <c r="AN259" s="28">
        <f t="shared" ref="AN259:CD259" si="2086">AN258-AN209</f>
        <v>-8.9999999999648139E-3</v>
      </c>
      <c r="AO259" s="28">
        <f t="shared" si="2086"/>
        <v>0</v>
      </c>
      <c r="AP259" s="28">
        <f t="shared" si="2086"/>
        <v>1.9999999999953388E-3</v>
      </c>
      <c r="AQ259" s="28">
        <f t="shared" si="2086"/>
        <v>0</v>
      </c>
      <c r="AR259" s="28">
        <f t="shared" si="2086"/>
        <v>0</v>
      </c>
      <c r="AS259" s="28">
        <f t="shared" si="2086"/>
        <v>0</v>
      </c>
      <c r="AT259" s="28">
        <f t="shared" si="2086"/>
        <v>2.1316282072803006E-14</v>
      </c>
      <c r="AU259" s="28">
        <f t="shared" si="2086"/>
        <v>0</v>
      </c>
      <c r="AV259" s="28">
        <f t="shared" si="2086"/>
        <v>0</v>
      </c>
      <c r="AW259" s="28">
        <f t="shared" si="2086"/>
        <v>0</v>
      </c>
      <c r="AX259" s="28">
        <f t="shared" si="2086"/>
        <v>0</v>
      </c>
      <c r="AY259" s="28">
        <f t="shared" si="2086"/>
        <v>0</v>
      </c>
      <c r="AZ259" s="28">
        <f t="shared" si="2086"/>
        <v>-1.4210854715202004E-14</v>
      </c>
      <c r="BA259" s="28">
        <f t="shared" si="2086"/>
        <v>0</v>
      </c>
      <c r="BB259" s="28">
        <f t="shared" si="2086"/>
        <v>1.0000000001029186E-3</v>
      </c>
      <c r="BC259" s="28">
        <f t="shared" si="2086"/>
        <v>0</v>
      </c>
      <c r="BD259" s="28">
        <f t="shared" si="2086"/>
        <v>-7.460698725481052E-14</v>
      </c>
      <c r="BE259" s="28">
        <f t="shared" si="2086"/>
        <v>0</v>
      </c>
      <c r="BF259" s="28">
        <f t="shared" si="2086"/>
        <v>-2.9999999999539284E-3</v>
      </c>
      <c r="BG259" s="28">
        <f t="shared" si="2086"/>
        <v>0</v>
      </c>
      <c r="BH259" s="28">
        <f t="shared" si="2086"/>
        <v>2.0000000000095497E-3</v>
      </c>
      <c r="BI259" s="28">
        <f t="shared" si="2086"/>
        <v>0</v>
      </c>
      <c r="BJ259" s="28">
        <f t="shared" si="2086"/>
        <v>1.0000000001753051E-3</v>
      </c>
      <c r="BK259" s="28">
        <f t="shared" si="2086"/>
        <v>0</v>
      </c>
      <c r="BL259" s="28">
        <f t="shared" si="2086"/>
        <v>-1.092459456231154E-13</v>
      </c>
      <c r="BM259" s="28">
        <f t="shared" si="2086"/>
        <v>0</v>
      </c>
      <c r="BN259" s="28">
        <f t="shared" si="2086"/>
        <v>-1.0000000001681997E-3</v>
      </c>
      <c r="BO259" s="28">
        <f t="shared" si="2086"/>
        <v>0</v>
      </c>
      <c r="BP259" s="28">
        <f t="shared" si="2086"/>
        <v>-9.9999999993638511E-4</v>
      </c>
      <c r="BQ259" s="28">
        <f t="shared" si="2086"/>
        <v>0</v>
      </c>
      <c r="BR259" s="28">
        <f t="shared" si="2086"/>
        <v>9.9999999997990585E-4</v>
      </c>
      <c r="BS259" s="28">
        <f t="shared" si="2086"/>
        <v>0</v>
      </c>
      <c r="BT259" s="28">
        <f t="shared" si="2086"/>
        <v>7.2830630415410269E-14</v>
      </c>
      <c r="BU259" s="28">
        <f t="shared" si="2086"/>
        <v>0</v>
      </c>
      <c r="BV259" s="28">
        <f t="shared" si="2086"/>
        <v>-1.0000000002463594E-3</v>
      </c>
      <c r="BW259" s="28">
        <f t="shared" si="2086"/>
        <v>0</v>
      </c>
      <c r="BX259" s="28">
        <f t="shared" si="2086"/>
        <v>2.000000000080604E-3</v>
      </c>
      <c r="BY259" s="28">
        <f t="shared" si="2086"/>
        <v>0</v>
      </c>
      <c r="BZ259" s="28">
        <f t="shared" si="2086"/>
        <v>-9.9999999991950972E-4</v>
      </c>
      <c r="CA259" s="28">
        <f t="shared" si="2086"/>
        <v>0</v>
      </c>
      <c r="CB259" s="28">
        <f t="shared" si="2086"/>
        <v>0</v>
      </c>
      <c r="CC259" s="28">
        <f t="shared" si="2086"/>
        <v>0</v>
      </c>
      <c r="CD259" s="28">
        <f t="shared" si="2086"/>
        <v>-1.00000000009004E-3</v>
      </c>
      <c r="CE259" s="28">
        <f t="shared" ref="CE259:CF259" si="2087">CE258-CE209</f>
        <v>0</v>
      </c>
      <c r="CF259" s="28">
        <f t="shared" si="2087"/>
        <v>1.0000000001468834E-3</v>
      </c>
      <c r="CG259" s="28">
        <f t="shared" ref="CG259:CH259" si="2088">CG258-CG209</f>
        <v>0</v>
      </c>
      <c r="CH259" s="28">
        <f t="shared" si="2088"/>
        <v>0</v>
      </c>
      <c r="CI259" s="28">
        <f t="shared" ref="CI259:CJ259" si="2089">CI258-CI209</f>
        <v>0</v>
      </c>
      <c r="CJ259" s="28">
        <f t="shared" si="2089"/>
        <v>1.0000000004026788E-3</v>
      </c>
      <c r="CK259" s="28">
        <f t="shared" ref="CK259:DB259" si="2090">CK258-CK209</f>
        <v>0</v>
      </c>
      <c r="CL259" s="28">
        <f t="shared" si="2090"/>
        <v>-1.00000000009004E-3</v>
      </c>
      <c r="CM259" s="30">
        <f t="shared" si="2090"/>
        <v>0</v>
      </c>
      <c r="CN259" s="30">
        <f t="shared" si="2090"/>
        <v>0</v>
      </c>
      <c r="CO259" s="30">
        <f t="shared" si="2090"/>
        <v>0</v>
      </c>
      <c r="CP259" s="30">
        <f t="shared" si="2090"/>
        <v>0</v>
      </c>
      <c r="CQ259" s="30">
        <f t="shared" si="2090"/>
        <v>0</v>
      </c>
      <c r="CR259" s="30">
        <f t="shared" si="2090"/>
        <v>0</v>
      </c>
      <c r="CS259" s="30">
        <f t="shared" si="2090"/>
        <v>0</v>
      </c>
      <c r="CT259" s="30">
        <f t="shared" si="2090"/>
        <v>0</v>
      </c>
      <c r="CU259" s="30">
        <f t="shared" si="2090"/>
        <v>0</v>
      </c>
      <c r="CV259" s="30">
        <f t="shared" si="2090"/>
        <v>0</v>
      </c>
      <c r="CW259" s="30">
        <f t="shared" si="2090"/>
        <v>0</v>
      </c>
      <c r="CX259" s="30">
        <f t="shared" si="2090"/>
        <v>0</v>
      </c>
      <c r="CY259" s="30">
        <f t="shared" si="2090"/>
        <v>0</v>
      </c>
      <c r="CZ259" s="30">
        <f t="shared" si="2090"/>
        <v>0</v>
      </c>
      <c r="DA259" s="30">
        <f t="shared" si="2090"/>
        <v>0</v>
      </c>
      <c r="DB259" s="30">
        <f t="shared" si="2090"/>
        <v>0</v>
      </c>
      <c r="DE259" s="139"/>
      <c r="DF259" s="28">
        <v>0</v>
      </c>
    </row>
    <row r="260" spans="1:110" s="23" customFormat="1" x14ac:dyDescent="0.2">
      <c r="AB260" s="24"/>
      <c r="AC260" s="24"/>
      <c r="AD260" s="24"/>
      <c r="AE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E260" s="123"/>
    </row>
    <row r="261" spans="1:110" s="22" customFormat="1" x14ac:dyDescent="0.2">
      <c r="A261" s="22" t="s">
        <v>96</v>
      </c>
      <c r="C261" s="22">
        <f t="shared" ref="C261:W261" si="2091">C247+C249</f>
        <v>6.0047219999999992</v>
      </c>
      <c r="D261" s="22">
        <f t="shared" si="2091"/>
        <v>-9.8704508999999945</v>
      </c>
      <c r="E261" s="22">
        <f t="shared" si="2091"/>
        <v>-7.0356220000000054</v>
      </c>
      <c r="F261" s="22">
        <f t="shared" si="2091"/>
        <v>-6.9360753000000015</v>
      </c>
      <c r="G261" s="22">
        <f t="shared" si="2091"/>
        <v>-10.432676899999997</v>
      </c>
      <c r="H261" s="22">
        <f t="shared" si="2091"/>
        <v>-12.181198700000017</v>
      </c>
      <c r="I261" s="22">
        <f t="shared" si="2091"/>
        <v>-14.768460799999996</v>
      </c>
      <c r="J261" s="22">
        <f>J247+J249</f>
        <v>-20.035746699999965</v>
      </c>
      <c r="K261" s="22">
        <f t="shared" si="2091"/>
        <v>5.2454655000000372</v>
      </c>
      <c r="L261" s="22">
        <f t="shared" si="2091"/>
        <v>-53.652795799999957</v>
      </c>
      <c r="M261" s="22">
        <f t="shared" si="2091"/>
        <v>-52.494237999999925</v>
      </c>
      <c r="N261" s="22">
        <f t="shared" si="2091"/>
        <v>-5.0642380000000315</v>
      </c>
      <c r="O261" s="22">
        <f t="shared" si="2091"/>
        <v>-10.71546190000003</v>
      </c>
      <c r="P261" s="22">
        <f t="shared" si="2091"/>
        <v>-11.427380599999985</v>
      </c>
      <c r="Q261" s="22">
        <f t="shared" si="2091"/>
        <v>92.034813599999978</v>
      </c>
      <c r="R261" s="22">
        <f t="shared" si="2091"/>
        <v>62.803581500000163</v>
      </c>
      <c r="S261" s="22">
        <f t="shared" si="2091"/>
        <v>-35.678645400000136</v>
      </c>
      <c r="T261" s="22">
        <f t="shared" si="2091"/>
        <v>-68.742929400000179</v>
      </c>
      <c r="U261" s="22">
        <f t="shared" si="2091"/>
        <v>32.191438100000028</v>
      </c>
      <c r="V261" s="22">
        <f t="shared" si="2091"/>
        <v>92.471886600000033</v>
      </c>
      <c r="W261" s="22">
        <f t="shared" si="2091"/>
        <v>21.822799999999916</v>
      </c>
      <c r="X261" s="22">
        <f t="shared" ref="X261:Y261" si="2092">X247+X249</f>
        <v>242.30070000000046</v>
      </c>
      <c r="Y261" s="22">
        <f t="shared" si="2092"/>
        <v>78.866199999999935</v>
      </c>
      <c r="Z261" s="22">
        <f t="shared" ref="Z261:AA261" si="2093">Z247+Z249</f>
        <v>55.221799999999746</v>
      </c>
      <c r="AA261" s="22">
        <f t="shared" si="2093"/>
        <v>326.94180000000028</v>
      </c>
      <c r="AB261" s="21">
        <f t="shared" ref="AA261:AD261" si="2094">AB247+AB249</f>
        <v>-734.77727369545573</v>
      </c>
      <c r="AC261" s="21">
        <f t="shared" si="2094"/>
        <v>-362.19502590020932</v>
      </c>
      <c r="AD261" s="21">
        <f t="shared" si="2094"/>
        <v>34.464357338978402</v>
      </c>
      <c r="AE261" s="21">
        <f t="shared" ref="AE261" si="2095">AE247+AE249</f>
        <v>83.458071269645643</v>
      </c>
      <c r="AI261" s="22">
        <f t="shared" ref="AI261" si="2096">AI247+AI249</f>
        <v>9.3669999999999902</v>
      </c>
      <c r="AJ261" s="22">
        <f t="shared" ref="AJ261:AL261" si="2097">AJ247+AJ249</f>
        <v>-344.93400000000003</v>
      </c>
      <c r="AK261" s="22">
        <f t="shared" si="2097"/>
        <v>32.07862946885588</v>
      </c>
      <c r="AL261" s="22">
        <f t="shared" si="2097"/>
        <v>-24.52362946885588</v>
      </c>
      <c r="AM261" s="22">
        <f t="shared" ref="AM261" si="2098">AM247+AM249</f>
        <v>9.7287659033078882</v>
      </c>
      <c r="AN261" s="22">
        <f t="shared" ref="AN261:CD261" si="2099">AN247+AN249</f>
        <v>-0.44176590330785359</v>
      </c>
      <c r="AO261" s="22">
        <f t="shared" si="2099"/>
        <v>20.97849916156359</v>
      </c>
      <c r="AP261" s="22">
        <f t="shared" si="2099"/>
        <v>-35.537499161563623</v>
      </c>
      <c r="AQ261" s="22">
        <f t="shared" si="2099"/>
        <v>14.851607580174946</v>
      </c>
      <c r="AR261" s="22">
        <f t="shared" si="2099"/>
        <v>3.4363924198251024</v>
      </c>
      <c r="AS261" s="22">
        <f t="shared" si="2099"/>
        <v>14.659078963110662</v>
      </c>
      <c r="AT261" s="22">
        <f t="shared" si="2099"/>
        <v>-44.780078963110661</v>
      </c>
      <c r="AU261" s="22">
        <f t="shared" si="2099"/>
        <v>-1.3036888918864129</v>
      </c>
      <c r="AV261" s="22">
        <f t="shared" si="2099"/>
        <v>89.464688891886425</v>
      </c>
      <c r="AW261" s="22">
        <f t="shared" si="2099"/>
        <v>21.956074719081638</v>
      </c>
      <c r="AX261" s="22">
        <f t="shared" si="2099"/>
        <v>-21.880074719081676</v>
      </c>
      <c r="AY261" s="22">
        <f t="shared" si="2099"/>
        <v>24.760597943701885</v>
      </c>
      <c r="AZ261" s="22">
        <f t="shared" si="2099"/>
        <v>20.284402056298156</v>
      </c>
      <c r="BA261" s="22">
        <f t="shared" si="2099"/>
        <v>13.288454356930874</v>
      </c>
      <c r="BB261" s="22">
        <f t="shared" si="2099"/>
        <v>4.4605456430691675</v>
      </c>
      <c r="BC261" s="22">
        <f t="shared" si="2099"/>
        <v>16.590833872662955</v>
      </c>
      <c r="BD261" s="22">
        <f t="shared" si="2099"/>
        <v>19.356166127337008</v>
      </c>
      <c r="BE261" s="22">
        <f t="shared" si="2099"/>
        <v>14.850583656407792</v>
      </c>
      <c r="BF261" s="22">
        <f t="shared" si="2099"/>
        <v>-98.922583656407795</v>
      </c>
      <c r="BG261" s="22">
        <f t="shared" si="2099"/>
        <v>30.435623266506603</v>
      </c>
      <c r="BH261" s="22">
        <f t="shared" si="2099"/>
        <v>55.588376733493334</v>
      </c>
      <c r="BI261" s="22">
        <f t="shared" si="2099"/>
        <v>2.1802741967541444</v>
      </c>
      <c r="BJ261" s="22">
        <f t="shared" si="2099"/>
        <v>-129.74227419675398</v>
      </c>
      <c r="BK261" s="22">
        <f t="shared" si="2099"/>
        <v>23.092674500597933</v>
      </c>
      <c r="BL261" s="22">
        <f t="shared" si="2099"/>
        <v>-59.487674500598075</v>
      </c>
      <c r="BM261" s="22">
        <f t="shared" si="2099"/>
        <v>23.112374516507963</v>
      </c>
      <c r="BN261" s="22">
        <f t="shared" si="2099"/>
        <v>26.989625483491928</v>
      </c>
      <c r="BO261" s="22">
        <f t="shared" si="2099"/>
        <v>67.925303704651171</v>
      </c>
      <c r="BP261" s="22">
        <f t="shared" si="2099"/>
        <v>-80.525303704651066</v>
      </c>
      <c r="BQ261" s="22">
        <f t="shared" si="2099"/>
        <v>-34.755677730757739</v>
      </c>
      <c r="BR261" s="22">
        <f t="shared" si="2099"/>
        <v>148.91867773075776</v>
      </c>
      <c r="BS261" s="22">
        <f t="shared" si="2099"/>
        <v>60.397204425240517</v>
      </c>
      <c r="BT261" s="22">
        <f t="shared" si="2099"/>
        <v>-138.39920442524053</v>
      </c>
      <c r="BU261" s="22">
        <f t="shared" si="2099"/>
        <v>48.191290702695149</v>
      </c>
      <c r="BV261" s="22">
        <f t="shared" si="2099"/>
        <v>24.355709297304685</v>
      </c>
      <c r="BW261" s="22">
        <f t="shared" si="2099"/>
        <v>211.87572620539595</v>
      </c>
      <c r="BX261" s="22">
        <f t="shared" si="2099"/>
        <v>-214.90072620539596</v>
      </c>
      <c r="BY261" s="22">
        <f t="shared" si="2099"/>
        <v>119.28320521449797</v>
      </c>
      <c r="BZ261" s="22">
        <f t="shared" si="2099"/>
        <v>126.03979478550204</v>
      </c>
      <c r="CA261" s="22">
        <f t="shared" si="2099"/>
        <v>62.863964458681139</v>
      </c>
      <c r="CB261" s="22">
        <f t="shared" si="2099"/>
        <v>3.4770355413187559</v>
      </c>
      <c r="CC261" s="22">
        <f t="shared" si="2099"/>
        <v>45.379334557896115</v>
      </c>
      <c r="CD261" s="22">
        <f t="shared" si="2099"/>
        <v>-32.858334557895944</v>
      </c>
      <c r="CE261" s="22">
        <f t="shared" ref="CE261:CF261" si="2100">CE247+CE249</f>
        <v>80.563521448916248</v>
      </c>
      <c r="CF261" s="22">
        <f t="shared" si="2100"/>
        <v>-65.866521448916188</v>
      </c>
      <c r="CG261" s="22">
        <f t="shared" ref="CG261:CH261" si="2101">CG247+CG249</f>
        <v>85.498850064719306</v>
      </c>
      <c r="CH261" s="22">
        <f t="shared" si="2101"/>
        <v>-44.974350064719246</v>
      </c>
      <c r="CI261" s="22">
        <f t="shared" ref="CI261:CJ261" si="2102">CI247+CI249</f>
        <v>43.490663896543474</v>
      </c>
      <c r="CJ261" s="22">
        <f t="shared" si="2102"/>
        <v>-196.83116389654307</v>
      </c>
      <c r="CK261" s="22">
        <f t="shared" ref="CK261:DB261" si="2103">CK247+CK249</f>
        <v>62.197038290775119</v>
      </c>
      <c r="CL261" s="22">
        <f t="shared" si="2103"/>
        <v>-79.480038290775298</v>
      </c>
      <c r="CM261" s="21">
        <f t="shared" si="2103"/>
        <v>194.74498434084796</v>
      </c>
      <c r="CN261" s="21">
        <f t="shared" si="2103"/>
        <v>-107.71725116029511</v>
      </c>
      <c r="CO261" s="21">
        <f t="shared" si="2103"/>
        <v>-181.28304259564624</v>
      </c>
      <c r="CP261" s="21">
        <f t="shared" si="2103"/>
        <v>-141.28496428036257</v>
      </c>
      <c r="CQ261" s="21">
        <f t="shared" si="2103"/>
        <v>-198.38098186226887</v>
      </c>
      <c r="CR261" s="21">
        <f t="shared" si="2103"/>
        <v>-24.48997061978568</v>
      </c>
      <c r="CS261" s="21">
        <f t="shared" si="2103"/>
        <v>37.831047402248998</v>
      </c>
      <c r="CT261" s="21">
        <f t="shared" si="2103"/>
        <v>-177.15512082040368</v>
      </c>
      <c r="CU261" s="21">
        <f t="shared" si="2103"/>
        <v>-67.5826973162076</v>
      </c>
      <c r="CV261" s="21">
        <f t="shared" si="2103"/>
        <v>75.139722762901272</v>
      </c>
      <c r="CW261" s="21">
        <f t="shared" si="2103"/>
        <v>167.29352860708411</v>
      </c>
      <c r="CX261" s="21">
        <f t="shared" si="2103"/>
        <v>-140.3861967147991</v>
      </c>
      <c r="CY261" s="21">
        <f t="shared" si="2103"/>
        <v>-95.280516058874383</v>
      </c>
      <c r="CZ261" s="21">
        <f t="shared" si="2103"/>
        <v>114.74326978142312</v>
      </c>
      <c r="DA261" s="21">
        <f t="shared" si="2103"/>
        <v>247.36317152326524</v>
      </c>
      <c r="DB261" s="21">
        <f t="shared" si="2103"/>
        <v>-183.36785397616723</v>
      </c>
      <c r="DE261" s="126"/>
      <c r="DF261" s="22">
        <v>-131.95716445193483</v>
      </c>
    </row>
    <row r="262" spans="1:110" x14ac:dyDescent="0.2">
      <c r="A262" s="152" t="s">
        <v>496</v>
      </c>
    </row>
    <row r="264" spans="1:110" s="7" customFormat="1" hidden="1" outlineLevel="1" x14ac:dyDescent="0.2">
      <c r="A264" s="61" t="s">
        <v>97</v>
      </c>
      <c r="AB264" s="77"/>
      <c r="AC264" s="77"/>
      <c r="AD264" s="77"/>
      <c r="AE264" s="77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E264" s="138"/>
    </row>
    <row r="265" spans="1:110" s="62" customFormat="1" hidden="1" outlineLevel="1" x14ac:dyDescent="0.2">
      <c r="A265" s="62" t="s">
        <v>98</v>
      </c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</row>
    <row r="266" spans="1:110" s="62" customFormat="1" hidden="1" outlineLevel="1" x14ac:dyDescent="0.2">
      <c r="A266" s="62" t="s">
        <v>99</v>
      </c>
      <c r="AB266" s="63"/>
      <c r="AC266" s="63"/>
      <c r="AD266" s="63"/>
      <c r="AE266" s="63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62" customFormat="1" hidden="1" outlineLevel="1" x14ac:dyDescent="0.2">
      <c r="A267" s="62" t="s">
        <v>100</v>
      </c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62" customFormat="1" hidden="1" outlineLevel="1" x14ac:dyDescent="0.2"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2" customFormat="1" hidden="1" outlineLevel="1" x14ac:dyDescent="0.2">
      <c r="AB269" s="63"/>
      <c r="AC269" s="63"/>
      <c r="AD269" s="63"/>
      <c r="AE269" s="63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62" customFormat="1" hidden="1" outlineLevel="1" x14ac:dyDescent="0.2">
      <c r="AB270" s="63"/>
      <c r="AC270" s="63"/>
      <c r="AD270" s="63"/>
      <c r="AE270" s="63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11" customFormat="1" collapsed="1" x14ac:dyDescent="0.2">
      <c r="AB271" s="63"/>
      <c r="AC271" s="63"/>
      <c r="AD271" s="63"/>
      <c r="AE271" s="63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9"/>
    </row>
    <row r="272" spans="1:110" s="83" customFormat="1" x14ac:dyDescent="0.2">
      <c r="A272" s="82" t="s">
        <v>101</v>
      </c>
      <c r="AB272" s="72"/>
      <c r="AC272" s="72"/>
      <c r="AD272" s="72"/>
      <c r="AE272" s="72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10" s="66" customFormat="1" x14ac:dyDescent="0.2">
      <c r="A273" s="66" t="s">
        <v>471</v>
      </c>
      <c r="AB273" s="50"/>
      <c r="AC273" s="50"/>
      <c r="AD273" s="50"/>
      <c r="AE273" s="50"/>
      <c r="AL273" s="66">
        <f t="shared" ref="AL273:BQ273" si="2104">SUM(AI59:AL59)</f>
        <v>511.79599999999994</v>
      </c>
      <c r="AM273" s="66">
        <f t="shared" si="2104"/>
        <v>515.33699999999999</v>
      </c>
      <c r="AN273" s="66">
        <f t="shared" si="2104"/>
        <v>550.34</v>
      </c>
      <c r="AO273" s="66">
        <f t="shared" si="2104"/>
        <v>580.10400000000004</v>
      </c>
      <c r="AP273" s="66">
        <f t="shared" si="2104"/>
        <v>610.12400000000002</v>
      </c>
      <c r="AQ273" s="66">
        <f t="shared" si="2104"/>
        <v>634.49400000000003</v>
      </c>
      <c r="AR273" s="66">
        <f t="shared" si="2104"/>
        <v>623.93000000000006</v>
      </c>
      <c r="AS273" s="66">
        <f t="shared" si="2104"/>
        <v>628.096</v>
      </c>
      <c r="AT273" s="66">
        <f t="shared" si="2104"/>
        <v>604.86599999999999</v>
      </c>
      <c r="AU273" s="66">
        <f t="shared" si="2104"/>
        <v>600.03199999999993</v>
      </c>
      <c r="AV273" s="66">
        <f t="shared" si="2104"/>
        <v>622.76400000000001</v>
      </c>
      <c r="AW273" s="66">
        <f t="shared" si="2104"/>
        <v>643.38499999999999</v>
      </c>
      <c r="AX273" s="66">
        <f t="shared" si="2104"/>
        <v>675.05</v>
      </c>
      <c r="AY273" s="66">
        <f t="shared" si="2104"/>
        <v>697.20600000000002</v>
      </c>
      <c r="AZ273" s="66">
        <f t="shared" si="2104"/>
        <v>696.17499999999995</v>
      </c>
      <c r="BA273" s="66">
        <f t="shared" si="2104"/>
        <v>714.09799999999996</v>
      </c>
      <c r="BB273" s="66">
        <f t="shared" si="2104"/>
        <v>727.30399999999997</v>
      </c>
      <c r="BC273" s="66">
        <f t="shared" si="2104"/>
        <v>745.58299999999997</v>
      </c>
      <c r="BD273" s="66">
        <f t="shared" si="2104"/>
        <v>774.62400000000002</v>
      </c>
      <c r="BE273" s="66">
        <f t="shared" si="2104"/>
        <v>813.24099999999999</v>
      </c>
      <c r="BF273" s="66">
        <f t="shared" si="2104"/>
        <v>875.43700000000001</v>
      </c>
      <c r="BG273" s="66">
        <f t="shared" si="2104"/>
        <v>935.25299999999993</v>
      </c>
      <c r="BH273" s="66">
        <f t="shared" si="2104"/>
        <v>950.40199999999993</v>
      </c>
      <c r="BI273" s="66">
        <f t="shared" si="2104"/>
        <v>970.37899999999991</v>
      </c>
      <c r="BJ273" s="66">
        <f t="shared" si="2104"/>
        <v>941.66300000000001</v>
      </c>
      <c r="BK273" s="66">
        <f t="shared" si="2104"/>
        <v>904.75299999999993</v>
      </c>
      <c r="BL273" s="66">
        <f t="shared" si="2104"/>
        <v>915.66499999999996</v>
      </c>
      <c r="BM273" s="66">
        <f t="shared" si="2104"/>
        <v>904.36599999999999</v>
      </c>
      <c r="BN273" s="66">
        <f t="shared" si="2104"/>
        <v>935.77199999999993</v>
      </c>
      <c r="BO273" s="66">
        <f t="shared" si="2104"/>
        <v>935.70499999999993</v>
      </c>
      <c r="BP273" s="66">
        <f t="shared" si="2104"/>
        <v>990.83699999999999</v>
      </c>
      <c r="BQ273" s="66">
        <f t="shared" si="2104"/>
        <v>1155.4490000000001</v>
      </c>
      <c r="BR273" s="66">
        <f t="shared" ref="BR273:CW273" si="2105">SUM(BO59:BR59)</f>
        <v>1311.4560000000001</v>
      </c>
      <c r="BS273" s="66">
        <f t="shared" si="2105"/>
        <v>1539.2269999999999</v>
      </c>
      <c r="BT273" s="66">
        <f t="shared" si="2105"/>
        <v>1782.575</v>
      </c>
      <c r="BU273" s="66">
        <f t="shared" si="2105"/>
        <v>1955.3429999999998</v>
      </c>
      <c r="BV273" s="66">
        <f t="shared" si="2105"/>
        <v>2321.6750000000002</v>
      </c>
      <c r="BW273" s="66">
        <f t="shared" si="2105"/>
        <v>2541.1660000000002</v>
      </c>
      <c r="BX273" s="66">
        <f t="shared" si="2105"/>
        <v>2642.991</v>
      </c>
      <c r="BY273" s="66">
        <f t="shared" si="2105"/>
        <v>2664.0439999999999</v>
      </c>
      <c r="BZ273" s="66">
        <f t="shared" si="2105"/>
        <v>2355.0729999999999</v>
      </c>
      <c r="CA273" s="66">
        <f t="shared" si="2105"/>
        <v>2148.5739999999996</v>
      </c>
      <c r="CB273" s="66">
        <f t="shared" si="2105"/>
        <v>1901.56</v>
      </c>
      <c r="CC273" s="66">
        <f t="shared" si="2105"/>
        <v>1698.97</v>
      </c>
      <c r="CD273" s="66">
        <f t="shared" si="2105"/>
        <v>1641.5120000000002</v>
      </c>
      <c r="CE273" s="66">
        <f t="shared" si="2105"/>
        <v>1562.585</v>
      </c>
      <c r="CF273" s="66">
        <f t="shared" si="2105"/>
        <v>1528.9240000000002</v>
      </c>
      <c r="CG273" s="66">
        <f t="shared" si="2105"/>
        <v>1458.2940000000001</v>
      </c>
      <c r="CH273" s="66">
        <f t="shared" si="2105"/>
        <v>1397.085</v>
      </c>
      <c r="CI273" s="66">
        <f t="shared" si="2105"/>
        <v>1370.6799999999998</v>
      </c>
      <c r="CJ273" s="66">
        <f t="shared" si="2105"/>
        <v>1364.3490000000002</v>
      </c>
      <c r="CK273" s="66">
        <f t="shared" si="2105"/>
        <v>1382.922</v>
      </c>
      <c r="CL273" s="66">
        <f t="shared" si="2105"/>
        <v>1424.98</v>
      </c>
      <c r="CM273" s="50">
        <f t="shared" si="2105"/>
        <v>1525.4298449785638</v>
      </c>
      <c r="CN273" s="50">
        <f t="shared" si="2105"/>
        <v>1657.6078101402238</v>
      </c>
      <c r="CO273" s="50">
        <f t="shared" si="2105"/>
        <v>1785.035503216284</v>
      </c>
      <c r="CP273" s="50">
        <f t="shared" si="2105"/>
        <v>1938.8986286618783</v>
      </c>
      <c r="CQ273" s="50">
        <f t="shared" si="2105"/>
        <v>2173.8079376124074</v>
      </c>
      <c r="CR273" s="50">
        <f t="shared" si="2105"/>
        <v>2416.611380365046</v>
      </c>
      <c r="CS273" s="50">
        <f t="shared" si="2105"/>
        <v>2649.0074235771199</v>
      </c>
      <c r="CT273" s="50">
        <f t="shared" si="2105"/>
        <v>2932.1458359546518</v>
      </c>
      <c r="CU273" s="50">
        <f t="shared" si="2105"/>
        <v>3197.3207554228738</v>
      </c>
      <c r="CV273" s="50">
        <f t="shared" si="2105"/>
        <v>3471.3394912827293</v>
      </c>
      <c r="CW273" s="50">
        <f t="shared" si="2105"/>
        <v>3734.1823366928356</v>
      </c>
      <c r="CX273" s="50">
        <f t="shared" ref="CX273:EC273" si="2106">SUM(CU59:CX59)</f>
        <v>4053.6394140488819</v>
      </c>
      <c r="CY273" s="50">
        <f t="shared" si="2106"/>
        <v>4430.711144572887</v>
      </c>
      <c r="CZ273" s="50">
        <f t="shared" si="2106"/>
        <v>4820.5059928730361</v>
      </c>
      <c r="DA273" s="50">
        <f t="shared" si="2106"/>
        <v>5193.6873317285426</v>
      </c>
      <c r="DB273" s="50">
        <f t="shared" si="2106"/>
        <v>5648.3674289227565</v>
      </c>
      <c r="DE273" s="138"/>
      <c r="DF273" s="66">
        <v>1470.9676641929498</v>
      </c>
    </row>
    <row r="274" spans="1:110" s="66" customFormat="1" x14ac:dyDescent="0.2">
      <c r="A274" s="66" t="s">
        <v>472</v>
      </c>
      <c r="AB274" s="50"/>
      <c r="AC274" s="50"/>
      <c r="AD274" s="50"/>
      <c r="AE274" s="50"/>
      <c r="AL274" s="66">
        <f t="shared" ref="AL274:BQ274" si="2107">SUM(AI77:AL77)</f>
        <v>80.22499999999998</v>
      </c>
      <c r="AM274" s="66">
        <f t="shared" si="2107"/>
        <v>79.924999999999983</v>
      </c>
      <c r="AN274" s="66">
        <f t="shared" si="2107"/>
        <v>84.617000000000004</v>
      </c>
      <c r="AO274" s="66">
        <f t="shared" si="2107"/>
        <v>87.538999999999987</v>
      </c>
      <c r="AP274" s="66">
        <f t="shared" si="2107"/>
        <v>91.029000000000011</v>
      </c>
      <c r="AQ274" s="66">
        <f t="shared" si="2107"/>
        <v>93.289000000000016</v>
      </c>
      <c r="AR274" s="66">
        <f t="shared" si="2107"/>
        <v>92.443999999999988</v>
      </c>
      <c r="AS274" s="66">
        <f t="shared" si="2107"/>
        <v>94.588000000000022</v>
      </c>
      <c r="AT274" s="66">
        <f t="shared" si="2107"/>
        <v>102.36000000000001</v>
      </c>
      <c r="AU274" s="66">
        <f t="shared" si="2107"/>
        <v>106.38400000000001</v>
      </c>
      <c r="AV274" s="66">
        <f t="shared" si="2107"/>
        <v>107.41900000000001</v>
      </c>
      <c r="AW274" s="66">
        <f t="shared" si="2107"/>
        <v>116.92500000000001</v>
      </c>
      <c r="AX274" s="66">
        <f t="shared" si="2107"/>
        <v>128.893</v>
      </c>
      <c r="AY274" s="66">
        <f t="shared" si="2107"/>
        <v>140.233</v>
      </c>
      <c r="AZ274" s="66">
        <f t="shared" si="2107"/>
        <v>151.95200000000003</v>
      </c>
      <c r="BA274" s="66">
        <f t="shared" si="2107"/>
        <v>157.44900000000001</v>
      </c>
      <c r="BB274" s="66">
        <f t="shared" si="2107"/>
        <v>154.756</v>
      </c>
      <c r="BC274" s="66">
        <f t="shared" si="2107"/>
        <v>155.00699999999998</v>
      </c>
      <c r="BD274" s="66">
        <f t="shared" si="2107"/>
        <v>166.85899999999998</v>
      </c>
      <c r="BE274" s="66">
        <f t="shared" si="2107"/>
        <v>180.84399999999997</v>
      </c>
      <c r="BF274" s="66">
        <f t="shared" si="2107"/>
        <v>189.52499999999992</v>
      </c>
      <c r="BG274" s="66">
        <f t="shared" si="2107"/>
        <v>207.62199999999999</v>
      </c>
      <c r="BH274" s="66">
        <f t="shared" si="2107"/>
        <v>200.89399999999995</v>
      </c>
      <c r="BI274" s="66">
        <f t="shared" si="2107"/>
        <v>192.91399999999996</v>
      </c>
      <c r="BJ274" s="66">
        <f t="shared" si="2107"/>
        <v>193.40700000000004</v>
      </c>
      <c r="BK274" s="66">
        <f t="shared" si="2107"/>
        <v>172.24700000000001</v>
      </c>
      <c r="BL274" s="66">
        <f t="shared" si="2107"/>
        <v>172.22099999999998</v>
      </c>
      <c r="BM274" s="66">
        <f t="shared" si="2107"/>
        <v>172.46600000000001</v>
      </c>
      <c r="BN274" s="66">
        <f t="shared" si="2107"/>
        <v>180.74699999999999</v>
      </c>
      <c r="BO274" s="66">
        <f t="shared" si="2107"/>
        <v>196.464</v>
      </c>
      <c r="BP274" s="66">
        <f t="shared" si="2107"/>
        <v>225.399</v>
      </c>
      <c r="BQ274" s="66">
        <f t="shared" si="2107"/>
        <v>299.93299999999999</v>
      </c>
      <c r="BR274" s="66">
        <f t="shared" ref="BR274:CW274" si="2108">SUM(BO77:BR77)</f>
        <v>373.226</v>
      </c>
      <c r="BS274" s="66">
        <f t="shared" si="2108"/>
        <v>461.61799999999999</v>
      </c>
      <c r="BT274" s="66">
        <f t="shared" si="2108"/>
        <v>517.91300000000001</v>
      </c>
      <c r="BU274" s="66">
        <f t="shared" si="2108"/>
        <v>555.71899999999982</v>
      </c>
      <c r="BV274" s="66">
        <f t="shared" si="2108"/>
        <v>622.90999999999985</v>
      </c>
      <c r="BW274" s="66">
        <f t="shared" si="2108"/>
        <v>696.08399999999995</v>
      </c>
      <c r="BX274" s="66">
        <f t="shared" si="2108"/>
        <v>739.19200000000001</v>
      </c>
      <c r="BY274" s="66">
        <f t="shared" si="2108"/>
        <v>711.79300000000012</v>
      </c>
      <c r="BZ274" s="66">
        <f t="shared" si="2108"/>
        <v>608.80600000000004</v>
      </c>
      <c r="CA274" s="66">
        <f t="shared" si="2108"/>
        <v>492.05299999999988</v>
      </c>
      <c r="CB274" s="66">
        <f t="shared" si="2108"/>
        <v>372.73299999999995</v>
      </c>
      <c r="CC274" s="66">
        <f t="shared" si="2108"/>
        <v>319.15100000000007</v>
      </c>
      <c r="CD274" s="66">
        <f t="shared" si="2108"/>
        <v>323.73100000000005</v>
      </c>
      <c r="CE274" s="66">
        <f t="shared" si="2108"/>
        <v>291.78300000000007</v>
      </c>
      <c r="CF274" s="66">
        <f t="shared" si="2108"/>
        <v>298.68700000000001</v>
      </c>
      <c r="CG274" s="66">
        <f t="shared" si="2108"/>
        <v>270.19499999999999</v>
      </c>
      <c r="CH274" s="66">
        <f t="shared" si="2108"/>
        <v>232.149</v>
      </c>
      <c r="CI274" s="66">
        <f t="shared" si="2108"/>
        <v>220.75</v>
      </c>
      <c r="CJ274" s="66">
        <f t="shared" si="2108"/>
        <v>219.87600000000003</v>
      </c>
      <c r="CK274" s="66">
        <f t="shared" si="2108"/>
        <v>230.84700000000004</v>
      </c>
      <c r="CL274" s="66">
        <f t="shared" si="2108"/>
        <v>265.43300000000005</v>
      </c>
      <c r="CM274" s="50">
        <f t="shared" si="2108"/>
        <v>305.71920879152185</v>
      </c>
      <c r="CN274" s="50">
        <f t="shared" si="2108"/>
        <v>344.28809735968412</v>
      </c>
      <c r="CO274" s="50">
        <f t="shared" si="2108"/>
        <v>382.21946150554709</v>
      </c>
      <c r="CP274" s="50">
        <f t="shared" si="2108"/>
        <v>405.94537556537546</v>
      </c>
      <c r="CQ274" s="50">
        <f t="shared" si="2108"/>
        <v>462.9548252282342</v>
      </c>
      <c r="CR274" s="50">
        <f t="shared" si="2108"/>
        <v>516.35120640220566</v>
      </c>
      <c r="CS274" s="50">
        <f t="shared" si="2108"/>
        <v>569.03834736976489</v>
      </c>
      <c r="CT274" s="50">
        <f t="shared" si="2108"/>
        <v>629.76700910352372</v>
      </c>
      <c r="CU274" s="50">
        <f t="shared" si="2108"/>
        <v>683.73938228524662</v>
      </c>
      <c r="CV274" s="50">
        <f t="shared" si="2108"/>
        <v>743.44750299790894</v>
      </c>
      <c r="CW274" s="50">
        <f t="shared" si="2108"/>
        <v>800.41779782613048</v>
      </c>
      <c r="CX274" s="50">
        <f t="shared" ref="CX274:EC274" si="2109">SUM(CU77:CX77)</f>
        <v>868.50650744469999</v>
      </c>
      <c r="CY274" s="50">
        <f t="shared" si="2109"/>
        <v>948.77244537843046</v>
      </c>
      <c r="CZ274" s="50">
        <f t="shared" si="2109"/>
        <v>1032.6247414545592</v>
      </c>
      <c r="DA274" s="50">
        <f t="shared" si="2109"/>
        <v>1112.6553544572787</v>
      </c>
      <c r="DB274" s="50">
        <f t="shared" si="2109"/>
        <v>1209.9130624514007</v>
      </c>
      <c r="DE274" s="138"/>
      <c r="DF274" s="66">
        <v>249.25467462944459</v>
      </c>
    </row>
    <row r="275" spans="1:110" s="66" customFormat="1" x14ac:dyDescent="0.2">
      <c r="A275" s="66" t="s">
        <v>473</v>
      </c>
      <c r="AB275" s="50"/>
      <c r="AC275" s="50"/>
      <c r="AD275" s="50"/>
      <c r="AE275" s="50"/>
      <c r="AL275" s="66">
        <f t="shared" ref="AL275:BQ275" si="2110">SUM(AI90:AL90)</f>
        <v>31.032999999999976</v>
      </c>
      <c r="AM275" s="66">
        <f t="shared" si="2110"/>
        <v>30.175999999999988</v>
      </c>
      <c r="AN275" s="66">
        <f t="shared" si="2110"/>
        <v>33.020000000000003</v>
      </c>
      <c r="AO275" s="66">
        <f t="shared" si="2110"/>
        <v>30.144999999999989</v>
      </c>
      <c r="AP275" s="66">
        <f t="shared" si="2110"/>
        <v>33.535000000000004</v>
      </c>
      <c r="AQ275" s="66">
        <f t="shared" si="2110"/>
        <v>34.335000000000015</v>
      </c>
      <c r="AR275" s="66">
        <f t="shared" si="2110"/>
        <v>31.687999999999988</v>
      </c>
      <c r="AS275" s="66">
        <f t="shared" si="2110"/>
        <v>33.681000000000012</v>
      </c>
      <c r="AT275" s="66">
        <f t="shared" si="2110"/>
        <v>36.360000000000021</v>
      </c>
      <c r="AU275" s="66">
        <f t="shared" si="2110"/>
        <v>39.866000000000021</v>
      </c>
      <c r="AV275" s="66">
        <f t="shared" si="2110"/>
        <v>42.59200000000002</v>
      </c>
      <c r="AW275" s="66">
        <f t="shared" si="2110"/>
        <v>49.705000000000027</v>
      </c>
      <c r="AX275" s="66">
        <f t="shared" si="2110"/>
        <v>61.27200000000002</v>
      </c>
      <c r="AY275" s="66">
        <f t="shared" si="2110"/>
        <v>73.170000000000016</v>
      </c>
      <c r="AZ275" s="66">
        <f t="shared" si="2110"/>
        <v>83.086000000000027</v>
      </c>
      <c r="BA275" s="66">
        <f t="shared" si="2110"/>
        <v>89.172000000000025</v>
      </c>
      <c r="BB275" s="66">
        <f t="shared" si="2110"/>
        <v>82.987999999999985</v>
      </c>
      <c r="BC275" s="66">
        <f t="shared" si="2110"/>
        <v>81.028999999999968</v>
      </c>
      <c r="BD275" s="66">
        <f t="shared" si="2110"/>
        <v>88.461999999999989</v>
      </c>
      <c r="BE275" s="66">
        <f t="shared" si="2110"/>
        <v>96.556999999999974</v>
      </c>
      <c r="BF275" s="66">
        <f t="shared" si="2110"/>
        <v>112.58099999999993</v>
      </c>
      <c r="BG275" s="66">
        <f t="shared" si="2110"/>
        <v>123.64999999999998</v>
      </c>
      <c r="BH275" s="66">
        <f t="shared" si="2110"/>
        <v>125.46799999999996</v>
      </c>
      <c r="BI275" s="66">
        <f t="shared" si="2110"/>
        <v>124.25299999999996</v>
      </c>
      <c r="BJ275" s="66">
        <f t="shared" si="2110"/>
        <v>117.08600000000003</v>
      </c>
      <c r="BK275" s="66">
        <f t="shared" si="2110"/>
        <v>101.74299999999999</v>
      </c>
      <c r="BL275" s="66">
        <f t="shared" si="2110"/>
        <v>99.503999999999976</v>
      </c>
      <c r="BM275" s="66">
        <f t="shared" si="2110"/>
        <v>93.921000000000006</v>
      </c>
      <c r="BN275" s="66">
        <f t="shared" si="2110"/>
        <v>97.469999999999985</v>
      </c>
      <c r="BO275" s="66">
        <f t="shared" si="2110"/>
        <v>110.57</v>
      </c>
      <c r="BP275" s="66">
        <f t="shared" si="2110"/>
        <v>126.03100000000001</v>
      </c>
      <c r="BQ275" s="66">
        <f t="shared" si="2110"/>
        <v>184.24600000000004</v>
      </c>
      <c r="BR275" s="66">
        <f t="shared" ref="BR275:CW275" si="2111">SUM(BO90:BR90)</f>
        <v>243.49600000000004</v>
      </c>
      <c r="BS275" s="66">
        <f t="shared" si="2111"/>
        <v>309.31099999999998</v>
      </c>
      <c r="BT275" s="66">
        <f t="shared" si="2111"/>
        <v>353.17299999999989</v>
      </c>
      <c r="BU275" s="66">
        <f t="shared" si="2111"/>
        <v>375.85899999999987</v>
      </c>
      <c r="BV275" s="66">
        <f t="shared" si="2111"/>
        <v>417.89799999999991</v>
      </c>
      <c r="BW275" s="66">
        <f t="shared" si="2111"/>
        <v>468.54099999999994</v>
      </c>
      <c r="BX275" s="66">
        <f t="shared" si="2111"/>
        <v>499.11500000000007</v>
      </c>
      <c r="BY275" s="66">
        <f t="shared" si="2111"/>
        <v>481.31600000000009</v>
      </c>
      <c r="BZ275" s="66">
        <f t="shared" si="2111"/>
        <v>405.68200000000002</v>
      </c>
      <c r="CA275" s="66">
        <f t="shared" si="2111"/>
        <v>325.32099999999997</v>
      </c>
      <c r="CB275" s="66">
        <f t="shared" si="2111"/>
        <v>243.04799999999997</v>
      </c>
      <c r="CC275" s="66">
        <f t="shared" si="2111"/>
        <v>215.03000000000006</v>
      </c>
      <c r="CD275" s="66">
        <f t="shared" si="2111"/>
        <v>232.29900000000009</v>
      </c>
      <c r="CE275" s="66">
        <f t="shared" si="2111"/>
        <v>210.18000000000009</v>
      </c>
      <c r="CF275" s="66">
        <f t="shared" si="2111"/>
        <v>215.26800000000003</v>
      </c>
      <c r="CG275" s="66">
        <f t="shared" si="2111"/>
        <v>190.63200000000003</v>
      </c>
      <c r="CH275" s="66">
        <f t="shared" si="2111"/>
        <v>158.59000000000003</v>
      </c>
      <c r="CI275" s="66">
        <f t="shared" si="2111"/>
        <v>149.55900000000003</v>
      </c>
      <c r="CJ275" s="66">
        <f t="shared" si="2111"/>
        <v>145.20700000000005</v>
      </c>
      <c r="CK275" s="66">
        <f t="shared" si="2111"/>
        <v>144.82800000000003</v>
      </c>
      <c r="CL275" s="66">
        <f t="shared" si="2111"/>
        <v>169.15600000000001</v>
      </c>
      <c r="CM275" s="50">
        <f t="shared" si="2111"/>
        <v>196.06495862908275</v>
      </c>
      <c r="CN275" s="50">
        <f t="shared" si="2111"/>
        <v>226.81596976451596</v>
      </c>
      <c r="CO275" s="50">
        <f t="shared" si="2111"/>
        <v>256.63693524374696</v>
      </c>
      <c r="CP275" s="50">
        <f t="shared" si="2111"/>
        <v>261.65089505283851</v>
      </c>
      <c r="CQ275" s="50">
        <f t="shared" si="2111"/>
        <v>289.96257115618556</v>
      </c>
      <c r="CR275" s="50">
        <f t="shared" si="2111"/>
        <v>309.07047752006332</v>
      </c>
      <c r="CS275" s="50">
        <f t="shared" si="2111"/>
        <v>330.81076638150773</v>
      </c>
      <c r="CT275" s="50">
        <f t="shared" si="2111"/>
        <v>366.83724369850341</v>
      </c>
      <c r="CU275" s="50">
        <f t="shared" si="2111"/>
        <v>397.15641962296417</v>
      </c>
      <c r="CV275" s="50">
        <f t="shared" si="2111"/>
        <v>435.18117755118186</v>
      </c>
      <c r="CW275" s="50">
        <f t="shared" si="2111"/>
        <v>473.94437288207575</v>
      </c>
      <c r="CX275" s="50">
        <f t="shared" ref="CX275:EC275" si="2112">SUM(CU90:CX90)</f>
        <v>524.39794305438591</v>
      </c>
      <c r="CY275" s="50">
        <f t="shared" si="2112"/>
        <v>585.54285576820109</v>
      </c>
      <c r="CZ275" s="50">
        <f t="shared" si="2112"/>
        <v>648.8413516646018</v>
      </c>
      <c r="DA275" s="50">
        <f t="shared" si="2112"/>
        <v>710.02997459501034</v>
      </c>
      <c r="DB275" s="50">
        <f t="shared" si="2112"/>
        <v>785.67251525002098</v>
      </c>
      <c r="DE275" s="138"/>
      <c r="DF275" s="66">
        <v>154.09263050393793</v>
      </c>
    </row>
    <row r="276" spans="1:110" s="93" customFormat="1" x14ac:dyDescent="0.2">
      <c r="AB276" s="30"/>
      <c r="AC276" s="30"/>
      <c r="AD276" s="30"/>
      <c r="AE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</row>
    <row r="277" spans="1:110" s="11" customFormat="1" x14ac:dyDescent="0.2">
      <c r="AB277" s="63"/>
      <c r="AC277" s="63"/>
      <c r="AD277" s="63"/>
      <c r="AE277" s="63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9"/>
    </row>
    <row r="278" spans="1:110" s="62" customFormat="1" hidden="1" outlineLevel="1" x14ac:dyDescent="0.2">
      <c r="A278" s="61" t="s">
        <v>339</v>
      </c>
      <c r="AB278" s="63"/>
      <c r="AC278" s="63"/>
      <c r="AD278" s="63"/>
      <c r="AE278" s="63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E278" s="139"/>
    </row>
    <row r="279" spans="1:110" s="64" customFormat="1" hidden="1" outlineLevel="1" x14ac:dyDescent="0.2">
      <c r="A279" s="64" t="s">
        <v>474</v>
      </c>
      <c r="B279" s="64">
        <f t="shared" ref="B279:Z279" si="2113">B57-B285</f>
        <v>29.322552999999999</v>
      </c>
      <c r="C279" s="64">
        <f t="shared" si="2113"/>
        <v>41.153086399999999</v>
      </c>
      <c r="D279" s="64">
        <f t="shared" si="2113"/>
        <v>50.679308300000002</v>
      </c>
      <c r="E279" s="64">
        <f t="shared" si="2113"/>
        <v>81.990467899999999</v>
      </c>
      <c r="F279" s="64">
        <f t="shared" si="2113"/>
        <v>99.190306399999997</v>
      </c>
      <c r="G279" s="64">
        <f t="shared" si="2113"/>
        <v>145.89401380000001</v>
      </c>
      <c r="H279" s="64">
        <f t="shared" si="2113"/>
        <v>197.2938441</v>
      </c>
      <c r="I279" s="64">
        <f t="shared" si="2113"/>
        <v>239.67647640000001</v>
      </c>
      <c r="J279" s="64">
        <f t="shared" si="2113"/>
        <v>273.5852635</v>
      </c>
      <c r="K279" s="64">
        <f t="shared" si="2113"/>
        <v>277.13981710000002</v>
      </c>
      <c r="L279" s="64">
        <f t="shared" si="2113"/>
        <v>374.72099259999999</v>
      </c>
      <c r="M279" s="64">
        <f t="shared" si="2113"/>
        <v>485.95722690000002</v>
      </c>
      <c r="N279" s="64">
        <f t="shared" si="2113"/>
        <v>556.33360849999997</v>
      </c>
      <c r="O279" s="64">
        <f t="shared" si="2113"/>
        <v>667.41449999999998</v>
      </c>
      <c r="P279" s="64">
        <f t="shared" si="2113"/>
        <v>673.69466829999999</v>
      </c>
      <c r="Q279" s="64">
        <f t="shared" si="2113"/>
        <v>698.2066797</v>
      </c>
      <c r="R279" s="64">
        <f t="shared" si="2113"/>
        <v>730.59146350000003</v>
      </c>
      <c r="S279" s="64">
        <f t="shared" si="2113"/>
        <v>874.58986470000002</v>
      </c>
      <c r="T279" s="64">
        <f t="shared" si="2113"/>
        <v>943.05127170000003</v>
      </c>
      <c r="U279" s="64">
        <f t="shared" si="2113"/>
        <v>935.77183890000003</v>
      </c>
      <c r="V279" s="64">
        <f t="shared" si="2113"/>
        <v>1311.4550999999999</v>
      </c>
      <c r="W279" s="64">
        <f t="shared" si="2113"/>
        <v>2326.2546000000002</v>
      </c>
      <c r="X279" s="64">
        <f t="shared" si="2113"/>
        <v>2359.4351000000001</v>
      </c>
      <c r="Y279" s="64">
        <f t="shared" si="2113"/>
        <v>1642.5360000000001</v>
      </c>
      <c r="Z279" s="64">
        <f t="shared" si="2113"/>
        <v>1400.7005999999999</v>
      </c>
      <c r="AA279" s="64">
        <f t="shared" ref="AA279" si="2114">AA57-AA285</f>
        <v>1294.1110000000001</v>
      </c>
      <c r="AB279" s="30"/>
      <c r="AC279" s="30"/>
      <c r="AD279" s="30"/>
      <c r="AE279" s="30"/>
      <c r="AI279" s="64">
        <f t="shared" ref="AI279:BN279" si="2115">AI57-AI285</f>
        <v>136.559</v>
      </c>
      <c r="AJ279" s="64">
        <f t="shared" si="2115"/>
        <v>126.011</v>
      </c>
      <c r="AK279" s="64">
        <f t="shared" si="2115"/>
        <v>107.746</v>
      </c>
      <c r="AL279" s="64">
        <f t="shared" si="2115"/>
        <v>141.47999999999999</v>
      </c>
      <c r="AM279" s="64">
        <f t="shared" si="2115"/>
        <v>140.1</v>
      </c>
      <c r="AN279" s="64">
        <f t="shared" si="2115"/>
        <v>161.01400000000001</v>
      </c>
      <c r="AO279" s="64">
        <f t="shared" si="2115"/>
        <v>137.51</v>
      </c>
      <c r="AP279" s="64">
        <f t="shared" si="2115"/>
        <v>171.5</v>
      </c>
      <c r="AQ279" s="64">
        <f t="shared" si="2115"/>
        <v>164.47</v>
      </c>
      <c r="AR279" s="64">
        <f t="shared" si="2115"/>
        <v>150.44999999999999</v>
      </c>
      <c r="AS279" s="64">
        <f t="shared" si="2115"/>
        <v>141.67599999999999</v>
      </c>
      <c r="AT279" s="64">
        <f t="shared" si="2115"/>
        <v>148.27000000000001</v>
      </c>
      <c r="AU279" s="64">
        <f t="shared" si="2115"/>
        <v>159.636</v>
      </c>
      <c r="AV279" s="64">
        <f t="shared" si="2115"/>
        <v>173.18199999999999</v>
      </c>
      <c r="AW279" s="64">
        <f t="shared" si="2115"/>
        <v>162.297</v>
      </c>
      <c r="AX279" s="64">
        <f t="shared" si="2115"/>
        <v>179.935</v>
      </c>
      <c r="AY279" s="64">
        <f t="shared" si="2115"/>
        <v>181.792</v>
      </c>
      <c r="AZ279" s="64">
        <f t="shared" si="2115"/>
        <v>172.15100000000001</v>
      </c>
      <c r="BA279" s="64">
        <f t="shared" si="2115"/>
        <v>180.22</v>
      </c>
      <c r="BB279" s="64">
        <f t="shared" si="2115"/>
        <v>193.14099999999999</v>
      </c>
      <c r="BC279" s="64">
        <f t="shared" si="2115"/>
        <v>200.071</v>
      </c>
      <c r="BD279" s="64">
        <f t="shared" si="2115"/>
        <v>201.19200000000001</v>
      </c>
      <c r="BE279" s="64">
        <f t="shared" si="2115"/>
        <v>218.83699999999999</v>
      </c>
      <c r="BF279" s="64">
        <f t="shared" si="2115"/>
        <v>255.33699999999999</v>
      </c>
      <c r="BG279" s="64">
        <f t="shared" si="2115"/>
        <v>259.887</v>
      </c>
      <c r="BH279" s="64">
        <f t="shared" si="2115"/>
        <v>216.34100000000001</v>
      </c>
      <c r="BI279" s="64">
        <f t="shared" si="2115"/>
        <v>238.81399999999999</v>
      </c>
      <c r="BJ279" s="64">
        <f t="shared" si="2115"/>
        <v>226.62100000000001</v>
      </c>
      <c r="BK279" s="64">
        <f t="shared" si="2115"/>
        <v>222.977</v>
      </c>
      <c r="BL279" s="64">
        <f t="shared" si="2115"/>
        <v>227.25299999999999</v>
      </c>
      <c r="BM279" s="64">
        <f t="shared" si="2115"/>
        <v>227.51499999999999</v>
      </c>
      <c r="BN279" s="64">
        <f t="shared" si="2115"/>
        <v>258.02699999999999</v>
      </c>
      <c r="BO279" s="64">
        <f t="shared" ref="BO279:CT279" si="2116">BO57-BO285</f>
        <v>222.91</v>
      </c>
      <c r="BP279" s="64">
        <f t="shared" si="2116"/>
        <v>282.38499999999999</v>
      </c>
      <c r="BQ279" s="64">
        <f t="shared" si="2116"/>
        <v>392.12700000000001</v>
      </c>
      <c r="BR279" s="64">
        <f t="shared" si="2116"/>
        <v>414.03399999999999</v>
      </c>
      <c r="BS279" s="64">
        <f t="shared" si="2116"/>
        <v>450.68099999999998</v>
      </c>
      <c r="BT279" s="64">
        <f t="shared" si="2116"/>
        <v>525.73299999999995</v>
      </c>
      <c r="BU279" s="64">
        <f t="shared" si="2116"/>
        <v>564.89499999999998</v>
      </c>
      <c r="BV279" s="64">
        <f t="shared" si="2116"/>
        <v>780.36599999999999</v>
      </c>
      <c r="BW279" s="64">
        <f t="shared" si="2116"/>
        <v>670.17200000000003</v>
      </c>
      <c r="BX279" s="64">
        <f t="shared" si="2116"/>
        <v>627.55799999999999</v>
      </c>
      <c r="BY279" s="64">
        <f t="shared" si="2116"/>
        <v>585.94799999999998</v>
      </c>
      <c r="BZ279" s="64">
        <f t="shared" si="2116"/>
        <v>471.39499999999998</v>
      </c>
      <c r="CA279" s="64">
        <f t="shared" si="2116"/>
        <v>463.673</v>
      </c>
      <c r="CB279" s="64">
        <f t="shared" si="2116"/>
        <v>380.54399999999998</v>
      </c>
      <c r="CC279" s="64">
        <f t="shared" si="2116"/>
        <v>383.358</v>
      </c>
      <c r="CD279" s="64">
        <f t="shared" si="2116"/>
        <v>413.93700000000001</v>
      </c>
      <c r="CE279" s="64">
        <f t="shared" si="2116"/>
        <v>384.74599999999998</v>
      </c>
      <c r="CF279" s="64">
        <f t="shared" si="2116"/>
        <v>346.88299999999998</v>
      </c>
      <c r="CG279" s="64">
        <f t="shared" si="2116"/>
        <v>312.72800000000001</v>
      </c>
      <c r="CH279" s="64">
        <f t="shared" si="2116"/>
        <v>352.72800000000001</v>
      </c>
      <c r="CI279" s="64">
        <f t="shared" si="2116"/>
        <v>358.34100000000001</v>
      </c>
      <c r="CJ279" s="64">
        <f t="shared" si="2116"/>
        <v>340.55200000000002</v>
      </c>
      <c r="CK279" s="64">
        <f t="shared" si="2116"/>
        <v>331.30099999999999</v>
      </c>
      <c r="CL279" s="64">
        <f t="shared" si="2116"/>
        <v>394.786</v>
      </c>
      <c r="CM279" s="30">
        <f t="shared" si="2116"/>
        <v>458.79084497856371</v>
      </c>
      <c r="CN279" s="30">
        <f t="shared" si="2116"/>
        <v>472.72996516166017</v>
      </c>
      <c r="CO279" s="30">
        <f t="shared" si="2116"/>
        <v>458.7286930760601</v>
      </c>
      <c r="CP279" s="30">
        <f t="shared" si="2116"/>
        <v>548.64912544559445</v>
      </c>
      <c r="CQ279" s="30">
        <f t="shared" si="2116"/>
        <v>693.70015392909272</v>
      </c>
      <c r="CR279" s="30">
        <f t="shared" si="2116"/>
        <v>715.53340791429855</v>
      </c>
      <c r="CS279" s="30">
        <f t="shared" si="2116"/>
        <v>691.12473628813382</v>
      </c>
      <c r="CT279" s="30">
        <f t="shared" si="2116"/>
        <v>831.78753782312697</v>
      </c>
      <c r="CU279" s="30">
        <f t="shared" ref="CU279:DB279" si="2117">CU57-CU285</f>
        <v>958.87507339731451</v>
      </c>
      <c r="CV279" s="30">
        <f t="shared" si="2117"/>
        <v>989.55214377415393</v>
      </c>
      <c r="CW279" s="30">
        <f t="shared" si="2117"/>
        <v>953.96758169824045</v>
      </c>
      <c r="CX279" s="30">
        <f t="shared" si="2117"/>
        <v>1151.2446151791733</v>
      </c>
      <c r="CY279" s="30">
        <f t="shared" si="2117"/>
        <v>1335.9468039213191</v>
      </c>
      <c r="CZ279" s="30">
        <f t="shared" si="2117"/>
        <v>1379.3469920743039</v>
      </c>
      <c r="DA279" s="30">
        <f t="shared" si="2117"/>
        <v>1327.1489205537462</v>
      </c>
      <c r="DB279" s="30">
        <f t="shared" si="2117"/>
        <v>1605.9247123733878</v>
      </c>
      <c r="DE279" s="139"/>
      <c r="DF279" s="64">
        <v>440.77366419294987</v>
      </c>
    </row>
    <row r="280" spans="1:110" s="64" customFormat="1" hidden="1" outlineLevel="1" x14ac:dyDescent="0.2">
      <c r="A280" s="64" t="s">
        <v>475</v>
      </c>
      <c r="B280" s="64">
        <f t="shared" ref="B280:Z280" si="2118">B77-B286</f>
        <v>4.3198106999999979</v>
      </c>
      <c r="C280" s="64">
        <f t="shared" si="2118"/>
        <v>8.8859724</v>
      </c>
      <c r="D280" s="64">
        <f t="shared" si="2118"/>
        <v>9.2922031000000054</v>
      </c>
      <c r="E280" s="64">
        <f t="shared" si="2118"/>
        <v>14.405268899999992</v>
      </c>
      <c r="F280" s="64">
        <f t="shared" si="2118"/>
        <v>12.645600700000006</v>
      </c>
      <c r="G280" s="64">
        <f t="shared" si="2118"/>
        <v>18.748113999999987</v>
      </c>
      <c r="H280" s="64">
        <f t="shared" si="2118"/>
        <v>24.968620099999995</v>
      </c>
      <c r="I280" s="64">
        <f t="shared" si="2118"/>
        <v>29.577711000000015</v>
      </c>
      <c r="J280" s="64">
        <f t="shared" si="2118"/>
        <v>36.814284000000008</v>
      </c>
      <c r="K280" s="64">
        <f t="shared" si="2118"/>
        <v>46.092146800000037</v>
      </c>
      <c r="L280" s="64">
        <f t="shared" si="2118"/>
        <v>63.064491600000011</v>
      </c>
      <c r="M280" s="64">
        <f t="shared" si="2118"/>
        <v>79.294353800000081</v>
      </c>
      <c r="N280" s="64">
        <f t="shared" si="2118"/>
        <v>79.339939699999974</v>
      </c>
      <c r="O280" s="64">
        <f t="shared" si="2118"/>
        <v>87.355500000000035</v>
      </c>
      <c r="P280" s="64">
        <f t="shared" si="2118"/>
        <v>101.75903029999998</v>
      </c>
      <c r="Q280" s="64">
        <f t="shared" si="2118"/>
        <v>123.28103249999998</v>
      </c>
      <c r="R280" s="64">
        <f t="shared" si="2118"/>
        <v>149.08268930000003</v>
      </c>
      <c r="S280" s="64">
        <f t="shared" si="2118"/>
        <v>182.03483519999992</v>
      </c>
      <c r="T280" s="64">
        <f t="shared" si="2118"/>
        <v>191.55487319999995</v>
      </c>
      <c r="U280" s="64">
        <f t="shared" si="2118"/>
        <v>177.4848452</v>
      </c>
      <c r="V280" s="64">
        <f t="shared" si="2118"/>
        <v>367.93729999999999</v>
      </c>
      <c r="W280" s="64">
        <f t="shared" si="2118"/>
        <v>622.66859999999997</v>
      </c>
      <c r="X280" s="64">
        <f t="shared" si="2118"/>
        <v>609.1139000000004</v>
      </c>
      <c r="Y280" s="64">
        <f t="shared" si="2118"/>
        <v>323.73370000000011</v>
      </c>
      <c r="Z280" s="64">
        <f t="shared" si="2118"/>
        <v>232.15059999999994</v>
      </c>
      <c r="AA280" s="64">
        <f t="shared" ref="AA280" si="2119">AA77-AA286</f>
        <v>247.26110000000028</v>
      </c>
      <c r="AB280" s="30"/>
      <c r="AC280" s="30"/>
      <c r="AD280" s="30"/>
      <c r="AE280" s="30"/>
      <c r="AI280" s="64">
        <f t="shared" ref="AI280:BN280" si="2120">AI77-AI286</f>
        <v>22.999999999999989</v>
      </c>
      <c r="AJ280" s="64">
        <f t="shared" si="2120"/>
        <v>23.067000000000004</v>
      </c>
      <c r="AK280" s="64">
        <f t="shared" si="2120"/>
        <v>16.517999999999994</v>
      </c>
      <c r="AL280" s="64">
        <f t="shared" si="2120"/>
        <v>17.639999999999993</v>
      </c>
      <c r="AM280" s="64">
        <f t="shared" si="2120"/>
        <v>22.700000000000003</v>
      </c>
      <c r="AN280" s="64">
        <f t="shared" si="2120"/>
        <v>27.759000000000015</v>
      </c>
      <c r="AO280" s="64">
        <f t="shared" si="2120"/>
        <v>19.439999999999976</v>
      </c>
      <c r="AP280" s="64">
        <f t="shared" si="2120"/>
        <v>21.13000000000001</v>
      </c>
      <c r="AQ280" s="64">
        <f t="shared" si="2120"/>
        <v>24.960000000000008</v>
      </c>
      <c r="AR280" s="64">
        <f t="shared" si="2120"/>
        <v>26.913999999999994</v>
      </c>
      <c r="AS280" s="64">
        <f t="shared" si="2120"/>
        <v>21.583999999999996</v>
      </c>
      <c r="AT280" s="64">
        <f t="shared" si="2120"/>
        <v>28.902000000000015</v>
      </c>
      <c r="AU280" s="64">
        <f t="shared" si="2120"/>
        <v>28.984000000000009</v>
      </c>
      <c r="AV280" s="64">
        <f t="shared" si="2120"/>
        <v>27.948999999999991</v>
      </c>
      <c r="AW280" s="64">
        <f t="shared" si="2120"/>
        <v>31.090000000000003</v>
      </c>
      <c r="AX280" s="64">
        <f t="shared" si="2120"/>
        <v>40.870000000000012</v>
      </c>
      <c r="AY280" s="64">
        <f t="shared" si="2120"/>
        <v>40.324000000000005</v>
      </c>
      <c r="AZ280" s="64">
        <f t="shared" si="2120"/>
        <v>39.668000000000006</v>
      </c>
      <c r="BA280" s="64">
        <f t="shared" si="2120"/>
        <v>36.586999999999989</v>
      </c>
      <c r="BB280" s="64">
        <f t="shared" si="2120"/>
        <v>38.176999999999985</v>
      </c>
      <c r="BC280" s="64">
        <f t="shared" si="2120"/>
        <v>40.574999999999982</v>
      </c>
      <c r="BD280" s="64">
        <f t="shared" si="2120"/>
        <v>51.520000000000024</v>
      </c>
      <c r="BE280" s="64">
        <f t="shared" si="2120"/>
        <v>50.571999999999981</v>
      </c>
      <c r="BF280" s="64">
        <f t="shared" si="2120"/>
        <v>46.857999999999947</v>
      </c>
      <c r="BG280" s="64">
        <f t="shared" si="2120"/>
        <v>58.672000000000033</v>
      </c>
      <c r="BH280" s="64">
        <f t="shared" si="2120"/>
        <v>44.792000000000002</v>
      </c>
      <c r="BI280" s="64">
        <f t="shared" si="2120"/>
        <v>42.591999999999985</v>
      </c>
      <c r="BJ280" s="64">
        <f t="shared" si="2120"/>
        <v>47.351000000000013</v>
      </c>
      <c r="BK280" s="64">
        <f t="shared" si="2120"/>
        <v>37.511999999999993</v>
      </c>
      <c r="BL280" s="64">
        <f t="shared" si="2120"/>
        <v>44.765999999999991</v>
      </c>
      <c r="BM280" s="64">
        <f t="shared" si="2120"/>
        <v>42.837000000000003</v>
      </c>
      <c r="BN280" s="64">
        <f t="shared" si="2120"/>
        <v>55.631999999999991</v>
      </c>
      <c r="BO280" s="64">
        <f t="shared" ref="BO280:CT280" si="2121">BO77-BO286</f>
        <v>53.229000000000013</v>
      </c>
      <c r="BP280" s="64">
        <f t="shared" si="2121"/>
        <v>73.700999999999993</v>
      </c>
      <c r="BQ280" s="64">
        <f t="shared" si="2121"/>
        <v>117.37100000000001</v>
      </c>
      <c r="BR280" s="64">
        <f t="shared" si="2121"/>
        <v>128.92500000000001</v>
      </c>
      <c r="BS280" s="64">
        <f t="shared" si="2121"/>
        <v>141.62099999999998</v>
      </c>
      <c r="BT280" s="64">
        <f t="shared" si="2121"/>
        <v>129.99599999999992</v>
      </c>
      <c r="BU280" s="64">
        <f t="shared" si="2121"/>
        <v>155.17699999999996</v>
      </c>
      <c r="BV280" s="64">
        <f t="shared" si="2121"/>
        <v>196.11600000000004</v>
      </c>
      <c r="BW280" s="64">
        <f t="shared" si="2121"/>
        <v>214.79500000000004</v>
      </c>
      <c r="BX280" s="64">
        <f t="shared" si="2121"/>
        <v>173.10399999999998</v>
      </c>
      <c r="BY280" s="64">
        <f t="shared" si="2121"/>
        <v>127.77799999999999</v>
      </c>
      <c r="BZ280" s="64">
        <f t="shared" si="2121"/>
        <v>93.128999999999976</v>
      </c>
      <c r="CA280" s="64">
        <f t="shared" si="2121"/>
        <v>98.042000000000002</v>
      </c>
      <c r="CB280" s="64">
        <f t="shared" si="2121"/>
        <v>53.78400000000002</v>
      </c>
      <c r="CC280" s="64">
        <f t="shared" si="2121"/>
        <v>74.196000000000041</v>
      </c>
      <c r="CD280" s="64">
        <f t="shared" si="2121"/>
        <v>97.709000000000017</v>
      </c>
      <c r="CE280" s="64">
        <f t="shared" si="2121"/>
        <v>66.093999999999994</v>
      </c>
      <c r="CF280" s="64">
        <f t="shared" si="2121"/>
        <v>60.687999999999988</v>
      </c>
      <c r="CG280" s="64">
        <f t="shared" si="2121"/>
        <v>45.704000000000022</v>
      </c>
      <c r="CH280" s="64">
        <f t="shared" si="2121"/>
        <v>59.663000000000011</v>
      </c>
      <c r="CI280" s="64">
        <f t="shared" si="2121"/>
        <v>54.694999999999993</v>
      </c>
      <c r="CJ280" s="64">
        <f t="shared" si="2121"/>
        <v>59.814000000000007</v>
      </c>
      <c r="CK280" s="64">
        <f t="shared" si="2121"/>
        <v>56.675000000000011</v>
      </c>
      <c r="CL280" s="64">
        <f t="shared" si="2121"/>
        <v>94.249000000000024</v>
      </c>
      <c r="CM280" s="30">
        <f t="shared" si="2121"/>
        <v>94.98120879152178</v>
      </c>
      <c r="CN280" s="30">
        <f t="shared" si="2121"/>
        <v>98.382888568162301</v>
      </c>
      <c r="CO280" s="30">
        <f t="shared" si="2121"/>
        <v>94.606364145862955</v>
      </c>
      <c r="CP280" s="30">
        <f t="shared" si="2121"/>
        <v>117.97491405982836</v>
      </c>
      <c r="CQ280" s="30">
        <f t="shared" si="2121"/>
        <v>151.99065845438056</v>
      </c>
      <c r="CR280" s="30">
        <f t="shared" si="2121"/>
        <v>151.77926974213375</v>
      </c>
      <c r="CS280" s="30">
        <f t="shared" si="2121"/>
        <v>147.29350511342221</v>
      </c>
      <c r="CT280" s="30">
        <f t="shared" si="2121"/>
        <v>178.70357579358713</v>
      </c>
      <c r="CU280" s="30">
        <f t="shared" ref="CU280:DB280" si="2122">CU77-CU286</f>
        <v>205.96303163610352</v>
      </c>
      <c r="CV280" s="30">
        <f t="shared" si="2122"/>
        <v>211.48739045479604</v>
      </c>
      <c r="CW280" s="30">
        <f t="shared" si="2122"/>
        <v>204.26379994164387</v>
      </c>
      <c r="CX280" s="30">
        <f t="shared" si="2122"/>
        <v>246.79228541215667</v>
      </c>
      <c r="CY280" s="30">
        <f t="shared" si="2122"/>
        <v>286.22896956983379</v>
      </c>
      <c r="CZ280" s="30">
        <f t="shared" si="2122"/>
        <v>295.33968653092484</v>
      </c>
      <c r="DA280" s="30">
        <f t="shared" si="2122"/>
        <v>284.29441294436333</v>
      </c>
      <c r="DB280" s="30">
        <f t="shared" si="2122"/>
        <v>344.04999340627882</v>
      </c>
      <c r="DE280" s="139"/>
      <c r="DF280" s="64">
        <v>78.070674629444568</v>
      </c>
    </row>
    <row r="281" spans="1:110" s="89" customFormat="1" hidden="1" outlineLevel="1" x14ac:dyDescent="0.2">
      <c r="A281" s="86" t="s">
        <v>476</v>
      </c>
      <c r="B281" s="86">
        <f>+B280/B279</f>
        <v>0.14732041579053495</v>
      </c>
      <c r="C281" s="86">
        <f t="shared" ref="C281" si="2123">+C280/C279</f>
        <v>0.21592481092742535</v>
      </c>
      <c r="D281" s="86">
        <f t="shared" ref="D281" si="2124">+D280/D279</f>
        <v>0.18335299773615901</v>
      </c>
      <c r="E281" s="86">
        <f t="shared" ref="E281" si="2125">+E280/E279</f>
        <v>0.17569443459658549</v>
      </c>
      <c r="F281" s="86">
        <f t="shared" ref="F281" si="2126">+F280/F279</f>
        <v>0.12748827137406651</v>
      </c>
      <c r="G281" s="86">
        <f t="shared" ref="G281" si="2127">+G280/G279</f>
        <v>0.1285050257490413</v>
      </c>
      <c r="H281" s="86">
        <f t="shared" ref="H281" si="2128">+H280/H279</f>
        <v>0.1265554949973221</v>
      </c>
      <c r="I281" s="86">
        <f t="shared" ref="I281" si="2129">+I280/I279</f>
        <v>0.12340681674006791</v>
      </c>
      <c r="J281" s="86">
        <f t="shared" ref="J281" si="2130">+J280/J279</f>
        <v>0.13456237930739282</v>
      </c>
      <c r="K281" s="86">
        <f t="shared" ref="K281" si="2131">+K280/K279</f>
        <v>0.16631369422953998</v>
      </c>
      <c r="L281" s="86">
        <f t="shared" ref="L281" si="2132">+L280/L279</f>
        <v>0.16829719403342552</v>
      </c>
      <c r="M281" s="86">
        <f t="shared" ref="M281" si="2133">+M280/M279</f>
        <v>0.16317146738578542</v>
      </c>
      <c r="N281" s="86">
        <f t="shared" ref="N281" si="2134">+N280/N279</f>
        <v>0.1426121637948824</v>
      </c>
      <c r="O281" s="86">
        <f t="shared" ref="O281" si="2135">+O280/O279</f>
        <v>0.13088642814922366</v>
      </c>
      <c r="P281" s="86">
        <f t="shared" ref="P281" si="2136">+P280/P279</f>
        <v>0.15104621587221187</v>
      </c>
      <c r="Q281" s="86">
        <f t="shared" ref="Q281" si="2137">+Q280/Q279</f>
        <v>0.17656810810370707</v>
      </c>
      <c r="R281" s="86">
        <f t="shared" ref="R281" si="2138">+R280/R279</f>
        <v>0.20405752975239905</v>
      </c>
      <c r="S281" s="86">
        <f t="shared" ref="S281" si="2139">+S280/S279</f>
        <v>0.2081373710664268</v>
      </c>
      <c r="T281" s="86">
        <f t="shared" ref="T281" si="2140">+T280/T279</f>
        <v>0.20312243771718985</v>
      </c>
      <c r="U281" s="86">
        <f t="shared" ref="U281" si="2141">+U280/U279</f>
        <v>0.18966679464155864</v>
      </c>
      <c r="V281" s="86">
        <f t="shared" ref="V281" si="2142">+V280/V279</f>
        <v>0.28055653601865593</v>
      </c>
      <c r="W281" s="86">
        <f t="shared" ref="W281" si="2143">+W280/W279</f>
        <v>0.26767001341985519</v>
      </c>
      <c r="X281" s="86">
        <f t="shared" ref="X281:Y281" si="2144">+X280/X279</f>
        <v>0.25816090470129921</v>
      </c>
      <c r="Y281" s="86">
        <f t="shared" si="2144"/>
        <v>0.19709382320996319</v>
      </c>
      <c r="Z281" s="86">
        <f t="shared" ref="Z281:AA281" si="2145">+Z280/Z279</f>
        <v>0.16573891665356605</v>
      </c>
      <c r="AA281" s="86">
        <f t="shared" si="2145"/>
        <v>0.1910663768409358</v>
      </c>
      <c r="AB281" s="87"/>
      <c r="AC281" s="87"/>
      <c r="AD281" s="87"/>
      <c r="AE281" s="87"/>
      <c r="AF281" s="86"/>
      <c r="AG281" s="86"/>
      <c r="AH281" s="86"/>
      <c r="AI281" s="86">
        <f t="shared" ref="AI281" si="2146">+AI280/AI279</f>
        <v>0.16842536925431492</v>
      </c>
      <c r="AJ281" s="86">
        <f t="shared" ref="AJ281" si="2147">+AJ280/AJ279</f>
        <v>0.18305544754029413</v>
      </c>
      <c r="AK281" s="86">
        <f t="shared" ref="AK281" si="2148">+AK280/AK279</f>
        <v>0.15330499508102383</v>
      </c>
      <c r="AL281" s="86">
        <f t="shared" ref="AL281" si="2149">+AL280/AL279</f>
        <v>0.12468193384223915</v>
      </c>
      <c r="AM281" s="86">
        <f t="shared" ref="AM281" si="2150">+AM280/AM279</f>
        <v>0.16202712348322629</v>
      </c>
      <c r="AN281" s="86">
        <f t="shared" ref="AN281" si="2151">+AN280/AN279</f>
        <v>0.17240115766330885</v>
      </c>
      <c r="AO281" s="86">
        <f t="shared" ref="AO281" si="2152">+AO280/AO279</f>
        <v>0.14137153661551871</v>
      </c>
      <c r="AP281" s="86">
        <f t="shared" ref="AP281" si="2153">+AP280/AP279</f>
        <v>0.12320699708454816</v>
      </c>
      <c r="AQ281" s="86">
        <f t="shared" ref="AQ281" si="2154">+AQ280/AQ279</f>
        <v>0.15176019942846725</v>
      </c>
      <c r="AR281" s="86">
        <f t="shared" ref="AR281" si="2155">+AR280/AR279</f>
        <v>0.17888999667663674</v>
      </c>
      <c r="AS281" s="86">
        <f t="shared" ref="AS281" si="2156">+AS280/AS279</f>
        <v>0.15234761003980912</v>
      </c>
      <c r="AT281" s="86">
        <f t="shared" ref="AT281" si="2157">+AT280/AT279</f>
        <v>0.19492817157887646</v>
      </c>
      <c r="AU281" s="86">
        <f t="shared" ref="AU281" si="2158">+AU280/AU279</f>
        <v>0.18156305595229152</v>
      </c>
      <c r="AV281" s="86">
        <f t="shared" ref="AV281" si="2159">+AV280/AV279</f>
        <v>0.16138513240406044</v>
      </c>
      <c r="AW281" s="86">
        <f t="shared" ref="AW281" si="2160">+AW280/AW279</f>
        <v>0.19156238254558003</v>
      </c>
      <c r="AX281" s="86">
        <f t="shared" ref="AX281" si="2161">+AX280/AX279</f>
        <v>0.22713757745852675</v>
      </c>
      <c r="AY281" s="86">
        <f t="shared" ref="AY281" si="2162">+AY280/AY279</f>
        <v>0.22181394120753392</v>
      </c>
      <c r="AZ281" s="86">
        <f t="shared" ref="AZ281" si="2163">+AZ280/AZ279</f>
        <v>0.23042561472195924</v>
      </c>
      <c r="BA281" s="86">
        <f t="shared" ref="BA281" si="2164">+BA280/BA279</f>
        <v>0.20301298413050708</v>
      </c>
      <c r="BB281" s="86">
        <f t="shared" ref="BB281" si="2165">+BB280/BB279</f>
        <v>0.19766388286277894</v>
      </c>
      <c r="BC281" s="86">
        <f t="shared" ref="BC281" si="2166">+BC280/BC279</f>
        <v>0.2028030049332486</v>
      </c>
      <c r="BD281" s="86">
        <f t="shared" ref="BD281" si="2167">+BD280/BD279</f>
        <v>0.25607380015109954</v>
      </c>
      <c r="BE281" s="86">
        <f t="shared" ref="BE281" si="2168">+BE280/BE279</f>
        <v>0.2310943761795308</v>
      </c>
      <c r="BF281" s="86">
        <f t="shared" ref="BF281" si="2169">+BF280/BF279</f>
        <v>0.18351433595601088</v>
      </c>
      <c r="BG281" s="86">
        <f t="shared" ref="BG281" si="2170">+BG280/BG279</f>
        <v>0.22575965708173179</v>
      </c>
      <c r="BH281" s="86">
        <f t="shared" ref="BH281" si="2171">+BH280/BH279</f>
        <v>0.20704351001428301</v>
      </c>
      <c r="BI281" s="86">
        <f t="shared" ref="BI281" si="2172">+BI280/BI279</f>
        <v>0.17834800304839743</v>
      </c>
      <c r="BJ281" s="86">
        <f t="shared" ref="BJ281" si="2173">+BJ280/BJ279</f>
        <v>0.20894356657150048</v>
      </c>
      <c r="BK281" s="86">
        <f t="shared" ref="BK281" si="2174">+BK280/BK279</f>
        <v>0.16823259798095763</v>
      </c>
      <c r="BL281" s="86">
        <f t="shared" ref="BL281" si="2175">+BL280/BL279</f>
        <v>0.19698749851487107</v>
      </c>
      <c r="BM281" s="86">
        <f t="shared" ref="BM281" si="2176">+BM280/BM279</f>
        <v>0.18828209129068416</v>
      </c>
      <c r="BN281" s="86">
        <f t="shared" ref="BN281" si="2177">+BN280/BN279</f>
        <v>0.21560534362682973</v>
      </c>
      <c r="BO281" s="86">
        <f t="shared" ref="BO281" si="2178">+BO280/BO279</f>
        <v>0.23879144049167833</v>
      </c>
      <c r="BP281" s="86">
        <f t="shared" ref="BP281" si="2179">+BP280/BP279</f>
        <v>0.26099474122209038</v>
      </c>
      <c r="BQ281" s="86">
        <f t="shared" ref="BQ281" si="2180">+BQ280/BQ279</f>
        <v>0.29931884312990437</v>
      </c>
      <c r="BR281" s="86">
        <f t="shared" ref="BR281" si="2181">+BR280/BR279</f>
        <v>0.31138747059420246</v>
      </c>
      <c r="BS281" s="86">
        <f t="shared" ref="BS281" si="2182">+BS280/BS279</f>
        <v>0.31423778681595183</v>
      </c>
      <c r="BT281" s="86">
        <f t="shared" ref="BT281" si="2183">+BT280/BT279</f>
        <v>0.24726619786089124</v>
      </c>
      <c r="BU281" s="86">
        <f t="shared" ref="BU281" si="2184">+BU280/BU279</f>
        <v>0.27470060807760727</v>
      </c>
      <c r="BV281" s="86">
        <f t="shared" ref="BV281" si="2185">+BV280/BV279</f>
        <v>0.25131284551095262</v>
      </c>
      <c r="BW281" s="86">
        <f t="shared" ref="BW281" si="2186">+BW280/BW279</f>
        <v>0.32050727275982888</v>
      </c>
      <c r="BX281" s="86">
        <f t="shared" ref="BX281" si="2187">+BX280/BX279</f>
        <v>0.2758374524745123</v>
      </c>
      <c r="BY281" s="86">
        <f t="shared" ref="BY281" si="2188">+BY280/BY279</f>
        <v>0.2180705455091578</v>
      </c>
      <c r="BZ281" s="86">
        <f t="shared" ref="BZ281" si="2189">+BZ280/BZ279</f>
        <v>0.19756043233381768</v>
      </c>
      <c r="CA281" s="86">
        <f t="shared" ref="CA281" si="2190">+CA280/CA279</f>
        <v>0.21144642884101511</v>
      </c>
      <c r="CB281" s="86">
        <f t="shared" ref="CB281:CC281" si="2191">+CB280/CB279</f>
        <v>0.14133451059535829</v>
      </c>
      <c r="CC281" s="86">
        <f t="shared" si="2191"/>
        <v>0.19354232858059578</v>
      </c>
      <c r="CD281" s="86">
        <f t="shared" ref="CD281" si="2192">+CD280/CD279</f>
        <v>0.23604799764215331</v>
      </c>
      <c r="CE281" s="86">
        <f t="shared" ref="CE281:CF281" si="2193">+CE280/CE279</f>
        <v>0.17178606145353037</v>
      </c>
      <c r="CF281" s="86">
        <f t="shared" si="2193"/>
        <v>0.17495236145905102</v>
      </c>
      <c r="CG281" s="86">
        <f t="shared" ref="CG281:CH281" si="2194">+CG280/CG279</f>
        <v>0.146146171753089</v>
      </c>
      <c r="CH281" s="86">
        <f t="shared" si="2194"/>
        <v>0.1691473316549863</v>
      </c>
      <c r="CI281" s="86">
        <f t="shared" ref="CI281:CJ281" si="2195">+CI280/CI279</f>
        <v>0.15263394364585686</v>
      </c>
      <c r="CJ281" s="86">
        <f t="shared" si="2195"/>
        <v>0.17563837534355989</v>
      </c>
      <c r="CK281" s="86">
        <f t="shared" ref="CK281:DB281" si="2196">+CK280/CK279</f>
        <v>0.17106800160579055</v>
      </c>
      <c r="CL281" s="86">
        <f t="shared" si="2196"/>
        <v>0.23873440294235365</v>
      </c>
      <c r="CM281" s="47">
        <f t="shared" si="2196"/>
        <v>0.2070250743472434</v>
      </c>
      <c r="CN281" s="47">
        <f t="shared" si="2196"/>
        <v>0.20811646355973681</v>
      </c>
      <c r="CO281" s="47">
        <f t="shared" si="2196"/>
        <v>0.20623598561378115</v>
      </c>
      <c r="CP281" s="47">
        <f t="shared" si="2196"/>
        <v>0.21502798161577874</v>
      </c>
      <c r="CQ281" s="47">
        <f t="shared" si="2196"/>
        <v>0.21910137628413506</v>
      </c>
      <c r="CR281" s="47">
        <f t="shared" si="2196"/>
        <v>0.21212045176835795</v>
      </c>
      <c r="CS281" s="47">
        <f t="shared" si="2196"/>
        <v>0.21312144882051323</v>
      </c>
      <c r="CT281" s="47">
        <f t="shared" si="2196"/>
        <v>0.21484281462219626</v>
      </c>
      <c r="CU281" s="47">
        <f t="shared" si="2196"/>
        <v>0.21479652287380063</v>
      </c>
      <c r="CV281" s="47">
        <f t="shared" si="2196"/>
        <v>0.21372030952121704</v>
      </c>
      <c r="CW281" s="47">
        <f t="shared" si="2196"/>
        <v>0.21412027395943178</v>
      </c>
      <c r="CX281" s="47">
        <f t="shared" si="2196"/>
        <v>0.21436998024416148</v>
      </c>
      <c r="CY281" s="47">
        <f t="shared" si="2196"/>
        <v>0.2142517716496527</v>
      </c>
      <c r="CZ281" s="47">
        <f t="shared" si="2196"/>
        <v>0.21411558384361576</v>
      </c>
      <c r="DA281" s="47">
        <f t="shared" si="2196"/>
        <v>0.21421440242421547</v>
      </c>
      <c r="DB281" s="47">
        <f t="shared" si="2196"/>
        <v>0.21423793454041137</v>
      </c>
      <c r="DE281" s="130"/>
      <c r="DF281" s="89">
        <v>0.1771219130625484</v>
      </c>
    </row>
    <row r="282" spans="1:110" s="64" customFormat="1" hidden="1" outlineLevel="1" x14ac:dyDescent="0.2">
      <c r="A282" s="64" t="s">
        <v>477</v>
      </c>
      <c r="B282" s="64">
        <f t="shared" ref="B282:Z282" si="2197">B90-B288</f>
        <v>1.0885460999999976</v>
      </c>
      <c r="C282" s="64">
        <f t="shared" si="2197"/>
        <v>3.7942286999999997</v>
      </c>
      <c r="D282" s="64">
        <f t="shared" si="2197"/>
        <v>4.1168079000000057</v>
      </c>
      <c r="E282" s="64">
        <f t="shared" si="2197"/>
        <v>7.1149209999999918</v>
      </c>
      <c r="F282" s="64">
        <f t="shared" si="2197"/>
        <v>4.5831009000000069</v>
      </c>
      <c r="G282" s="64">
        <f t="shared" si="2197"/>
        <v>8.7849693999999872</v>
      </c>
      <c r="H282" s="64">
        <f t="shared" si="2197"/>
        <v>10.036994099999998</v>
      </c>
      <c r="I282" s="64">
        <f t="shared" si="2197"/>
        <v>12.990171700000015</v>
      </c>
      <c r="J282" s="64">
        <f t="shared" si="2197"/>
        <v>15.062612500000009</v>
      </c>
      <c r="K282" s="64">
        <f t="shared" si="2197"/>
        <v>20.41697900000004</v>
      </c>
      <c r="L282" s="64">
        <f t="shared" si="2197"/>
        <v>26.589441200000017</v>
      </c>
      <c r="M282" s="64">
        <f t="shared" si="2197"/>
        <v>34.849514900000081</v>
      </c>
      <c r="N282" s="64">
        <f t="shared" si="2197"/>
        <v>31.050014599999962</v>
      </c>
      <c r="O282" s="64">
        <f t="shared" si="2197"/>
        <v>33.507600000000025</v>
      </c>
      <c r="P282" s="64">
        <f t="shared" si="2197"/>
        <v>33.197325599999985</v>
      </c>
      <c r="Q282" s="64">
        <f t="shared" si="2197"/>
        <v>57.613420699999978</v>
      </c>
      <c r="R282" s="64">
        <f t="shared" si="2197"/>
        <v>81.630968900000056</v>
      </c>
      <c r="S282" s="64">
        <f t="shared" si="2197"/>
        <v>112.58186279999991</v>
      </c>
      <c r="T282" s="64">
        <f t="shared" si="2197"/>
        <v>117.08852729999995</v>
      </c>
      <c r="U282" s="64">
        <f t="shared" si="2197"/>
        <v>97.470270200000016</v>
      </c>
      <c r="V282" s="64">
        <f t="shared" si="2197"/>
        <v>243.49559999999997</v>
      </c>
      <c r="W282" s="64">
        <f t="shared" si="2197"/>
        <v>417.90069999999997</v>
      </c>
      <c r="X282" s="64">
        <f t="shared" si="2197"/>
        <v>405.68300000000033</v>
      </c>
      <c r="Y282" s="64">
        <f t="shared" si="2197"/>
        <v>232.30300000000011</v>
      </c>
      <c r="Z282" s="64">
        <f t="shared" si="2197"/>
        <v>158.59139999999991</v>
      </c>
      <c r="AA282" s="64">
        <f t="shared" ref="AA282" si="2198">AA90-AA288</f>
        <v>165.52830000000029</v>
      </c>
      <c r="AB282" s="30"/>
      <c r="AC282" s="30"/>
      <c r="AD282" s="30"/>
      <c r="AE282" s="30"/>
      <c r="AI282" s="64">
        <f t="shared" ref="AI282:BN282" si="2199">AI90-AI288</f>
        <v>9.3669999999999902</v>
      </c>
      <c r="AJ282" s="64">
        <f t="shared" si="2199"/>
        <v>8.8910000000000018</v>
      </c>
      <c r="AK282" s="64">
        <f t="shared" si="2199"/>
        <v>7.0749999999999922</v>
      </c>
      <c r="AL282" s="64">
        <f t="shared" si="2199"/>
        <v>5.6999999999999922</v>
      </c>
      <c r="AM282" s="64">
        <f t="shared" si="2199"/>
        <v>8.5100000000000016</v>
      </c>
      <c r="AN282" s="64">
        <f t="shared" si="2199"/>
        <v>11.735000000000017</v>
      </c>
      <c r="AO282" s="64">
        <f t="shared" si="2199"/>
        <v>4.1999999999999762</v>
      </c>
      <c r="AP282" s="64">
        <f t="shared" si="2199"/>
        <v>9.0900000000000087</v>
      </c>
      <c r="AQ282" s="64">
        <f t="shared" si="2199"/>
        <v>9.3100000000000112</v>
      </c>
      <c r="AR282" s="64">
        <f t="shared" si="2199"/>
        <v>9.0879999999999939</v>
      </c>
      <c r="AS282" s="64">
        <f t="shared" si="2199"/>
        <v>6.1929999999999961</v>
      </c>
      <c r="AT282" s="64">
        <f t="shared" si="2199"/>
        <v>11.76900000000002</v>
      </c>
      <c r="AU282" s="64">
        <f t="shared" si="2199"/>
        <v>12.81600000000001</v>
      </c>
      <c r="AV282" s="64">
        <f t="shared" si="2199"/>
        <v>11.813999999999993</v>
      </c>
      <c r="AW282" s="64">
        <f t="shared" si="2199"/>
        <v>13.306000000000003</v>
      </c>
      <c r="AX282" s="64">
        <f t="shared" si="2199"/>
        <v>23.336000000000013</v>
      </c>
      <c r="AY282" s="64">
        <f t="shared" si="2199"/>
        <v>24.714000000000006</v>
      </c>
      <c r="AZ282" s="64">
        <f t="shared" si="2199"/>
        <v>21.730000000000004</v>
      </c>
      <c r="BA282" s="64">
        <f t="shared" si="2199"/>
        <v>19.391999999999992</v>
      </c>
      <c r="BB282" s="64">
        <f t="shared" si="2199"/>
        <v>17.151999999999983</v>
      </c>
      <c r="BC282" s="64">
        <f t="shared" si="2199"/>
        <v>22.754999999999988</v>
      </c>
      <c r="BD282" s="64">
        <f t="shared" si="2199"/>
        <v>29.163000000000029</v>
      </c>
      <c r="BE282" s="64">
        <f t="shared" si="2199"/>
        <v>27.486999999999984</v>
      </c>
      <c r="BF282" s="64">
        <f t="shared" si="2199"/>
        <v>33.175999999999938</v>
      </c>
      <c r="BG282" s="64">
        <f t="shared" si="2199"/>
        <v>33.824000000000026</v>
      </c>
      <c r="BH282" s="64">
        <f t="shared" si="2199"/>
        <v>30.981000000000005</v>
      </c>
      <c r="BI282" s="64">
        <f t="shared" si="2199"/>
        <v>26.271999999999981</v>
      </c>
      <c r="BJ282" s="64">
        <f t="shared" si="2199"/>
        <v>26.009000000000015</v>
      </c>
      <c r="BK282" s="64">
        <f t="shared" si="2199"/>
        <v>18.480999999999995</v>
      </c>
      <c r="BL282" s="64">
        <f t="shared" si="2199"/>
        <v>28.741999999999994</v>
      </c>
      <c r="BM282" s="64">
        <f t="shared" si="2199"/>
        <v>20.689000000000004</v>
      </c>
      <c r="BN282" s="64">
        <f t="shared" si="2199"/>
        <v>29.557999999999993</v>
      </c>
      <c r="BO282" s="64">
        <f t="shared" ref="BO282:CT282" si="2200">BO90-BO288</f>
        <v>31.58100000000001</v>
      </c>
      <c r="BP282" s="64">
        <f t="shared" si="2200"/>
        <v>44.203000000000003</v>
      </c>
      <c r="BQ282" s="64">
        <f t="shared" si="2200"/>
        <v>78.904000000000011</v>
      </c>
      <c r="BR282" s="64">
        <f t="shared" si="2200"/>
        <v>88.808000000000007</v>
      </c>
      <c r="BS282" s="64">
        <f t="shared" si="2200"/>
        <v>97.395999999999972</v>
      </c>
      <c r="BT282" s="64">
        <f t="shared" si="2200"/>
        <v>88.064999999999912</v>
      </c>
      <c r="BU282" s="64">
        <f t="shared" si="2200"/>
        <v>101.58999999999996</v>
      </c>
      <c r="BV282" s="64">
        <f t="shared" si="2200"/>
        <v>130.84700000000004</v>
      </c>
      <c r="BW282" s="64">
        <f t="shared" si="2200"/>
        <v>148.03900000000004</v>
      </c>
      <c r="BX282" s="64">
        <f t="shared" si="2200"/>
        <v>118.63900000000001</v>
      </c>
      <c r="BY282" s="64">
        <f t="shared" si="2200"/>
        <v>83.790999999999997</v>
      </c>
      <c r="BZ282" s="64">
        <f t="shared" si="2200"/>
        <v>55.212999999999965</v>
      </c>
      <c r="CA282" s="64">
        <f t="shared" si="2200"/>
        <v>67.678000000000011</v>
      </c>
      <c r="CB282" s="64">
        <f t="shared" si="2200"/>
        <v>36.366000000000014</v>
      </c>
      <c r="CC282" s="64">
        <f t="shared" si="2200"/>
        <v>55.773000000000046</v>
      </c>
      <c r="CD282" s="64">
        <f t="shared" si="2200"/>
        <v>72.482000000000014</v>
      </c>
      <c r="CE282" s="64">
        <f t="shared" si="2200"/>
        <v>45.558999999999997</v>
      </c>
      <c r="CF282" s="64">
        <f t="shared" si="2200"/>
        <v>41.453999999999986</v>
      </c>
      <c r="CG282" s="64">
        <f t="shared" si="2200"/>
        <v>31.137000000000029</v>
      </c>
      <c r="CH282" s="64">
        <f t="shared" si="2200"/>
        <v>40.440000000000019</v>
      </c>
      <c r="CI282" s="64">
        <f t="shared" si="2200"/>
        <v>36.527999999999992</v>
      </c>
      <c r="CJ282" s="64">
        <f t="shared" si="2200"/>
        <v>37.102000000000004</v>
      </c>
      <c r="CK282" s="64">
        <f t="shared" si="2200"/>
        <v>30.75800000000001</v>
      </c>
      <c r="CL282" s="64">
        <f t="shared" si="2200"/>
        <v>64.768000000000015</v>
      </c>
      <c r="CM282" s="30">
        <f t="shared" si="2200"/>
        <v>63.436958629082717</v>
      </c>
      <c r="CN282" s="30">
        <f t="shared" si="2200"/>
        <v>67.853011135433221</v>
      </c>
      <c r="CO282" s="30">
        <f t="shared" si="2200"/>
        <v>60.578965479230988</v>
      </c>
      <c r="CP282" s="30">
        <f t="shared" si="2200"/>
        <v>69.78195980909156</v>
      </c>
      <c r="CQ282" s="30">
        <f t="shared" si="2200"/>
        <v>91.748634732429764</v>
      </c>
      <c r="CR282" s="30">
        <f t="shared" si="2200"/>
        <v>86.960917499311009</v>
      </c>
      <c r="CS282" s="30">
        <f t="shared" si="2200"/>
        <v>82.319254340675414</v>
      </c>
      <c r="CT282" s="30">
        <f t="shared" si="2200"/>
        <v>105.80843712608726</v>
      </c>
      <c r="CU282" s="30">
        <f t="shared" ref="CU282:DB282" si="2201">CU90-CU288</f>
        <v>122.06781065689046</v>
      </c>
      <c r="CV282" s="30">
        <f t="shared" si="2201"/>
        <v>124.98567542752875</v>
      </c>
      <c r="CW282" s="30">
        <f t="shared" si="2201"/>
        <v>121.08244967156926</v>
      </c>
      <c r="CX282" s="30">
        <f t="shared" si="2201"/>
        <v>156.26200729839738</v>
      </c>
      <c r="CY282" s="30">
        <f t="shared" si="2201"/>
        <v>183.21272337070573</v>
      </c>
      <c r="CZ282" s="30">
        <f t="shared" si="2201"/>
        <v>188.2841713239294</v>
      </c>
      <c r="DA282" s="30">
        <f t="shared" si="2201"/>
        <v>182.27107260197789</v>
      </c>
      <c r="DB282" s="30">
        <f t="shared" si="2201"/>
        <v>231.90454795340787</v>
      </c>
      <c r="DE282" s="139"/>
      <c r="DF282" s="64">
        <v>49.704630503937921</v>
      </c>
    </row>
    <row r="283" spans="1:110" s="64" customFormat="1" hidden="1" outlineLevel="1" x14ac:dyDescent="0.2">
      <c r="AB283" s="30"/>
      <c r="AC283" s="30"/>
      <c r="AD283" s="30"/>
      <c r="AE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10" s="64" customFormat="1" hidden="1" outlineLevel="1" x14ac:dyDescent="0.2">
      <c r="A284" s="65" t="s">
        <v>352</v>
      </c>
      <c r="AB284" s="30"/>
      <c r="AC284" s="30"/>
      <c r="AD284" s="30"/>
      <c r="AE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0" s="64" customFormat="1" hidden="1" outlineLevel="1" x14ac:dyDescent="0.2">
      <c r="A285" s="64" t="s">
        <v>478</v>
      </c>
      <c r="AB285" s="30"/>
      <c r="AC285" s="30"/>
      <c r="AD285" s="30"/>
      <c r="AE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E285" s="139"/>
    </row>
    <row r="286" spans="1:110" s="64" customFormat="1" hidden="1" outlineLevel="1" x14ac:dyDescent="0.2">
      <c r="A286" s="64" t="s">
        <v>479</v>
      </c>
      <c r="AB286" s="30"/>
      <c r="AC286" s="30"/>
      <c r="AD286" s="30"/>
      <c r="AE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0" s="89" customFormat="1" hidden="1" outlineLevel="1" x14ac:dyDescent="0.2">
      <c r="A287" s="86" t="s">
        <v>480</v>
      </c>
      <c r="B287" s="86" t="e">
        <f>+B286/B285</f>
        <v>#DIV/0!</v>
      </c>
      <c r="C287" s="86" t="e">
        <f t="shared" ref="C287:X287" si="2202">+C286/C285</f>
        <v>#DIV/0!</v>
      </c>
      <c r="D287" s="86" t="e">
        <f t="shared" si="2202"/>
        <v>#DIV/0!</v>
      </c>
      <c r="E287" s="86" t="e">
        <f t="shared" si="2202"/>
        <v>#DIV/0!</v>
      </c>
      <c r="F287" s="86" t="e">
        <f t="shared" si="2202"/>
        <v>#DIV/0!</v>
      </c>
      <c r="G287" s="86" t="e">
        <f t="shared" si="2202"/>
        <v>#DIV/0!</v>
      </c>
      <c r="H287" s="86" t="e">
        <f t="shared" si="2202"/>
        <v>#DIV/0!</v>
      </c>
      <c r="I287" s="86" t="e">
        <f t="shared" si="2202"/>
        <v>#DIV/0!</v>
      </c>
      <c r="J287" s="86" t="e">
        <f t="shared" si="2202"/>
        <v>#DIV/0!</v>
      </c>
      <c r="K287" s="86" t="e">
        <f t="shared" si="2202"/>
        <v>#DIV/0!</v>
      </c>
      <c r="L287" s="86" t="e">
        <f t="shared" si="2202"/>
        <v>#DIV/0!</v>
      </c>
      <c r="M287" s="86" t="e">
        <f t="shared" si="2202"/>
        <v>#DIV/0!</v>
      </c>
      <c r="N287" s="86" t="e">
        <f t="shared" si="2202"/>
        <v>#DIV/0!</v>
      </c>
      <c r="O287" s="86" t="e">
        <f t="shared" si="2202"/>
        <v>#DIV/0!</v>
      </c>
      <c r="P287" s="86" t="e">
        <f t="shared" si="2202"/>
        <v>#DIV/0!</v>
      </c>
      <c r="Q287" s="86" t="e">
        <f t="shared" si="2202"/>
        <v>#DIV/0!</v>
      </c>
      <c r="R287" s="86" t="e">
        <f t="shared" si="2202"/>
        <v>#DIV/0!</v>
      </c>
      <c r="S287" s="86" t="e">
        <f t="shared" si="2202"/>
        <v>#DIV/0!</v>
      </c>
      <c r="T287" s="86" t="e">
        <f t="shared" si="2202"/>
        <v>#DIV/0!</v>
      </c>
      <c r="U287" s="86" t="e">
        <f t="shared" si="2202"/>
        <v>#DIV/0!</v>
      </c>
      <c r="V287" s="86" t="e">
        <f t="shared" si="2202"/>
        <v>#DIV/0!</v>
      </c>
      <c r="W287" s="86" t="e">
        <f t="shared" si="2202"/>
        <v>#DIV/0!</v>
      </c>
      <c r="X287" s="86" t="e">
        <f t="shared" si="2202"/>
        <v>#DIV/0!</v>
      </c>
      <c r="Y287" s="86" t="e">
        <f t="shared" ref="Y287:Z287" si="2203">+Y286/Y285</f>
        <v>#DIV/0!</v>
      </c>
      <c r="Z287" s="86" t="e">
        <f t="shared" si="2203"/>
        <v>#DIV/0!</v>
      </c>
      <c r="AA287" s="86" t="e">
        <f t="shared" ref="AA287" si="2204">+AA286/AA285</f>
        <v>#DIV/0!</v>
      </c>
      <c r="AB287" s="87"/>
      <c r="AC287" s="87"/>
      <c r="AD287" s="87"/>
      <c r="AE287" s="87"/>
      <c r="AF287" s="86"/>
      <c r="AG287" s="86"/>
      <c r="AH287" s="86"/>
      <c r="AI287" s="86" t="e">
        <f t="shared" ref="AI287" si="2205">+AI286/AI285</f>
        <v>#DIV/0!</v>
      </c>
      <c r="AJ287" s="86" t="e">
        <f t="shared" ref="AJ287" si="2206">+AJ286/AJ285</f>
        <v>#DIV/0!</v>
      </c>
      <c r="AK287" s="86" t="e">
        <f t="shared" ref="AK287" si="2207">+AK286/AK285</f>
        <v>#DIV/0!</v>
      </c>
      <c r="AL287" s="86" t="e">
        <f t="shared" ref="AL287" si="2208">+AL286/AL285</f>
        <v>#DIV/0!</v>
      </c>
      <c r="AM287" s="86" t="e">
        <f t="shared" ref="AM287" si="2209">+AM286/AM285</f>
        <v>#DIV/0!</v>
      </c>
      <c r="AN287" s="86" t="e">
        <f t="shared" ref="AN287" si="2210">+AN286/AN285</f>
        <v>#DIV/0!</v>
      </c>
      <c r="AO287" s="86" t="e">
        <f t="shared" ref="AO287" si="2211">+AO286/AO285</f>
        <v>#DIV/0!</v>
      </c>
      <c r="AP287" s="86" t="e">
        <f t="shared" ref="AP287" si="2212">+AP286/AP285</f>
        <v>#DIV/0!</v>
      </c>
      <c r="AQ287" s="86" t="e">
        <f t="shared" ref="AQ287" si="2213">+AQ286/AQ285</f>
        <v>#DIV/0!</v>
      </c>
      <c r="AR287" s="86" t="e">
        <f t="shared" ref="AR287" si="2214">+AR286/AR285</f>
        <v>#DIV/0!</v>
      </c>
      <c r="AS287" s="86" t="e">
        <f t="shared" ref="AS287" si="2215">+AS286/AS285</f>
        <v>#DIV/0!</v>
      </c>
      <c r="AT287" s="86" t="e">
        <f t="shared" ref="AT287" si="2216">+AT286/AT285</f>
        <v>#DIV/0!</v>
      </c>
      <c r="AU287" s="86" t="e">
        <f t="shared" ref="AU287" si="2217">+AU286/AU285</f>
        <v>#DIV/0!</v>
      </c>
      <c r="AV287" s="86" t="e">
        <f t="shared" ref="AV287" si="2218">+AV286/AV285</f>
        <v>#DIV/0!</v>
      </c>
      <c r="AW287" s="86" t="e">
        <f t="shared" ref="AW287" si="2219">+AW286/AW285</f>
        <v>#DIV/0!</v>
      </c>
      <c r="AX287" s="86" t="e">
        <f t="shared" ref="AX287" si="2220">+AX286/AX285</f>
        <v>#DIV/0!</v>
      </c>
      <c r="AY287" s="86" t="e">
        <f t="shared" ref="AY287" si="2221">+AY286/AY285</f>
        <v>#DIV/0!</v>
      </c>
      <c r="AZ287" s="86" t="e">
        <f t="shared" ref="AZ287" si="2222">+AZ286/AZ285</f>
        <v>#DIV/0!</v>
      </c>
      <c r="BA287" s="86" t="e">
        <f t="shared" ref="BA287" si="2223">+BA286/BA285</f>
        <v>#DIV/0!</v>
      </c>
      <c r="BB287" s="86" t="e">
        <f t="shared" ref="BB287" si="2224">+BB286/BB285</f>
        <v>#DIV/0!</v>
      </c>
      <c r="BC287" s="86" t="e">
        <f t="shared" ref="BC287" si="2225">+BC286/BC285</f>
        <v>#DIV/0!</v>
      </c>
      <c r="BD287" s="86" t="e">
        <f t="shared" ref="BD287" si="2226">+BD286/BD285</f>
        <v>#DIV/0!</v>
      </c>
      <c r="BE287" s="86" t="e">
        <f t="shared" ref="BE287" si="2227">+BE286/BE285</f>
        <v>#DIV/0!</v>
      </c>
      <c r="BF287" s="86" t="e">
        <f t="shared" ref="BF287" si="2228">+BF286/BF285</f>
        <v>#DIV/0!</v>
      </c>
      <c r="BG287" s="86" t="e">
        <f t="shared" ref="BG287" si="2229">+BG286/BG285</f>
        <v>#DIV/0!</v>
      </c>
      <c r="BH287" s="86" t="e">
        <f t="shared" ref="BH287" si="2230">+BH286/BH285</f>
        <v>#DIV/0!</v>
      </c>
      <c r="BI287" s="86" t="e">
        <f t="shared" ref="BI287" si="2231">+BI286/BI285</f>
        <v>#DIV/0!</v>
      </c>
      <c r="BJ287" s="86" t="e">
        <f t="shared" ref="BJ287" si="2232">+BJ286/BJ285</f>
        <v>#DIV/0!</v>
      </c>
      <c r="BK287" s="86" t="e">
        <f t="shared" ref="BK287" si="2233">+BK286/BK285</f>
        <v>#DIV/0!</v>
      </c>
      <c r="BL287" s="86" t="e">
        <f t="shared" ref="BL287" si="2234">+BL286/BL285</f>
        <v>#DIV/0!</v>
      </c>
      <c r="BM287" s="86" t="e">
        <f t="shared" ref="BM287" si="2235">+BM286/BM285</f>
        <v>#DIV/0!</v>
      </c>
      <c r="BN287" s="86" t="e">
        <f t="shared" ref="BN287" si="2236">+BN286/BN285</f>
        <v>#DIV/0!</v>
      </c>
      <c r="BO287" s="86" t="e">
        <f t="shared" ref="BO287" si="2237">+BO286/BO285</f>
        <v>#DIV/0!</v>
      </c>
      <c r="BP287" s="86" t="e">
        <f t="shared" ref="BP287" si="2238">+BP286/BP285</f>
        <v>#DIV/0!</v>
      </c>
      <c r="BQ287" s="86" t="e">
        <f t="shared" ref="BQ287" si="2239">+BQ286/BQ285</f>
        <v>#DIV/0!</v>
      </c>
      <c r="BR287" s="86" t="e">
        <f t="shared" ref="BR287" si="2240">+BR286/BR285</f>
        <v>#DIV/0!</v>
      </c>
      <c r="BS287" s="86" t="e">
        <f t="shared" ref="BS287" si="2241">+BS286/BS285</f>
        <v>#DIV/0!</v>
      </c>
      <c r="BT287" s="86" t="e">
        <f t="shared" ref="BT287" si="2242">+BT286/BT285</f>
        <v>#DIV/0!</v>
      </c>
      <c r="BU287" s="86" t="e">
        <f t="shared" ref="BU287" si="2243">+BU286/BU285</f>
        <v>#DIV/0!</v>
      </c>
      <c r="BV287" s="86" t="e">
        <f t="shared" ref="BV287" si="2244">+BV286/BV285</f>
        <v>#DIV/0!</v>
      </c>
      <c r="BW287" s="86" t="e">
        <f t="shared" ref="BW287" si="2245">+BW286/BW285</f>
        <v>#DIV/0!</v>
      </c>
      <c r="BX287" s="86" t="e">
        <f t="shared" ref="BX287" si="2246">+BX286/BX285</f>
        <v>#DIV/0!</v>
      </c>
      <c r="BY287" s="86" t="e">
        <f t="shared" ref="BY287" si="2247">+BY286/BY285</f>
        <v>#DIV/0!</v>
      </c>
      <c r="BZ287" s="86" t="e">
        <f t="shared" ref="BZ287" si="2248">+BZ286/BZ285</f>
        <v>#DIV/0!</v>
      </c>
      <c r="CA287" s="86" t="e">
        <f t="shared" ref="CA287" si="2249">+CA286/CA285</f>
        <v>#DIV/0!</v>
      </c>
      <c r="CB287" s="86" t="e">
        <f t="shared" ref="CB287:CC287" si="2250">+CB286/CB285</f>
        <v>#DIV/0!</v>
      </c>
      <c r="CC287" s="86" t="e">
        <f t="shared" si="2250"/>
        <v>#DIV/0!</v>
      </c>
      <c r="CD287" s="86" t="e">
        <f t="shared" ref="CD287" si="2251">+CD286/CD285</f>
        <v>#DIV/0!</v>
      </c>
      <c r="CE287" s="86" t="e">
        <f t="shared" ref="CE287:CF287" si="2252">+CE286/CE285</f>
        <v>#DIV/0!</v>
      </c>
      <c r="CF287" s="86" t="e">
        <f t="shared" si="2252"/>
        <v>#DIV/0!</v>
      </c>
      <c r="CG287" s="86" t="e">
        <f t="shared" ref="CG287:CH287" si="2253">+CG286/CG285</f>
        <v>#DIV/0!</v>
      </c>
      <c r="CH287" s="86" t="e">
        <f t="shared" si="2253"/>
        <v>#DIV/0!</v>
      </c>
      <c r="CI287" s="86" t="e">
        <f t="shared" ref="CI287:CJ287" si="2254">+CI286/CI285</f>
        <v>#DIV/0!</v>
      </c>
      <c r="CJ287" s="86" t="e">
        <f t="shared" si="2254"/>
        <v>#DIV/0!</v>
      </c>
      <c r="CK287" s="86" t="e">
        <f t="shared" ref="CK287:DB287" si="2255">+CK286/CK285</f>
        <v>#DIV/0!</v>
      </c>
      <c r="CL287" s="86" t="e">
        <f t="shared" si="2255"/>
        <v>#DIV/0!</v>
      </c>
      <c r="CM287" s="47" t="e">
        <f t="shared" si="2255"/>
        <v>#DIV/0!</v>
      </c>
      <c r="CN287" s="47" t="e">
        <f t="shared" si="2255"/>
        <v>#DIV/0!</v>
      </c>
      <c r="CO287" s="47" t="e">
        <f t="shared" si="2255"/>
        <v>#DIV/0!</v>
      </c>
      <c r="CP287" s="47" t="e">
        <f t="shared" si="2255"/>
        <v>#DIV/0!</v>
      </c>
      <c r="CQ287" s="47" t="e">
        <f t="shared" si="2255"/>
        <v>#DIV/0!</v>
      </c>
      <c r="CR287" s="47" t="e">
        <f t="shared" si="2255"/>
        <v>#DIV/0!</v>
      </c>
      <c r="CS287" s="47" t="e">
        <f t="shared" si="2255"/>
        <v>#DIV/0!</v>
      </c>
      <c r="CT287" s="47" t="e">
        <f t="shared" si="2255"/>
        <v>#DIV/0!</v>
      </c>
      <c r="CU287" s="47" t="e">
        <f t="shared" si="2255"/>
        <v>#DIV/0!</v>
      </c>
      <c r="CV287" s="47" t="e">
        <f t="shared" si="2255"/>
        <v>#DIV/0!</v>
      </c>
      <c r="CW287" s="47" t="e">
        <f t="shared" si="2255"/>
        <v>#DIV/0!</v>
      </c>
      <c r="CX287" s="47" t="e">
        <f t="shared" si="2255"/>
        <v>#DIV/0!</v>
      </c>
      <c r="CY287" s="47" t="e">
        <f t="shared" si="2255"/>
        <v>#DIV/0!</v>
      </c>
      <c r="CZ287" s="47" t="e">
        <f t="shared" si="2255"/>
        <v>#DIV/0!</v>
      </c>
      <c r="DA287" s="47" t="e">
        <f t="shared" si="2255"/>
        <v>#DIV/0!</v>
      </c>
      <c r="DB287" s="47" t="e">
        <f t="shared" si="2255"/>
        <v>#DIV/0!</v>
      </c>
      <c r="DE287" s="130"/>
    </row>
    <row r="288" spans="1:110" s="64" customFormat="1" hidden="1" outlineLevel="1" x14ac:dyDescent="0.2">
      <c r="A288" s="64" t="s">
        <v>481</v>
      </c>
      <c r="AB288" s="30"/>
      <c r="AC288" s="30"/>
      <c r="AD288" s="30"/>
      <c r="AE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</row>
    <row r="289" spans="1:110" s="62" customFormat="1" hidden="1" outlineLevel="1" x14ac:dyDescent="0.2">
      <c r="AB289" s="63"/>
      <c r="AC289" s="63"/>
      <c r="AD289" s="63"/>
      <c r="AE289" s="63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</row>
    <row r="290" spans="1:110" s="11" customFormat="1" collapsed="1" x14ac:dyDescent="0.2">
      <c r="AB290" s="63"/>
      <c r="AC290" s="63"/>
      <c r="AD290" s="63"/>
      <c r="AE290" s="63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9"/>
    </row>
    <row r="291" spans="1:110" s="62" customFormat="1" x14ac:dyDescent="0.2">
      <c r="A291" s="154" t="s">
        <v>497</v>
      </c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63"/>
      <c r="AC291" s="63"/>
      <c r="AD291" s="63"/>
      <c r="AE291" s="63"/>
      <c r="AL291" s="179"/>
      <c r="CF291" s="179"/>
      <c r="CG291" s="179"/>
      <c r="CH291" s="179"/>
      <c r="CI291" s="179"/>
      <c r="CJ291" s="179"/>
      <c r="CK291" s="179"/>
      <c r="CL291" s="179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0" s="84" customFormat="1" x14ac:dyDescent="0.2">
      <c r="A292" s="84" t="s">
        <v>512</v>
      </c>
      <c r="B292" s="84">
        <f>B57/B213</f>
        <v>1.0641663861466601</v>
      </c>
      <c r="C292" s="84">
        <f>C57/C213</f>
        <v>1.5826289278394332</v>
      </c>
      <c r="D292" s="84">
        <f>D57/D213</f>
        <v>1.2656121444684516</v>
      </c>
      <c r="E292" s="84">
        <f t="shared" ref="E292:AE292" si="2256">E59/(E209+E196+E187)</f>
        <v>0.93947450180712044</v>
      </c>
      <c r="F292" s="84">
        <f t="shared" si="2256"/>
        <v>0.94084752395506466</v>
      </c>
      <c r="G292" s="84">
        <f t="shared" si="2256"/>
        <v>1.1103284280786756</v>
      </c>
      <c r="H292" s="84">
        <f t="shared" si="2256"/>
        <v>1.1925300216190629</v>
      </c>
      <c r="I292" s="84">
        <f t="shared" si="2256"/>
        <v>1.1448150125660965</v>
      </c>
      <c r="J292" s="84">
        <f t="shared" si="2256"/>
        <v>1.150731019854262</v>
      </c>
      <c r="K292" s="84">
        <f t="shared" si="2256"/>
        <v>1.0451041212396786</v>
      </c>
      <c r="L292" s="84">
        <f t="shared" si="2256"/>
        <v>0.95982330517706504</v>
      </c>
      <c r="M292" s="84">
        <f t="shared" si="2256"/>
        <v>0.97374726364122921</v>
      </c>
      <c r="N292" s="84">
        <f t="shared" si="2256"/>
        <v>0.98548545474627369</v>
      </c>
      <c r="O292" s="84">
        <f t="shared" si="2256"/>
        <v>0.98372371018597893</v>
      </c>
      <c r="P292" s="84">
        <f t="shared" si="2256"/>
        <v>0.99396364829972061</v>
      </c>
      <c r="Q292" s="84">
        <f t="shared" si="2256"/>
        <v>1.0635404443100771</v>
      </c>
      <c r="R292" s="84">
        <f t="shared" si="2256"/>
        <v>1.0558562213303524</v>
      </c>
      <c r="S292" s="84">
        <f t="shared" si="2256"/>
        <v>1.0164363744420728</v>
      </c>
      <c r="T292" s="84">
        <f t="shared" si="2256"/>
        <v>0.90213795001059094</v>
      </c>
      <c r="U292" s="84">
        <f t="shared" si="2256"/>
        <v>0.84101670380259297</v>
      </c>
      <c r="V292" s="84">
        <f t="shared" si="2256"/>
        <v>1.0011084707439601</v>
      </c>
      <c r="W292" s="84">
        <f t="shared" si="2256"/>
        <v>1.3309673053242448</v>
      </c>
      <c r="X292" s="84">
        <f t="shared" si="2256"/>
        <v>1.2000140411177529</v>
      </c>
      <c r="Y292" s="84">
        <f t="shared" si="2256"/>
        <v>0.76486338175783375</v>
      </c>
      <c r="Z292" s="84">
        <f t="shared" si="2256"/>
        <v>0.62035895077484893</v>
      </c>
      <c r="AA292" s="84">
        <f t="shared" ref="AA292" si="2257">AA59/(AA209+AA196+AA187)</f>
        <v>0.65973710424614374</v>
      </c>
      <c r="AB292" s="50">
        <f t="shared" si="2256"/>
        <v>0.5926320433402209</v>
      </c>
      <c r="AC292" s="50">
        <f t="shared" si="2256"/>
        <v>0.72364207179865303</v>
      </c>
      <c r="AD292" s="50">
        <f t="shared" si="2256"/>
        <v>0.84395045474455255</v>
      </c>
      <c r="AE292" s="50">
        <f t="shared" si="2256"/>
        <v>0.95428310303821329</v>
      </c>
      <c r="AL292" s="84">
        <f t="shared" ref="AL292:BQ292" si="2258">SUM(AI59:AL59)/(AL209+AL196+AL187)</f>
        <v>0.9847286972349264</v>
      </c>
      <c r="AM292" s="84">
        <f t="shared" si="2258"/>
        <v>0.97620815588380816</v>
      </c>
      <c r="AN292" s="84">
        <f t="shared" si="2258"/>
        <v>0.9257907256070278</v>
      </c>
      <c r="AO292" s="84">
        <f t="shared" si="2258"/>
        <v>0.99121582575881573</v>
      </c>
      <c r="AP292" s="84">
        <f t="shared" si="2258"/>
        <v>0.98305620005155969</v>
      </c>
      <c r="AQ292" s="84">
        <f t="shared" si="2258"/>
        <v>1.0129457273884634</v>
      </c>
      <c r="AR292" s="84">
        <f t="shared" si="2258"/>
        <v>1.0308292167132025</v>
      </c>
      <c r="AS292" s="84">
        <f t="shared" si="2258"/>
        <v>1.0337595247310498</v>
      </c>
      <c r="AT292" s="84">
        <f t="shared" si="2258"/>
        <v>0.97162078154892983</v>
      </c>
      <c r="AU292" s="84">
        <f t="shared" si="2258"/>
        <v>0.93902582820457692</v>
      </c>
      <c r="AV292" s="84">
        <f t="shared" si="2258"/>
        <v>1.0867097211001042</v>
      </c>
      <c r="AW292" s="84">
        <f t="shared" si="2258"/>
        <v>1.1018730360160109</v>
      </c>
      <c r="AX292" s="84">
        <f t="shared" si="2258"/>
        <v>1.1163017594919962</v>
      </c>
      <c r="AY292" s="84">
        <f t="shared" si="2258"/>
        <v>1.1039265770261306</v>
      </c>
      <c r="AZ292" s="84">
        <f t="shared" si="2258"/>
        <v>1.2749196965867842</v>
      </c>
      <c r="BA292" s="84">
        <f t="shared" si="2258"/>
        <v>1.2584279749547449</v>
      </c>
      <c r="BB292" s="84">
        <f t="shared" si="2258"/>
        <v>1.1453335747974458</v>
      </c>
      <c r="BC292" s="84">
        <f t="shared" si="2258"/>
        <v>1.1303274147017734</v>
      </c>
      <c r="BD292" s="84">
        <f t="shared" si="2258"/>
        <v>1.1798005397732465</v>
      </c>
      <c r="BE292" s="84">
        <f t="shared" si="2258"/>
        <v>1.1790592286401187</v>
      </c>
      <c r="BF292" s="84">
        <f t="shared" si="2258"/>
        <v>1.0325436842819149</v>
      </c>
      <c r="BG292" s="84">
        <f t="shared" si="2258"/>
        <v>1.0592422333727383</v>
      </c>
      <c r="BH292" s="84">
        <f t="shared" si="2258"/>
        <v>1.0642906815410234</v>
      </c>
      <c r="BI292" s="84">
        <f t="shared" si="2258"/>
        <v>1.0461705254914311</v>
      </c>
      <c r="BJ292" s="84">
        <f t="shared" si="2258"/>
        <v>0.90034783839187382</v>
      </c>
      <c r="BK292" s="84">
        <f t="shared" si="2258"/>
        <v>0.85059684243288547</v>
      </c>
      <c r="BL292" s="84">
        <f t="shared" si="2258"/>
        <v>0.9213080115708715</v>
      </c>
      <c r="BM292" s="84">
        <f t="shared" si="2258"/>
        <v>0.88897536156570889</v>
      </c>
      <c r="BN292" s="84">
        <f t="shared" si="2258"/>
        <v>0.84068769916171271</v>
      </c>
      <c r="BO292" s="84">
        <f t="shared" si="2258"/>
        <v>0.82224509265844403</v>
      </c>
      <c r="BP292" s="84">
        <f t="shared" si="2258"/>
        <v>0.83896219138089134</v>
      </c>
      <c r="BQ292" s="84">
        <f t="shared" si="2258"/>
        <v>0.90213025494875321</v>
      </c>
      <c r="BR292" s="84">
        <f t="shared" ref="BR292:CW292" si="2259">SUM(BO59:BR59)/(BR209+BR196+BR187)</f>
        <v>1.0008600893363424</v>
      </c>
      <c r="BS292" s="84">
        <f t="shared" si="2259"/>
        <v>1.0935804385718568</v>
      </c>
      <c r="BT292" s="84">
        <f t="shared" si="2259"/>
        <v>1.1162574729745556</v>
      </c>
      <c r="BU292" s="84">
        <f t="shared" si="2259"/>
        <v>1.1549102086674388</v>
      </c>
      <c r="BV292" s="84">
        <f t="shared" si="2259"/>
        <v>1.3341104283197396</v>
      </c>
      <c r="BW292" s="84">
        <f t="shared" si="2259"/>
        <v>1.3828210562779761</v>
      </c>
      <c r="BX292" s="84">
        <f t="shared" si="2259"/>
        <v>1.2857197063120152</v>
      </c>
      <c r="BY292" s="84">
        <f t="shared" si="2259"/>
        <v>1.2609973143040258</v>
      </c>
      <c r="BZ292" s="84">
        <f t="shared" si="2259"/>
        <v>1.2030489577219301</v>
      </c>
      <c r="CA292" s="84">
        <f t="shared" si="2259"/>
        <v>1.0693138098555559</v>
      </c>
      <c r="CB292" s="84">
        <f t="shared" si="2259"/>
        <v>0.95831909633083456</v>
      </c>
      <c r="CC292" s="84">
        <f t="shared" si="2259"/>
        <v>0.83530541047480955</v>
      </c>
      <c r="CD292" s="84">
        <f t="shared" si="2259"/>
        <v>0.76665399427780934</v>
      </c>
      <c r="CE292" s="84">
        <f t="shared" si="2259"/>
        <v>0.7171291123908573</v>
      </c>
      <c r="CF292" s="84">
        <f t="shared" si="2259"/>
        <v>0.71164744099060295</v>
      </c>
      <c r="CG292" s="84">
        <f t="shared" si="2259"/>
        <v>0.67008508379707499</v>
      </c>
      <c r="CH292" s="84">
        <f t="shared" si="2259"/>
        <v>0.62035921719781562</v>
      </c>
      <c r="CI292" s="84">
        <f t="shared" si="2259"/>
        <v>0.59801658379590361</v>
      </c>
      <c r="CJ292" s="84">
        <f t="shared" si="2259"/>
        <v>0.58637440829584919</v>
      </c>
      <c r="CK292" s="84">
        <f t="shared" si="2259"/>
        <v>0.58736973612215237</v>
      </c>
      <c r="CL292" s="84">
        <f t="shared" si="2259"/>
        <v>0.52045831654755614</v>
      </c>
      <c r="CM292" s="50">
        <f t="shared" si="2259"/>
        <v>0.53423270084544405</v>
      </c>
      <c r="CN292" s="50">
        <f t="shared" si="2259"/>
        <v>0.56504601887417261</v>
      </c>
      <c r="CO292" s="50">
        <f t="shared" si="2259"/>
        <v>0.59897122752470688</v>
      </c>
      <c r="CP292" s="50">
        <f t="shared" si="2259"/>
        <v>0.5926320433402209</v>
      </c>
      <c r="CQ292" s="50">
        <f t="shared" si="2259"/>
        <v>0.5902239650249087</v>
      </c>
      <c r="CR292" s="50">
        <f t="shared" si="2259"/>
        <v>0.63914985748627118</v>
      </c>
      <c r="CS292" s="50">
        <f t="shared" si="2259"/>
        <v>0.69114615552023095</v>
      </c>
      <c r="CT292" s="50">
        <f t="shared" si="2259"/>
        <v>0.72364207179865303</v>
      </c>
      <c r="CU292" s="50">
        <f t="shared" si="2259"/>
        <v>0.74824734059216702</v>
      </c>
      <c r="CV292" s="50">
        <f t="shared" si="2259"/>
        <v>0.78659474512121874</v>
      </c>
      <c r="CW292" s="50">
        <f t="shared" si="2259"/>
        <v>0.83138631189521373</v>
      </c>
      <c r="CX292" s="50">
        <f t="shared" ref="CX292:EC292" si="2260">SUM(CU59:CX59)/(CX209+CX196+CX187)</f>
        <v>0.84395045474455255</v>
      </c>
      <c r="CY292" s="50">
        <f t="shared" si="2260"/>
        <v>0.86354788439679053</v>
      </c>
      <c r="CZ292" s="50">
        <f t="shared" si="2260"/>
        <v>0.90265000923715877</v>
      </c>
      <c r="DA292" s="50">
        <f t="shared" si="2260"/>
        <v>0.95111467641258951</v>
      </c>
      <c r="DB292" s="50">
        <f t="shared" si="2260"/>
        <v>0.95428310303821329</v>
      </c>
      <c r="DE292" s="138"/>
      <c r="DF292" s="84">
        <v>0.60057598688336566</v>
      </c>
    </row>
    <row r="293" spans="1:110" s="84" customFormat="1" x14ac:dyDescent="0.2">
      <c r="A293" s="84" t="s">
        <v>513</v>
      </c>
      <c r="E293" s="180">
        <f t="shared" ref="E293:AE293" si="2261">+E91</f>
        <v>0.10034301190390184</v>
      </c>
      <c r="F293" s="180">
        <f t="shared" si="2261"/>
        <v>5.2242839154575345E-2</v>
      </c>
      <c r="G293" s="180">
        <f t="shared" si="2261"/>
        <v>6.8304934411522925E-2</v>
      </c>
      <c r="H293" s="180">
        <f t="shared" si="2261"/>
        <v>5.7189183461104728E-2</v>
      </c>
      <c r="I293" s="180">
        <f t="shared" si="2261"/>
        <v>5.9637317258226671E-2</v>
      </c>
      <c r="J293" s="180">
        <f t="shared" si="2261"/>
        <v>5.9846651143331479E-2</v>
      </c>
      <c r="K293" s="180">
        <f t="shared" si="2261"/>
        <v>7.795839693271403E-2</v>
      </c>
      <c r="L293" s="180">
        <f t="shared" si="2261"/>
        <v>7.6677528365349162E-2</v>
      </c>
      <c r="M293" s="180">
        <f t="shared" si="2261"/>
        <v>7.7525446148769217E-2</v>
      </c>
      <c r="N293" s="180">
        <f t="shared" si="2261"/>
        <v>6.0668735083468824E-2</v>
      </c>
      <c r="O293" s="180">
        <f t="shared" si="2261"/>
        <v>5.4919120844323585E-2</v>
      </c>
      <c r="P293" s="180">
        <f t="shared" si="2261"/>
        <v>5.3650081271819638E-2</v>
      </c>
      <c r="Q293" s="180">
        <f t="shared" si="2261"/>
        <v>8.9580744841022714E-2</v>
      </c>
      <c r="R293" s="180">
        <f t="shared" si="2261"/>
        <v>0.12174921140714409</v>
      </c>
      <c r="S293" s="180">
        <f t="shared" si="2261"/>
        <v>0.13072162975690038</v>
      </c>
      <c r="T293" s="180">
        <f t="shared" si="2261"/>
        <v>0.12415923801144899</v>
      </c>
      <c r="U293" s="180">
        <f t="shared" si="2261"/>
        <v>0.10416029436681525</v>
      </c>
      <c r="V293" s="180">
        <f t="shared" si="2261"/>
        <v>0.18566827030525102</v>
      </c>
      <c r="W293" s="180">
        <f t="shared" si="2261"/>
        <v>0.17990600131663934</v>
      </c>
      <c r="X293" s="180">
        <f t="shared" si="2261"/>
        <v>0.17223561086723618</v>
      </c>
      <c r="Y293" s="180">
        <f t="shared" si="2261"/>
        <v>0.14151761210541744</v>
      </c>
      <c r="Z293" s="180">
        <f t="shared" si="2261"/>
        <v>0.11351597655803752</v>
      </c>
      <c r="AA293" s="180">
        <f t="shared" ref="AA293" si="2262">+AA91</f>
        <v>0.12816304383425542</v>
      </c>
      <c r="AB293" s="181">
        <f t="shared" si="2261"/>
        <v>0.1349482078046626</v>
      </c>
      <c r="AC293" s="181">
        <f t="shared" si="2261"/>
        <v>0.12510879888723811</v>
      </c>
      <c r="AD293" s="181">
        <f t="shared" si="2261"/>
        <v>0.12936472376821581</v>
      </c>
      <c r="AE293" s="181">
        <f t="shared" si="2261"/>
        <v>0.1390972745906974</v>
      </c>
      <c r="AL293" s="180">
        <f t="shared" ref="AL293:BQ293" si="2263">+AL91</f>
        <v>4.0288379983036422E-2</v>
      </c>
      <c r="AM293" s="180">
        <f t="shared" si="2263"/>
        <v>6.0742326909350476E-2</v>
      </c>
      <c r="AN293" s="180">
        <f t="shared" si="2263"/>
        <v>7.2881861204615844E-2</v>
      </c>
      <c r="AO293" s="180">
        <f t="shared" si="2263"/>
        <v>3.0543233219402055E-2</v>
      </c>
      <c r="AP293" s="180">
        <f t="shared" si="2263"/>
        <v>5.3002915451895095E-2</v>
      </c>
      <c r="AQ293" s="180">
        <f t="shared" si="2263"/>
        <v>5.6606067975922728E-2</v>
      </c>
      <c r="AR293" s="180">
        <f t="shared" si="2263"/>
        <v>6.0405450315719471E-2</v>
      </c>
      <c r="AS293" s="180">
        <f t="shared" si="2263"/>
        <v>4.3712414240944103E-2</v>
      </c>
      <c r="AT293" s="180">
        <f t="shared" si="2263"/>
        <v>7.9375463681122402E-2</v>
      </c>
      <c r="AU293" s="180">
        <f t="shared" si="2263"/>
        <v>8.0282643012854302E-2</v>
      </c>
      <c r="AV293" s="180">
        <f t="shared" si="2263"/>
        <v>6.8217251215484248E-2</v>
      </c>
      <c r="AW293" s="180">
        <f t="shared" si="2263"/>
        <v>8.1985495726969712E-2</v>
      </c>
      <c r="AX293" s="180">
        <f t="shared" si="2263"/>
        <v>0.12969127740572992</v>
      </c>
      <c r="AY293" s="180">
        <f t="shared" si="2263"/>
        <v>0.13594657630698823</v>
      </c>
      <c r="AZ293" s="180">
        <f t="shared" si="2263"/>
        <v>0.12622639427014656</v>
      </c>
      <c r="BA293" s="180">
        <f t="shared" si="2263"/>
        <v>0.10760181999778044</v>
      </c>
      <c r="BB293" s="180">
        <f t="shared" si="2263"/>
        <v>8.8805587627691598E-2</v>
      </c>
      <c r="BC293" s="180">
        <f t="shared" si="2263"/>
        <v>0.11373462420840597</v>
      </c>
      <c r="BD293" s="180">
        <f t="shared" si="2263"/>
        <v>0.14495109149469176</v>
      </c>
      <c r="BE293" s="180">
        <f t="shared" si="2263"/>
        <v>0.12560490227886503</v>
      </c>
      <c r="BF293" s="180">
        <f t="shared" si="2263"/>
        <v>0.12993024904342082</v>
      </c>
      <c r="BG293" s="180">
        <f t="shared" si="2263"/>
        <v>0.13014887239454082</v>
      </c>
      <c r="BH293" s="180">
        <f t="shared" si="2263"/>
        <v>0.14320447811556758</v>
      </c>
      <c r="BI293" s="180">
        <f t="shared" si="2263"/>
        <v>0.11001030090363204</v>
      </c>
      <c r="BJ293" s="180">
        <f t="shared" si="2263"/>
        <v>0.11476871075496098</v>
      </c>
      <c r="BK293" s="180">
        <f t="shared" si="2263"/>
        <v>8.2882987931490668E-2</v>
      </c>
      <c r="BL293" s="180">
        <f t="shared" si="2263"/>
        <v>0.12647577809753885</v>
      </c>
      <c r="BM293" s="180">
        <f t="shared" si="2263"/>
        <v>9.093466364855067E-2</v>
      </c>
      <c r="BN293" s="180">
        <f t="shared" si="2263"/>
        <v>0.11455390327368839</v>
      </c>
      <c r="BO293" s="180">
        <f t="shared" si="2263"/>
        <v>0.14167601274056799</v>
      </c>
      <c r="BP293" s="180">
        <f t="shared" si="2263"/>
        <v>0.15653451847654798</v>
      </c>
      <c r="BQ293" s="180">
        <f t="shared" si="2263"/>
        <v>0.20122052294282211</v>
      </c>
      <c r="BR293" s="180">
        <f t="shared" ref="BR293:DB293" si="2264">+BR91</f>
        <v>0.21449446180748444</v>
      </c>
      <c r="BS293" s="180">
        <f t="shared" si="2264"/>
        <v>0.21610851134172501</v>
      </c>
      <c r="BT293" s="180">
        <f t="shared" si="2264"/>
        <v>0.16750898269653972</v>
      </c>
      <c r="BU293" s="180">
        <f t="shared" si="2264"/>
        <v>0.17983873109161874</v>
      </c>
      <c r="BV293" s="180">
        <f t="shared" si="2264"/>
        <v>0.16767388635588948</v>
      </c>
      <c r="BW293" s="180">
        <f t="shared" si="2264"/>
        <v>0.22089702345069628</v>
      </c>
      <c r="BX293" s="180">
        <f t="shared" si="2264"/>
        <v>0.18904866163764944</v>
      </c>
      <c r="BY293" s="180">
        <f t="shared" si="2264"/>
        <v>0.14300074409333252</v>
      </c>
      <c r="BZ293" s="180">
        <f t="shared" si="2264"/>
        <v>0.11712682569819359</v>
      </c>
      <c r="CA293" s="180">
        <f t="shared" si="2264"/>
        <v>0.14596062311154631</v>
      </c>
      <c r="CB293" s="180">
        <f t="shared" si="2264"/>
        <v>9.5563193743693278E-2</v>
      </c>
      <c r="CC293" s="180">
        <f t="shared" si="2264"/>
        <v>0.14548542093813105</v>
      </c>
      <c r="CD293" s="180">
        <f t="shared" si="2264"/>
        <v>0.17510394093787221</v>
      </c>
      <c r="CE293" s="180">
        <f t="shared" si="2264"/>
        <v>0.11841318688173497</v>
      </c>
      <c r="CF293" s="180">
        <f t="shared" si="2264"/>
        <v>0.11950427089249109</v>
      </c>
      <c r="CG293" s="180">
        <f t="shared" si="2264"/>
        <v>9.9565756823821433E-2</v>
      </c>
      <c r="CH293" s="180">
        <f t="shared" si="2264"/>
        <v>0.11464924814588016</v>
      </c>
      <c r="CI293" s="180">
        <f t="shared" si="2264"/>
        <v>0.10193642368581879</v>
      </c>
      <c r="CJ293" s="180">
        <f t="shared" si="2264"/>
        <v>0.10894665131903498</v>
      </c>
      <c r="CK293" s="180">
        <f t="shared" si="2264"/>
        <v>9.2840045758992615E-2</v>
      </c>
      <c r="CL293" s="180">
        <f t="shared" si="2264"/>
        <v>0.16405850258114527</v>
      </c>
      <c r="CM293" s="181">
        <f t="shared" si="2264"/>
        <v>0.13826988773511101</v>
      </c>
      <c r="CN293" s="181">
        <f t="shared" si="2264"/>
        <v>0.14353439835833007</v>
      </c>
      <c r="CO293" s="181">
        <f t="shared" si="2264"/>
        <v>0.1320583743585157</v>
      </c>
      <c r="CP293" s="181">
        <f t="shared" si="2264"/>
        <v>0.12718868320881216</v>
      </c>
      <c r="CQ293" s="181">
        <f t="shared" si="2264"/>
        <v>0.13225978719014087</v>
      </c>
      <c r="CR293" s="181">
        <f t="shared" si="2264"/>
        <v>0.12153299417953461</v>
      </c>
      <c r="CS293" s="181">
        <f t="shared" si="2264"/>
        <v>0.11910911304201395</v>
      </c>
      <c r="CT293" s="181">
        <f t="shared" si="2264"/>
        <v>0.12720608606736133</v>
      </c>
      <c r="CU293" s="181">
        <f t="shared" si="2264"/>
        <v>0.12730314307201837</v>
      </c>
      <c r="CV293" s="181">
        <f t="shared" si="2264"/>
        <v>0.12630529499014889</v>
      </c>
      <c r="CW293" s="181">
        <f t="shared" si="2264"/>
        <v>0.12692511988302568</v>
      </c>
      <c r="CX293" s="181">
        <f t="shared" si="2264"/>
        <v>0.13573310592560525</v>
      </c>
      <c r="CY293" s="181">
        <f t="shared" si="2264"/>
        <v>0.13714073257478004</v>
      </c>
      <c r="CZ293" s="181">
        <f t="shared" si="2264"/>
        <v>0.13650239744299725</v>
      </c>
      <c r="DA293" s="181">
        <f t="shared" si="2264"/>
        <v>0.13734033142710633</v>
      </c>
      <c r="DB293" s="181">
        <f t="shared" si="2264"/>
        <v>0.14440561638202662</v>
      </c>
      <c r="DE293" s="138"/>
      <c r="DF293" s="84">
        <v>0.1127667883582527</v>
      </c>
    </row>
    <row r="294" spans="1:110" s="84" customFormat="1" x14ac:dyDescent="0.2">
      <c r="A294" s="84" t="s">
        <v>514</v>
      </c>
      <c r="E294" s="84">
        <f t="shared" ref="E294:AE294" si="2265">(E209+E196+E187+E189)/E169</f>
        <v>3.5027328389638934</v>
      </c>
      <c r="F294" s="84">
        <f t="shared" si="2265"/>
        <v>3.6675172517542771</v>
      </c>
      <c r="G294" s="84">
        <f t="shared" si="2265"/>
        <v>3.5643313354760835</v>
      </c>
      <c r="H294" s="84">
        <f t="shared" si="2265"/>
        <v>3.3393159677855579</v>
      </c>
      <c r="I294" s="84">
        <f t="shared" si="2265"/>
        <v>3.405713032220743</v>
      </c>
      <c r="J294" s="84">
        <f t="shared" si="2265"/>
        <v>3.192642462888311</v>
      </c>
      <c r="K294" s="84">
        <f t="shared" si="2265"/>
        <v>2.8846528630956771</v>
      </c>
      <c r="L294" s="84">
        <f t="shared" si="2265"/>
        <v>3.247745105445456</v>
      </c>
      <c r="M294" s="84">
        <f t="shared" si="2265"/>
        <v>3.2090871793860618</v>
      </c>
      <c r="N294" s="84">
        <f t="shared" si="2265"/>
        <v>3.0304060775946615</v>
      </c>
      <c r="O294" s="84">
        <f t="shared" si="2265"/>
        <v>3.0838942308887529</v>
      </c>
      <c r="P294" s="84">
        <f t="shared" si="2265"/>
        <v>2.7315126460559003</v>
      </c>
      <c r="Q294" s="84">
        <f t="shared" si="2265"/>
        <v>2.1735661609403913</v>
      </c>
      <c r="R294" s="84">
        <f t="shared" si="2265"/>
        <v>1.7519489924721063</v>
      </c>
      <c r="S294" s="84">
        <f t="shared" si="2265"/>
        <v>1.8141150143181173</v>
      </c>
      <c r="T294" s="84">
        <f t="shared" si="2265"/>
        <v>1.819720736745253</v>
      </c>
      <c r="U294" s="84">
        <f t="shared" si="2265"/>
        <v>1.6906206669091521</v>
      </c>
      <c r="V294" s="84">
        <f t="shared" si="2265"/>
        <v>1.4646891098266104</v>
      </c>
      <c r="W294" s="84">
        <f t="shared" si="2265"/>
        <v>1.3963780244370458</v>
      </c>
      <c r="X294" s="84">
        <f t="shared" si="2265"/>
        <v>1.2628776111812741</v>
      </c>
      <c r="Y294" s="84">
        <f t="shared" si="2265"/>
        <v>1.2464167490679547</v>
      </c>
      <c r="Z294" s="84">
        <f t="shared" si="2265"/>
        <v>1.2205898014810483</v>
      </c>
      <c r="AA294" s="84">
        <f t="shared" ref="AA294" si="2266">(AA209+AA196+AA187+AA189)/AA169</f>
        <v>1.1337281754995501</v>
      </c>
      <c r="AB294" s="50">
        <f t="shared" si="2265"/>
        <v>1.4717583636944189</v>
      </c>
      <c r="AC294" s="50">
        <f t="shared" si="2265"/>
        <v>1.5848408065024318</v>
      </c>
      <c r="AD294" s="50">
        <f t="shared" si="2265"/>
        <v>1.5854663186382139</v>
      </c>
      <c r="AE294" s="50">
        <f t="shared" si="2265"/>
        <v>1.5788092116211254</v>
      </c>
      <c r="AL294" s="84">
        <f t="shared" ref="AL294:BQ294" si="2267">(AL209+AL196+AL187+AL189)/AL169</f>
        <v>3.0174107142857145</v>
      </c>
      <c r="AM294" s="84">
        <f t="shared" si="2267"/>
        <v>2.9206400046188343</v>
      </c>
      <c r="AN294" s="84">
        <f t="shared" si="2267"/>
        <v>3.0884234778863462</v>
      </c>
      <c r="AO294" s="84">
        <f t="shared" si="2267"/>
        <v>2.9757801477580226</v>
      </c>
      <c r="AP294" s="84">
        <f t="shared" si="2267"/>
        <v>3.0723397943037978</v>
      </c>
      <c r="AQ294" s="84">
        <f t="shared" si="2267"/>
        <v>2.9642873584048877</v>
      </c>
      <c r="AR294" s="84">
        <f t="shared" si="2267"/>
        <v>2.7343200072195653</v>
      </c>
      <c r="AS294" s="84">
        <f t="shared" si="2267"/>
        <v>2.6701472026003876</v>
      </c>
      <c r="AT294" s="84">
        <f t="shared" si="2267"/>
        <v>2.7315159732003003</v>
      </c>
      <c r="AU294" s="84">
        <f t="shared" si="2267"/>
        <v>2.654475108396543</v>
      </c>
      <c r="AV294" s="84">
        <f t="shared" si="2267"/>
        <v>2.1870678548830966</v>
      </c>
      <c r="AW294" s="84">
        <f t="shared" si="2267"/>
        <v>2.1207799858922756</v>
      </c>
      <c r="AX294" s="84">
        <f t="shared" si="2267"/>
        <v>2.1581646491177979</v>
      </c>
      <c r="AY294" s="84">
        <f t="shared" si="2267"/>
        <v>2.0603108722056471</v>
      </c>
      <c r="AZ294" s="84">
        <f t="shared" si="2267"/>
        <v>1.6959036272236025</v>
      </c>
      <c r="BA294" s="84">
        <f t="shared" si="2267"/>
        <v>1.6628141264790897</v>
      </c>
      <c r="BB294" s="84">
        <f t="shared" si="2267"/>
        <v>1.7519491698440111</v>
      </c>
      <c r="BC294" s="84">
        <f t="shared" si="2267"/>
        <v>1.7123253705187984</v>
      </c>
      <c r="BD294" s="84">
        <f t="shared" si="2267"/>
        <v>1.6327035232749172</v>
      </c>
      <c r="BE294" s="84">
        <f t="shared" si="2267"/>
        <v>1.6044190757375052</v>
      </c>
      <c r="BF294" s="84">
        <f t="shared" si="2267"/>
        <v>1.8144221571174517</v>
      </c>
      <c r="BG294" s="84">
        <f t="shared" si="2267"/>
        <v>1.7619966788806567</v>
      </c>
      <c r="BH294" s="84">
        <f t="shared" si="2267"/>
        <v>1.8381052962463196</v>
      </c>
      <c r="BI294" s="84">
        <f t="shared" si="2267"/>
        <v>1.813053600970649</v>
      </c>
      <c r="BJ294" s="84">
        <f t="shared" si="2267"/>
        <v>1.8206549837498716</v>
      </c>
      <c r="BK294" s="84">
        <f t="shared" si="2267"/>
        <v>1.7918791463169181</v>
      </c>
      <c r="BL294" s="84">
        <f t="shared" si="2267"/>
        <v>1.6184938623032401</v>
      </c>
      <c r="BM294" s="84">
        <f t="shared" si="2267"/>
        <v>1.5958298179720412</v>
      </c>
      <c r="BN294" s="84">
        <f t="shared" si="2267"/>
        <v>1.6912834787682276</v>
      </c>
      <c r="BO294" s="84">
        <f t="shared" si="2267"/>
        <v>1.6466209056656358</v>
      </c>
      <c r="BP294" s="84">
        <f t="shared" si="2267"/>
        <v>1.6059676447751494</v>
      </c>
      <c r="BQ294" s="84">
        <f t="shared" si="2267"/>
        <v>1.5805153346698062</v>
      </c>
      <c r="BR294" s="84">
        <f t="shared" ref="BR294:DB294" si="2268">(BR209+BR196+BR187+BR189)/BR169</f>
        <v>1.465053276534845</v>
      </c>
      <c r="BS294" s="84">
        <f t="shared" si="2268"/>
        <v>1.4292721284095065</v>
      </c>
      <c r="BT294" s="84">
        <f t="shared" si="2268"/>
        <v>1.518612241171738</v>
      </c>
      <c r="BU294" s="84">
        <f t="shared" si="2268"/>
        <v>1.4836895333070752</v>
      </c>
      <c r="BV294" s="84">
        <f t="shared" si="2268"/>
        <v>1.396378599637716</v>
      </c>
      <c r="BW294" s="84">
        <f t="shared" si="2268"/>
        <v>1.3422680071429476</v>
      </c>
      <c r="BX294" s="84">
        <f t="shared" si="2268"/>
        <v>1.4231313220123547</v>
      </c>
      <c r="BY294" s="84">
        <f t="shared" si="2268"/>
        <v>1.4018647516405021</v>
      </c>
      <c r="BZ294" s="84">
        <f t="shared" si="2268"/>
        <v>1.2628780479644637</v>
      </c>
      <c r="CA294" s="84">
        <f t="shared" si="2268"/>
        <v>1.2536187123138767</v>
      </c>
      <c r="CB294" s="84">
        <f t="shared" si="2268"/>
        <v>1.2367966885877384</v>
      </c>
      <c r="CC294" s="84">
        <f t="shared" si="2268"/>
        <v>1.229932649072305</v>
      </c>
      <c r="CD294" s="84">
        <f t="shared" si="2268"/>
        <v>1.2464175326885261</v>
      </c>
      <c r="CE294" s="84">
        <f t="shared" si="2268"/>
        <v>1.2372659042158911</v>
      </c>
      <c r="CF294" s="84">
        <f t="shared" si="2268"/>
        <v>1.2162461973632039</v>
      </c>
      <c r="CG294" s="84">
        <f t="shared" si="2268"/>
        <v>1.2093119465076163</v>
      </c>
      <c r="CH294" s="84">
        <f t="shared" si="2268"/>
        <v>1.2205898014810483</v>
      </c>
      <c r="CI294" s="84">
        <f t="shared" si="2268"/>
        <v>1.2171919937258107</v>
      </c>
      <c r="CJ294" s="84">
        <f t="shared" si="2268"/>
        <v>1.2388380498349074</v>
      </c>
      <c r="CK294" s="84">
        <f t="shared" si="2268"/>
        <v>1.2329512709235253</v>
      </c>
      <c r="CL294" s="84">
        <f t="shared" si="2268"/>
        <v>1.3876033668343741</v>
      </c>
      <c r="CM294" s="50">
        <f t="shared" si="2268"/>
        <v>1.4032491240155589</v>
      </c>
      <c r="CN294" s="50">
        <f t="shared" si="2268"/>
        <v>1.3963617058577016</v>
      </c>
      <c r="CO294" s="50">
        <f t="shared" si="2268"/>
        <v>1.379946477869179</v>
      </c>
      <c r="CP294" s="50">
        <f t="shared" si="2268"/>
        <v>1.4717583636944189</v>
      </c>
      <c r="CQ294" s="50">
        <f t="shared" si="2268"/>
        <v>1.5956654873889866</v>
      </c>
      <c r="CR294" s="50">
        <f t="shared" si="2268"/>
        <v>1.5839559437780237</v>
      </c>
      <c r="CS294" s="50">
        <f t="shared" si="2268"/>
        <v>1.5579947270796215</v>
      </c>
      <c r="CT294" s="50">
        <f t="shared" si="2268"/>
        <v>1.5848408065024318</v>
      </c>
      <c r="CU294" s="50">
        <f t="shared" si="2268"/>
        <v>1.6021455038671393</v>
      </c>
      <c r="CV294" s="50">
        <f t="shared" si="2268"/>
        <v>1.587238437625722</v>
      </c>
      <c r="CW294" s="50">
        <f t="shared" si="2268"/>
        <v>1.5543072260017532</v>
      </c>
      <c r="CX294" s="50">
        <f t="shared" si="2268"/>
        <v>1.5854663186382139</v>
      </c>
      <c r="CY294" s="50">
        <f t="shared" si="2268"/>
        <v>1.6052829714972519</v>
      </c>
      <c r="CZ294" s="50">
        <f t="shared" si="2268"/>
        <v>1.5856649089125772</v>
      </c>
      <c r="DA294" s="50">
        <f t="shared" si="2268"/>
        <v>1.5453554794501541</v>
      </c>
      <c r="DB294" s="50">
        <f t="shared" si="2268"/>
        <v>1.5788092116211254</v>
      </c>
      <c r="DE294" s="138"/>
      <c r="DF294" s="84">
        <v>1.2496093001078015</v>
      </c>
    </row>
    <row r="295" spans="1:110" s="84" customFormat="1" x14ac:dyDescent="0.2">
      <c r="A295" s="154" t="s">
        <v>498</v>
      </c>
      <c r="AB295" s="50"/>
      <c r="AC295" s="50"/>
      <c r="AD295" s="50"/>
      <c r="AE295" s="50"/>
      <c r="CM295" s="50"/>
      <c r="CN295" s="50"/>
      <c r="CO295" s="50"/>
      <c r="CP295" s="50"/>
      <c r="CQ295" s="50"/>
      <c r="CR295" s="50"/>
      <c r="CS295" s="50"/>
      <c r="CT295" s="50"/>
      <c r="CU295" s="50"/>
      <c r="CV295" s="50"/>
      <c r="CW295" s="50"/>
      <c r="CX295" s="50"/>
      <c r="CY295" s="50"/>
      <c r="CZ295" s="50"/>
      <c r="DA295" s="50"/>
      <c r="DB295" s="50"/>
      <c r="DE295" s="138"/>
    </row>
    <row r="296" spans="1:110" s="88" customFormat="1" x14ac:dyDescent="0.2">
      <c r="A296" s="88" t="s">
        <v>102</v>
      </c>
      <c r="B296" s="88">
        <f>B209/B169</f>
        <v>2.1456506765045954E-2</v>
      </c>
      <c r="C296" s="88">
        <f>C209/C169</f>
        <v>7.4563761284943755E-2</v>
      </c>
      <c r="D296" s="88">
        <f>D209/D169</f>
        <v>6.21237197977349E-2</v>
      </c>
      <c r="F296" s="88">
        <f t="shared" ref="F296:AE296" si="2269">F209/F169</f>
        <v>8.2298826815356441E-2</v>
      </c>
      <c r="G296" s="88">
        <f t="shared" si="2269"/>
        <v>6.3732767699823487E-2</v>
      </c>
      <c r="H296" s="88">
        <f t="shared" si="2269"/>
        <v>9.9485795082416409E-2</v>
      </c>
      <c r="I296" s="88">
        <f t="shared" si="2269"/>
        <v>9.8364488232683706E-2</v>
      </c>
      <c r="J296" s="88">
        <f t="shared" si="2269"/>
        <v>3.4024546178581402E-2</v>
      </c>
      <c r="K296" s="88">
        <f t="shared" si="2269"/>
        <v>4.1076295990517646E-2</v>
      </c>
      <c r="L296" s="88">
        <f t="shared" si="2269"/>
        <v>0.11443033455544187</v>
      </c>
      <c r="M296" s="88">
        <f t="shared" si="2269"/>
        <v>5.7328408886138014E-2</v>
      </c>
      <c r="N296" s="88">
        <f t="shared" si="2269"/>
        <v>0.13197369561904654</v>
      </c>
      <c r="O296" s="88">
        <f t="shared" si="2269"/>
        <v>0.14759813863388777</v>
      </c>
      <c r="P296" s="88">
        <f t="shared" si="2269"/>
        <v>3.0698878281291159E-2</v>
      </c>
      <c r="Q296" s="88">
        <f t="shared" si="2269"/>
        <v>3.0796257073024167E-2</v>
      </c>
      <c r="R296" s="88">
        <f t="shared" si="2269"/>
        <v>9.6703420677166571E-3</v>
      </c>
      <c r="S296" s="88">
        <f t="shared" si="2269"/>
        <v>5.1747266649644033E-2</v>
      </c>
      <c r="T296" s="88">
        <f t="shared" si="2269"/>
        <v>3.5510562889472304E-2</v>
      </c>
      <c r="U296" s="88">
        <f t="shared" si="2269"/>
        <v>8.5562306494417234E-2</v>
      </c>
      <c r="V296" s="88">
        <f t="shared" si="2269"/>
        <v>2.1963801465535501E-2</v>
      </c>
      <c r="W296" s="88">
        <f t="shared" si="2269"/>
        <v>4.1252286377474773E-2</v>
      </c>
      <c r="X296" s="88">
        <f t="shared" si="2269"/>
        <v>0.19853814833452071</v>
      </c>
      <c r="Y296" s="88">
        <f t="shared" si="2269"/>
        <v>0.1973405824010363</v>
      </c>
      <c r="Z296" s="88">
        <f t="shared" si="2269"/>
        <v>0.19161098504160926</v>
      </c>
      <c r="AA296" s="88">
        <f t="shared" ref="AA296" si="2270">AA209/AA169</f>
        <v>0.15178683475498472</v>
      </c>
      <c r="AB296" s="42">
        <f t="shared" si="2269"/>
        <v>8.3473758621049735E-2</v>
      </c>
      <c r="AC296" s="42">
        <f t="shared" si="2269"/>
        <v>9.2302909788654214E-3</v>
      </c>
      <c r="AD296" s="42">
        <f t="shared" si="2269"/>
        <v>1.9156430124090313E-2</v>
      </c>
      <c r="AE296" s="42">
        <f t="shared" si="2269"/>
        <v>3.7726837299574871E-2</v>
      </c>
      <c r="AL296" s="88">
        <f t="shared" ref="AL296:BQ296" si="2271">AL209/AL169</f>
        <v>0.13114564007421151</v>
      </c>
      <c r="AM296" s="88">
        <f t="shared" si="2271"/>
        <v>0.17873233826900875</v>
      </c>
      <c r="AN296" s="88">
        <f t="shared" si="2271"/>
        <v>0.1646575925358961</v>
      </c>
      <c r="AO296" s="88">
        <f t="shared" si="2271"/>
        <v>0.26768456069333346</v>
      </c>
      <c r="AP296" s="88">
        <f t="shared" si="2271"/>
        <v>0.14675632911392406</v>
      </c>
      <c r="AQ296" s="88">
        <f t="shared" si="2271"/>
        <v>0.21050157211143916</v>
      </c>
      <c r="AR296" s="88">
        <f t="shared" si="2271"/>
        <v>0.16415485966970492</v>
      </c>
      <c r="AS296" s="88">
        <f t="shared" si="2271"/>
        <v>0.22403936106855482</v>
      </c>
      <c r="AT296" s="88">
        <f t="shared" si="2271"/>
        <v>3.0700311083615241E-2</v>
      </c>
      <c r="AU296" s="88">
        <f t="shared" si="2271"/>
        <v>2.3650291855628475E-2</v>
      </c>
      <c r="AV296" s="88">
        <f t="shared" si="2271"/>
        <v>0.13097951622616771</v>
      </c>
      <c r="AW296" s="88">
        <f t="shared" si="2271"/>
        <v>0.20430630022158344</v>
      </c>
      <c r="AX296" s="88">
        <f t="shared" si="2271"/>
        <v>3.0577285445097923E-2</v>
      </c>
      <c r="AY296" s="88">
        <f t="shared" si="2271"/>
        <v>0.10872228148186215</v>
      </c>
      <c r="AZ296" s="88">
        <f t="shared" si="2271"/>
        <v>1.6555609187553715E-2</v>
      </c>
      <c r="BA296" s="88">
        <f t="shared" si="2271"/>
        <v>5.2625960246778951E-2</v>
      </c>
      <c r="BB296" s="88">
        <f t="shared" si="2271"/>
        <v>9.6699791978193568E-3</v>
      </c>
      <c r="BC296" s="88">
        <f t="shared" si="2271"/>
        <v>5.2167567559746719E-2</v>
      </c>
      <c r="BD296" s="88">
        <f t="shared" si="2271"/>
        <v>2.184245000630048E-2</v>
      </c>
      <c r="BE296" s="88">
        <f t="shared" si="2271"/>
        <v>5.3572928367773089E-2</v>
      </c>
      <c r="BF296" s="88">
        <f t="shared" si="2271"/>
        <v>5.1722625144185193E-2</v>
      </c>
      <c r="BG296" s="88">
        <f t="shared" si="2271"/>
        <v>0.1089684263108662</v>
      </c>
      <c r="BH296" s="88">
        <f t="shared" si="2271"/>
        <v>0.15016253680078509</v>
      </c>
      <c r="BI296" s="88">
        <f t="shared" si="2271"/>
        <v>0.14694210619845649</v>
      </c>
      <c r="BJ296" s="88">
        <f t="shared" si="2271"/>
        <v>3.5510055582924395E-2</v>
      </c>
      <c r="BK296" s="88">
        <f t="shared" si="2271"/>
        <v>7.3267028580618315E-2</v>
      </c>
      <c r="BL296" s="88">
        <f t="shared" si="2271"/>
        <v>1.1992040047290715E-2</v>
      </c>
      <c r="BM296" s="88">
        <f t="shared" si="2271"/>
        <v>4.7807427529730974E-2</v>
      </c>
      <c r="BN296" s="88">
        <f t="shared" si="2271"/>
        <v>8.5562212352672154E-2</v>
      </c>
      <c r="BO296" s="88">
        <f t="shared" si="2271"/>
        <v>0.17976617692630087</v>
      </c>
      <c r="BP296" s="88">
        <f t="shared" si="2271"/>
        <v>7.8080062659862193E-3</v>
      </c>
      <c r="BQ296" s="88">
        <f t="shared" si="2271"/>
        <v>-3.5803044947126231E-2</v>
      </c>
      <c r="BR296" s="88">
        <f t="shared" ref="BR296:DB296" si="2272">BR209/BR169</f>
        <v>2.196357293798008E-2</v>
      </c>
      <c r="BS296" s="88">
        <f t="shared" si="2272"/>
        <v>8.1278672209632169E-2</v>
      </c>
      <c r="BT296" s="88">
        <f t="shared" si="2272"/>
        <v>8.2505520338238391E-3</v>
      </c>
      <c r="BU296" s="88">
        <f t="shared" si="2272"/>
        <v>4.9834584327775183E-2</v>
      </c>
      <c r="BV296" s="88">
        <f t="shared" si="2272"/>
        <v>4.1252216269498369E-2</v>
      </c>
      <c r="BW296" s="88">
        <f t="shared" si="2272"/>
        <v>0.19189368874298954</v>
      </c>
      <c r="BX296" s="88">
        <f t="shared" si="2272"/>
        <v>6.0990392929661449E-2</v>
      </c>
      <c r="BY296" s="88">
        <f t="shared" si="2272"/>
        <v>0.13760939094329899</v>
      </c>
      <c r="BZ296" s="88">
        <f t="shared" si="2272"/>
        <v>0.19853767193356986</v>
      </c>
      <c r="CA296" s="88">
        <f t="shared" si="2272"/>
        <v>0.23114239159925051</v>
      </c>
      <c r="CB296" s="88">
        <f t="shared" si="2272"/>
        <v>0.21440996507300597</v>
      </c>
      <c r="CC296" s="88">
        <f t="shared" si="2272"/>
        <v>0.23539668319060778</v>
      </c>
      <c r="CD296" s="88">
        <f t="shared" si="2272"/>
        <v>0.19734031493886253</v>
      </c>
      <c r="CE296" s="88">
        <f t="shared" si="2272"/>
        <v>0.23814139495653133</v>
      </c>
      <c r="CF296" s="88">
        <f t="shared" si="2272"/>
        <v>0.17906649149779552</v>
      </c>
      <c r="CG296" s="88">
        <f t="shared" si="2272"/>
        <v>0.22317482841319808</v>
      </c>
      <c r="CH296" s="88">
        <f t="shared" si="2272"/>
        <v>0.19161098504160926</v>
      </c>
      <c r="CI296" s="88">
        <f t="shared" si="2272"/>
        <v>0.21083993800117237</v>
      </c>
      <c r="CJ296" s="88">
        <f t="shared" si="2272"/>
        <v>9.8872247969419347E-2</v>
      </c>
      <c r="CK296" s="88">
        <f t="shared" si="2272"/>
        <v>0.12975384146547683</v>
      </c>
      <c r="CL296" s="88">
        <f t="shared" si="2272"/>
        <v>0.13729675742844769</v>
      </c>
      <c r="CM296" s="42">
        <f t="shared" si="2272"/>
        <v>0.22869569734396053</v>
      </c>
      <c r="CN296" s="42">
        <f t="shared" si="2272"/>
        <v>0.17032298509525676</v>
      </c>
      <c r="CO296" s="42">
        <f t="shared" si="2272"/>
        <v>8.1881058066503004E-2</v>
      </c>
      <c r="CP296" s="42">
        <f t="shared" si="2272"/>
        <v>8.3473758621049735E-2</v>
      </c>
      <c r="CQ296" s="42">
        <f t="shared" si="2272"/>
        <v>8.1106684591377223E-2</v>
      </c>
      <c r="CR296" s="42">
        <f t="shared" si="2272"/>
        <v>6.8181135916249899E-2</v>
      </c>
      <c r="CS296" s="42">
        <f t="shared" si="2272"/>
        <v>8.1518008542801904E-2</v>
      </c>
      <c r="CT296" s="42">
        <f t="shared" si="2272"/>
        <v>9.2302909788654214E-3</v>
      </c>
      <c r="CU296" s="42">
        <f t="shared" si="2272"/>
        <v>-1.6463465922577917E-2</v>
      </c>
      <c r="CV296" s="42">
        <f t="shared" si="2272"/>
        <v>1.1203593886716266E-2</v>
      </c>
      <c r="CW296" s="42">
        <f t="shared" si="2272"/>
        <v>6.8613224260215266E-2</v>
      </c>
      <c r="CX296" s="42">
        <f t="shared" si="2272"/>
        <v>1.9156430124090313E-2</v>
      </c>
      <c r="CY296" s="42">
        <f t="shared" si="2272"/>
        <v>-1.1625364776767854E-2</v>
      </c>
      <c r="CZ296" s="42">
        <f t="shared" si="2272"/>
        <v>2.3007078690205077E-2</v>
      </c>
      <c r="DA296" s="42">
        <f t="shared" si="2272"/>
        <v>9.1873559639381458E-2</v>
      </c>
      <c r="DB296" s="42">
        <f t="shared" si="2272"/>
        <v>3.7726837299574871E-2</v>
      </c>
      <c r="DE296" s="125"/>
      <c r="DF296" s="88">
        <v>5.9229833614523025E-2</v>
      </c>
    </row>
    <row r="297" spans="1:110" s="89" customFormat="1" x14ac:dyDescent="0.2">
      <c r="A297" s="89" t="s">
        <v>103</v>
      </c>
      <c r="C297" s="89">
        <f>C177/B177-1</f>
        <v>-0.1426937377449744</v>
      </c>
      <c r="D297" s="89">
        <f>D177/C177-1</f>
        <v>0.77419548705602304</v>
      </c>
      <c r="F297" s="89">
        <f t="shared" ref="F297:AE297" si="2273">F177/E177-1</f>
        <v>0.1966388772326908</v>
      </c>
      <c r="G297" s="89">
        <f t="shared" si="2273"/>
        <v>0.29266239959591323</v>
      </c>
      <c r="H297" s="89">
        <f t="shared" si="2273"/>
        <v>0.24049908338021564</v>
      </c>
      <c r="I297" s="89">
        <f t="shared" si="2273"/>
        <v>0.25590869810272765</v>
      </c>
      <c r="J297" s="89">
        <f t="shared" si="2273"/>
        <v>0.22023970454928832</v>
      </c>
      <c r="K297" s="89">
        <f t="shared" si="2273"/>
        <v>-2.0614376389222255E-2</v>
      </c>
      <c r="L297" s="89">
        <f t="shared" si="2273"/>
        <v>0.65373872791192444</v>
      </c>
      <c r="M297" s="89">
        <f t="shared" si="2273"/>
        <v>0.30908421491321292</v>
      </c>
      <c r="N297" s="89">
        <f t="shared" si="2273"/>
        <v>0.11240656763690016</v>
      </c>
      <c r="O297" s="89">
        <f t="shared" si="2273"/>
        <v>8.9760385705357937E-2</v>
      </c>
      <c r="P297" s="89">
        <f t="shared" si="2273"/>
        <v>-2.2041269540335584E-2</v>
      </c>
      <c r="Q297" s="89">
        <f t="shared" si="2273"/>
        <v>-0.32502910486384418</v>
      </c>
      <c r="R297" s="89">
        <f t="shared" si="2273"/>
        <v>-0.39242293264241468</v>
      </c>
      <c r="S297" s="89">
        <f t="shared" si="2273"/>
        <v>0.4472011775414324</v>
      </c>
      <c r="T297" s="89">
        <f t="shared" si="2273"/>
        <v>0.49758672202254695</v>
      </c>
      <c r="U297" s="89">
        <f t="shared" si="2273"/>
        <v>0.14143199575283716</v>
      </c>
      <c r="V297" s="89">
        <f t="shared" si="2273"/>
        <v>-0.51046346515620855</v>
      </c>
      <c r="W297" s="89">
        <f t="shared" si="2273"/>
        <v>-0.207997519416937</v>
      </c>
      <c r="X297" s="89">
        <f t="shared" si="2273"/>
        <v>-0.42790297434450264</v>
      </c>
      <c r="Y297" s="89">
        <f t="shared" si="2273"/>
        <v>-0.65788554962891421</v>
      </c>
      <c r="Z297" s="89">
        <f t="shared" si="2273"/>
        <v>-0.46153728994263088</v>
      </c>
      <c r="AA297" s="89">
        <f t="shared" ref="AA297" si="2274">AA177/Z177-1</f>
        <v>-1</v>
      </c>
      <c r="AB297" s="47" t="e">
        <f t="shared" si="2273"/>
        <v>#DIV/0!</v>
      </c>
      <c r="AC297" s="47">
        <f t="shared" si="2273"/>
        <v>0.70693610358027792</v>
      </c>
      <c r="AD297" s="47">
        <f t="shared" si="2273"/>
        <v>0</v>
      </c>
      <c r="AE297" s="47">
        <f t="shared" si="2273"/>
        <v>0</v>
      </c>
      <c r="AL297" s="89">
        <f t="shared" ref="AL297:BQ297" si="2275">AL177/AK177-1</f>
        <v>6.8955303154110137E-2</v>
      </c>
      <c r="AM297" s="89">
        <f t="shared" si="2275"/>
        <v>0</v>
      </c>
      <c r="AN297" s="89">
        <f t="shared" si="2275"/>
        <v>-8.0741483923374435E-4</v>
      </c>
      <c r="AO297" s="89">
        <f t="shared" si="2275"/>
        <v>0</v>
      </c>
      <c r="AP297" s="89">
        <f t="shared" si="2275"/>
        <v>7.778962518109811E-2</v>
      </c>
      <c r="AQ297" s="89">
        <f t="shared" si="2275"/>
        <v>0</v>
      </c>
      <c r="AR297" s="89">
        <f t="shared" si="2275"/>
        <v>-5.5765050352690859E-2</v>
      </c>
      <c r="AS297" s="89">
        <f t="shared" si="2275"/>
        <v>0</v>
      </c>
      <c r="AT297" s="89">
        <f t="shared" si="2275"/>
        <v>4.8966359706822171E-2</v>
      </c>
      <c r="AU297" s="89">
        <f t="shared" si="2275"/>
        <v>0</v>
      </c>
      <c r="AV297" s="89">
        <f t="shared" si="2275"/>
        <v>-0.30735637950031802</v>
      </c>
      <c r="AW297" s="89">
        <f t="shared" si="2275"/>
        <v>0</v>
      </c>
      <c r="AX297" s="89">
        <f t="shared" si="2275"/>
        <v>-4.5802859526257622E-2</v>
      </c>
      <c r="AY297" s="89">
        <f t="shared" si="2275"/>
        <v>0</v>
      </c>
      <c r="AZ297" s="89">
        <f t="shared" si="2275"/>
        <v>-0.4030550698708304</v>
      </c>
      <c r="BA297" s="89">
        <f t="shared" si="2275"/>
        <v>0</v>
      </c>
      <c r="BB297" s="89">
        <f t="shared" si="2275"/>
        <v>-5.7467871577131069E-2</v>
      </c>
      <c r="BC297" s="89">
        <f t="shared" si="2275"/>
        <v>0</v>
      </c>
      <c r="BD297" s="89">
        <f t="shared" si="2275"/>
        <v>-0.43949796439497957</v>
      </c>
      <c r="BE297" s="89">
        <f t="shared" si="2275"/>
        <v>0</v>
      </c>
      <c r="BF297" s="89">
        <f t="shared" si="2275"/>
        <v>2.05516396613229</v>
      </c>
      <c r="BG297" s="89">
        <f t="shared" si="2275"/>
        <v>0</v>
      </c>
      <c r="BH297" s="89">
        <f t="shared" si="2275"/>
        <v>-2.4541215032812924E-2</v>
      </c>
      <c r="BI297" s="89">
        <f t="shared" si="2275"/>
        <v>0</v>
      </c>
      <c r="BJ297" s="89">
        <f t="shared" si="2275"/>
        <v>0.37538217479088543</v>
      </c>
      <c r="BK297" s="89">
        <f t="shared" si="2275"/>
        <v>0</v>
      </c>
      <c r="BL297" s="89">
        <f t="shared" si="2275"/>
        <v>0.19750128448447613</v>
      </c>
      <c r="BM297" s="89">
        <f t="shared" si="2275"/>
        <v>0</v>
      </c>
      <c r="BN297" s="89">
        <f t="shared" si="2275"/>
        <v>5.6805992758604207E-2</v>
      </c>
      <c r="BO297" s="89">
        <f t="shared" si="2275"/>
        <v>0</v>
      </c>
      <c r="BP297" s="89">
        <f t="shared" si="2275"/>
        <v>-0.13905644118914273</v>
      </c>
      <c r="BQ297" s="89">
        <f t="shared" si="2275"/>
        <v>0</v>
      </c>
      <c r="BR297" s="89">
        <f t="shared" ref="BR297:DB297" si="2276">BR177/BQ177-1</f>
        <v>-0.51980097970339423</v>
      </c>
      <c r="BS297" s="89">
        <f t="shared" si="2276"/>
        <v>0</v>
      </c>
      <c r="BT297" s="89">
        <f t="shared" si="2276"/>
        <v>0.6480249313585984</v>
      </c>
      <c r="BU297" s="89">
        <f t="shared" si="2276"/>
        <v>0</v>
      </c>
      <c r="BV297" s="89">
        <f t="shared" si="2276"/>
        <v>-0.38808729015036814</v>
      </c>
      <c r="BW297" s="89">
        <f t="shared" si="2276"/>
        <v>0</v>
      </c>
      <c r="BX297" s="89">
        <f t="shared" si="2276"/>
        <v>0.10506076294007172</v>
      </c>
      <c r="BY297" s="89">
        <f t="shared" si="2276"/>
        <v>0</v>
      </c>
      <c r="BZ297" s="89">
        <f t="shared" si="2276"/>
        <v>-0.48228576566855497</v>
      </c>
      <c r="CA297" s="89">
        <f t="shared" si="2276"/>
        <v>0</v>
      </c>
      <c r="CB297" s="89">
        <f t="shared" si="2276"/>
        <v>-0.23683890577507605</v>
      </c>
      <c r="CC297" s="89">
        <f t="shared" si="2276"/>
        <v>0</v>
      </c>
      <c r="CD297" s="89">
        <f t="shared" si="2276"/>
        <v>-0.55171942920867567</v>
      </c>
      <c r="CE297" s="89">
        <f t="shared" si="2276"/>
        <v>0</v>
      </c>
      <c r="CF297" s="89">
        <f t="shared" si="2276"/>
        <v>-0.23074579885261715</v>
      </c>
      <c r="CG297" s="89">
        <f t="shared" si="2276"/>
        <v>0</v>
      </c>
      <c r="CH297" s="89">
        <f t="shared" si="2276"/>
        <v>-0.30001979936642031</v>
      </c>
      <c r="CI297" s="89">
        <f t="shared" si="2276"/>
        <v>0</v>
      </c>
      <c r="CJ297" s="89">
        <f t="shared" si="2276"/>
        <v>1.9285976937799947</v>
      </c>
      <c r="CK297" s="89">
        <f t="shared" si="2276"/>
        <v>0</v>
      </c>
      <c r="CL297" s="89">
        <f t="shared" si="2276"/>
        <v>3.2790315830140688</v>
      </c>
      <c r="CM297" s="47">
        <f t="shared" si="2276"/>
        <v>0</v>
      </c>
      <c r="CN297" s="47">
        <f t="shared" si="2276"/>
        <v>0</v>
      </c>
      <c r="CO297" s="47">
        <f t="shared" si="2276"/>
        <v>0</v>
      </c>
      <c r="CP297" s="47">
        <f t="shared" si="2276"/>
        <v>1.1285747605540548</v>
      </c>
      <c r="CQ297" s="47">
        <f t="shared" si="2276"/>
        <v>0.70693610358027792</v>
      </c>
      <c r="CR297" s="47">
        <f t="shared" si="2276"/>
        <v>0</v>
      </c>
      <c r="CS297" s="47">
        <f t="shared" si="2276"/>
        <v>0</v>
      </c>
      <c r="CT297" s="47">
        <f t="shared" si="2276"/>
        <v>0</v>
      </c>
      <c r="CU297" s="47">
        <f t="shared" si="2276"/>
        <v>0</v>
      </c>
      <c r="CV297" s="47">
        <f t="shared" si="2276"/>
        <v>0</v>
      </c>
      <c r="CW297" s="47">
        <f t="shared" si="2276"/>
        <v>0</v>
      </c>
      <c r="CX297" s="47">
        <f t="shared" si="2276"/>
        <v>0</v>
      </c>
      <c r="CY297" s="47">
        <f t="shared" si="2276"/>
        <v>0</v>
      </c>
      <c r="CZ297" s="47">
        <f t="shared" si="2276"/>
        <v>0</v>
      </c>
      <c r="DA297" s="47">
        <f t="shared" si="2276"/>
        <v>0</v>
      </c>
      <c r="DB297" s="47">
        <f t="shared" si="2276"/>
        <v>0</v>
      </c>
      <c r="DE297" s="130"/>
      <c r="DF297" s="89">
        <v>0</v>
      </c>
    </row>
    <row r="298" spans="1:110" s="89" customFormat="1" x14ac:dyDescent="0.2">
      <c r="A298" s="89" t="s">
        <v>104</v>
      </c>
      <c r="C298" s="89">
        <f>C77/B77-1</f>
        <v>1.0570281933881973</v>
      </c>
      <c r="D298" s="89">
        <f>D77/C77-1</f>
        <v>4.5715953382885255E-2</v>
      </c>
      <c r="F298" s="89">
        <f t="shared" ref="F298:AE298" si="2277">F77/E77-1</f>
        <v>-0.12215448473856583</v>
      </c>
      <c r="G298" s="89">
        <f t="shared" si="2277"/>
        <v>0.48257994576722463</v>
      </c>
      <c r="H298" s="89">
        <f t="shared" si="2277"/>
        <v>0.33179369935557324</v>
      </c>
      <c r="I298" s="89">
        <f t="shared" si="2277"/>
        <v>0.18459533933154848</v>
      </c>
      <c r="J298" s="89">
        <f t="shared" si="2277"/>
        <v>0.24466305049772075</v>
      </c>
      <c r="K298" s="89">
        <f t="shared" si="2277"/>
        <v>0.25201801561589598</v>
      </c>
      <c r="L298" s="89">
        <f t="shared" si="2277"/>
        <v>0.3682263894898461</v>
      </c>
      <c r="M298" s="89">
        <f t="shared" si="2277"/>
        <v>0.25735341375526244</v>
      </c>
      <c r="N298" s="89">
        <f t="shared" si="2277"/>
        <v>5.7489465283833141E-4</v>
      </c>
      <c r="O298" s="89">
        <f t="shared" si="2277"/>
        <v>0.10102806140650578</v>
      </c>
      <c r="P298" s="89">
        <f t="shared" si="2277"/>
        <v>0.16488406911986009</v>
      </c>
      <c r="Q298" s="89">
        <f t="shared" si="2277"/>
        <v>0.21149967856955887</v>
      </c>
      <c r="R298" s="89">
        <f t="shared" si="2277"/>
        <v>0.20929137497286976</v>
      </c>
      <c r="S298" s="89">
        <f t="shared" si="2277"/>
        <v>0.22103267693065343</v>
      </c>
      <c r="T298" s="89">
        <f t="shared" si="2277"/>
        <v>5.2297891167591315E-2</v>
      </c>
      <c r="U298" s="89">
        <f t="shared" si="2277"/>
        <v>-7.3451683921972655E-2</v>
      </c>
      <c r="V298" s="89">
        <f t="shared" si="2277"/>
        <v>1.0730631935666808</v>
      </c>
      <c r="W298" s="89">
        <f t="shared" si="2277"/>
        <v>0.69232257778703055</v>
      </c>
      <c r="X298" s="89">
        <f t="shared" si="2277"/>
        <v>-2.1768722559640241E-2</v>
      </c>
      <c r="Y298" s="89">
        <f t="shared" si="2277"/>
        <v>-0.46851697194892461</v>
      </c>
      <c r="Z298" s="89">
        <f t="shared" si="2277"/>
        <v>-0.28289640528619708</v>
      </c>
      <c r="AA298" s="89">
        <f t="shared" ref="AA298" si="2278">AA77/Z77-1</f>
        <v>6.5089213639768051E-2</v>
      </c>
      <c r="AB298" s="47">
        <f t="shared" si="2277"/>
        <v>0.64176805637997614</v>
      </c>
      <c r="AC298" s="47">
        <f t="shared" si="2277"/>
        <v>0.55135899313158365</v>
      </c>
      <c r="AD298" s="47">
        <f t="shared" si="2277"/>
        <v>0.3790917829770466</v>
      </c>
      <c r="AE298" s="47">
        <f t="shared" si="2277"/>
        <v>0.39309613926921361</v>
      </c>
      <c r="AL298" s="89">
        <f t="shared" ref="AL298:BQ298" si="2279">AL77/AK77-1</f>
        <v>6.7925899019251723E-2</v>
      </c>
      <c r="AM298" s="89">
        <f t="shared" si="2279"/>
        <v>0.286848072562359</v>
      </c>
      <c r="AN298" s="89">
        <f t="shared" si="2279"/>
        <v>0.22286343612334858</v>
      </c>
      <c r="AO298" s="89">
        <f t="shared" si="2279"/>
        <v>-0.29968658813357951</v>
      </c>
      <c r="AP298" s="89">
        <f t="shared" si="2279"/>
        <v>8.6934156378602578E-2</v>
      </c>
      <c r="AQ298" s="89">
        <f t="shared" si="2279"/>
        <v>0.18125887363937521</v>
      </c>
      <c r="AR298" s="89">
        <f t="shared" si="2279"/>
        <v>7.8285256410255855E-2</v>
      </c>
      <c r="AS298" s="89">
        <f t="shared" si="2279"/>
        <v>-0.19803819573456194</v>
      </c>
      <c r="AT298" s="89">
        <f t="shared" si="2279"/>
        <v>0.33904744255003805</v>
      </c>
      <c r="AU298" s="89">
        <f t="shared" si="2279"/>
        <v>2.8371738979999783E-3</v>
      </c>
      <c r="AV298" s="89">
        <f t="shared" si="2279"/>
        <v>-3.5709356886558741E-2</v>
      </c>
      <c r="AW298" s="89">
        <f t="shared" si="2279"/>
        <v>0.11238326952663824</v>
      </c>
      <c r="AX298" s="89">
        <f t="shared" si="2279"/>
        <v>0.31457060147957572</v>
      </c>
      <c r="AY298" s="89">
        <f t="shared" si="2279"/>
        <v>-1.3359432346464528E-2</v>
      </c>
      <c r="AZ298" s="89">
        <f t="shared" si="2279"/>
        <v>-1.6268227358396947E-2</v>
      </c>
      <c r="BA298" s="89">
        <f t="shared" si="2279"/>
        <v>-7.7669658162751287E-2</v>
      </c>
      <c r="BB298" s="89">
        <f t="shared" si="2279"/>
        <v>4.3458058873370176E-2</v>
      </c>
      <c r="BC298" s="89">
        <f t="shared" si="2279"/>
        <v>6.2812688267805061E-2</v>
      </c>
      <c r="BD298" s="89">
        <f t="shared" si="2279"/>
        <v>0.26974738139248422</v>
      </c>
      <c r="BE298" s="89">
        <f t="shared" si="2279"/>
        <v>-1.8400621118013216E-2</v>
      </c>
      <c r="BF298" s="89">
        <f t="shared" si="2279"/>
        <v>-7.343984813730986E-2</v>
      </c>
      <c r="BG298" s="89">
        <f t="shared" si="2279"/>
        <v>0.2521234367664027</v>
      </c>
      <c r="BH298" s="89">
        <f t="shared" si="2279"/>
        <v>-0.23656940278156569</v>
      </c>
      <c r="BI298" s="89">
        <f t="shared" si="2279"/>
        <v>-4.9115913555992541E-2</v>
      </c>
      <c r="BJ298" s="89">
        <f t="shared" si="2279"/>
        <v>0.11173459804658226</v>
      </c>
      <c r="BK298" s="89">
        <f t="shared" si="2279"/>
        <v>-0.20778864226732308</v>
      </c>
      <c r="BL298" s="89">
        <f t="shared" si="2279"/>
        <v>0.19337811900191926</v>
      </c>
      <c r="BM298" s="89">
        <f t="shared" si="2279"/>
        <v>-4.309073850690226E-2</v>
      </c>
      <c r="BN298" s="89">
        <f t="shared" si="2279"/>
        <v>0.29869038448070562</v>
      </c>
      <c r="BO298" s="89">
        <f t="shared" si="2279"/>
        <v>-4.3194564279550929E-2</v>
      </c>
      <c r="BP298" s="89">
        <f t="shared" si="2279"/>
        <v>0.38460237840274991</v>
      </c>
      <c r="BQ298" s="89">
        <f t="shared" si="2279"/>
        <v>0.59252927368692454</v>
      </c>
      <c r="BR298" s="89">
        <f t="shared" ref="BR298:DB298" si="2280">BR77/BQ77-1</f>
        <v>9.8439989435209707E-2</v>
      </c>
      <c r="BS298" s="89">
        <f t="shared" si="2280"/>
        <v>9.8475858057009535E-2</v>
      </c>
      <c r="BT298" s="89">
        <f t="shared" si="2280"/>
        <v>-8.2085283962124667E-2</v>
      </c>
      <c r="BU298" s="89">
        <f t="shared" si="2280"/>
        <v>0.19370596018339059</v>
      </c>
      <c r="BV298" s="89">
        <f t="shared" si="2280"/>
        <v>0.26382131372561712</v>
      </c>
      <c r="BW298" s="89">
        <f t="shared" si="2280"/>
        <v>9.5244651124844371E-2</v>
      </c>
      <c r="BX298" s="89">
        <f t="shared" si="2280"/>
        <v>-0.19409669685048558</v>
      </c>
      <c r="BY298" s="89">
        <f t="shared" si="2280"/>
        <v>-0.26184259173675939</v>
      </c>
      <c r="BZ298" s="89">
        <f t="shared" si="2280"/>
        <v>-0.27116561536414729</v>
      </c>
      <c r="CA298" s="89">
        <f t="shared" si="2280"/>
        <v>5.2754781002695372E-2</v>
      </c>
      <c r="CB298" s="89">
        <f t="shared" si="2280"/>
        <v>-0.45141877970665611</v>
      </c>
      <c r="CC298" s="89">
        <f t="shared" si="2280"/>
        <v>0.3795180722891569</v>
      </c>
      <c r="CD298" s="89">
        <f t="shared" si="2280"/>
        <v>0.31690387621974181</v>
      </c>
      <c r="CE298" s="89">
        <f t="shared" si="2280"/>
        <v>-0.32356282430482364</v>
      </c>
      <c r="CF298" s="89">
        <f t="shared" si="2280"/>
        <v>-8.1792598420431628E-2</v>
      </c>
      <c r="CG298" s="89">
        <f t="shared" si="2280"/>
        <v>-0.24690218824149701</v>
      </c>
      <c r="CH298" s="89">
        <f t="shared" si="2280"/>
        <v>0.3054218449151056</v>
      </c>
      <c r="CI298" s="89">
        <f t="shared" si="2280"/>
        <v>-8.3267686841091093E-2</v>
      </c>
      <c r="CJ298" s="89">
        <f t="shared" si="2280"/>
        <v>9.3591735990492975E-2</v>
      </c>
      <c r="CK298" s="89">
        <f t="shared" si="2280"/>
        <v>-5.2479352659912326E-2</v>
      </c>
      <c r="CL298" s="89">
        <f t="shared" si="2280"/>
        <v>0.6629730921923247</v>
      </c>
      <c r="CM298" s="47">
        <f t="shared" si="2280"/>
        <v>7.7688759723897327E-3</v>
      </c>
      <c r="CN298" s="47">
        <f t="shared" si="2280"/>
        <v>3.5814239678787496E-2</v>
      </c>
      <c r="CO298" s="47">
        <f t="shared" si="2280"/>
        <v>-3.8385988430120865E-2</v>
      </c>
      <c r="CP298" s="47">
        <f t="shared" si="2280"/>
        <v>0.24700822323048022</v>
      </c>
      <c r="CQ298" s="47">
        <f t="shared" si="2280"/>
        <v>0.28833031721728464</v>
      </c>
      <c r="CR298" s="47">
        <f t="shared" si="2280"/>
        <v>-1.39080068733477E-3</v>
      </c>
      <c r="CS298" s="47">
        <f t="shared" si="2280"/>
        <v>-2.9554527679126696E-2</v>
      </c>
      <c r="CT298" s="47">
        <f t="shared" si="2280"/>
        <v>0.21324817177768862</v>
      </c>
      <c r="CU298" s="47">
        <f t="shared" si="2280"/>
        <v>0.15254006933807873</v>
      </c>
      <c r="CV298" s="47">
        <f t="shared" si="2280"/>
        <v>2.6822089259459947E-2</v>
      </c>
      <c r="CW298" s="47">
        <f t="shared" si="2280"/>
        <v>-3.4156128635461913E-2</v>
      </c>
      <c r="CX298" s="47">
        <f t="shared" si="2280"/>
        <v>0.2082037320497454</v>
      </c>
      <c r="CY298" s="47">
        <f t="shared" si="2280"/>
        <v>0.15979707020345346</v>
      </c>
      <c r="CZ298" s="47">
        <f t="shared" si="2280"/>
        <v>3.1830170701391047E-2</v>
      </c>
      <c r="DA298" s="47">
        <f t="shared" si="2280"/>
        <v>-3.7398541714118605E-2</v>
      </c>
      <c r="DB298" s="47">
        <f t="shared" si="2280"/>
        <v>0.21018907773474149</v>
      </c>
      <c r="DE298" s="130"/>
      <c r="DF298" s="89">
        <v>0.37751521181199044</v>
      </c>
    </row>
    <row r="299" spans="1:110" s="103" customFormat="1" x14ac:dyDescent="0.2">
      <c r="A299" s="147" t="s">
        <v>105</v>
      </c>
      <c r="C299" s="103">
        <f>IF(C297&gt;C298,"RF",0)</f>
        <v>0</v>
      </c>
      <c r="D299" s="103" t="str">
        <f t="shared" ref="D299:U299" si="2281">IF(D297&gt;D298,"RF",0)</f>
        <v>RF</v>
      </c>
      <c r="F299" s="103" t="str">
        <f t="shared" si="2281"/>
        <v>RF</v>
      </c>
      <c r="G299" s="103">
        <f t="shared" si="2281"/>
        <v>0</v>
      </c>
      <c r="H299" s="103">
        <f t="shared" si="2281"/>
        <v>0</v>
      </c>
      <c r="I299" s="103" t="str">
        <f t="shared" si="2281"/>
        <v>RF</v>
      </c>
      <c r="J299" s="103">
        <f t="shared" si="2281"/>
        <v>0</v>
      </c>
      <c r="K299" s="103">
        <f t="shared" si="2281"/>
        <v>0</v>
      </c>
      <c r="L299" s="103" t="str">
        <f t="shared" si="2281"/>
        <v>RF</v>
      </c>
      <c r="M299" s="103" t="str">
        <f t="shared" si="2281"/>
        <v>RF</v>
      </c>
      <c r="N299" s="103" t="str">
        <f t="shared" si="2281"/>
        <v>RF</v>
      </c>
      <c r="O299" s="103">
        <f t="shared" si="2281"/>
        <v>0</v>
      </c>
      <c r="P299" s="103">
        <f t="shared" si="2281"/>
        <v>0</v>
      </c>
      <c r="Q299" s="103">
        <f t="shared" si="2281"/>
        <v>0</v>
      </c>
      <c r="R299" s="103">
        <f t="shared" si="2281"/>
        <v>0</v>
      </c>
      <c r="S299" s="103" t="str">
        <f t="shared" si="2281"/>
        <v>RF</v>
      </c>
      <c r="T299" s="103" t="str">
        <f t="shared" si="2281"/>
        <v>RF</v>
      </c>
      <c r="U299" s="103" t="str">
        <f t="shared" si="2281"/>
        <v>RF</v>
      </c>
      <c r="V299" s="103">
        <f>IF(V297&gt;V298,"RF",0)</f>
        <v>0</v>
      </c>
      <c r="W299" s="103">
        <f t="shared" ref="W299:AE299" si="2282">IF(W297&gt;W298,"RF",0)</f>
        <v>0</v>
      </c>
      <c r="X299" s="103">
        <f t="shared" si="2282"/>
        <v>0</v>
      </c>
      <c r="Y299" s="103">
        <f t="shared" si="2282"/>
        <v>0</v>
      </c>
      <c r="Z299" s="103">
        <f t="shared" si="2282"/>
        <v>0</v>
      </c>
      <c r="AA299" s="103">
        <f t="shared" ref="AA299" si="2283">IF(AA297&gt;AA298,"RF",0)</f>
        <v>0</v>
      </c>
      <c r="AB299" s="73" t="e">
        <f t="shared" si="2282"/>
        <v>#DIV/0!</v>
      </c>
      <c r="AC299" s="73" t="str">
        <f t="shared" si="2282"/>
        <v>RF</v>
      </c>
      <c r="AD299" s="73">
        <f t="shared" si="2282"/>
        <v>0</v>
      </c>
      <c r="AE299" s="73">
        <f t="shared" si="2282"/>
        <v>0</v>
      </c>
      <c r="AL299" s="103" t="str">
        <f t="shared" ref="AL299:CW299" si="2284">IF(AL297&gt;AL298,"RF",0)</f>
        <v>RF</v>
      </c>
      <c r="AM299" s="103">
        <f t="shared" si="2284"/>
        <v>0</v>
      </c>
      <c r="AN299" s="103">
        <f t="shared" si="2284"/>
        <v>0</v>
      </c>
      <c r="AO299" s="103" t="str">
        <f t="shared" si="2284"/>
        <v>RF</v>
      </c>
      <c r="AP299" s="103">
        <f t="shared" si="2284"/>
        <v>0</v>
      </c>
      <c r="AQ299" s="103">
        <f t="shared" si="2284"/>
        <v>0</v>
      </c>
      <c r="AR299" s="103">
        <f t="shared" si="2284"/>
        <v>0</v>
      </c>
      <c r="AS299" s="103" t="str">
        <f t="shared" si="2284"/>
        <v>RF</v>
      </c>
      <c r="AT299" s="103">
        <f t="shared" si="2284"/>
        <v>0</v>
      </c>
      <c r="AU299" s="103">
        <f t="shared" si="2284"/>
        <v>0</v>
      </c>
      <c r="AV299" s="103">
        <f t="shared" si="2284"/>
        <v>0</v>
      </c>
      <c r="AW299" s="103">
        <f t="shared" si="2284"/>
        <v>0</v>
      </c>
      <c r="AX299" s="103">
        <f t="shared" si="2284"/>
        <v>0</v>
      </c>
      <c r="AY299" s="103" t="str">
        <f t="shared" si="2284"/>
        <v>RF</v>
      </c>
      <c r="AZ299" s="103">
        <f t="shared" si="2284"/>
        <v>0</v>
      </c>
      <c r="BA299" s="103" t="str">
        <f t="shared" si="2284"/>
        <v>RF</v>
      </c>
      <c r="BB299" s="103">
        <f t="shared" si="2284"/>
        <v>0</v>
      </c>
      <c r="BC299" s="103">
        <f t="shared" si="2284"/>
        <v>0</v>
      </c>
      <c r="BD299" s="103">
        <f t="shared" si="2284"/>
        <v>0</v>
      </c>
      <c r="BE299" s="103" t="str">
        <f t="shared" si="2284"/>
        <v>RF</v>
      </c>
      <c r="BF299" s="103" t="str">
        <f t="shared" si="2284"/>
        <v>RF</v>
      </c>
      <c r="BG299" s="103">
        <f t="shared" si="2284"/>
        <v>0</v>
      </c>
      <c r="BH299" s="103" t="str">
        <f t="shared" si="2284"/>
        <v>RF</v>
      </c>
      <c r="BI299" s="103" t="str">
        <f t="shared" si="2284"/>
        <v>RF</v>
      </c>
      <c r="BJ299" s="103" t="str">
        <f t="shared" si="2284"/>
        <v>RF</v>
      </c>
      <c r="BK299" s="103" t="str">
        <f t="shared" si="2284"/>
        <v>RF</v>
      </c>
      <c r="BL299" s="103" t="str">
        <f t="shared" si="2284"/>
        <v>RF</v>
      </c>
      <c r="BM299" s="103" t="str">
        <f t="shared" si="2284"/>
        <v>RF</v>
      </c>
      <c r="BN299" s="103">
        <f t="shared" si="2284"/>
        <v>0</v>
      </c>
      <c r="BO299" s="103" t="str">
        <f t="shared" si="2284"/>
        <v>RF</v>
      </c>
      <c r="BP299" s="103">
        <f t="shared" si="2284"/>
        <v>0</v>
      </c>
      <c r="BQ299" s="103">
        <f t="shared" si="2284"/>
        <v>0</v>
      </c>
      <c r="BR299" s="103">
        <f t="shared" si="2284"/>
        <v>0</v>
      </c>
      <c r="BS299" s="103">
        <f t="shared" si="2284"/>
        <v>0</v>
      </c>
      <c r="BT299" s="103" t="str">
        <f t="shared" si="2284"/>
        <v>RF</v>
      </c>
      <c r="BU299" s="103">
        <f t="shared" si="2284"/>
        <v>0</v>
      </c>
      <c r="BV299" s="103">
        <f t="shared" si="2284"/>
        <v>0</v>
      </c>
      <c r="BW299" s="103">
        <f t="shared" si="2284"/>
        <v>0</v>
      </c>
      <c r="BX299" s="103" t="str">
        <f t="shared" si="2284"/>
        <v>RF</v>
      </c>
      <c r="BY299" s="103" t="str">
        <f t="shared" si="2284"/>
        <v>RF</v>
      </c>
      <c r="BZ299" s="103">
        <f t="shared" si="2284"/>
        <v>0</v>
      </c>
      <c r="CA299" s="103">
        <f t="shared" si="2284"/>
        <v>0</v>
      </c>
      <c r="CB299" s="103" t="str">
        <f t="shared" si="2284"/>
        <v>RF</v>
      </c>
      <c r="CC299" s="103">
        <f t="shared" si="2284"/>
        <v>0</v>
      </c>
      <c r="CD299" s="103">
        <f t="shared" si="2284"/>
        <v>0</v>
      </c>
      <c r="CE299" s="103" t="str">
        <f t="shared" si="2284"/>
        <v>RF</v>
      </c>
      <c r="CF299" s="103">
        <f t="shared" si="2284"/>
        <v>0</v>
      </c>
      <c r="CG299" s="103" t="str">
        <f t="shared" si="2284"/>
        <v>RF</v>
      </c>
      <c r="CH299" s="103">
        <f t="shared" si="2284"/>
        <v>0</v>
      </c>
      <c r="CI299" s="103" t="str">
        <f t="shared" si="2284"/>
        <v>RF</v>
      </c>
      <c r="CJ299" s="103" t="str">
        <f t="shared" si="2284"/>
        <v>RF</v>
      </c>
      <c r="CK299" s="103" t="str">
        <f t="shared" si="2284"/>
        <v>RF</v>
      </c>
      <c r="CL299" s="103" t="str">
        <f t="shared" ref="CL299" si="2285">IF(CL297&gt;CL298,"RF",0)</f>
        <v>RF</v>
      </c>
      <c r="CM299" s="73">
        <f t="shared" si="2284"/>
        <v>0</v>
      </c>
      <c r="CN299" s="73">
        <f t="shared" si="2284"/>
        <v>0</v>
      </c>
      <c r="CO299" s="73" t="str">
        <f t="shared" si="2284"/>
        <v>RF</v>
      </c>
      <c r="CP299" s="73" t="str">
        <f t="shared" si="2284"/>
        <v>RF</v>
      </c>
      <c r="CQ299" s="73" t="str">
        <f t="shared" si="2284"/>
        <v>RF</v>
      </c>
      <c r="CR299" s="73" t="str">
        <f t="shared" si="2284"/>
        <v>RF</v>
      </c>
      <c r="CS299" s="73" t="str">
        <f t="shared" si="2284"/>
        <v>RF</v>
      </c>
      <c r="CT299" s="73">
        <f t="shared" si="2284"/>
        <v>0</v>
      </c>
      <c r="CU299" s="73">
        <f t="shared" si="2284"/>
        <v>0</v>
      </c>
      <c r="CV299" s="73">
        <f t="shared" si="2284"/>
        <v>0</v>
      </c>
      <c r="CW299" s="73" t="str">
        <f t="shared" si="2284"/>
        <v>RF</v>
      </c>
      <c r="CX299" s="73">
        <f t="shared" ref="CX299:DB299" si="2286">IF(CX297&gt;CX298,"RF",0)</f>
        <v>0</v>
      </c>
      <c r="CY299" s="73">
        <f t="shared" si="2286"/>
        <v>0</v>
      </c>
      <c r="CZ299" s="73">
        <f t="shared" si="2286"/>
        <v>0</v>
      </c>
      <c r="DA299" s="73" t="str">
        <f t="shared" si="2286"/>
        <v>RF</v>
      </c>
      <c r="DB299" s="73">
        <f t="shared" si="2286"/>
        <v>0</v>
      </c>
      <c r="DE299" s="142"/>
      <c r="DF299" s="103">
        <v>0</v>
      </c>
    </row>
    <row r="300" spans="1:110" s="86" customFormat="1" x14ac:dyDescent="0.2">
      <c r="A300" s="86" t="s">
        <v>432</v>
      </c>
      <c r="B300" s="86">
        <f>B85/B57</f>
        <v>7.7942309457160852E-2</v>
      </c>
      <c r="C300" s="86">
        <f>C85/C57</f>
        <v>5.0718813158081869E-2</v>
      </c>
      <c r="D300" s="86">
        <f>D85/D57</f>
        <v>3.3094429585969705E-2</v>
      </c>
      <c r="F300" s="86">
        <f t="shared" ref="F300:AE300" si="2287">F85/F57</f>
        <v>2.784803475513813E-2</v>
      </c>
      <c r="G300" s="86">
        <f t="shared" si="2287"/>
        <v>3.028629335030331E-2</v>
      </c>
      <c r="H300" s="86">
        <f t="shared" si="2287"/>
        <v>3.1323171932661431E-2</v>
      </c>
      <c r="I300" s="86">
        <f t="shared" si="2287"/>
        <v>3.3035683012903307E-2</v>
      </c>
      <c r="J300" s="86">
        <f t="shared" si="2287"/>
        <v>3.7231709667724849E-2</v>
      </c>
      <c r="K300" s="86">
        <f t="shared" si="2287"/>
        <v>3.5021544726277443E-2</v>
      </c>
      <c r="L300" s="86">
        <f t="shared" si="2287"/>
        <v>3.6182276060719422E-2</v>
      </c>
      <c r="M300" s="86">
        <f t="shared" si="2287"/>
        <v>4.3637012943041793E-2</v>
      </c>
      <c r="N300" s="86">
        <f t="shared" si="2287"/>
        <v>4.5658250574663967E-2</v>
      </c>
      <c r="O300" s="86">
        <f t="shared" si="2287"/>
        <v>4.7212639221952776E-2</v>
      </c>
      <c r="P300" s="86">
        <f t="shared" si="2287"/>
        <v>5.1770608320249933E-2</v>
      </c>
      <c r="Q300" s="86">
        <f t="shared" si="2287"/>
        <v>3.1729508101410391E-2</v>
      </c>
      <c r="R300" s="86">
        <f t="shared" si="2287"/>
        <v>1.7706903305475044E-2</v>
      </c>
      <c r="S300" s="86">
        <f t="shared" si="2287"/>
        <v>1.0336370640541222E-2</v>
      </c>
      <c r="T300" s="86">
        <f t="shared" si="2287"/>
        <v>1.3812479756820416E-2</v>
      </c>
      <c r="U300" s="86">
        <f t="shared" si="2287"/>
        <v>2.4615648326281343E-2</v>
      </c>
      <c r="V300" s="86">
        <f t="shared" si="2287"/>
        <v>1.3948094753682382E-2</v>
      </c>
      <c r="W300" s="86">
        <f t="shared" si="2287"/>
        <v>7.3510010469189395E-3</v>
      </c>
      <c r="X300" s="86">
        <f t="shared" si="2287"/>
        <v>5.073968764811543E-3</v>
      </c>
      <c r="Y300" s="86">
        <f t="shared" si="2287"/>
        <v>3.9221666983250292E-3</v>
      </c>
      <c r="Z300" s="86">
        <f t="shared" si="2287"/>
        <v>2.6401787791052568E-3</v>
      </c>
      <c r="AA300" s="86">
        <f t="shared" ref="AA300" si="2288">AA85/AA57</f>
        <v>1.7601272224716427E-3</v>
      </c>
      <c r="AB300" s="87">
        <f t="shared" si="2287"/>
        <v>-9.7903493287380041E-3</v>
      </c>
      <c r="AC300" s="87">
        <f t="shared" si="2287"/>
        <v>8.6863053906994243E-3</v>
      </c>
      <c r="AD300" s="87">
        <f t="shared" si="2287"/>
        <v>1.0879699364652405E-2</v>
      </c>
      <c r="AE300" s="87">
        <f t="shared" si="2287"/>
        <v>6.837649894756887E-3</v>
      </c>
      <c r="AL300" s="86">
        <f t="shared" ref="AL300:CW300" si="2289">AL85/AL57</f>
        <v>4.2126095561210067E-2</v>
      </c>
      <c r="AM300" s="86">
        <f t="shared" si="2289"/>
        <v>5.246252676659529E-2</v>
      </c>
      <c r="AN300" s="86">
        <f t="shared" si="2289"/>
        <v>4.4275653048803203E-2</v>
      </c>
      <c r="AO300" s="86">
        <f t="shared" si="2289"/>
        <v>6.3268125954476034E-2</v>
      </c>
      <c r="AP300" s="86">
        <f t="shared" si="2289"/>
        <v>4.8571428571428571E-2</v>
      </c>
      <c r="AQ300" s="86">
        <f t="shared" si="2289"/>
        <v>5.0829938590624429E-2</v>
      </c>
      <c r="AR300" s="86">
        <f t="shared" si="2289"/>
        <v>5.2788301761382522E-2</v>
      </c>
      <c r="AS300" s="86">
        <f t="shared" si="2289"/>
        <v>5.4081142889409642E-2</v>
      </c>
      <c r="AT300" s="86">
        <f t="shared" si="2289"/>
        <v>5.0279894786538069E-2</v>
      </c>
      <c r="AU300" s="86">
        <f t="shared" si="2289"/>
        <v>3.5887894961036358E-2</v>
      </c>
      <c r="AV300" s="86">
        <f t="shared" si="2289"/>
        <v>2.993960111327967E-2</v>
      </c>
      <c r="AW300" s="86">
        <f t="shared" si="2289"/>
        <v>3.1972248408781434E-2</v>
      </c>
      <c r="AX300" s="86">
        <f t="shared" si="2289"/>
        <v>2.2124656125823212E-2</v>
      </c>
      <c r="AY300" s="86">
        <f t="shared" si="2289"/>
        <v>1.9159258933286395E-2</v>
      </c>
      <c r="AZ300" s="86">
        <f t="shared" si="2289"/>
        <v>1.7507885519108222E-2</v>
      </c>
      <c r="BA300" s="86">
        <f t="shared" si="2289"/>
        <v>1.5042725557651758E-2</v>
      </c>
      <c r="BB300" s="86">
        <f t="shared" si="2289"/>
        <v>1.2835182586814814E-2</v>
      </c>
      <c r="BC300" s="86">
        <f t="shared" si="2289"/>
        <v>1.3630161292741076E-2</v>
      </c>
      <c r="BD300" s="86">
        <f t="shared" si="2289"/>
        <v>9.7170861664479698E-3</v>
      </c>
      <c r="BE300" s="86">
        <f t="shared" si="2289"/>
        <v>8.138477496949785E-3</v>
      </c>
      <c r="BF300" s="86">
        <f t="shared" si="2289"/>
        <v>1.0096460755785491E-2</v>
      </c>
      <c r="BG300" s="86">
        <f t="shared" si="2289"/>
        <v>1.2351522007641783E-2</v>
      </c>
      <c r="BH300" s="86">
        <f t="shared" si="2289"/>
        <v>1.3954821323743535E-2</v>
      </c>
      <c r="BI300" s="86">
        <f t="shared" si="2289"/>
        <v>1.4752066461765224E-2</v>
      </c>
      <c r="BJ300" s="86">
        <f t="shared" si="2289"/>
        <v>1.4447028298348343E-2</v>
      </c>
      <c r="BK300" s="86">
        <f t="shared" si="2289"/>
        <v>1.457997910098351E-2</v>
      </c>
      <c r="BL300" s="86">
        <f t="shared" si="2289"/>
        <v>3.1572740513876603E-2</v>
      </c>
      <c r="BM300" s="86">
        <f t="shared" si="2289"/>
        <v>2.774762103597565E-2</v>
      </c>
      <c r="BN300" s="86">
        <f t="shared" si="2289"/>
        <v>2.4400547229553499E-2</v>
      </c>
      <c r="BO300" s="86">
        <f t="shared" si="2289"/>
        <v>1.9362074379794536E-2</v>
      </c>
      <c r="BP300" s="86">
        <f t="shared" si="2289"/>
        <v>1.9052003470439293E-2</v>
      </c>
      <c r="BQ300" s="86">
        <f t="shared" si="2289"/>
        <v>1.2271534477350451E-2</v>
      </c>
      <c r="BR300" s="86">
        <f t="shared" si="2289"/>
        <v>9.1393460440446911E-3</v>
      </c>
      <c r="BS300" s="86">
        <f t="shared" si="2289"/>
        <v>6.9583585729152114E-3</v>
      </c>
      <c r="BT300" s="86">
        <f t="shared" si="2289"/>
        <v>7.9032512701314173E-3</v>
      </c>
      <c r="BU300" s="86">
        <f t="shared" si="2289"/>
        <v>7.0278547340656234E-3</v>
      </c>
      <c r="BV300" s="86">
        <f t="shared" si="2289"/>
        <v>9.1610859519763808E-3</v>
      </c>
      <c r="BW300" s="86">
        <f t="shared" si="2289"/>
        <v>5.0986910822893219E-3</v>
      </c>
      <c r="BX300" s="86">
        <f t="shared" si="2289"/>
        <v>4.9477498494163085E-3</v>
      </c>
      <c r="BY300" s="86">
        <f t="shared" si="2289"/>
        <v>5.017510086219255E-3</v>
      </c>
      <c r="BZ300" s="86">
        <f t="shared" si="2289"/>
        <v>5.3585634128490963E-3</v>
      </c>
      <c r="CA300" s="86">
        <f t="shared" si="2289"/>
        <v>3.9338067991882214E-3</v>
      </c>
      <c r="CB300" s="86">
        <f t="shared" si="2289"/>
        <v>4.6407248570467545E-3</v>
      </c>
      <c r="CC300" s="86">
        <f t="shared" si="2289"/>
        <v>4.0223498661825239E-3</v>
      </c>
      <c r="CD300" s="86">
        <f t="shared" si="2289"/>
        <v>3.1647327975030015E-3</v>
      </c>
      <c r="CE300" s="86">
        <f t="shared" si="2289"/>
        <v>2.5601305796551493E-3</v>
      </c>
      <c r="CF300" s="86">
        <f t="shared" si="2289"/>
        <v>3.0615510128775411E-3</v>
      </c>
      <c r="CG300" s="86">
        <f t="shared" si="2289"/>
        <v>2.5453429178071679E-3</v>
      </c>
      <c r="CH300" s="86">
        <f t="shared" si="2289"/>
        <v>2.4239640743008778E-3</v>
      </c>
      <c r="CI300" s="86">
        <f t="shared" si="2289"/>
        <v>2.0343750784866926E-3</v>
      </c>
      <c r="CJ300" s="86">
        <f t="shared" si="2289"/>
        <v>2.8160163499260024E-3</v>
      </c>
      <c r="CK300" s="86">
        <f t="shared" si="2289"/>
        <v>4.5487336289356207E-3</v>
      </c>
      <c r="CL300" s="86">
        <f t="shared" ref="CL300" si="2290">CL85/CL57</f>
        <v>5.5118469246629824E-3</v>
      </c>
      <c r="CM300" s="87">
        <f t="shared" si="2289"/>
        <v>-7.7272917542338679E-3</v>
      </c>
      <c r="CN300" s="87">
        <f t="shared" si="2289"/>
        <v>-1.8048221662230347E-2</v>
      </c>
      <c r="CO300" s="87">
        <f t="shared" si="2289"/>
        <v>-1.2586264299187213E-2</v>
      </c>
      <c r="CP300" s="87">
        <f t="shared" si="2289"/>
        <v>-2.0626450522067507E-3</v>
      </c>
      <c r="CQ300" s="87">
        <f t="shared" si="2289"/>
        <v>3.5838764334477601E-3</v>
      </c>
      <c r="CR300" s="87">
        <f t="shared" si="2289"/>
        <v>1.0573880915649097E-2</v>
      </c>
      <c r="CS300" s="87">
        <f t="shared" si="2289"/>
        <v>1.1854684718288211E-2</v>
      </c>
      <c r="CT300" s="87">
        <f t="shared" si="2289"/>
        <v>8.6853280711211307E-3</v>
      </c>
      <c r="CU300" s="87">
        <f t="shared" si="2289"/>
        <v>1.2265058079134935E-2</v>
      </c>
      <c r="CV300" s="87">
        <f t="shared" si="2289"/>
        <v>1.3633652751895164E-2</v>
      </c>
      <c r="CW300" s="87">
        <f t="shared" si="2289"/>
        <v>1.2125307210085774E-2</v>
      </c>
      <c r="CX300" s="87">
        <f t="shared" ref="CX300:DB300" si="2291">CX85/CX57</f>
        <v>6.326508972124203E-3</v>
      </c>
      <c r="CY300" s="87">
        <f t="shared" si="2291"/>
        <v>8.142651459463475E-3</v>
      </c>
      <c r="CZ300" s="87">
        <f t="shared" si="2291"/>
        <v>9.6552524232666314E-3</v>
      </c>
      <c r="DA300" s="87">
        <f t="shared" si="2291"/>
        <v>7.821109842088848E-3</v>
      </c>
      <c r="DB300" s="87">
        <f t="shared" si="2291"/>
        <v>2.5192269972705433E-3</v>
      </c>
      <c r="DE300" s="141"/>
      <c r="DF300" s="86">
        <v>-1.1085295588121982E-2</v>
      </c>
    </row>
    <row r="301" spans="1:110" s="86" customFormat="1" x14ac:dyDescent="0.2">
      <c r="A301" s="86" t="s">
        <v>433</v>
      </c>
      <c r="B301" s="86">
        <f>B81/B57</f>
        <v>3.9887110102588948E-2</v>
      </c>
      <c r="C301" s="86">
        <f>C81/C57</f>
        <v>2.9198568202651261E-2</v>
      </c>
      <c r="D301" s="86">
        <f>D81/D57</f>
        <v>2.9810685083876725E-2</v>
      </c>
      <c r="F301" s="86">
        <f t="shared" ref="F301:AE301" si="2292">F81/F57</f>
        <v>2.8524326647306333E-2</v>
      </c>
      <c r="G301" s="86">
        <f t="shared" si="2292"/>
        <v>2.235960623080753E-2</v>
      </c>
      <c r="H301" s="86">
        <f t="shared" si="2292"/>
        <v>1.9195708397675242E-2</v>
      </c>
      <c r="I301" s="86">
        <f t="shared" si="2292"/>
        <v>1.8567381608919548E-2</v>
      </c>
      <c r="J301" s="86">
        <f t="shared" si="2292"/>
        <v>1.776132689983136E-2</v>
      </c>
      <c r="K301" s="86">
        <f t="shared" si="2292"/>
        <v>2.4805386580447446E-2</v>
      </c>
      <c r="L301" s="86">
        <f t="shared" si="2292"/>
        <v>2.2136983152301781E-2</v>
      </c>
      <c r="M301" s="86">
        <f t="shared" si="2292"/>
        <v>2.1350542652049196E-2</v>
      </c>
      <c r="N301" s="86">
        <f t="shared" si="2292"/>
        <v>2.2854818593976787E-2</v>
      </c>
      <c r="O301" s="86">
        <f t="shared" si="2292"/>
        <v>2.4706385611939809E-2</v>
      </c>
      <c r="P301" s="86">
        <f t="shared" si="2292"/>
        <v>2.9799391392927251E-2</v>
      </c>
      <c r="Q301" s="86">
        <f t="shared" si="2292"/>
        <v>2.7759947682436933E-2</v>
      </c>
      <c r="R301" s="86">
        <f t="shared" si="2292"/>
        <v>2.6980765838088658E-2</v>
      </c>
      <c r="S301" s="86">
        <f t="shared" si="2292"/>
        <v>2.2053684450843831E-2</v>
      </c>
      <c r="T301" s="86">
        <f t="shared" si="2292"/>
        <v>2.073467210828427E-2</v>
      </c>
      <c r="U301" s="86">
        <f t="shared" si="2292"/>
        <v>3.3793476556393087E-2</v>
      </c>
      <c r="V301" s="86">
        <f t="shared" si="2292"/>
        <v>2.6238793840521114E-2</v>
      </c>
      <c r="W301" s="86">
        <f t="shared" si="2292"/>
        <v>1.8054171714480434E-2</v>
      </c>
      <c r="X301" s="86">
        <f t="shared" si="2292"/>
        <v>1.9315386127806609E-2</v>
      </c>
      <c r="Y301" s="86">
        <f t="shared" si="2292"/>
        <v>2.7624112957037168E-2</v>
      </c>
      <c r="Z301" s="86">
        <f t="shared" si="2292"/>
        <v>3.4580052296686391E-2</v>
      </c>
      <c r="AA301" s="86">
        <f t="shared" ref="AA301" si="2293">AA81/AA57</f>
        <v>3.5237317355311867E-2</v>
      </c>
      <c r="AB301" s="87">
        <f t="shared" si="2292"/>
        <v>3.9228461590602809E-2</v>
      </c>
      <c r="AC301" s="87">
        <f t="shared" si="2292"/>
        <v>3.9282210515806458E-2</v>
      </c>
      <c r="AD301" s="87">
        <f t="shared" si="2292"/>
        <v>3.0887520840496955E-2</v>
      </c>
      <c r="AE301" s="87">
        <f t="shared" si="2292"/>
        <v>2.1905117077764436E-2</v>
      </c>
      <c r="AL301" s="86">
        <f t="shared" ref="AL301:CW301" si="2294">AL81/AL57</f>
        <v>2.2759400621996044E-2</v>
      </c>
      <c r="AM301" s="86">
        <f t="shared" si="2294"/>
        <v>2.6909350463954318E-2</v>
      </c>
      <c r="AN301" s="86">
        <f t="shared" si="2294"/>
        <v>2.3513483299588855E-2</v>
      </c>
      <c r="AO301" s="86">
        <f t="shared" si="2294"/>
        <v>3.2724892735073813E-2</v>
      </c>
      <c r="AP301" s="86">
        <f t="shared" si="2294"/>
        <v>2.5714285714285714E-2</v>
      </c>
      <c r="AQ301" s="86">
        <f t="shared" si="2294"/>
        <v>2.9792667355748773E-2</v>
      </c>
      <c r="AR301" s="86">
        <f t="shared" si="2294"/>
        <v>3.2741774675972085E-2</v>
      </c>
      <c r="AS301" s="86">
        <f t="shared" si="2294"/>
        <v>3.5157683729071972E-2</v>
      </c>
      <c r="AT301" s="86">
        <f t="shared" si="2294"/>
        <v>2.550077561205908E-2</v>
      </c>
      <c r="AU301" s="86">
        <f t="shared" si="2294"/>
        <v>2.7512591144854548E-2</v>
      </c>
      <c r="AV301" s="86">
        <f t="shared" si="2294"/>
        <v>2.5360603295954548E-2</v>
      </c>
      <c r="AW301" s="86">
        <f t="shared" si="2294"/>
        <v>2.7061498364110245E-2</v>
      </c>
      <c r="AX301" s="86">
        <f t="shared" si="2294"/>
        <v>2.6248367466029397E-2</v>
      </c>
      <c r="AY301" s="86">
        <f t="shared" si="2294"/>
        <v>2.4704057384263331E-2</v>
      </c>
      <c r="AZ301" s="86">
        <f t="shared" si="2294"/>
        <v>2.6087562663010957E-2</v>
      </c>
      <c r="BA301" s="86">
        <f t="shared" si="2294"/>
        <v>2.4919542781045387E-2</v>
      </c>
      <c r="BB301" s="86">
        <f t="shared" si="2294"/>
        <v>2.458825417700022E-2</v>
      </c>
      <c r="BC301" s="86">
        <f t="shared" si="2294"/>
        <v>2.1947208740896982E-2</v>
      </c>
      <c r="BD301" s="86">
        <f t="shared" si="2294"/>
        <v>2.1720545548530756E-2</v>
      </c>
      <c r="BE301" s="86">
        <f t="shared" si="2294"/>
        <v>1.9969200820702169E-2</v>
      </c>
      <c r="BF301" s="86">
        <f t="shared" si="2294"/>
        <v>2.4117147142795604E-2</v>
      </c>
      <c r="BG301" s="86">
        <f t="shared" si="2294"/>
        <v>1.8111717785037344E-2</v>
      </c>
      <c r="BH301" s="86">
        <f t="shared" si="2294"/>
        <v>2.1882121280755843E-2</v>
      </c>
      <c r="BI301" s="86">
        <f t="shared" si="2294"/>
        <v>1.9747585987421174E-2</v>
      </c>
      <c r="BJ301" s="86">
        <f t="shared" si="2294"/>
        <v>2.3815092158273064E-2</v>
      </c>
      <c r="BK301" s="86">
        <f t="shared" si="2294"/>
        <v>2.5616991887055615E-2</v>
      </c>
      <c r="BL301" s="86">
        <f t="shared" si="2294"/>
        <v>3.4428588401473247E-2</v>
      </c>
      <c r="BM301" s="86">
        <f t="shared" si="2294"/>
        <v>3.500428543172978E-2</v>
      </c>
      <c r="BN301" s="86">
        <f t="shared" si="2294"/>
        <v>3.9232328399741112E-2</v>
      </c>
      <c r="BO301" s="86">
        <f t="shared" si="2294"/>
        <v>3.5597326275178323E-2</v>
      </c>
      <c r="BP301" s="86">
        <f t="shared" si="2294"/>
        <v>3.2919595587584324E-2</v>
      </c>
      <c r="BQ301" s="86">
        <f t="shared" si="2294"/>
        <v>2.2222392235168708E-2</v>
      </c>
      <c r="BR301" s="86">
        <f t="shared" si="2294"/>
        <v>2.045001135172474E-2</v>
      </c>
      <c r="BS301" s="86">
        <f t="shared" si="2294"/>
        <v>2.1467512497753402E-2</v>
      </c>
      <c r="BT301" s="86">
        <f t="shared" si="2294"/>
        <v>2.1025881959093308E-2</v>
      </c>
      <c r="BU301" s="86">
        <f t="shared" si="2294"/>
        <v>1.8566282229440869E-2</v>
      </c>
      <c r="BV301" s="86">
        <f t="shared" si="2294"/>
        <v>1.3816593752162447E-2</v>
      </c>
      <c r="BW301" s="86">
        <f t="shared" si="2294"/>
        <v>1.6536053431059489E-2</v>
      </c>
      <c r="BX301" s="86">
        <f t="shared" si="2294"/>
        <v>1.7545788596432521E-2</v>
      </c>
      <c r="BY301" s="86">
        <f t="shared" si="2294"/>
        <v>2.1054769365199642E-2</v>
      </c>
      <c r="BZ301" s="86">
        <f t="shared" si="2294"/>
        <v>2.3640471366900371E-2</v>
      </c>
      <c r="CA301" s="86">
        <f t="shared" si="2294"/>
        <v>2.4786864881069202E-2</v>
      </c>
      <c r="CB301" s="86">
        <f t="shared" si="2294"/>
        <v>2.8327867473932056E-2</v>
      </c>
      <c r="CC301" s="86">
        <f t="shared" si="2294"/>
        <v>2.8297309564428028E-2</v>
      </c>
      <c r="CD301" s="86">
        <f t="shared" si="2294"/>
        <v>2.9598707049623495E-2</v>
      </c>
      <c r="CE301" s="86">
        <f t="shared" si="2294"/>
        <v>3.0287514360123304E-2</v>
      </c>
      <c r="CF301" s="86">
        <f t="shared" si="2294"/>
        <v>3.4599562388471047E-2</v>
      </c>
      <c r="CG301" s="86">
        <f t="shared" si="2294"/>
        <v>3.7985086081195156E-2</v>
      </c>
      <c r="CH301" s="86">
        <f t="shared" si="2294"/>
        <v>3.6580594679186229E-2</v>
      </c>
      <c r="CI301" s="86">
        <f t="shared" si="2294"/>
        <v>3.8990793685344402E-2</v>
      </c>
      <c r="CJ301" s="86">
        <f t="shared" si="2294"/>
        <v>4.1934858699992951E-2</v>
      </c>
      <c r="CK301" s="86">
        <f t="shared" si="2294"/>
        <v>4.2779828615066059E-2</v>
      </c>
      <c r="CL301" s="86">
        <f t="shared" ref="CL301" si="2295">CL81/CL57</f>
        <v>3.5343198593668468E-2</v>
      </c>
      <c r="CM301" s="87">
        <f t="shared" si="2294"/>
        <v>3.0392515787995962E-2</v>
      </c>
      <c r="CN301" s="87">
        <f t="shared" si="2294"/>
        <v>3.4785487410860398E-2</v>
      </c>
      <c r="CO301" s="87">
        <f t="shared" si="2294"/>
        <v>4.2744417434947453E-2</v>
      </c>
      <c r="CP301" s="87">
        <f t="shared" si="2294"/>
        <v>4.750571572290261E-2</v>
      </c>
      <c r="CQ301" s="87">
        <f t="shared" si="2294"/>
        <v>3.9171116930499482E-2</v>
      </c>
      <c r="CR301" s="87">
        <f t="shared" si="2294"/>
        <v>3.950257861332937E-2</v>
      </c>
      <c r="CS301" s="87">
        <f t="shared" si="2294"/>
        <v>4.2454613379539735E-2</v>
      </c>
      <c r="CT301" s="87">
        <f t="shared" si="2294"/>
        <v>3.6549371794593347E-2</v>
      </c>
      <c r="CU301" s="87">
        <f t="shared" si="2294"/>
        <v>3.2793940698641173E-2</v>
      </c>
      <c r="CV301" s="87">
        <f t="shared" si="2294"/>
        <v>3.1679596782456673E-2</v>
      </c>
      <c r="CW301" s="87">
        <f t="shared" si="2294"/>
        <v>3.2761473571978422E-2</v>
      </c>
      <c r="CX301" s="87">
        <f t="shared" ref="CX301:DB301" si="2296">CX81/CX57</f>
        <v>2.7065996704563614E-2</v>
      </c>
      <c r="CY301" s="87">
        <f t="shared" si="2296"/>
        <v>2.3254810090482483E-2</v>
      </c>
      <c r="CZ301" s="87">
        <f t="shared" si="2296"/>
        <v>2.2457134829686136E-2</v>
      </c>
      <c r="DA301" s="87">
        <f t="shared" si="2296"/>
        <v>2.3272850679318179E-2</v>
      </c>
      <c r="DB301" s="87">
        <f t="shared" si="2296"/>
        <v>1.9177885700438654E-2</v>
      </c>
      <c r="DE301" s="141"/>
      <c r="DF301" s="86">
        <v>3.1721806815540377E-2</v>
      </c>
    </row>
    <row r="302" spans="1:110" s="85" customFormat="1" x14ac:dyDescent="0.2">
      <c r="AB302" s="58"/>
      <c r="AC302" s="58"/>
      <c r="AD302" s="58"/>
      <c r="AE302" s="58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E302" s="143"/>
    </row>
  </sheetData>
  <sortState xmlns:xlrd2="http://schemas.microsoft.com/office/spreadsheetml/2017/richdata2" ref="A69:DE74">
    <sortCondition ref="A69:A74"/>
  </sortState>
  <pageMargins left="0.7" right="0.7" top="0.75" bottom="0.75" header="0.3" footer="0.3"/>
  <pageSetup orientation="portrait" r:id="rId1"/>
  <ignoredErrors>
    <ignoredError sqref="U9:AE10 U11 X11:AE11" formulaRange="1"/>
    <ignoredError sqref="U27:AA2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C9D4-0E52-41BE-9556-6B9C9AC753EA}">
  <dimension ref="A1:L30"/>
  <sheetViews>
    <sheetView zoomScale="115" zoomScaleNormal="115" workbookViewId="0">
      <selection activeCell="G27" sqref="G27:L27"/>
    </sheetView>
  </sheetViews>
  <sheetFormatPr defaultRowHeight="38.25" customHeight="1" x14ac:dyDescent="0.2"/>
  <cols>
    <col min="1" max="1" width="26" style="219" customWidth="1"/>
    <col min="2" max="2" width="20.42578125" style="219" customWidth="1"/>
    <col min="3" max="3" width="24" style="219" bestFit="1" customWidth="1"/>
    <col min="4" max="4" width="24.5703125" style="219" customWidth="1"/>
    <col min="5" max="6" width="9.140625" style="219"/>
    <col min="7" max="7" width="22.140625" style="219" bestFit="1" customWidth="1"/>
    <col min="8" max="8" width="10.28515625" style="219" bestFit="1" customWidth="1"/>
    <col min="9" max="10" width="9.140625" style="219"/>
    <col min="11" max="11" width="12.140625" style="219" bestFit="1" customWidth="1"/>
    <col min="12" max="16384" width="9.140625" style="219"/>
  </cols>
  <sheetData>
    <row r="1" spans="1:11" ht="38.25" customHeight="1" thickBot="1" x14ac:dyDescent="0.25">
      <c r="A1" s="217" t="s">
        <v>535</v>
      </c>
      <c r="B1" s="217" t="s">
        <v>93</v>
      </c>
      <c r="C1" s="218" t="s">
        <v>536</v>
      </c>
    </row>
    <row r="2" spans="1:11" ht="38.25" customHeight="1" thickBot="1" x14ac:dyDescent="0.25">
      <c r="A2" s="217" t="s">
        <v>537</v>
      </c>
      <c r="B2" s="220" t="s">
        <v>538</v>
      </c>
      <c r="C2" s="218" t="s">
        <v>539</v>
      </c>
    </row>
    <row r="3" spans="1:11" ht="38.25" customHeight="1" thickBot="1" x14ac:dyDescent="0.25">
      <c r="A3" s="217" t="s">
        <v>540</v>
      </c>
      <c r="B3" s="220" t="s">
        <v>541</v>
      </c>
      <c r="C3" s="218" t="s">
        <v>542</v>
      </c>
    </row>
    <row r="4" spans="1:11" ht="38.25" customHeight="1" thickBot="1" x14ac:dyDescent="0.25">
      <c r="A4" s="217" t="s">
        <v>543</v>
      </c>
      <c r="B4" s="220" t="s">
        <v>541</v>
      </c>
      <c r="C4" s="218" t="s">
        <v>544</v>
      </c>
    </row>
    <row r="5" spans="1:11" ht="38.25" customHeight="1" thickBot="1" x14ac:dyDescent="0.25">
      <c r="A5" s="217" t="s">
        <v>545</v>
      </c>
      <c r="B5" s="220" t="s">
        <v>546</v>
      </c>
      <c r="C5" s="218" t="s">
        <v>547</v>
      </c>
    </row>
    <row r="7" spans="1:11" ht="38.25" customHeight="1" x14ac:dyDescent="0.2">
      <c r="A7" s="210"/>
      <c r="B7" s="210"/>
      <c r="C7" s="210"/>
      <c r="D7" s="210"/>
      <c r="E7" s="210"/>
      <c r="F7" s="210"/>
      <c r="G7" s="210"/>
      <c r="H7" s="210"/>
      <c r="I7" s="210"/>
      <c r="J7" s="210"/>
      <c r="K7" s="211"/>
    </row>
    <row r="8" spans="1:11" ht="38.25" customHeight="1" thickBot="1" x14ac:dyDescent="0.25">
      <c r="A8" s="210"/>
      <c r="B8" s="210"/>
      <c r="C8" s="210"/>
      <c r="D8" s="210"/>
      <c r="E8" s="210"/>
      <c r="F8" s="210"/>
      <c r="G8" s="210"/>
      <c r="H8" s="210"/>
      <c r="I8" s="210"/>
      <c r="J8" s="210"/>
      <c r="K8" s="210"/>
    </row>
    <row r="9" spans="1:11" ht="38.25" customHeight="1" x14ac:dyDescent="0.2">
      <c r="A9" s="212" t="s">
        <v>548</v>
      </c>
      <c r="B9" s="213" t="s">
        <v>524</v>
      </c>
      <c r="C9" s="213" t="s">
        <v>549</v>
      </c>
      <c r="D9" s="213" t="s">
        <v>550</v>
      </c>
      <c r="E9" s="210"/>
      <c r="F9" s="210"/>
      <c r="G9" s="212" t="s">
        <v>551</v>
      </c>
      <c r="H9" s="210"/>
      <c r="I9" s="212" t="s">
        <v>552</v>
      </c>
      <c r="J9" s="210"/>
      <c r="K9" s="210"/>
    </row>
    <row r="10" spans="1:11" ht="38.25" customHeight="1" x14ac:dyDescent="0.2">
      <c r="A10" s="212" t="s">
        <v>553</v>
      </c>
      <c r="B10" s="214" t="s">
        <v>554</v>
      </c>
      <c r="C10" s="214" t="s">
        <v>555</v>
      </c>
      <c r="D10" s="214" t="s">
        <v>556</v>
      </c>
      <c r="E10" s="210"/>
      <c r="F10" s="210"/>
      <c r="G10" s="210" t="s">
        <v>557</v>
      </c>
      <c r="H10" s="210"/>
      <c r="I10" s="210" t="s">
        <v>558</v>
      </c>
      <c r="J10" s="210"/>
      <c r="K10" s="210"/>
    </row>
    <row r="11" spans="1:11" ht="38.25" customHeight="1" x14ac:dyDescent="0.2">
      <c r="A11" s="210"/>
      <c r="B11" s="214" t="s">
        <v>559</v>
      </c>
      <c r="C11" s="214" t="s">
        <v>560</v>
      </c>
      <c r="D11" s="215" t="s">
        <v>561</v>
      </c>
      <c r="E11" s="210"/>
      <c r="F11" s="210"/>
      <c r="G11" s="210" t="s">
        <v>562</v>
      </c>
      <c r="H11" s="210"/>
      <c r="I11" s="210" t="s">
        <v>563</v>
      </c>
      <c r="J11" s="210"/>
      <c r="K11" s="210"/>
    </row>
    <row r="12" spans="1:11" ht="38.25" customHeight="1" x14ac:dyDescent="0.2">
      <c r="A12" s="210"/>
      <c r="B12" s="214" t="s">
        <v>564</v>
      </c>
      <c r="C12" s="214" t="s">
        <v>565</v>
      </c>
      <c r="D12" s="214" t="s">
        <v>566</v>
      </c>
      <c r="E12" s="210"/>
      <c r="F12" s="210"/>
      <c r="G12" s="210" t="s">
        <v>567</v>
      </c>
      <c r="H12" s="210"/>
      <c r="I12" s="210" t="s">
        <v>568</v>
      </c>
      <c r="J12" s="210"/>
      <c r="K12" s="210"/>
    </row>
    <row r="13" spans="1:11" ht="38.25" customHeight="1" x14ac:dyDescent="0.2">
      <c r="A13" s="210"/>
      <c r="B13" s="214" t="s">
        <v>569</v>
      </c>
      <c r="C13" s="214" t="s">
        <v>570</v>
      </c>
      <c r="D13" s="214" t="s">
        <v>571</v>
      </c>
      <c r="E13" s="210"/>
      <c r="F13" s="210"/>
      <c r="G13" s="210" t="s">
        <v>572</v>
      </c>
      <c r="H13" s="210"/>
      <c r="I13" s="210" t="s">
        <v>573</v>
      </c>
      <c r="J13" s="210"/>
      <c r="K13" s="210"/>
    </row>
    <row r="14" spans="1:11" ht="38.25" customHeight="1" x14ac:dyDescent="0.2">
      <c r="A14" s="210"/>
      <c r="B14" s="214" t="s">
        <v>574</v>
      </c>
      <c r="C14" s="214" t="s">
        <v>575</v>
      </c>
      <c r="D14" s="214" t="s">
        <v>576</v>
      </c>
      <c r="E14" s="210"/>
      <c r="F14" s="210"/>
      <c r="G14" s="210"/>
      <c r="H14" s="210"/>
      <c r="I14" s="210"/>
      <c r="J14" s="210"/>
      <c r="K14" s="210"/>
    </row>
    <row r="15" spans="1:11" ht="38.25" customHeight="1" x14ac:dyDescent="0.2">
      <c r="A15" s="210"/>
      <c r="B15" s="214" t="s">
        <v>577</v>
      </c>
      <c r="C15" s="214" t="s">
        <v>578</v>
      </c>
      <c r="D15" s="214" t="s">
        <v>579</v>
      </c>
      <c r="E15" s="210"/>
      <c r="F15" s="210"/>
      <c r="G15" s="210"/>
      <c r="H15" s="210"/>
      <c r="I15" s="210"/>
      <c r="J15" s="210"/>
      <c r="K15" s="210"/>
    </row>
    <row r="16" spans="1:11" ht="38.25" customHeight="1" x14ac:dyDescent="0.2">
      <c r="A16" s="210"/>
      <c r="B16" s="214" t="s">
        <v>580</v>
      </c>
      <c r="C16" s="214" t="s">
        <v>581</v>
      </c>
      <c r="D16" s="214" t="s">
        <v>582</v>
      </c>
      <c r="E16" s="210"/>
      <c r="F16" s="210"/>
      <c r="G16" s="210"/>
      <c r="H16" s="210"/>
      <c r="I16" s="210"/>
      <c r="J16" s="210"/>
      <c r="K16" s="210"/>
    </row>
    <row r="17" spans="1:12" ht="38.25" customHeight="1" x14ac:dyDescent="0.2">
      <c r="A17" s="210"/>
      <c r="B17" s="214" t="s">
        <v>583</v>
      </c>
      <c r="C17" s="214" t="s">
        <v>584</v>
      </c>
      <c r="D17" s="214" t="s">
        <v>585</v>
      </c>
      <c r="E17" s="210"/>
      <c r="F17" s="210"/>
      <c r="G17" s="210"/>
      <c r="H17" s="210"/>
      <c r="I17" s="210"/>
      <c r="J17" s="210"/>
      <c r="K17" s="210"/>
    </row>
    <row r="18" spans="1:12" ht="38.25" customHeight="1" thickBot="1" x14ac:dyDescent="0.25">
      <c r="A18" s="210"/>
      <c r="B18" s="216"/>
      <c r="C18" s="216" t="s">
        <v>586</v>
      </c>
      <c r="D18" s="216"/>
      <c r="E18" s="210"/>
      <c r="F18" s="210"/>
      <c r="G18" s="210"/>
      <c r="H18" s="210"/>
      <c r="I18" s="210"/>
      <c r="J18" s="210"/>
      <c r="K18" s="210"/>
    </row>
    <row r="19" spans="1:12" ht="38.25" customHeight="1" x14ac:dyDescent="0.2">
      <c r="A19" s="210"/>
      <c r="B19" s="210"/>
      <c r="C19" s="210"/>
      <c r="D19" s="210"/>
      <c r="E19" s="210"/>
      <c r="F19" s="210"/>
      <c r="G19" s="210"/>
      <c r="H19" s="210"/>
      <c r="I19" s="210"/>
      <c r="J19" s="210"/>
      <c r="K19" s="210"/>
    </row>
    <row r="20" spans="1:12" ht="38.25" customHeight="1" x14ac:dyDescent="0.2">
      <c r="A20" s="212" t="s">
        <v>587</v>
      </c>
      <c r="B20" s="210" t="s">
        <v>588</v>
      </c>
      <c r="C20" s="210" t="s">
        <v>589</v>
      </c>
      <c r="D20" s="210" t="s">
        <v>590</v>
      </c>
      <c r="E20" s="210"/>
      <c r="F20" s="210"/>
      <c r="G20" s="210"/>
      <c r="H20" s="210"/>
      <c r="I20" s="210"/>
      <c r="J20" s="210"/>
      <c r="K20" s="210"/>
    </row>
    <row r="21" spans="1:12" ht="38.25" customHeight="1" x14ac:dyDescent="0.2">
      <c r="A21" s="210" t="s">
        <v>591</v>
      </c>
      <c r="B21" s="210" t="s">
        <v>592</v>
      </c>
      <c r="C21" s="210" t="s">
        <v>593</v>
      </c>
      <c r="D21" s="210" t="s">
        <v>594</v>
      </c>
      <c r="E21" s="210"/>
      <c r="F21" s="210"/>
      <c r="G21" s="210"/>
      <c r="H21" s="210"/>
      <c r="I21" s="210"/>
      <c r="J21" s="210"/>
      <c r="K21" s="210"/>
    </row>
    <row r="22" spans="1:12" ht="38.25" customHeight="1" thickBot="1" x14ac:dyDescent="0.25">
      <c r="A22" s="210"/>
      <c r="B22" s="210"/>
      <c r="C22" s="210"/>
      <c r="D22" s="210"/>
      <c r="E22" s="210"/>
      <c r="F22" s="210"/>
      <c r="G22" s="210"/>
      <c r="H22" s="210"/>
      <c r="I22" s="210"/>
      <c r="J22" s="210"/>
      <c r="K22" s="210"/>
    </row>
    <row r="23" spans="1:12" ht="38.25" customHeight="1" thickBot="1" x14ac:dyDescent="0.25">
      <c r="A23" s="219" t="s">
        <v>595</v>
      </c>
      <c r="G23" s="208" t="s">
        <v>604</v>
      </c>
      <c r="H23" s="208" t="s">
        <v>605</v>
      </c>
      <c r="I23" s="208" t="s">
        <v>606</v>
      </c>
      <c r="J23" s="208" t="s">
        <v>607</v>
      </c>
      <c r="K23" s="208" t="s">
        <v>608</v>
      </c>
      <c r="L23" s="209" t="s">
        <v>609</v>
      </c>
    </row>
    <row r="24" spans="1:12" ht="38.25" customHeight="1" thickBot="1" x14ac:dyDescent="0.25">
      <c r="A24" s="219" t="s">
        <v>596</v>
      </c>
      <c r="G24" s="208" t="s">
        <v>610</v>
      </c>
      <c r="H24" s="221">
        <v>112500</v>
      </c>
      <c r="I24" s="221">
        <v>112500</v>
      </c>
      <c r="J24" s="221">
        <v>112500</v>
      </c>
      <c r="K24" s="221">
        <v>152500</v>
      </c>
      <c r="L24" s="222">
        <v>152500</v>
      </c>
    </row>
    <row r="25" spans="1:12" ht="38.25" customHeight="1" thickBot="1" x14ac:dyDescent="0.25">
      <c r="A25" s="219" t="s">
        <v>597</v>
      </c>
      <c r="G25" s="208" t="s">
        <v>611</v>
      </c>
      <c r="H25" s="221">
        <v>31000</v>
      </c>
      <c r="I25" s="221">
        <v>31000</v>
      </c>
      <c r="J25" s="221">
        <v>45000</v>
      </c>
      <c r="K25" s="221">
        <v>45000</v>
      </c>
      <c r="L25" s="222">
        <v>45000</v>
      </c>
    </row>
    <row r="26" spans="1:12" ht="38.25" customHeight="1" thickBot="1" x14ac:dyDescent="0.25">
      <c r="A26" s="219" t="s">
        <v>598</v>
      </c>
      <c r="G26" s="208" t="s">
        <v>612</v>
      </c>
      <c r="H26" s="221">
        <v>37500</v>
      </c>
      <c r="I26" s="221">
        <v>45330</v>
      </c>
      <c r="J26" s="221">
        <v>45330</v>
      </c>
      <c r="K26" s="221">
        <v>54330</v>
      </c>
      <c r="L26" s="222">
        <v>54330</v>
      </c>
    </row>
    <row r="27" spans="1:12" ht="38.25" customHeight="1" thickBot="1" x14ac:dyDescent="0.25">
      <c r="A27" s="219" t="s">
        <v>599</v>
      </c>
      <c r="G27" s="208" t="s">
        <v>613</v>
      </c>
      <c r="H27" s="223">
        <v>181000</v>
      </c>
      <c r="I27" s="223">
        <v>188830</v>
      </c>
      <c r="J27" s="223">
        <v>202830</v>
      </c>
      <c r="K27" s="223">
        <v>251830</v>
      </c>
      <c r="L27" s="224">
        <v>251830</v>
      </c>
    </row>
    <row r="28" spans="1:12" ht="38.25" customHeight="1" x14ac:dyDescent="0.2">
      <c r="A28" s="219" t="s">
        <v>600</v>
      </c>
    </row>
    <row r="29" spans="1:12" ht="38.25" customHeight="1" x14ac:dyDescent="0.2">
      <c r="A29" s="219" t="s">
        <v>601</v>
      </c>
    </row>
    <row r="30" spans="1:12" ht="38.25" customHeight="1" x14ac:dyDescent="0.2">
      <c r="A30" s="219" t="s">
        <v>602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5119-07ED-41EA-AC53-EEC70EECFEE8}">
  <dimension ref="A2:P50"/>
  <sheetViews>
    <sheetView topLeftCell="A9" zoomScaleNormal="100" workbookViewId="0">
      <selection activeCell="N22" sqref="N22"/>
    </sheetView>
  </sheetViews>
  <sheetFormatPr defaultRowHeight="15" x14ac:dyDescent="0.25"/>
  <cols>
    <col min="3" max="3" width="10" bestFit="1" customWidth="1"/>
  </cols>
  <sheetData>
    <row r="2" spans="1:16" x14ac:dyDescent="0.25">
      <c r="A2" t="s">
        <v>615</v>
      </c>
    </row>
    <row r="3" spans="1:16" x14ac:dyDescent="0.25">
      <c r="A3" t="s">
        <v>616</v>
      </c>
    </row>
    <row r="4" spans="1:16" x14ac:dyDescent="0.25">
      <c r="A4" t="s">
        <v>617</v>
      </c>
    </row>
    <row r="5" spans="1:16" x14ac:dyDescent="0.25">
      <c r="A5" t="s">
        <v>618</v>
      </c>
      <c r="M5" t="s">
        <v>623</v>
      </c>
      <c r="O5" t="s">
        <v>629</v>
      </c>
    </row>
    <row r="6" spans="1:16" x14ac:dyDescent="0.25">
      <c r="A6" t="s">
        <v>619</v>
      </c>
      <c r="L6" t="s">
        <v>622</v>
      </c>
      <c r="M6" s="226">
        <v>100000</v>
      </c>
      <c r="O6">
        <v>110</v>
      </c>
      <c r="P6">
        <f>M6*O6/10^4</f>
        <v>1100</v>
      </c>
    </row>
    <row r="7" spans="1:16" x14ac:dyDescent="0.25">
      <c r="A7" t="s">
        <v>620</v>
      </c>
      <c r="L7" t="s">
        <v>628</v>
      </c>
      <c r="M7">
        <v>5000</v>
      </c>
      <c r="O7">
        <v>250</v>
      </c>
      <c r="P7">
        <f t="shared" ref="P7:P8" si="0">M7*O7/10^4</f>
        <v>125</v>
      </c>
    </row>
    <row r="8" spans="1:16" x14ac:dyDescent="0.25">
      <c r="A8" t="s">
        <v>621</v>
      </c>
      <c r="L8" t="s">
        <v>630</v>
      </c>
      <c r="M8">
        <v>9000</v>
      </c>
      <c r="O8">
        <v>220</v>
      </c>
      <c r="P8">
        <f t="shared" si="0"/>
        <v>198</v>
      </c>
    </row>
    <row r="9" spans="1:16" x14ac:dyDescent="0.25">
      <c r="A9" t="s">
        <v>624</v>
      </c>
      <c r="M9">
        <f>SUM(M6:M8)</f>
        <v>114000</v>
      </c>
      <c r="P9">
        <f>SUM(P6:P8)</f>
        <v>1423</v>
      </c>
    </row>
    <row r="10" spans="1:16" x14ac:dyDescent="0.25">
      <c r="A10" t="s">
        <v>625</v>
      </c>
    </row>
    <row r="11" spans="1:16" x14ac:dyDescent="0.25">
      <c r="A11" t="s">
        <v>626</v>
      </c>
    </row>
    <row r="12" spans="1:16" x14ac:dyDescent="0.25">
      <c r="A12" t="s">
        <v>627</v>
      </c>
    </row>
    <row r="13" spans="1:16" x14ac:dyDescent="0.25">
      <c r="A13" t="s">
        <v>632</v>
      </c>
    </row>
    <row r="14" spans="1:16" x14ac:dyDescent="0.25">
      <c r="A14" t="s">
        <v>631</v>
      </c>
    </row>
    <row r="15" spans="1:16" x14ac:dyDescent="0.25">
      <c r="A15" t="s">
        <v>633</v>
      </c>
    </row>
    <row r="16" spans="1:16" x14ac:dyDescent="0.25">
      <c r="A16" t="s">
        <v>641</v>
      </c>
    </row>
    <row r="21" spans="1:16" x14ac:dyDescent="0.25">
      <c r="A21" t="s">
        <v>683</v>
      </c>
      <c r="N21">
        <v>2000</v>
      </c>
      <c r="P21">
        <v>1000</v>
      </c>
    </row>
    <row r="22" spans="1:16" x14ac:dyDescent="0.25">
      <c r="A22" s="171" t="s">
        <v>643</v>
      </c>
      <c r="B22" t="s">
        <v>663</v>
      </c>
      <c r="C22" t="s">
        <v>662</v>
      </c>
    </row>
    <row r="23" spans="1:16" x14ac:dyDescent="0.25">
      <c r="A23" t="s">
        <v>644</v>
      </c>
      <c r="B23">
        <v>82</v>
      </c>
      <c r="C23" s="234">
        <f>+B23*365</f>
        <v>29930</v>
      </c>
      <c r="E23">
        <v>150</v>
      </c>
      <c r="F23">
        <f>+C23*E23/10^4</f>
        <v>448.95</v>
      </c>
    </row>
    <row r="24" spans="1:16" x14ac:dyDescent="0.25">
      <c r="A24" t="s">
        <v>645</v>
      </c>
      <c r="B24">
        <v>10</v>
      </c>
      <c r="C24" s="234">
        <f t="shared" ref="C24:C25" si="1">+B24*365</f>
        <v>3650</v>
      </c>
    </row>
    <row r="25" spans="1:16" x14ac:dyDescent="0.25">
      <c r="A25" t="s">
        <v>646</v>
      </c>
      <c r="B25">
        <v>10</v>
      </c>
      <c r="C25" s="234">
        <f t="shared" si="1"/>
        <v>3650</v>
      </c>
      <c r="H25">
        <f>1500*13%</f>
        <v>195</v>
      </c>
    </row>
    <row r="26" spans="1:16" x14ac:dyDescent="0.25">
      <c r="H26">
        <f>+H25/2</f>
        <v>97.5</v>
      </c>
    </row>
    <row r="28" spans="1:16" x14ac:dyDescent="0.25">
      <c r="A28" s="171" t="s">
        <v>647</v>
      </c>
    </row>
    <row r="29" spans="1:16" x14ac:dyDescent="0.25">
      <c r="A29" t="s">
        <v>648</v>
      </c>
      <c r="B29">
        <v>100</v>
      </c>
      <c r="C29" s="234">
        <f>+B29*365</f>
        <v>36500</v>
      </c>
      <c r="E29">
        <v>400</v>
      </c>
      <c r="F29">
        <f>+C29*E29/10^4*50%</f>
        <v>730</v>
      </c>
    </row>
    <row r="30" spans="1:16" x14ac:dyDescent="0.25">
      <c r="A30" t="s">
        <v>649</v>
      </c>
      <c r="B30">
        <v>50</v>
      </c>
      <c r="C30" s="234">
        <f t="shared" ref="C30:C35" si="2">+B30*365</f>
        <v>18250</v>
      </c>
      <c r="F30">
        <f t="shared" ref="F30:F46" si="3">+C30*E30/10^4</f>
        <v>0</v>
      </c>
    </row>
    <row r="31" spans="1:16" x14ac:dyDescent="0.25">
      <c r="A31" t="s">
        <v>650</v>
      </c>
      <c r="B31">
        <v>15</v>
      </c>
      <c r="C31" s="234">
        <f t="shared" si="2"/>
        <v>5475</v>
      </c>
      <c r="F31">
        <f t="shared" si="3"/>
        <v>0</v>
      </c>
    </row>
    <row r="32" spans="1:16" x14ac:dyDescent="0.25">
      <c r="A32" t="s">
        <v>651</v>
      </c>
      <c r="B32">
        <v>3</v>
      </c>
      <c r="C32" s="234">
        <f t="shared" si="2"/>
        <v>1095</v>
      </c>
      <c r="F32">
        <f t="shared" si="3"/>
        <v>0</v>
      </c>
    </row>
    <row r="33" spans="1:6" x14ac:dyDescent="0.25">
      <c r="A33" t="s">
        <v>652</v>
      </c>
      <c r="B33">
        <v>100</v>
      </c>
      <c r="C33" s="234">
        <f t="shared" si="2"/>
        <v>36500</v>
      </c>
      <c r="E33">
        <v>90</v>
      </c>
      <c r="F33">
        <f t="shared" si="3"/>
        <v>328.5</v>
      </c>
    </row>
    <row r="34" spans="1:6" x14ac:dyDescent="0.25">
      <c r="A34" t="s">
        <v>653</v>
      </c>
      <c r="B34">
        <v>70</v>
      </c>
      <c r="C34" s="234">
        <f t="shared" si="2"/>
        <v>25550</v>
      </c>
      <c r="F34">
        <f t="shared" si="3"/>
        <v>0</v>
      </c>
    </row>
    <row r="35" spans="1:6" x14ac:dyDescent="0.25">
      <c r="A35" t="s">
        <v>654</v>
      </c>
      <c r="B35">
        <v>50</v>
      </c>
      <c r="C35" s="234">
        <f t="shared" si="2"/>
        <v>18250</v>
      </c>
      <c r="E35">
        <v>220</v>
      </c>
      <c r="F35">
        <f t="shared" si="3"/>
        <v>401.5</v>
      </c>
    </row>
    <row r="37" spans="1:6" x14ac:dyDescent="0.25">
      <c r="A37" s="171" t="s">
        <v>655</v>
      </c>
    </row>
    <row r="38" spans="1:6" x14ac:dyDescent="0.25">
      <c r="A38" t="s">
        <v>656</v>
      </c>
      <c r="B38">
        <v>50</v>
      </c>
      <c r="C38" s="234">
        <f t="shared" ref="C38:C42" si="4">+B38*365</f>
        <v>18250</v>
      </c>
    </row>
    <row r="39" spans="1:6" x14ac:dyDescent="0.25">
      <c r="A39" t="s">
        <v>648</v>
      </c>
      <c r="B39">
        <v>200</v>
      </c>
      <c r="C39" s="234">
        <f t="shared" si="4"/>
        <v>73000</v>
      </c>
      <c r="E39">
        <v>400</v>
      </c>
      <c r="F39" s="234">
        <f>+C39*E39/10^4*50%</f>
        <v>1460</v>
      </c>
    </row>
    <row r="40" spans="1:6" x14ac:dyDescent="0.25">
      <c r="A40" t="s">
        <v>657</v>
      </c>
      <c r="B40">
        <v>40</v>
      </c>
      <c r="C40" s="234">
        <f t="shared" si="4"/>
        <v>14600</v>
      </c>
      <c r="F40" s="234">
        <f t="shared" si="3"/>
        <v>0</v>
      </c>
    </row>
    <row r="41" spans="1:6" x14ac:dyDescent="0.25">
      <c r="A41" t="s">
        <v>658</v>
      </c>
      <c r="B41">
        <v>130</v>
      </c>
      <c r="C41" s="234">
        <f t="shared" si="4"/>
        <v>47450</v>
      </c>
      <c r="E41">
        <v>80</v>
      </c>
      <c r="F41" s="234">
        <f t="shared" si="3"/>
        <v>379.6</v>
      </c>
    </row>
    <row r="42" spans="1:6" x14ac:dyDescent="0.25">
      <c r="A42" t="s">
        <v>622</v>
      </c>
      <c r="B42">
        <v>275</v>
      </c>
      <c r="C42" s="234">
        <f t="shared" si="4"/>
        <v>100375</v>
      </c>
      <c r="E42">
        <v>100</v>
      </c>
      <c r="F42" s="234">
        <f t="shared" si="3"/>
        <v>1003.75</v>
      </c>
    </row>
    <row r="43" spans="1:6" x14ac:dyDescent="0.25">
      <c r="F43" s="234">
        <f t="shared" si="3"/>
        <v>0</v>
      </c>
    </row>
    <row r="44" spans="1:6" x14ac:dyDescent="0.25">
      <c r="A44" s="171" t="s">
        <v>659</v>
      </c>
      <c r="F44" s="234">
        <f t="shared" si="3"/>
        <v>0</v>
      </c>
    </row>
    <row r="45" spans="1:6" x14ac:dyDescent="0.25">
      <c r="A45" t="s">
        <v>660</v>
      </c>
      <c r="B45">
        <v>28</v>
      </c>
      <c r="C45" s="234">
        <f t="shared" ref="C45:C46" si="5">+B45*365</f>
        <v>10220</v>
      </c>
      <c r="E45">
        <v>600</v>
      </c>
      <c r="F45" s="234">
        <f t="shared" si="3"/>
        <v>613.20000000000005</v>
      </c>
    </row>
    <row r="46" spans="1:6" x14ac:dyDescent="0.25">
      <c r="A46" t="s">
        <v>661</v>
      </c>
      <c r="B46">
        <v>14</v>
      </c>
      <c r="C46" s="234">
        <f t="shared" si="5"/>
        <v>5110</v>
      </c>
      <c r="E46">
        <v>600</v>
      </c>
      <c r="F46" s="234">
        <f t="shared" si="3"/>
        <v>306.60000000000002</v>
      </c>
    </row>
    <row r="48" spans="1:6" x14ac:dyDescent="0.25">
      <c r="F48" s="234">
        <f>SUM(F23:F47)</f>
        <v>5672.0999999999995</v>
      </c>
    </row>
    <row r="50" spans="1:1" x14ac:dyDescent="0.25">
      <c r="A50" s="171" t="s">
        <v>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130999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Balaji Amines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136.559</v>
      </c>
      <c r="D6">
        <f>_xll.EQNXTDZ($A$1,$B6,D$1,$B$1)</f>
        <v>126.011</v>
      </c>
      <c r="E6">
        <f>_xll.EQNXTDZ($A$1,$B6,E$1,$B$1)</f>
        <v>107.746</v>
      </c>
      <c r="F6">
        <f>_xll.EQNXTDZ($A$1,$B6,F$1,$B$1)</f>
        <v>141.47999999999999</v>
      </c>
      <c r="G6">
        <f>_xll.EQNXTDZ($A$1,$B6,G$1,$B$1)</f>
        <v>140.1</v>
      </c>
      <c r="H6">
        <f>_xll.EQNXTDZ($A$1,$B6,H$1,$B$1)</f>
        <v>161.01400000000001</v>
      </c>
      <c r="I6">
        <f>_xll.EQNXTDZ($A$1,$B6,I$1,$B$1)</f>
        <v>137.51</v>
      </c>
      <c r="J6">
        <f>_xll.EQNXTDZ($A$1,$B6,J$1,$B$1)</f>
        <v>171.5</v>
      </c>
      <c r="K6">
        <f>_xll.EQNXTDZ($A$1,$B6,K$1,$B$1)</f>
        <v>164.47</v>
      </c>
      <c r="L6">
        <f>_xll.EQNXTDZ($A$1,$B6,L$1,$B$1)</f>
        <v>150.44999999999999</v>
      </c>
      <c r="M6">
        <f>_xll.EQNXTDZ($A$1,$B6,M$1,$B$1)</f>
        <v>141.67599999999999</v>
      </c>
      <c r="N6">
        <f>_xll.EQNXTDZ($A$1,$B6,N$1,$B$1)</f>
        <v>148.27000000000001</v>
      </c>
      <c r="O6">
        <f>_xll.EQNXTDZ($A$1,$B6,O$1,$B$1)</f>
        <v>159.636</v>
      </c>
      <c r="P6">
        <f>_xll.EQNXTDZ($A$1,$B6,P$1,$B$1)</f>
        <v>173.18199999999999</v>
      </c>
      <c r="Q6">
        <f>_xll.EQNXTDZ($A$1,$B6,Q$1,$B$1)</f>
        <v>162.297</v>
      </c>
      <c r="R6">
        <f>_xll.EQNXTDZ($A$1,$B6,R$1,$B$1)</f>
        <v>179.935</v>
      </c>
      <c r="S6">
        <f>_xll.EQNXTDZ($A$1,$B6,S$1,$B$1)</f>
        <v>181.792</v>
      </c>
      <c r="T6">
        <f>_xll.EQNXTDZ($A$1,$B6,T$1,$B$1)</f>
        <v>172.15100000000001</v>
      </c>
      <c r="U6">
        <f>_xll.EQNXTDZ($A$1,$B6,U$1,$B$1)</f>
        <v>180.22</v>
      </c>
      <c r="V6">
        <f>_xll.EQNXTDZ($A$1,$B6,V$1,$B$1)</f>
        <v>193.14099999999999</v>
      </c>
      <c r="W6">
        <f>_xll.EQNXTDZ($A$1,$B6,W$1,$B$1)</f>
        <v>200.071</v>
      </c>
      <c r="X6">
        <f>_xll.EQNXTDZ($A$1,$B6,X$1,$B$1)</f>
        <v>201.19200000000001</v>
      </c>
      <c r="Y6">
        <f>_xll.EQNXTDZ($A$1,$B6,Y$1,$B$1)</f>
        <v>218.83699999999999</v>
      </c>
      <c r="Z6">
        <f>_xll.EQNXTDZ($A$1,$B6,Z$1,$B$1)</f>
        <v>255.33699999999999</v>
      </c>
      <c r="AA6">
        <f>_xll.EQNXTDZ($A$1,$B6,AA$1,$B$1)</f>
        <v>259.887</v>
      </c>
      <c r="AB6">
        <f>_xll.EQNXTDZ($A$1,$B6,AB$1,$B$1)</f>
        <v>216.34100000000001</v>
      </c>
      <c r="AC6">
        <f>_xll.EQNXTDZ($A$1,$B6,AC$1,$B$1)</f>
        <v>238.81399999999999</v>
      </c>
      <c r="AD6">
        <f>_xll.EQNXTDZ($A$1,$B6,AD$1,$B$1)</f>
        <v>226.62100000000001</v>
      </c>
      <c r="AE6">
        <f>_xll.EQNXTDZ($A$1,$B6,AE$1,$B$1)</f>
        <v>222.977</v>
      </c>
      <c r="AF6">
        <f>_xll.EQNXTDZ($A$1,$B6,AF$1,$B$1)</f>
        <v>227.25299999999999</v>
      </c>
      <c r="AG6">
        <f>_xll.EQNXTDZ($A$1,$B6,AG$1,$B$1)</f>
        <v>227.51499999999999</v>
      </c>
      <c r="AH6">
        <f>_xll.EQNXTDZ($A$1,$B6,AH$1,$B$1)</f>
        <v>258.02699999999999</v>
      </c>
      <c r="AI6">
        <f>_xll.EQNXTDZ($A$1,$B6,AI$1,$B$1)</f>
        <v>222.91</v>
      </c>
      <c r="AJ6">
        <f>_xll.EQNXTDZ($A$1,$B6,AJ$1,$B$1)</f>
        <v>282.38499999999999</v>
      </c>
      <c r="AK6">
        <f>_xll.EQNXTDZ($A$1,$B6,AK$1,$B$1)</f>
        <v>392.12700000000001</v>
      </c>
      <c r="AL6">
        <f>_xll.EQNXTDZ($A$1,$B6,AL$1,$B$1)</f>
        <v>414.03399999999999</v>
      </c>
      <c r="AM6">
        <f>_xll.EQNXTDZ($A$1,$B6,AM$1,$B$1)</f>
        <v>450.68099999999998</v>
      </c>
      <c r="AN6">
        <f>_xll.EQNXTDZ($A$1,$B6,AN$1,$B$1)</f>
        <v>525.73299999999995</v>
      </c>
      <c r="AO6">
        <f>_xll.EQNXTDZ($A$1,$B6,AO$1,$B$1)</f>
        <v>564.89499999999998</v>
      </c>
      <c r="AP6">
        <f>_xll.EQNXTDZ($A$1,$B6,AP$1,$B$1)</f>
        <v>780.36599999999999</v>
      </c>
      <c r="AQ6">
        <f>_xll.EQNXTDZ($A$1,$B6,AQ$1,$B$1)</f>
        <v>670.17200000000003</v>
      </c>
      <c r="AR6">
        <f>_xll.EQNXTDZ($A$1,$B6,AR$1,$B$1)</f>
        <v>627.55799999999999</v>
      </c>
      <c r="AS6">
        <f>_xll.EQNXTDZ($A$1,$B6,AS$1,$B$1)</f>
        <v>585.94799999999998</v>
      </c>
      <c r="AT6">
        <f>_xll.EQNXTDZ($A$1,$B6,AT$1,$B$1)</f>
        <v>471.39499999999998</v>
      </c>
      <c r="AU6">
        <f>_xll.EQNXTDZ($A$1,$B6,AU$1,$B$1)</f>
        <v>463.673</v>
      </c>
      <c r="AV6">
        <f>_xll.EQNXTDZ($A$1,$B6,AV$1,$B$1)</f>
        <v>380.54399999999998</v>
      </c>
      <c r="AW6">
        <f>_xll.EQNXTDZ($A$1,$B6,AW$1,$B$1)</f>
        <v>383.358</v>
      </c>
      <c r="AX6">
        <f>_xll.EQNXTDZ($A$1,$B6,AX$1,$B$1)</f>
        <v>413.93700000000001</v>
      </c>
      <c r="AY6">
        <f>_xll.EQNXTDZ($A$1,$B6,AY$1,$B$1)</f>
        <v>384.74599999999998</v>
      </c>
      <c r="AZ6">
        <f>_xll.EQNXTDZ($A$1,$B6,AZ$1,$B$1)</f>
        <v>346.88299999999998</v>
      </c>
      <c r="BA6">
        <f>_xll.EQNXTDZ($A$1,$B6,BA$1,$B$1)</f>
        <v>312.72800000000001</v>
      </c>
      <c r="BB6">
        <f>_xll.EQNXTDZ($A$1,$B6,BB$1,$B$1)</f>
        <v>352.72800000000001</v>
      </c>
      <c r="BC6">
        <f>_xll.EQNXTDZ($A$1,$B6,BC$1,$B$1)</f>
        <v>358.34100000000001</v>
      </c>
      <c r="BD6">
        <f>_xll.EQNXTDZ($A$1,$B6,BD$1,$B$1)</f>
        <v>340.55200000000002</v>
      </c>
      <c r="BE6">
        <f>_xll.EQNXTDZ($A$1,$B6,BE$1,$B$1)</f>
        <v>331.30099999999999</v>
      </c>
      <c r="BF6">
        <f>_xll.EQNXTDZ($A$1,$B6,BF$1,$B$1)</f>
        <v>394.786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136.559</v>
      </c>
      <c r="D9">
        <f>_xll.EQNXTDZ($A$1,$B9,D$1,$B$1)</f>
        <v>126.011</v>
      </c>
      <c r="E9">
        <f>_xll.EQNXTDZ($A$1,$B9,E$1,$B$1)</f>
        <v>107.746</v>
      </c>
      <c r="F9">
        <f>_xll.EQNXTDZ($A$1,$B9,F$1,$B$1)</f>
        <v>141.47999999999999</v>
      </c>
      <c r="G9">
        <f>_xll.EQNXTDZ($A$1,$B9,G$1,$B$1)</f>
        <v>140.1</v>
      </c>
      <c r="H9">
        <f>_xll.EQNXTDZ($A$1,$B9,H$1,$B$1)</f>
        <v>161.01400000000001</v>
      </c>
      <c r="I9">
        <f>_xll.EQNXTDZ($A$1,$B9,I$1,$B$1)</f>
        <v>137.51</v>
      </c>
      <c r="J9">
        <f>_xll.EQNXTDZ($A$1,$B9,J$1,$B$1)</f>
        <v>171.5</v>
      </c>
      <c r="K9">
        <f>_xll.EQNXTDZ($A$1,$B9,K$1,$B$1)</f>
        <v>164.47</v>
      </c>
      <c r="L9">
        <f>_xll.EQNXTDZ($A$1,$B9,L$1,$B$1)</f>
        <v>150.44999999999999</v>
      </c>
      <c r="M9">
        <f>_xll.EQNXTDZ($A$1,$B9,M$1,$B$1)</f>
        <v>141.67599999999999</v>
      </c>
      <c r="N9">
        <f>_xll.EQNXTDZ($A$1,$B9,N$1,$B$1)</f>
        <v>148.27000000000001</v>
      </c>
      <c r="O9">
        <f>_xll.EQNXTDZ($A$1,$B9,O$1,$B$1)</f>
        <v>159.636</v>
      </c>
      <c r="P9">
        <f>_xll.EQNXTDZ($A$1,$B9,P$1,$B$1)</f>
        <v>173.18199999999999</v>
      </c>
      <c r="Q9">
        <f>_xll.EQNXTDZ($A$1,$B9,Q$1,$B$1)</f>
        <v>162.297</v>
      </c>
      <c r="R9">
        <f>_xll.EQNXTDZ($A$1,$B9,R$1,$B$1)</f>
        <v>179.935</v>
      </c>
      <c r="S9">
        <f>_xll.EQNXTDZ($A$1,$B9,S$1,$B$1)</f>
        <v>181.792</v>
      </c>
      <c r="T9">
        <f>_xll.EQNXTDZ($A$1,$B9,T$1,$B$1)</f>
        <v>172.15100000000001</v>
      </c>
      <c r="U9">
        <f>_xll.EQNXTDZ($A$1,$B9,U$1,$B$1)</f>
        <v>180.22</v>
      </c>
      <c r="V9">
        <f>_xll.EQNXTDZ($A$1,$B9,V$1,$B$1)</f>
        <v>193.14099999999999</v>
      </c>
      <c r="W9">
        <f>_xll.EQNXTDZ($A$1,$B9,W$1,$B$1)</f>
        <v>200.071</v>
      </c>
      <c r="X9">
        <f>_xll.EQNXTDZ($A$1,$B9,X$1,$B$1)</f>
        <v>201.19200000000001</v>
      </c>
      <c r="Y9">
        <f>_xll.EQNXTDZ($A$1,$B9,Y$1,$B$1)</f>
        <v>218.83699999999999</v>
      </c>
      <c r="Z9">
        <f>_xll.EQNXTDZ($A$1,$B9,Z$1,$B$1)</f>
        <v>255.33699999999999</v>
      </c>
      <c r="AA9">
        <f>_xll.EQNXTDZ($A$1,$B9,AA$1,$B$1)</f>
        <v>259.887</v>
      </c>
      <c r="AB9">
        <f>_xll.EQNXTDZ($A$1,$B9,AB$1,$B$1)</f>
        <v>216.34100000000001</v>
      </c>
      <c r="AC9">
        <f>_xll.EQNXTDZ($A$1,$B9,AC$1,$B$1)</f>
        <v>238.81399999999999</v>
      </c>
      <c r="AD9">
        <f>_xll.EQNXTDZ($A$1,$B9,AD$1,$B$1)</f>
        <v>226.62100000000001</v>
      </c>
      <c r="AE9">
        <f>_xll.EQNXTDZ($A$1,$B9,AE$1,$B$1)</f>
        <v>222.977</v>
      </c>
      <c r="AF9">
        <f>_xll.EQNXTDZ($A$1,$B9,AF$1,$B$1)</f>
        <v>227.25299999999999</v>
      </c>
      <c r="AG9">
        <f>_xll.EQNXTDZ($A$1,$B9,AG$1,$B$1)</f>
        <v>227.51499999999999</v>
      </c>
      <c r="AH9">
        <f>_xll.EQNXTDZ($A$1,$B9,AH$1,$B$1)</f>
        <v>258.02699999999999</v>
      </c>
      <c r="AI9">
        <f>_xll.EQNXTDZ($A$1,$B9,AI$1,$B$1)</f>
        <v>222.91</v>
      </c>
      <c r="AJ9">
        <f>_xll.EQNXTDZ($A$1,$B9,AJ$1,$B$1)</f>
        <v>282.38499999999999</v>
      </c>
      <c r="AK9">
        <f>_xll.EQNXTDZ($A$1,$B9,AK$1,$B$1)</f>
        <v>392.12700000000001</v>
      </c>
      <c r="AL9">
        <f>_xll.EQNXTDZ($A$1,$B9,AL$1,$B$1)</f>
        <v>414.03399999999999</v>
      </c>
      <c r="AM9">
        <f>_xll.EQNXTDZ($A$1,$B9,AM$1,$B$1)</f>
        <v>450.68099999999998</v>
      </c>
      <c r="AN9">
        <f>_xll.EQNXTDZ($A$1,$B9,AN$1,$B$1)</f>
        <v>525.73299999999995</v>
      </c>
      <c r="AO9">
        <f>_xll.EQNXTDZ($A$1,$B9,AO$1,$B$1)</f>
        <v>564.89499999999998</v>
      </c>
      <c r="AP9">
        <f>_xll.EQNXTDZ($A$1,$B9,AP$1,$B$1)</f>
        <v>780.36599999999999</v>
      </c>
      <c r="AQ9">
        <f>_xll.EQNXTDZ($A$1,$B9,AQ$1,$B$1)</f>
        <v>670.17200000000003</v>
      </c>
      <c r="AR9">
        <f>_xll.EQNXTDZ($A$1,$B9,AR$1,$B$1)</f>
        <v>627.55799999999999</v>
      </c>
      <c r="AS9">
        <f>_xll.EQNXTDZ($A$1,$B9,AS$1,$B$1)</f>
        <v>585.94799999999998</v>
      </c>
      <c r="AT9">
        <f>_xll.EQNXTDZ($A$1,$B9,AT$1,$B$1)</f>
        <v>471.39499999999998</v>
      </c>
      <c r="AU9">
        <f>_xll.EQNXTDZ($A$1,$B9,AU$1,$B$1)</f>
        <v>463.673</v>
      </c>
      <c r="AV9">
        <f>_xll.EQNXTDZ($A$1,$B9,AV$1,$B$1)</f>
        <v>380.54399999999998</v>
      </c>
      <c r="AW9">
        <f>_xll.EQNXTDZ($A$1,$B9,AW$1,$B$1)</f>
        <v>383.358</v>
      </c>
      <c r="AX9">
        <f>_xll.EQNXTDZ($A$1,$B9,AX$1,$B$1)</f>
        <v>413.93700000000001</v>
      </c>
      <c r="AY9">
        <f>_xll.EQNXTDZ($A$1,$B9,AY$1,$B$1)</f>
        <v>384.74599999999998</v>
      </c>
      <c r="AZ9">
        <f>_xll.EQNXTDZ($A$1,$B9,AZ$1,$B$1)</f>
        <v>346.88299999999998</v>
      </c>
      <c r="BA9">
        <f>_xll.EQNXTDZ($A$1,$B9,BA$1,$B$1)</f>
        <v>312.72800000000001</v>
      </c>
      <c r="BB9">
        <f>_xll.EQNXTDZ($A$1,$B9,BB$1,$B$1)</f>
        <v>352.72800000000001</v>
      </c>
      <c r="BC9">
        <f>_xll.EQNXTDZ($A$1,$B9,BC$1,$B$1)</f>
        <v>358.34100000000001</v>
      </c>
      <c r="BD9">
        <f>_xll.EQNXTDZ($A$1,$B9,BD$1,$B$1)</f>
        <v>340.55200000000002</v>
      </c>
      <c r="BE9">
        <f>_xll.EQNXTDZ($A$1,$B9,BE$1,$B$1)</f>
        <v>331.30099999999999</v>
      </c>
      <c r="BF9">
        <f>_xll.EQNXTDZ($A$1,$B9,BF$1,$B$1)</f>
        <v>394.786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9.2420000000000009</v>
      </c>
      <c r="D10">
        <f>_xll.EQNXTDZ($A$1,$B10,D$1,$B$1)</f>
        <v>-4.7290000000000001</v>
      </c>
      <c r="E10">
        <f>_xll.EQNXTDZ($A$1,$B10,E$1,$B$1)</f>
        <v>5.0270000000000001</v>
      </c>
      <c r="F10">
        <f>_xll.EQNXTDZ($A$1,$B10,F$1,$B$1)</f>
        <v>15.49</v>
      </c>
      <c r="G10">
        <f>_xll.EQNXTDZ($A$1,$B10,G$1,$B$1)</f>
        <v>2.69</v>
      </c>
      <c r="H10">
        <f>_xll.EQNXTDZ($A$1,$B10,H$1,$B$1)</f>
        <v>-15.333</v>
      </c>
      <c r="I10">
        <f>_xll.EQNXTDZ($A$1,$B10,I$1,$B$1)</f>
        <v>-14.51</v>
      </c>
      <c r="J10">
        <f>_xll.EQNXTDZ($A$1,$B10,J$1,$B$1)</f>
        <v>4.7</v>
      </c>
      <c r="K10">
        <f>_xll.EQNXTDZ($A$1,$B10,K$1,$B$1)</f>
        <v>-2.08</v>
      </c>
      <c r="L10">
        <f>_xll.EQNXTDZ($A$1,$B10,L$1,$B$1)</f>
        <v>4.91</v>
      </c>
      <c r="M10">
        <f>_xll.EQNXTDZ($A$1,$B10,M$1,$B$1)</f>
        <v>-5.4960000000000004</v>
      </c>
      <c r="N10">
        <f>_xll.EQNXTDZ($A$1,$B10,N$1,$B$1)</f>
        <v>4.04</v>
      </c>
      <c r="O10">
        <f>_xll.EQNXTDZ($A$1,$B10,O$1,$B$1)</f>
        <v>12.324999999999999</v>
      </c>
      <c r="P10">
        <f>_xll.EQNXTDZ($A$1,$B10,P$1,$B$1)</f>
        <v>4.4589999999999996</v>
      </c>
      <c r="Q10">
        <f>_xll.EQNXTDZ($A$1,$B10,Q$1,$B$1)</f>
        <v>1.8859999999999999</v>
      </c>
      <c r="R10">
        <f>_xll.EQNXTDZ($A$1,$B10,R$1,$B$1)</f>
        <v>3.4159999999999999</v>
      </c>
      <c r="S10">
        <f>_xll.EQNXTDZ($A$1,$B10,S$1,$B$1)</f>
        <v>-8.1539999999999999</v>
      </c>
      <c r="T10">
        <f>_xll.EQNXTDZ($A$1,$B10,T$1,$B$1)</f>
        <v>5.9059999999999997</v>
      </c>
      <c r="U10">
        <f>_xll.EQNXTDZ($A$1,$B10,U$1,$B$1)</f>
        <v>-1.35</v>
      </c>
      <c r="V10">
        <f>_xll.EQNXTDZ($A$1,$B10,V$1,$B$1)</f>
        <v>-1.2549999999999999</v>
      </c>
      <c r="W10">
        <f>_xll.EQNXTDZ($A$1,$B10,W$1,$B$1)</f>
        <v>8.9489999999999998</v>
      </c>
      <c r="X10">
        <f>_xll.EQNXTDZ($A$1,$B10,X$1,$B$1)</f>
        <v>0.53300000000000003</v>
      </c>
      <c r="Y10">
        <f>_xll.EQNXTDZ($A$1,$B10,Y$1,$B$1)</f>
        <v>1.175</v>
      </c>
      <c r="Z10">
        <f>_xll.EQNXTDZ($A$1,$B10,Z$1,$B$1)</f>
        <v>-7.5419999999999998</v>
      </c>
      <c r="AA10">
        <f>_xll.EQNXTDZ($A$1,$B10,AA$1,$B$1)</f>
        <v>-8.8979999999999997</v>
      </c>
      <c r="AB10">
        <f>_xll.EQNXTDZ($A$1,$B10,AB$1,$B$1)</f>
        <v>-3.7309999999999999</v>
      </c>
      <c r="AC10">
        <f>_xll.EQNXTDZ($A$1,$B10,AC$1,$B$1)</f>
        <v>-2.613</v>
      </c>
      <c r="AD10">
        <f>_xll.EQNXTDZ($A$1,$B10,AD$1,$B$1)</f>
        <v>-10.414</v>
      </c>
      <c r="AE10">
        <f>_xll.EQNXTDZ($A$1,$B10,AE$1,$B$1)</f>
        <v>-11.510999999999999</v>
      </c>
      <c r="AF10">
        <f>_xll.EQNXTDZ($A$1,$B10,AF$1,$B$1)</f>
        <v>22.946999999999999</v>
      </c>
      <c r="AG10">
        <f>_xll.EQNXTDZ($A$1,$B10,AG$1,$B$1)</f>
        <v>10.319000000000001</v>
      </c>
      <c r="AH10">
        <f>_xll.EQNXTDZ($A$1,$B10,AH$1,$B$1)</f>
        <v>-5.8959999999999999</v>
      </c>
      <c r="AI10">
        <f>_xll.EQNXTDZ($A$1,$B10,AI$1,$B$1)</f>
        <v>5.5880000000000001</v>
      </c>
      <c r="AJ10">
        <f>_xll.EQNXTDZ($A$1,$B10,AJ$1,$B$1)</f>
        <v>-9.266</v>
      </c>
      <c r="AK10">
        <f>_xll.EQNXTDZ($A$1,$B10,AK$1,$B$1)</f>
        <v>24.300999999999998</v>
      </c>
      <c r="AL10">
        <f>_xll.EQNXTDZ($A$1,$B10,AL$1,$B$1)</f>
        <v>-6.17</v>
      </c>
      <c r="AM10">
        <f>_xll.EQNXTDZ($A$1,$B10,AM$1,$B$1)</f>
        <v>-49.356000000000002</v>
      </c>
      <c r="AN10">
        <f>_xll.EQNXTDZ($A$1,$B10,AN$1,$B$1)</f>
        <v>-11.723000000000001</v>
      </c>
      <c r="AO10">
        <f>_xll.EQNXTDZ($A$1,$B10,AO$1,$B$1)</f>
        <v>-9.4420000000000002</v>
      </c>
      <c r="AP10">
        <f>_xll.EQNXTDZ($A$1,$B10,AP$1,$B$1)</f>
        <v>16.637</v>
      </c>
      <c r="AQ10">
        <f>_xll.EQNXTDZ($A$1,$B10,AQ$1,$B$1)</f>
        <v>-73.004999999999995</v>
      </c>
      <c r="AR10">
        <f>_xll.EQNXTDZ($A$1,$B10,AR$1,$B$1)</f>
        <v>38.234000000000002</v>
      </c>
      <c r="AS10">
        <f>_xll.EQNXTDZ($A$1,$B10,AS$1,$B$1)</f>
        <v>-16.201000000000001</v>
      </c>
      <c r="AT10">
        <f>_xll.EQNXTDZ($A$1,$B10,AT$1,$B$1)</f>
        <v>35.561999999999998</v>
      </c>
      <c r="AU10">
        <f>_xll.EQNXTDZ($A$1,$B10,AU$1,$B$1)</f>
        <v>-24.027999999999999</v>
      </c>
      <c r="AV10">
        <f>_xll.EQNXTDZ($A$1,$B10,AV$1,$B$1)</f>
        <v>31.032</v>
      </c>
      <c r="AW10">
        <f>_xll.EQNXTDZ($A$1,$B10,AW$1,$B$1)</f>
        <v>10.388</v>
      </c>
      <c r="AX10">
        <f>_xll.EQNXTDZ($A$1,$B10,AX$1,$B$1)</f>
        <v>-30.442</v>
      </c>
      <c r="AY10">
        <f>_xll.EQNXTDZ($A$1,$B10,AY$1,$B$1)</f>
        <v>23.885000000000002</v>
      </c>
      <c r="AZ10">
        <f>_xll.EQNXTDZ($A$1,$B10,AZ$1,$B$1)</f>
        <v>-33.869999999999997</v>
      </c>
      <c r="BA10">
        <f>_xll.EQNXTDZ($A$1,$B10,BA$1,$B$1)</f>
        <v>9.0939999999999994</v>
      </c>
      <c r="BB10">
        <f>_xll.EQNXTDZ($A$1,$B10,BB$1,$B$1)</f>
        <v>17.361000000000001</v>
      </c>
      <c r="BC10">
        <f>_xll.EQNXTDZ($A$1,$B10,BC$1,$B$1)</f>
        <v>45.764000000000003</v>
      </c>
      <c r="BD10">
        <f>_xll.EQNXTDZ($A$1,$B10,BD$1,$B$1)</f>
        <v>9.9990000000000006</v>
      </c>
      <c r="BE10">
        <f>_xll.EQNXTDZ($A$1,$B10,BE$1,$B$1)</f>
        <v>-60.709000000000003</v>
      </c>
      <c r="BF10">
        <f>_xll.EQNXTDZ($A$1,$B10,BF$1,$B$1)</f>
        <v>-10.212999999999999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74.989000000000004</v>
      </c>
      <c r="D11">
        <f>_xll.EQNXTDZ($A$1,$B11,D$1,$B$1)</f>
        <v>78.647000000000006</v>
      </c>
      <c r="E11">
        <f>_xll.EQNXTDZ($A$1,$B11,E$1,$B$1)</f>
        <v>60.731000000000002</v>
      </c>
      <c r="F11">
        <f>_xll.EQNXTDZ($A$1,$B11,F$1,$B$1)</f>
        <v>72.8</v>
      </c>
      <c r="G11">
        <f>_xll.EQNXTDZ($A$1,$B11,G$1,$B$1)</f>
        <v>87.46</v>
      </c>
      <c r="H11">
        <f>_xll.EQNXTDZ($A$1,$B11,H$1,$B$1)</f>
        <v>111.35899999999999</v>
      </c>
      <c r="I11">
        <f>_xll.EQNXTDZ($A$1,$B11,I$1,$B$1)</f>
        <v>100.15</v>
      </c>
      <c r="J11">
        <f>_xll.EQNXTDZ($A$1,$B11,J$1,$B$1)</f>
        <v>104.45</v>
      </c>
      <c r="K11">
        <f>_xll.EQNXTDZ($A$1,$B11,K$1,$B$1)</f>
        <v>103.28</v>
      </c>
      <c r="L11">
        <f>_xll.EQNXTDZ($A$1,$B11,L$1,$B$1)</f>
        <v>80.41</v>
      </c>
      <c r="M11">
        <f>_xll.EQNXTDZ($A$1,$B11,M$1,$B$1)</f>
        <v>89.991</v>
      </c>
      <c r="N11">
        <f>_xll.EQNXTDZ($A$1,$B11,N$1,$B$1)</f>
        <v>75.661000000000001</v>
      </c>
      <c r="O11">
        <f>_xll.EQNXTDZ($A$1,$B11,O$1,$B$1)</f>
        <v>82.483999999999995</v>
      </c>
      <c r="P11">
        <f>_xll.EQNXTDZ($A$1,$B11,P$1,$B$1)</f>
        <v>87.474999999999994</v>
      </c>
      <c r="Q11">
        <f>_xll.EQNXTDZ($A$1,$B11,Q$1,$B$1)</f>
        <v>77.134</v>
      </c>
      <c r="R11">
        <f>_xll.EQNXTDZ($A$1,$B11,R$1,$B$1)</f>
        <v>79.677999999999997</v>
      </c>
      <c r="S11">
        <f>_xll.EQNXTDZ($A$1,$B11,S$1,$B$1)</f>
        <v>94.486999999999995</v>
      </c>
      <c r="T11">
        <f>_xll.EQNXTDZ($A$1,$B11,T$1,$B$1)</f>
        <v>74.167000000000002</v>
      </c>
      <c r="U11">
        <f>_xll.EQNXTDZ($A$1,$B11,U$1,$B$1)</f>
        <v>84.438000000000002</v>
      </c>
      <c r="V11">
        <f>_xll.EQNXTDZ($A$1,$B11,V$1,$B$1)</f>
        <v>92.850999999999999</v>
      </c>
      <c r="W11">
        <f>_xll.EQNXTDZ($A$1,$B11,W$1,$B$1)</f>
        <v>91.456000000000003</v>
      </c>
      <c r="X11">
        <f>_xll.EQNXTDZ($A$1,$B11,X$1,$B$1)</f>
        <v>99.957999999999998</v>
      </c>
      <c r="Y11">
        <f>_xll.EQNXTDZ($A$1,$B11,Y$1,$B$1)</f>
        <v>115.69499999999999</v>
      </c>
      <c r="Z11">
        <f>_xll.EQNXTDZ($A$1,$B11,Z$1,$B$1)</f>
        <v>153.86000000000001</v>
      </c>
      <c r="AA11">
        <f>_xll.EQNXTDZ($A$1,$B11,AA$1,$B$1)</f>
        <v>150.12899999999999</v>
      </c>
      <c r="AB11">
        <f>_xll.EQNXTDZ($A$1,$B11,AB$1,$B$1)</f>
        <v>117.55200000000001</v>
      </c>
      <c r="AC11">
        <f>_xll.EQNXTDZ($A$1,$B11,AC$1,$B$1)</f>
        <v>142.06700000000001</v>
      </c>
      <c r="AD11">
        <f>_xll.EQNXTDZ($A$1,$B11,AD$1,$B$1)</f>
        <v>131.26499999999999</v>
      </c>
      <c r="AE11">
        <f>_xll.EQNXTDZ($A$1,$B11,AE$1,$B$1)</f>
        <v>141.73400000000001</v>
      </c>
      <c r="AF11">
        <f>_xll.EQNXTDZ($A$1,$B11,AF$1,$B$1)</f>
        <v>101.621</v>
      </c>
      <c r="AG11">
        <f>_xll.EQNXTDZ($A$1,$B11,AG$1,$B$1)</f>
        <v>111.48399999999999</v>
      </c>
      <c r="AH11">
        <f>_xll.EQNXTDZ($A$1,$B11,AH$1,$B$1)</f>
        <v>143.13200000000001</v>
      </c>
      <c r="AI11">
        <f>_xll.EQNXTDZ($A$1,$B11,AI$1,$B$1)</f>
        <v>112.761</v>
      </c>
      <c r="AJ11">
        <f>_xll.EQNXTDZ($A$1,$B11,AJ$1,$B$1)</f>
        <v>146.74700000000001</v>
      </c>
      <c r="AK11">
        <f>_xll.EQNXTDZ($A$1,$B11,AK$1,$B$1)</f>
        <v>162.22900000000001</v>
      </c>
      <c r="AL11">
        <f>_xll.EQNXTDZ($A$1,$B11,AL$1,$B$1)</f>
        <v>194.066</v>
      </c>
      <c r="AM11">
        <f>_xll.EQNXTDZ($A$1,$B11,AM$1,$B$1)</f>
        <v>269.024</v>
      </c>
      <c r="AN11">
        <f>_xll.EQNXTDZ($A$1,$B11,AN$1,$B$1)</f>
        <v>291.04599999999999</v>
      </c>
      <c r="AO11">
        <f>_xll.EQNXTDZ($A$1,$B11,AO$1,$B$1)</f>
        <v>296.10000000000002</v>
      </c>
      <c r="AP11">
        <f>_xll.EQNXTDZ($A$1,$B11,AP$1,$B$1)</f>
        <v>420.24</v>
      </c>
      <c r="AQ11">
        <f>_xll.EQNXTDZ($A$1,$B11,AQ$1,$B$1)</f>
        <v>392.23899999999998</v>
      </c>
      <c r="AR11">
        <f>_xll.EQNXTDZ($A$1,$B11,AR$1,$B$1)</f>
        <v>287.16899999999998</v>
      </c>
      <c r="AS11">
        <f>_xll.EQNXTDZ($A$1,$B11,AS$1,$B$1)</f>
        <v>355.01900000000001</v>
      </c>
      <c r="AT11">
        <f>_xll.EQNXTDZ($A$1,$B11,AT$1,$B$1)</f>
        <v>226.77199999999999</v>
      </c>
      <c r="AU11">
        <f>_xll.EQNXTDZ($A$1,$B11,AU$1,$B$1)</f>
        <v>280.09300000000002</v>
      </c>
      <c r="AV11">
        <f>_xll.EQNXTDZ($A$1,$B11,AV$1,$B$1)</f>
        <v>191.27199999999999</v>
      </c>
      <c r="AW11">
        <f>_xll.EQNXTDZ($A$1,$B11,AW$1,$B$1)</f>
        <v>201.28399999999999</v>
      </c>
      <c r="AX11">
        <f>_xll.EQNXTDZ($A$1,$B11,AX$1,$B$1)</f>
        <v>243.6</v>
      </c>
      <c r="AY11">
        <f>_xll.EQNXTDZ($A$1,$B11,AY$1,$B$1)</f>
        <v>193.16</v>
      </c>
      <c r="AZ11">
        <f>_xll.EQNXTDZ($A$1,$B11,AZ$1,$B$1)</f>
        <v>221.87899999999999</v>
      </c>
      <c r="BA11">
        <f>_xll.EQNXTDZ($A$1,$B11,BA$1,$B$1)</f>
        <v>168.50299999999999</v>
      </c>
      <c r="BB11">
        <f>_xll.EQNXTDZ($A$1,$B11,BB$1,$B$1)</f>
        <v>180.643</v>
      </c>
      <c r="BC11">
        <f>_xll.EQNXTDZ($A$1,$B11,BC$1,$B$1)</f>
        <v>166.24799999999999</v>
      </c>
      <c r="BD11">
        <f>_xll.EQNXTDZ($A$1,$B11,BD$1,$B$1)</f>
        <v>175.05099999999999</v>
      </c>
      <c r="BE11">
        <f>_xll.EQNXTDZ($A$1,$B11,BE$1,$B$1)</f>
        <v>244.46799999999999</v>
      </c>
      <c r="BF11">
        <f>_xll.EQNXTDZ($A$1,$B11,BF$1,$B$1)</f>
        <v>231.249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24.745999999999999</v>
      </c>
      <c r="D14">
        <f>_xll.EQNXTDZ($A$1,$B14,D$1,$B$1)</f>
        <v>24.727</v>
      </c>
      <c r="E14">
        <f>_xll.EQNXTDZ($A$1,$B14,E$1,$B$1)</f>
        <v>20.888999999999999</v>
      </c>
      <c r="F14">
        <f>_xll.EQNXTDZ($A$1,$B14,F$1,$B$1)</f>
        <v>31.01</v>
      </c>
      <c r="G14">
        <f>_xll.EQNXTDZ($A$1,$B14,G$1,$B$1)</f>
        <v>22.73</v>
      </c>
      <c r="H14">
        <f>_xll.EQNXTDZ($A$1,$B14,H$1,$B$1)</f>
        <v>32.530999999999999</v>
      </c>
      <c r="I14">
        <f>_xll.EQNXTDZ($A$1,$B14,I$1,$B$1)</f>
        <v>27.14</v>
      </c>
      <c r="J14">
        <f>_xll.EQNXTDZ($A$1,$B14,J$1,$B$1)</f>
        <v>34.950000000000003</v>
      </c>
      <c r="K14">
        <f>_xll.EQNXTDZ($A$1,$B14,K$1,$B$1)</f>
        <v>32.6</v>
      </c>
      <c r="L14">
        <f>_xll.EQNXTDZ($A$1,$B14,L$1,$B$1)</f>
        <v>32.677</v>
      </c>
      <c r="M14">
        <f>_xll.EQNXTDZ($A$1,$B14,M$1,$B$1)</f>
        <v>29.443000000000001</v>
      </c>
      <c r="N14">
        <f>_xll.EQNXTDZ($A$1,$B14,N$1,$B$1)</f>
        <v>32.609000000000002</v>
      </c>
      <c r="O14">
        <f>_xll.EQNXTDZ($A$1,$B14,O$1,$B$1)</f>
        <v>29.295000000000002</v>
      </c>
      <c r="P14">
        <f>_xll.EQNXTDZ($A$1,$B14,P$1,$B$1)</f>
        <v>46.420999999999999</v>
      </c>
      <c r="Q14">
        <f>_xll.EQNXTDZ($A$1,$B14,Q$1,$B$1)</f>
        <v>44.527000000000001</v>
      </c>
      <c r="R14">
        <f>_xll.EQNXTDZ($A$1,$B14,R$1,$B$1)</f>
        <v>45.533999999999999</v>
      </c>
      <c r="S14">
        <f>_xll.EQNXTDZ($A$1,$B14,S$1,$B$1)</f>
        <v>47.061999999999998</v>
      </c>
      <c r="T14">
        <f>_xll.EQNXTDZ($A$1,$B14,T$1,$B$1)</f>
        <v>43.920999999999999</v>
      </c>
      <c r="U14">
        <f>_xll.EQNXTDZ($A$1,$B14,U$1,$B$1)</f>
        <v>50.87</v>
      </c>
      <c r="V14">
        <f>_xll.EQNXTDZ($A$1,$B14,V$1,$B$1)</f>
        <v>50.871000000000002</v>
      </c>
      <c r="W14">
        <f>_xll.EQNXTDZ($A$1,$B14,W$1,$B$1)</f>
        <v>49.805</v>
      </c>
      <c r="X14">
        <f>_xll.EQNXTDZ($A$1,$B14,X$1,$B$1)</f>
        <v>37.387</v>
      </c>
      <c r="Y14">
        <f>_xll.EQNXTDZ($A$1,$B14,Y$1,$B$1)</f>
        <v>38.524000000000001</v>
      </c>
      <c r="Z14">
        <f>_xll.EQNXTDZ($A$1,$B14,Z$1,$B$1)</f>
        <v>51.023000000000003</v>
      </c>
      <c r="AA14">
        <f>_xll.EQNXTDZ($A$1,$B14,AA$1,$B$1)</f>
        <v>47.386000000000003</v>
      </c>
      <c r="AB14">
        <f>_xll.EQNXTDZ($A$1,$B14,AB$1,$B$1)</f>
        <v>44.9</v>
      </c>
      <c r="AC14">
        <f>_xll.EQNXTDZ($A$1,$B14,AC$1,$B$1)</f>
        <v>44.71</v>
      </c>
      <c r="AD14">
        <f>_xll.EQNXTDZ($A$1,$B14,AD$1,$B$1)</f>
        <v>47.622</v>
      </c>
      <c r="AE14">
        <f>_xll.EQNXTDZ($A$1,$B14,AE$1,$B$1)</f>
        <v>44.460999999999999</v>
      </c>
      <c r="AF14">
        <f>_xll.EQNXTDZ($A$1,$B14,AF$1,$B$1)</f>
        <v>46.037999999999997</v>
      </c>
      <c r="AG14">
        <f>_xll.EQNXTDZ($A$1,$B14,AG$1,$B$1)</f>
        <v>48.436999999999998</v>
      </c>
      <c r="AH14">
        <f>_xll.EQNXTDZ($A$1,$B14,AH$1,$B$1)</f>
        <v>51.271000000000001</v>
      </c>
      <c r="AI14">
        <f>_xll.EQNXTDZ($A$1,$B14,AI$1,$B$1)</f>
        <v>40.110999999999997</v>
      </c>
      <c r="AJ14">
        <f>_xll.EQNXTDZ($A$1,$B14,AJ$1,$B$1)</f>
        <v>55.591999999999999</v>
      </c>
      <c r="AK14">
        <f>_xll.EQNXTDZ($A$1,$B14,AK$1,$B$1)</f>
        <v>69.006</v>
      </c>
      <c r="AL14">
        <f>_xll.EQNXTDZ($A$1,$B14,AL$1,$B$1)</f>
        <v>75.441000000000003</v>
      </c>
      <c r="AM14">
        <f>_xll.EQNXTDZ($A$1,$B14,AM$1,$B$1)</f>
        <v>70.727999999999994</v>
      </c>
      <c r="AN14">
        <f>_xll.EQNXTDZ($A$1,$B14,AN$1,$B$1)</f>
        <v>96.763999999999996</v>
      </c>
      <c r="AO14">
        <f>_xll.EQNXTDZ($A$1,$B14,AO$1,$B$1)</f>
        <v>99.203000000000003</v>
      </c>
      <c r="AP14">
        <f>_xll.EQNXTDZ($A$1,$B14,AP$1,$B$1)</f>
        <v>112.908</v>
      </c>
      <c r="AQ14">
        <f>_xll.EQNXTDZ($A$1,$B14,AQ$1,$B$1)</f>
        <v>109.92</v>
      </c>
      <c r="AR14">
        <f>_xll.EQNXTDZ($A$1,$B14,AR$1,$B$1)</f>
        <v>107.783</v>
      </c>
      <c r="AS14">
        <f>_xll.EQNXTDZ($A$1,$B14,AS$1,$B$1)</f>
        <v>99.766999999999996</v>
      </c>
      <c r="AT14">
        <f>_xll.EQNXTDZ($A$1,$B14,AT$1,$B$1)</f>
        <v>97.875</v>
      </c>
      <c r="AU14">
        <f>_xll.EQNXTDZ($A$1,$B14,AU$1,$B$1)</f>
        <v>91.706000000000003</v>
      </c>
      <c r="AV14">
        <f>_xll.EQNXTDZ($A$1,$B14,AV$1,$B$1)</f>
        <v>85.135999999999996</v>
      </c>
      <c r="AW14">
        <f>_xll.EQNXTDZ($A$1,$B14,AW$1,$B$1)</f>
        <v>76.94</v>
      </c>
      <c r="AX14">
        <f>_xll.EQNXTDZ($A$1,$B14,AX$1,$B$1)</f>
        <v>78.531000000000006</v>
      </c>
      <c r="AY14">
        <f>_xll.EQNXTDZ($A$1,$B14,AY$1,$B$1)</f>
        <v>82.423000000000002</v>
      </c>
      <c r="AZ14">
        <f>_xll.EQNXTDZ($A$1,$B14,AZ$1,$B$1)</f>
        <v>78.924000000000007</v>
      </c>
      <c r="BA14">
        <f>_xll.EQNXTDZ($A$1,$B14,BA$1,$B$1)</f>
        <v>70.894000000000005</v>
      </c>
      <c r="BB14">
        <f>_xll.EQNXTDZ($A$1,$B14,BB$1,$B$1)</f>
        <v>72.179000000000002</v>
      </c>
      <c r="BC14">
        <f>_xll.EQNXTDZ($A$1,$B14,BC$1,$B$1)</f>
        <v>71.156000000000006</v>
      </c>
      <c r="BD14">
        <f>_xll.EQNXTDZ($A$1,$B14,BD$1,$B$1)</f>
        <v>76.289000000000001</v>
      </c>
      <c r="BE14">
        <f>_xll.EQNXTDZ($A$1,$B14,BE$1,$B$1)</f>
        <v>72.674999999999997</v>
      </c>
      <c r="BF14">
        <f>_xll.EQNXTDZ($A$1,$B14,BF$1,$B$1)</f>
        <v>53.46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4.5819999999999999</v>
      </c>
      <c r="D16">
        <f>_xll.EQNXTDZ($A$1,$B16,D$1,$B$1)</f>
        <v>4.2990000000000004</v>
      </c>
      <c r="E16">
        <f>_xll.EQNXTDZ($A$1,$B16,E$1,$B$1)</f>
        <v>4.5810000000000004</v>
      </c>
      <c r="F16">
        <f>_xll.EQNXTDZ($A$1,$B16,F$1,$B$1)</f>
        <v>4.54</v>
      </c>
      <c r="G16">
        <f>_xll.EQNXTDZ($A$1,$B16,G$1,$B$1)</f>
        <v>4.5199999999999996</v>
      </c>
      <c r="H16">
        <f>_xll.EQNXTDZ($A$1,$B16,H$1,$B$1)</f>
        <v>4.6980000000000004</v>
      </c>
      <c r="I16">
        <f>_xll.EQNXTDZ($A$1,$B16,I$1,$B$1)</f>
        <v>5.29</v>
      </c>
      <c r="J16">
        <f>_xll.EQNXTDZ($A$1,$B16,J$1,$B$1)</f>
        <v>6.27</v>
      </c>
      <c r="K16">
        <f>_xll.EQNXTDZ($A$1,$B16,K$1,$B$1)</f>
        <v>5.71</v>
      </c>
      <c r="L16">
        <f>_xll.EQNXTDZ($A$1,$B16,L$1,$B$1)</f>
        <v>5.5389999999999997</v>
      </c>
      <c r="M16">
        <f>_xll.EQNXTDZ($A$1,$B16,M$1,$B$1)</f>
        <v>6.1539999999999999</v>
      </c>
      <c r="N16">
        <f>_xll.EQNXTDZ($A$1,$B16,N$1,$B$1)</f>
        <v>7.0579999999999998</v>
      </c>
      <c r="O16">
        <f>_xll.EQNXTDZ($A$1,$B16,O$1,$B$1)</f>
        <v>6.548</v>
      </c>
      <c r="P16">
        <f>_xll.EQNXTDZ($A$1,$B16,P$1,$B$1)</f>
        <v>6.8780000000000001</v>
      </c>
      <c r="Q16">
        <f>_xll.EQNXTDZ($A$1,$B16,Q$1,$B$1)</f>
        <v>7.66</v>
      </c>
      <c r="R16">
        <f>_xll.EQNXTDZ($A$1,$B16,R$1,$B$1)</f>
        <v>10.436999999999999</v>
      </c>
      <c r="S16">
        <f>_xll.EQNXTDZ($A$1,$B16,S$1,$B$1)</f>
        <v>8.0730000000000004</v>
      </c>
      <c r="T16">
        <f>_xll.EQNXTDZ($A$1,$B16,T$1,$B$1)</f>
        <v>8.4890000000000008</v>
      </c>
      <c r="U16">
        <f>_xll.EQNXTDZ($A$1,$B16,U$1,$B$1)</f>
        <v>9.6750000000000007</v>
      </c>
      <c r="V16">
        <f>_xll.EQNXTDZ($A$1,$B16,V$1,$B$1)</f>
        <v>12.497</v>
      </c>
      <c r="W16">
        <f>_xll.EQNXTDZ($A$1,$B16,W$1,$B$1)</f>
        <v>9.2859999999999996</v>
      </c>
      <c r="X16">
        <f>_xll.EQNXTDZ($A$1,$B16,X$1,$B$1)</f>
        <v>11.794</v>
      </c>
      <c r="Y16">
        <f>_xll.EQNXTDZ($A$1,$B16,Y$1,$B$1)</f>
        <v>12.871</v>
      </c>
      <c r="Z16">
        <f>_xll.EQNXTDZ($A$1,$B16,Z$1,$B$1)</f>
        <v>11.138</v>
      </c>
      <c r="AA16">
        <f>_xll.EQNXTDZ($A$1,$B16,AA$1,$B$1)</f>
        <v>12.598000000000001</v>
      </c>
      <c r="AB16">
        <f>_xll.EQNXTDZ($A$1,$B16,AB$1,$B$1)</f>
        <v>12.827999999999999</v>
      </c>
      <c r="AC16">
        <f>_xll.EQNXTDZ($A$1,$B16,AC$1,$B$1)</f>
        <v>12.058</v>
      </c>
      <c r="AD16">
        <f>_xll.EQNXTDZ($A$1,$B16,AD$1,$B$1)</f>
        <v>10.797000000000001</v>
      </c>
      <c r="AE16">
        <f>_xll.EQNXTDZ($A$1,$B16,AE$1,$B$1)</f>
        <v>10.781000000000001</v>
      </c>
      <c r="AF16">
        <f>_xll.EQNXTDZ($A$1,$B16,AF$1,$B$1)</f>
        <v>11.881</v>
      </c>
      <c r="AG16">
        <f>_xll.EQNXTDZ($A$1,$B16,AG$1,$B$1)</f>
        <v>14.438000000000001</v>
      </c>
      <c r="AH16">
        <f>_xll.EQNXTDZ($A$1,$B16,AH$1,$B$1)</f>
        <v>13.888</v>
      </c>
      <c r="AI16">
        <f>_xll.EQNXTDZ($A$1,$B16,AI$1,$B$1)</f>
        <v>11.221</v>
      </c>
      <c r="AJ16">
        <f>_xll.EQNXTDZ($A$1,$B16,AJ$1,$B$1)</f>
        <v>15.611000000000001</v>
      </c>
      <c r="AK16">
        <f>_xll.EQNXTDZ($A$1,$B16,AK$1,$B$1)</f>
        <v>19.22</v>
      </c>
      <c r="AL16">
        <f>_xll.EQNXTDZ($A$1,$B16,AL$1,$B$1)</f>
        <v>21.771999999999998</v>
      </c>
      <c r="AM16">
        <f>_xll.EQNXTDZ($A$1,$B16,AM$1,$B$1)</f>
        <v>18.664000000000001</v>
      </c>
      <c r="AN16">
        <f>_xll.EQNXTDZ($A$1,$B16,AN$1,$B$1)</f>
        <v>19.649999999999999</v>
      </c>
      <c r="AO16">
        <f>_xll.EQNXTDZ($A$1,$B16,AO$1,$B$1)</f>
        <v>23.856999999999999</v>
      </c>
      <c r="AP16">
        <f>_xll.EQNXTDZ($A$1,$B16,AP$1,$B$1)</f>
        <v>34.465000000000003</v>
      </c>
      <c r="AQ16">
        <f>_xll.EQNXTDZ($A$1,$B16,AQ$1,$B$1)</f>
        <v>26.222999999999999</v>
      </c>
      <c r="AR16">
        <f>_xll.EQNXTDZ($A$1,$B16,AR$1,$B$1)</f>
        <v>21.268000000000001</v>
      </c>
      <c r="AS16">
        <f>_xll.EQNXTDZ($A$1,$B16,AS$1,$B$1)</f>
        <v>19.585000000000001</v>
      </c>
      <c r="AT16">
        <f>_xll.EQNXTDZ($A$1,$B16,AT$1,$B$1)</f>
        <v>18.056999999999999</v>
      </c>
      <c r="AU16">
        <f>_xll.EQNXTDZ($A$1,$B16,AU$1,$B$1)</f>
        <v>17.86</v>
      </c>
      <c r="AV16">
        <f>_xll.EQNXTDZ($A$1,$B16,AV$1,$B$1)</f>
        <v>19.32</v>
      </c>
      <c r="AW16">
        <f>_xll.EQNXTDZ($A$1,$B16,AW$1,$B$1)</f>
        <v>20.55</v>
      </c>
      <c r="AX16">
        <f>_xll.EQNXTDZ($A$1,$B16,AX$1,$B$1)</f>
        <v>24.539000000000001</v>
      </c>
      <c r="AY16">
        <f>_xll.EQNXTDZ($A$1,$B16,AY$1,$B$1)</f>
        <v>19.184000000000001</v>
      </c>
      <c r="AZ16">
        <f>_xll.EQNXTDZ($A$1,$B16,AZ$1,$B$1)</f>
        <v>19.262</v>
      </c>
      <c r="BA16">
        <f>_xll.EQNXTDZ($A$1,$B16,BA$1,$B$1)</f>
        <v>18.533000000000001</v>
      </c>
      <c r="BB16">
        <f>_xll.EQNXTDZ($A$1,$B16,BB$1,$B$1)</f>
        <v>22.882000000000001</v>
      </c>
      <c r="BC16">
        <f>_xll.EQNXTDZ($A$1,$B16,BC$1,$B$1)</f>
        <v>20.478000000000002</v>
      </c>
      <c r="BD16">
        <f>_xll.EQNXTDZ($A$1,$B16,BD$1,$B$1)</f>
        <v>19.399000000000001</v>
      </c>
      <c r="BE16">
        <f>_xll.EQNXTDZ($A$1,$B16,BE$1,$B$1)</f>
        <v>18.192</v>
      </c>
      <c r="BF16">
        <f>_xll.EQNXTDZ($A$1,$B16,BF$1,$B$1)</f>
        <v>26.041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23</v>
      </c>
      <c r="D22">
        <f>_xll.EQNXTDZ($A$1,$B22,D$1,$B$1)</f>
        <v>23.067</v>
      </c>
      <c r="E22">
        <f>_xll.EQNXTDZ($A$1,$B22,E$1,$B$1)</f>
        <v>16.518000000000001</v>
      </c>
      <c r="F22">
        <f>_xll.EQNXTDZ($A$1,$B22,F$1,$B$1)</f>
        <v>17.632000000000001</v>
      </c>
      <c r="G22">
        <f>_xll.EQNXTDZ($A$1,$B22,G$1,$B$1)</f>
        <v>22.7</v>
      </c>
      <c r="H22">
        <f>_xll.EQNXTDZ($A$1,$B22,H$1,$B$1)</f>
        <v>27.759</v>
      </c>
      <c r="I22">
        <f>_xll.EQNXTDZ($A$1,$B22,I$1,$B$1)</f>
        <v>19.440000000000001</v>
      </c>
      <c r="J22">
        <f>_xll.EQNXTDZ($A$1,$B22,J$1,$B$1)</f>
        <v>21.13</v>
      </c>
      <c r="K22">
        <f>_xll.EQNXTDZ($A$1,$B22,K$1,$B$1)</f>
        <v>24.96</v>
      </c>
      <c r="L22">
        <f>_xll.EQNXTDZ($A$1,$B22,L$1,$B$1)</f>
        <v>26.911000000000001</v>
      </c>
      <c r="M22">
        <f>_xll.EQNXTDZ($A$1,$B22,M$1,$B$1)</f>
        <v>21.585000000000001</v>
      </c>
      <c r="N22">
        <f>_xll.EQNXTDZ($A$1,$B22,N$1,$B$1)</f>
        <v>28.902000000000001</v>
      </c>
      <c r="O22">
        <f>_xll.EQNXTDZ($A$1,$B22,O$1,$B$1)</f>
        <v>28.984999999999999</v>
      </c>
      <c r="P22">
        <f>_xll.EQNXTDZ($A$1,$B22,P$1,$B$1)</f>
        <v>27.948</v>
      </c>
      <c r="Q22">
        <f>_xll.EQNXTDZ($A$1,$B22,Q$1,$B$1)</f>
        <v>31.09</v>
      </c>
      <c r="R22">
        <f>_xll.EQNXTDZ($A$1,$B22,R$1,$B$1)</f>
        <v>40.869999999999997</v>
      </c>
      <c r="S22">
        <f>_xll.EQNXTDZ($A$1,$B22,S$1,$B$1)</f>
        <v>40.323999999999998</v>
      </c>
      <c r="T22">
        <f>_xll.EQNXTDZ($A$1,$B22,T$1,$B$1)</f>
        <v>39.668999999999997</v>
      </c>
      <c r="U22">
        <f>_xll.EQNXTDZ($A$1,$B22,U$1,$B$1)</f>
        <v>36.587000000000003</v>
      </c>
      <c r="V22">
        <f>_xll.EQNXTDZ($A$1,$B22,V$1,$B$1)</f>
        <v>38.176000000000002</v>
      </c>
      <c r="W22">
        <f>_xll.EQNXTDZ($A$1,$B22,W$1,$B$1)</f>
        <v>40.575000000000003</v>
      </c>
      <c r="X22">
        <f>_xll.EQNXTDZ($A$1,$B22,X$1,$B$1)</f>
        <v>51.52</v>
      </c>
      <c r="Y22">
        <f>_xll.EQNXTDZ($A$1,$B22,Y$1,$B$1)</f>
        <v>50.572000000000003</v>
      </c>
      <c r="Z22">
        <f>_xll.EQNXTDZ($A$1,$B22,Z$1,$B$1)</f>
        <v>46.857999999999997</v>
      </c>
      <c r="AA22">
        <f>_xll.EQNXTDZ($A$1,$B22,AA$1,$B$1)</f>
        <v>58.671999999999997</v>
      </c>
      <c r="AB22">
        <f>_xll.EQNXTDZ($A$1,$B22,AB$1,$B$1)</f>
        <v>44.792000000000002</v>
      </c>
      <c r="AC22">
        <f>_xll.EQNXTDZ($A$1,$B22,AC$1,$B$1)</f>
        <v>42.591999999999999</v>
      </c>
      <c r="AD22">
        <f>_xll.EQNXTDZ($A$1,$B22,AD$1,$B$1)</f>
        <v>47.350999999999999</v>
      </c>
      <c r="AE22">
        <f>_xll.EQNXTDZ($A$1,$B22,AE$1,$B$1)</f>
        <v>37.512</v>
      </c>
      <c r="AF22">
        <f>_xll.EQNXTDZ($A$1,$B22,AF$1,$B$1)</f>
        <v>44.765999999999998</v>
      </c>
      <c r="AG22">
        <f>_xll.EQNXTDZ($A$1,$B22,AG$1,$B$1)</f>
        <v>42.837000000000003</v>
      </c>
      <c r="AH22">
        <f>_xll.EQNXTDZ($A$1,$B22,AH$1,$B$1)</f>
        <v>55.631999999999998</v>
      </c>
      <c r="AI22">
        <f>_xll.EQNXTDZ($A$1,$B22,AI$1,$B$1)</f>
        <v>53.228999999999999</v>
      </c>
      <c r="AJ22">
        <f>_xll.EQNXTDZ($A$1,$B22,AJ$1,$B$1)</f>
        <v>73.700999999999993</v>
      </c>
      <c r="AK22">
        <f>_xll.EQNXTDZ($A$1,$B22,AK$1,$B$1)</f>
        <v>117.371</v>
      </c>
      <c r="AL22">
        <f>_xll.EQNXTDZ($A$1,$B22,AL$1,$B$1)</f>
        <v>128.92500000000001</v>
      </c>
      <c r="AM22">
        <f>_xll.EQNXTDZ($A$1,$B22,AM$1,$B$1)</f>
        <v>141.62100000000001</v>
      </c>
      <c r="AN22">
        <f>_xll.EQNXTDZ($A$1,$B22,AN$1,$B$1)</f>
        <v>129.99600000000001</v>
      </c>
      <c r="AO22">
        <f>_xll.EQNXTDZ($A$1,$B22,AO$1,$B$1)</f>
        <v>155.17699999999999</v>
      </c>
      <c r="AP22">
        <f>_xll.EQNXTDZ($A$1,$B22,AP$1,$B$1)</f>
        <v>196.11600000000001</v>
      </c>
      <c r="AQ22">
        <f>_xll.EQNXTDZ($A$1,$B22,AQ$1,$B$1)</f>
        <v>214.79499999999999</v>
      </c>
      <c r="AR22">
        <f>_xll.EQNXTDZ($A$1,$B22,AR$1,$B$1)</f>
        <v>173.10400000000001</v>
      </c>
      <c r="AS22">
        <f>_xll.EQNXTDZ($A$1,$B22,AS$1,$B$1)</f>
        <v>127.77800000000001</v>
      </c>
      <c r="AT22">
        <f>_xll.EQNXTDZ($A$1,$B22,AT$1,$B$1)</f>
        <v>93.129000000000005</v>
      </c>
      <c r="AU22">
        <f>_xll.EQNXTDZ($A$1,$B22,AU$1,$B$1)</f>
        <v>98.042000000000002</v>
      </c>
      <c r="AV22">
        <f>_xll.EQNXTDZ($A$1,$B22,AV$1,$B$1)</f>
        <v>53.783999999999999</v>
      </c>
      <c r="AW22">
        <f>_xll.EQNXTDZ($A$1,$B22,AW$1,$B$1)</f>
        <v>74.195999999999998</v>
      </c>
      <c r="AX22">
        <f>_xll.EQNXTDZ($A$1,$B22,AX$1,$B$1)</f>
        <v>97.709000000000003</v>
      </c>
      <c r="AY22">
        <f>_xll.EQNXTDZ($A$1,$B22,AY$1,$B$1)</f>
        <v>66.093999999999994</v>
      </c>
      <c r="AZ22">
        <f>_xll.EQNXTDZ($A$1,$B22,AZ$1,$B$1)</f>
        <v>60.688000000000002</v>
      </c>
      <c r="BA22">
        <f>_xll.EQNXTDZ($A$1,$B22,BA$1,$B$1)</f>
        <v>45.704000000000001</v>
      </c>
      <c r="BB22">
        <f>_xll.EQNXTDZ($A$1,$B22,BB$1,$B$1)</f>
        <v>59.662999999999997</v>
      </c>
      <c r="BC22">
        <f>_xll.EQNXTDZ($A$1,$B22,BC$1,$B$1)</f>
        <v>54.695</v>
      </c>
      <c r="BD22">
        <f>_xll.EQNXTDZ($A$1,$B22,BD$1,$B$1)</f>
        <v>59.814</v>
      </c>
      <c r="BE22">
        <f>_xll.EQNXTDZ($A$1,$B22,BE$1,$B$1)</f>
        <v>56.674999999999997</v>
      </c>
      <c r="BF22">
        <f>_xll.EQNXTDZ($A$1,$B22,BF$1,$B$1)</f>
        <v>94.249000000000095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1.2829999999999999</v>
      </c>
      <c r="D23">
        <f>_xll.EQNXTDZ($A$1,$B23,D$1,$B$1)</f>
        <v>1.5429999999999999</v>
      </c>
      <c r="E23">
        <f>_xll.EQNXTDZ($A$1,$B23,E$1,$B$1)</f>
        <v>0.309</v>
      </c>
      <c r="F23">
        <f>_xll.EQNXTDZ($A$1,$B23,F$1,$B$1)</f>
        <v>0.57999999999999996</v>
      </c>
      <c r="G23">
        <f>_xll.EQNXTDZ($A$1,$B23,G$1,$B$1)</f>
        <v>0.81</v>
      </c>
      <c r="H23">
        <f>_xll.EQNXTDZ($A$1,$B23,H$1,$B$1)</f>
        <v>0.71599999999999997</v>
      </c>
      <c r="I23">
        <f>_xll.EQNXTDZ($A$1,$B23,I$1,$B$1)</f>
        <v>0.54</v>
      </c>
      <c r="J23">
        <f>_xll.EQNXTDZ($A$1,$B23,J$1,$B$1)</f>
        <v>0.54</v>
      </c>
      <c r="K23">
        <f>_xll.EQNXTDZ($A$1,$B23,K$1,$B$1)</f>
        <v>0.78</v>
      </c>
      <c r="L23">
        <f>_xll.EQNXTDZ($A$1,$B23,L$1,$B$1)</f>
        <v>0.85299999999999998</v>
      </c>
      <c r="M23">
        <f>_xll.EQNXTDZ($A$1,$B23,M$1,$B$1)</f>
        <v>0.52400000000000002</v>
      </c>
      <c r="N23">
        <f>_xll.EQNXTDZ($A$1,$B23,N$1,$B$1)</f>
        <v>1.234</v>
      </c>
      <c r="O23">
        <f>_xll.EQNXTDZ($A$1,$B23,O$1,$B$1)</f>
        <v>0.67500000000000004</v>
      </c>
      <c r="P23">
        <f>_xll.EQNXTDZ($A$1,$B23,P$1,$B$1)</f>
        <v>0.755</v>
      </c>
      <c r="Q23">
        <f>_xll.EQNXTDZ($A$1,$B23,Q$1,$B$1)</f>
        <v>0.14699999999999999</v>
      </c>
      <c r="R23">
        <f>_xll.EQNXTDZ($A$1,$B23,R$1,$B$1)</f>
        <v>0.66700000000000004</v>
      </c>
      <c r="S23">
        <f>_xll.EQNXTDZ($A$1,$B23,S$1,$B$1)</f>
        <v>0.55000000000000004</v>
      </c>
      <c r="T23">
        <f>_xll.EQNXTDZ($A$1,$B23,T$1,$B$1)</f>
        <v>1.0569999999999999</v>
      </c>
      <c r="U23">
        <f>_xll.EQNXTDZ($A$1,$B23,U$1,$B$1)</f>
        <v>0.59399999999999997</v>
      </c>
      <c r="V23">
        <f>_xll.EQNXTDZ($A$1,$B23,V$1,$B$1)</f>
        <v>0.85099999999999998</v>
      </c>
      <c r="W23">
        <f>_xll.EQNXTDZ($A$1,$B23,W$1,$B$1)</f>
        <v>0.94499999999999995</v>
      </c>
      <c r="X23">
        <f>_xll.EQNXTDZ($A$1,$B23,X$1,$B$1)</f>
        <v>1.272</v>
      </c>
      <c r="Y23">
        <f>_xll.EQNXTDZ($A$1,$B23,Y$1,$B$1)</f>
        <v>0.56699999999999995</v>
      </c>
      <c r="Z23">
        <f>_xll.EQNXTDZ($A$1,$B23,Z$1,$B$1)</f>
        <v>1.26</v>
      </c>
      <c r="AA23">
        <f>_xll.EQNXTDZ($A$1,$B23,AA$1,$B$1)</f>
        <v>0.97699999999999998</v>
      </c>
      <c r="AB23">
        <f>_xll.EQNXTDZ($A$1,$B23,AB$1,$B$1)</f>
        <v>1.3340000000000001</v>
      </c>
      <c r="AC23">
        <f>_xll.EQNXTDZ($A$1,$B23,AC$1,$B$1)</f>
        <v>1.149</v>
      </c>
      <c r="AD23">
        <f>_xll.EQNXTDZ($A$1,$B23,AD$1,$B$1)</f>
        <v>0.76600000000000001</v>
      </c>
      <c r="AE23">
        <f>_xll.EQNXTDZ($A$1,$B23,AE$1,$B$1)</f>
        <v>1.4059999999999999</v>
      </c>
      <c r="AF23">
        <f>_xll.EQNXTDZ($A$1,$B23,AF$1,$B$1)</f>
        <v>1.4630000000000001</v>
      </c>
      <c r="AG23">
        <f>_xll.EQNXTDZ($A$1,$B23,AG$1,$B$1)</f>
        <v>0.58899999999999997</v>
      </c>
      <c r="AH23">
        <f>_xll.EQNXTDZ($A$1,$B23,AH$1,$B$1)</f>
        <v>1.556</v>
      </c>
      <c r="AI23">
        <f>_xll.EQNXTDZ($A$1,$B23,AI$1,$B$1)</f>
        <v>1.276</v>
      </c>
      <c r="AJ23">
        <f>_xll.EQNXTDZ($A$1,$B23,AJ$1,$B$1)</f>
        <v>0.68799999999999994</v>
      </c>
      <c r="AK23">
        <f>_xll.EQNXTDZ($A$1,$B23,AK$1,$B$1)</f>
        <v>0.51200000000000001</v>
      </c>
      <c r="AL23">
        <f>_xll.EQNXTDZ($A$1,$B23,AL$1,$B$1)</f>
        <v>3.5979999999999999</v>
      </c>
      <c r="AM23">
        <f>_xll.EQNXTDZ($A$1,$B23,AM$1,$B$1)</f>
        <v>2.673</v>
      </c>
      <c r="AN23">
        <f>_xll.EQNXTDZ($A$1,$B23,AN$1,$B$1)</f>
        <v>4.2619999999999996</v>
      </c>
      <c r="AO23">
        <f>_xll.EQNXTDZ($A$1,$B23,AO$1,$B$1)</f>
        <v>3.8029999999999999</v>
      </c>
      <c r="AP23">
        <f>_xll.EQNXTDZ($A$1,$B23,AP$1,$B$1)</f>
        <v>5.0469999999999997</v>
      </c>
      <c r="AQ23">
        <f>_xll.EQNXTDZ($A$1,$B23,AQ$1,$B$1)</f>
        <v>4.6870000000000003</v>
      </c>
      <c r="AR23">
        <f>_xll.EQNXTDZ($A$1,$B23,AR$1,$B$1)</f>
        <v>2.8530000000000002</v>
      </c>
      <c r="AS23">
        <f>_xll.EQNXTDZ($A$1,$B23,AS$1,$B$1)</f>
        <v>2.524</v>
      </c>
      <c r="AT23">
        <f>_xll.EQNXTDZ($A$1,$B23,AT$1,$B$1)</f>
        <v>5.5049999999999999</v>
      </c>
      <c r="AU23">
        <f>_xll.EQNXTDZ($A$1,$B23,AU$1,$B$1)</f>
        <v>5.6470000000000002</v>
      </c>
      <c r="AV23">
        <f>_xll.EQNXTDZ($A$1,$B23,AV$1,$B$1)</f>
        <v>6.77</v>
      </c>
      <c r="AW23">
        <f>_xll.EQNXTDZ($A$1,$B23,AW$1,$B$1)</f>
        <v>8.4619999999999997</v>
      </c>
      <c r="AX23">
        <f>_xll.EQNXTDZ($A$1,$B23,AX$1,$B$1)</f>
        <v>8.7579999999999991</v>
      </c>
      <c r="AY23">
        <f>_xll.EQNXTDZ($A$1,$B23,AY$1,$B$1)</f>
        <v>8.1259999999999994</v>
      </c>
      <c r="AZ23">
        <f>_xll.EQNXTDZ($A$1,$B23,AZ$1,$B$1)</f>
        <v>9.1859999999999999</v>
      </c>
      <c r="BA23">
        <f>_xll.EQNXTDZ($A$1,$B23,BA$1,$B$1)</f>
        <v>7.8620000000000001</v>
      </c>
      <c r="BB23">
        <f>_xll.EQNXTDZ($A$1,$B23,BB$1,$B$1)</f>
        <v>8.0299999999999994</v>
      </c>
      <c r="BC23">
        <f>_xll.EQNXTDZ($A$1,$B23,BC$1,$B$1)</f>
        <v>9.02</v>
      </c>
      <c r="BD23">
        <f>_xll.EQNXTDZ($A$1,$B23,BD$1,$B$1)</f>
        <v>7.0549999999999997</v>
      </c>
      <c r="BE23">
        <f>_xll.EQNXTDZ($A$1,$B23,BE$1,$B$1)</f>
        <v>4.9939999999999998</v>
      </c>
      <c r="BF23">
        <f>_xll.EQNXTDZ($A$1,$B23,BF$1,$B$1)</f>
        <v>7.7380000000000004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24.283000000000001</v>
      </c>
      <c r="D24">
        <f>_xll.EQNXTDZ($A$1,$B24,D$1,$B$1)</f>
        <v>24.61</v>
      </c>
      <c r="E24">
        <f>_xll.EQNXTDZ($A$1,$B24,E$1,$B$1)</f>
        <v>16.827000000000002</v>
      </c>
      <c r="F24">
        <f>_xll.EQNXTDZ($A$1,$B24,F$1,$B$1)</f>
        <v>18.22</v>
      </c>
      <c r="G24">
        <f>_xll.EQNXTDZ($A$1,$B24,G$1,$B$1)</f>
        <v>23.51</v>
      </c>
      <c r="H24">
        <f>_xll.EQNXTDZ($A$1,$B24,H$1,$B$1)</f>
        <v>28.475000000000001</v>
      </c>
      <c r="I24">
        <f>_xll.EQNXTDZ($A$1,$B24,I$1,$B$1)</f>
        <v>19.98</v>
      </c>
      <c r="J24">
        <f>_xll.EQNXTDZ($A$1,$B24,J$1,$B$1)</f>
        <v>21.67</v>
      </c>
      <c r="K24">
        <f>_xll.EQNXTDZ($A$1,$B24,K$1,$B$1)</f>
        <v>25.74</v>
      </c>
      <c r="L24">
        <f>_xll.EQNXTDZ($A$1,$B24,L$1,$B$1)</f>
        <v>27.763999999999999</v>
      </c>
      <c r="M24">
        <f>_xll.EQNXTDZ($A$1,$B24,M$1,$B$1)</f>
        <v>22.109000000000002</v>
      </c>
      <c r="N24">
        <f>_xll.EQNXTDZ($A$1,$B24,N$1,$B$1)</f>
        <v>30.135999999999999</v>
      </c>
      <c r="O24">
        <f>_xll.EQNXTDZ($A$1,$B24,O$1,$B$1)</f>
        <v>29.66</v>
      </c>
      <c r="P24">
        <f>_xll.EQNXTDZ($A$1,$B24,P$1,$B$1)</f>
        <v>28.702999999999999</v>
      </c>
      <c r="Q24">
        <f>_xll.EQNXTDZ($A$1,$B24,Q$1,$B$1)</f>
        <v>31.236999999999998</v>
      </c>
      <c r="R24">
        <f>_xll.EQNXTDZ($A$1,$B24,R$1,$B$1)</f>
        <v>41.536999999999999</v>
      </c>
      <c r="S24">
        <f>_xll.EQNXTDZ($A$1,$B24,S$1,$B$1)</f>
        <v>40.874000000000002</v>
      </c>
      <c r="T24">
        <f>_xll.EQNXTDZ($A$1,$B24,T$1,$B$1)</f>
        <v>40.725999999999999</v>
      </c>
      <c r="U24">
        <f>_xll.EQNXTDZ($A$1,$B24,U$1,$B$1)</f>
        <v>37.180999999999997</v>
      </c>
      <c r="V24">
        <f>_xll.EQNXTDZ($A$1,$B24,V$1,$B$1)</f>
        <v>39.027000000000001</v>
      </c>
      <c r="W24">
        <f>_xll.EQNXTDZ($A$1,$B24,W$1,$B$1)</f>
        <v>41.52</v>
      </c>
      <c r="X24">
        <f>_xll.EQNXTDZ($A$1,$B24,X$1,$B$1)</f>
        <v>52.792000000000002</v>
      </c>
      <c r="Y24">
        <f>_xll.EQNXTDZ($A$1,$B24,Y$1,$B$1)</f>
        <v>51.139000000000003</v>
      </c>
      <c r="Z24">
        <f>_xll.EQNXTDZ($A$1,$B24,Z$1,$B$1)</f>
        <v>48.118000000000002</v>
      </c>
      <c r="AA24">
        <f>_xll.EQNXTDZ($A$1,$B24,AA$1,$B$1)</f>
        <v>59.649000000000001</v>
      </c>
      <c r="AB24">
        <f>_xll.EQNXTDZ($A$1,$B24,AB$1,$B$1)</f>
        <v>46.125999999999998</v>
      </c>
      <c r="AC24">
        <f>_xll.EQNXTDZ($A$1,$B24,AC$1,$B$1)</f>
        <v>43.741999999999997</v>
      </c>
      <c r="AD24">
        <f>_xll.EQNXTDZ($A$1,$B24,AD$1,$B$1)</f>
        <v>48.116999999999997</v>
      </c>
      <c r="AE24">
        <f>_xll.EQNXTDZ($A$1,$B24,AE$1,$B$1)</f>
        <v>38.917999999999999</v>
      </c>
      <c r="AF24">
        <f>_xll.EQNXTDZ($A$1,$B24,AF$1,$B$1)</f>
        <v>46.228999999999999</v>
      </c>
      <c r="AG24">
        <f>_xll.EQNXTDZ($A$1,$B24,AG$1,$B$1)</f>
        <v>43.426000000000002</v>
      </c>
      <c r="AH24">
        <f>_xll.EQNXTDZ($A$1,$B24,AH$1,$B$1)</f>
        <v>57.188000000000002</v>
      </c>
      <c r="AI24">
        <f>_xll.EQNXTDZ($A$1,$B24,AI$1,$B$1)</f>
        <v>54.505000000000003</v>
      </c>
      <c r="AJ24">
        <f>_xll.EQNXTDZ($A$1,$B24,AJ$1,$B$1)</f>
        <v>74.388000000000005</v>
      </c>
      <c r="AK24">
        <f>_xll.EQNXTDZ($A$1,$B24,AK$1,$B$1)</f>
        <v>117.883</v>
      </c>
      <c r="AL24">
        <f>_xll.EQNXTDZ($A$1,$B24,AL$1,$B$1)</f>
        <v>132.523</v>
      </c>
      <c r="AM24">
        <f>_xll.EQNXTDZ($A$1,$B24,AM$1,$B$1)</f>
        <v>144.29400000000001</v>
      </c>
      <c r="AN24">
        <f>_xll.EQNXTDZ($A$1,$B24,AN$1,$B$1)</f>
        <v>134.25800000000001</v>
      </c>
      <c r="AO24">
        <f>_xll.EQNXTDZ($A$1,$B24,AO$1,$B$1)</f>
        <v>158.98099999999999</v>
      </c>
      <c r="AP24">
        <f>_xll.EQNXTDZ($A$1,$B24,AP$1,$B$1)</f>
        <v>201.16300000000001</v>
      </c>
      <c r="AQ24">
        <f>_xll.EQNXTDZ($A$1,$B24,AQ$1,$B$1)</f>
        <v>219.483</v>
      </c>
      <c r="AR24">
        <f>_xll.EQNXTDZ($A$1,$B24,AR$1,$B$1)</f>
        <v>175.95699999999999</v>
      </c>
      <c r="AS24">
        <f>_xll.EQNXTDZ($A$1,$B24,AS$1,$B$1)</f>
        <v>130.30199999999999</v>
      </c>
      <c r="AT24">
        <f>_xll.EQNXTDZ($A$1,$B24,AT$1,$B$1)</f>
        <v>98.634</v>
      </c>
      <c r="AU24">
        <f>_xll.EQNXTDZ($A$1,$B24,AU$1,$B$1)</f>
        <v>103.68899999999999</v>
      </c>
      <c r="AV24">
        <f>_xll.EQNXTDZ($A$1,$B24,AV$1,$B$1)</f>
        <v>60.555</v>
      </c>
      <c r="AW24">
        <f>_xll.EQNXTDZ($A$1,$B24,AW$1,$B$1)</f>
        <v>82.659000000000006</v>
      </c>
      <c r="AX24">
        <f>_xll.EQNXTDZ($A$1,$B24,AX$1,$B$1)</f>
        <v>106.467</v>
      </c>
      <c r="AY24">
        <f>_xll.EQNXTDZ($A$1,$B24,AY$1,$B$1)</f>
        <v>74.218999999999994</v>
      </c>
      <c r="AZ24">
        <f>_xll.EQNXTDZ($A$1,$B24,AZ$1,$B$1)</f>
        <v>69.873999999999995</v>
      </c>
      <c r="BA24">
        <f>_xll.EQNXTDZ($A$1,$B24,BA$1,$B$1)</f>
        <v>53.566000000000003</v>
      </c>
      <c r="BB24">
        <f>_xll.EQNXTDZ($A$1,$B24,BB$1,$B$1)</f>
        <v>67.692999999999998</v>
      </c>
      <c r="BC24">
        <f>_xll.EQNXTDZ($A$1,$B24,BC$1,$B$1)</f>
        <v>63.715000000000003</v>
      </c>
      <c r="BD24">
        <f>_xll.EQNXTDZ($A$1,$B24,BD$1,$B$1)</f>
        <v>66.869</v>
      </c>
      <c r="BE24">
        <f>_xll.EQNXTDZ($A$1,$B24,BE$1,$B$1)</f>
        <v>61.667999999999999</v>
      </c>
      <c r="BF24">
        <f>_xll.EQNXTDZ($A$1,$B24,BF$1,$B$1)</f>
        <v>101.988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6.5469999999999997</v>
      </c>
      <c r="D25">
        <f>_xll.EQNXTDZ($A$1,$B25,D$1,$B$1)</f>
        <v>6.7539999999999996</v>
      </c>
      <c r="E25">
        <f>_xll.EQNXTDZ($A$1,$B25,E$1,$B$1)</f>
        <v>6.1360000000000001</v>
      </c>
      <c r="F25">
        <f>_xll.EQNXTDZ($A$1,$B25,F$1,$B$1)</f>
        <v>5.96</v>
      </c>
      <c r="G25">
        <f>_xll.EQNXTDZ($A$1,$B25,G$1,$B$1)</f>
        <v>7.35</v>
      </c>
      <c r="H25">
        <f>_xll.EQNXTDZ($A$1,$B25,H$1,$B$1)</f>
        <v>7.1289999999999996</v>
      </c>
      <c r="I25">
        <f>_xll.EQNXTDZ($A$1,$B25,I$1,$B$1)</f>
        <v>8.6999999999999993</v>
      </c>
      <c r="J25">
        <f>_xll.EQNXTDZ($A$1,$B25,J$1,$B$1)</f>
        <v>8.33</v>
      </c>
      <c r="K25">
        <f>_xll.EQNXTDZ($A$1,$B25,K$1,$B$1)</f>
        <v>8.36</v>
      </c>
      <c r="L25">
        <f>_xll.EQNXTDZ($A$1,$B25,L$1,$B$1)</f>
        <v>7.9420000000000002</v>
      </c>
      <c r="M25">
        <f>_xll.EQNXTDZ($A$1,$B25,M$1,$B$1)</f>
        <v>7.6619999999999999</v>
      </c>
      <c r="N25">
        <f>_xll.EQNXTDZ($A$1,$B25,N$1,$B$1)</f>
        <v>7.4550000000000001</v>
      </c>
      <c r="O25">
        <f>_xll.EQNXTDZ($A$1,$B25,O$1,$B$1)</f>
        <v>5.7290000000000001</v>
      </c>
      <c r="P25">
        <f>_xll.EQNXTDZ($A$1,$B25,P$1,$B$1)</f>
        <v>5.1849999999999996</v>
      </c>
      <c r="Q25">
        <f>_xll.EQNXTDZ($A$1,$B25,Q$1,$B$1)</f>
        <v>5.1890000000000001</v>
      </c>
      <c r="R25">
        <f>_xll.EQNXTDZ($A$1,$B25,R$1,$B$1)</f>
        <v>3.9809999999999999</v>
      </c>
      <c r="S25">
        <f>_xll.EQNXTDZ($A$1,$B25,S$1,$B$1)</f>
        <v>3.4830000000000001</v>
      </c>
      <c r="T25">
        <f>_xll.EQNXTDZ($A$1,$B25,T$1,$B$1)</f>
        <v>3.0139999999999998</v>
      </c>
      <c r="U25">
        <f>_xll.EQNXTDZ($A$1,$B25,U$1,$B$1)</f>
        <v>2.7109999999999999</v>
      </c>
      <c r="V25">
        <f>_xll.EQNXTDZ($A$1,$B25,V$1,$B$1)</f>
        <v>2.4790000000000001</v>
      </c>
      <c r="W25">
        <f>_xll.EQNXTDZ($A$1,$B25,W$1,$B$1)</f>
        <v>2.7269999999999999</v>
      </c>
      <c r="X25">
        <f>_xll.EQNXTDZ($A$1,$B25,X$1,$B$1)</f>
        <v>1.9550000000000001</v>
      </c>
      <c r="Y25">
        <f>_xll.EQNXTDZ($A$1,$B25,Y$1,$B$1)</f>
        <v>1.7809999999999999</v>
      </c>
      <c r="Z25">
        <f>_xll.EQNXTDZ($A$1,$B25,Z$1,$B$1)</f>
        <v>2.5779999999999998</v>
      </c>
      <c r="AA25">
        <f>_xll.EQNXTDZ($A$1,$B25,AA$1,$B$1)</f>
        <v>3.21</v>
      </c>
      <c r="AB25">
        <f>_xll.EQNXTDZ($A$1,$B25,AB$1,$B$1)</f>
        <v>3.0190000000000001</v>
      </c>
      <c r="AC25">
        <f>_xll.EQNXTDZ($A$1,$B25,AC$1,$B$1)</f>
        <v>3.5230000000000001</v>
      </c>
      <c r="AD25">
        <f>_xll.EQNXTDZ($A$1,$B25,AD$1,$B$1)</f>
        <v>3.274</v>
      </c>
      <c r="AE25">
        <f>_xll.EQNXTDZ($A$1,$B25,AE$1,$B$1)</f>
        <v>3.2509999999999999</v>
      </c>
      <c r="AF25">
        <f>_xll.EQNXTDZ($A$1,$B25,AF$1,$B$1)</f>
        <v>7.1749999999999998</v>
      </c>
      <c r="AG25">
        <f>_xll.EQNXTDZ($A$1,$B25,AG$1,$B$1)</f>
        <v>6.3129999999999997</v>
      </c>
      <c r="AH25">
        <f>_xll.EQNXTDZ($A$1,$B25,AH$1,$B$1)</f>
        <v>6.2960000000000003</v>
      </c>
      <c r="AI25">
        <f>_xll.EQNXTDZ($A$1,$B25,AI$1,$B$1)</f>
        <v>4.3159999999999998</v>
      </c>
      <c r="AJ25">
        <f>_xll.EQNXTDZ($A$1,$B25,AJ$1,$B$1)</f>
        <v>5.38</v>
      </c>
      <c r="AK25">
        <f>_xll.EQNXTDZ($A$1,$B25,AK$1,$B$1)</f>
        <v>4.8120000000000003</v>
      </c>
      <c r="AL25">
        <f>_xll.EQNXTDZ($A$1,$B25,AL$1,$B$1)</f>
        <v>3.7839999999999998</v>
      </c>
      <c r="AM25">
        <f>_xll.EQNXTDZ($A$1,$B25,AM$1,$B$1)</f>
        <v>3.1360000000000001</v>
      </c>
      <c r="AN25">
        <f>_xll.EQNXTDZ($A$1,$B25,AN$1,$B$1)</f>
        <v>4.1550000000000002</v>
      </c>
      <c r="AO25">
        <f>_xll.EQNXTDZ($A$1,$B25,AO$1,$B$1)</f>
        <v>3.97</v>
      </c>
      <c r="AP25">
        <f>_xll.EQNXTDZ($A$1,$B25,AP$1,$B$1)</f>
        <v>7.149</v>
      </c>
      <c r="AQ25">
        <f>_xll.EQNXTDZ($A$1,$B25,AQ$1,$B$1)</f>
        <v>3.4169999999999998</v>
      </c>
      <c r="AR25">
        <f>_xll.EQNXTDZ($A$1,$B25,AR$1,$B$1)</f>
        <v>3.105</v>
      </c>
      <c r="AS25">
        <f>_xll.EQNXTDZ($A$1,$B25,AS$1,$B$1)</f>
        <v>2.94</v>
      </c>
      <c r="AT25">
        <f>_xll.EQNXTDZ($A$1,$B25,AT$1,$B$1)</f>
        <v>2.5259999999999998</v>
      </c>
      <c r="AU25">
        <f>_xll.EQNXTDZ($A$1,$B25,AU$1,$B$1)</f>
        <v>1.8240000000000001</v>
      </c>
      <c r="AV25">
        <f>_xll.EQNXTDZ($A$1,$B25,AV$1,$B$1)</f>
        <v>1.766</v>
      </c>
      <c r="AW25">
        <f>_xll.EQNXTDZ($A$1,$B25,AW$1,$B$1)</f>
        <v>1.542</v>
      </c>
      <c r="AX25">
        <f>_xll.EQNXTDZ($A$1,$B25,AX$1,$B$1)</f>
        <v>1.31</v>
      </c>
      <c r="AY25">
        <f>_xll.EQNXTDZ($A$1,$B25,AY$1,$B$1)</f>
        <v>0.98499999999999999</v>
      </c>
      <c r="AZ25">
        <f>_xll.EQNXTDZ($A$1,$B25,AZ$1,$B$1)</f>
        <v>1.0620000000000001</v>
      </c>
      <c r="BA25">
        <f>_xll.EQNXTDZ($A$1,$B25,BA$1,$B$1)</f>
        <v>0.79600000000000004</v>
      </c>
      <c r="BB25">
        <f>_xll.EQNXTDZ($A$1,$B25,BB$1,$B$1)</f>
        <v>0.85499999999999998</v>
      </c>
      <c r="BC25">
        <f>_xll.EQNXTDZ($A$1,$B25,BC$1,$B$1)</f>
        <v>0.72899999999999998</v>
      </c>
      <c r="BD25">
        <f>_xll.EQNXTDZ($A$1,$B25,BD$1,$B$1)</f>
        <v>0.95899999999999996</v>
      </c>
      <c r="BE25">
        <f>_xll.EQNXTDZ($A$1,$B25,BE$1,$B$1)</f>
        <v>1.5069999999999999</v>
      </c>
      <c r="BF25">
        <f>_xll.EQNXTDZ($A$1,$B25,BF$1,$B$1)</f>
        <v>2.1760000000000002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0.11799999999999999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1.6259999999999999</v>
      </c>
      <c r="T26">
        <f>_xll.EQNXTDZ($A$1,$B26,T$1,$B$1)</f>
        <v>0</v>
      </c>
      <c r="U26">
        <f>_xll.EQNXTDZ($A$1,$B26,U$1,$B$1)</f>
        <v>0.23799999999999999</v>
      </c>
      <c r="V26">
        <f>_xll.EQNXTDZ($A$1,$B26,V$1,$B$1)</f>
        <v>0.72199999999999998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0.59899999999999998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17.736000000000001</v>
      </c>
      <c r="D27">
        <f>_xll.EQNXTDZ($A$1,$B27,D$1,$B$1)</f>
        <v>17.856000000000002</v>
      </c>
      <c r="E27">
        <f>_xll.EQNXTDZ($A$1,$B27,E$1,$B$1)</f>
        <v>10.808999999999999</v>
      </c>
      <c r="F27">
        <f>_xll.EQNXTDZ($A$1,$B27,F$1,$B$1)</f>
        <v>12.26</v>
      </c>
      <c r="G27">
        <f>_xll.EQNXTDZ($A$1,$B27,G$1,$B$1)</f>
        <v>16.16</v>
      </c>
      <c r="H27">
        <f>_xll.EQNXTDZ($A$1,$B27,H$1,$B$1)</f>
        <v>21.346</v>
      </c>
      <c r="I27">
        <f>_xll.EQNXTDZ($A$1,$B27,I$1,$B$1)</f>
        <v>11.28</v>
      </c>
      <c r="J27">
        <f>_xll.EQNXTDZ($A$1,$B27,J$1,$B$1)</f>
        <v>13.34</v>
      </c>
      <c r="K27">
        <f>_xll.EQNXTDZ($A$1,$B27,K$1,$B$1)</f>
        <v>17.38</v>
      </c>
      <c r="L27">
        <f>_xll.EQNXTDZ($A$1,$B27,L$1,$B$1)</f>
        <v>19.821999999999999</v>
      </c>
      <c r="M27">
        <f>_xll.EQNXTDZ($A$1,$B27,M$1,$B$1)</f>
        <v>14.446999999999999</v>
      </c>
      <c r="N27">
        <f>_xll.EQNXTDZ($A$1,$B27,N$1,$B$1)</f>
        <v>22.681000000000001</v>
      </c>
      <c r="O27">
        <f>_xll.EQNXTDZ($A$1,$B27,O$1,$B$1)</f>
        <v>23.931000000000001</v>
      </c>
      <c r="P27">
        <f>_xll.EQNXTDZ($A$1,$B27,P$1,$B$1)</f>
        <v>23.518000000000001</v>
      </c>
      <c r="Q27">
        <f>_xll.EQNXTDZ($A$1,$B27,Q$1,$B$1)</f>
        <v>26.047999999999998</v>
      </c>
      <c r="R27">
        <f>_xll.EQNXTDZ($A$1,$B27,R$1,$B$1)</f>
        <v>37.555999999999997</v>
      </c>
      <c r="S27">
        <f>_xll.EQNXTDZ($A$1,$B27,S$1,$B$1)</f>
        <v>39.018000000000001</v>
      </c>
      <c r="T27">
        <f>_xll.EQNXTDZ($A$1,$B27,T$1,$B$1)</f>
        <v>37.712000000000003</v>
      </c>
      <c r="U27">
        <f>_xll.EQNXTDZ($A$1,$B27,U$1,$B$1)</f>
        <v>34.707999999999998</v>
      </c>
      <c r="V27">
        <f>_xll.EQNXTDZ($A$1,$B27,V$1,$B$1)</f>
        <v>37.270000000000003</v>
      </c>
      <c r="W27">
        <f>_xll.EQNXTDZ($A$1,$B27,W$1,$B$1)</f>
        <v>38.792999999999999</v>
      </c>
      <c r="X27">
        <f>_xll.EQNXTDZ($A$1,$B27,X$1,$B$1)</f>
        <v>50.837000000000003</v>
      </c>
      <c r="Y27">
        <f>_xll.EQNXTDZ($A$1,$B27,Y$1,$B$1)</f>
        <v>49.957000000000001</v>
      </c>
      <c r="Z27">
        <f>_xll.EQNXTDZ($A$1,$B27,Z$1,$B$1)</f>
        <v>45.54</v>
      </c>
      <c r="AA27">
        <f>_xll.EQNXTDZ($A$1,$B27,AA$1,$B$1)</f>
        <v>56.439</v>
      </c>
      <c r="AB27">
        <f>_xll.EQNXTDZ($A$1,$B27,AB$1,$B$1)</f>
        <v>43.106999999999999</v>
      </c>
      <c r="AC27">
        <f>_xll.EQNXTDZ($A$1,$B27,AC$1,$B$1)</f>
        <v>40.219000000000001</v>
      </c>
      <c r="AD27">
        <f>_xll.EQNXTDZ($A$1,$B27,AD$1,$B$1)</f>
        <v>44.843000000000004</v>
      </c>
      <c r="AE27">
        <f>_xll.EQNXTDZ($A$1,$B27,AE$1,$B$1)</f>
        <v>35.667000000000002</v>
      </c>
      <c r="AF27">
        <f>_xll.EQNXTDZ($A$1,$B27,AF$1,$B$1)</f>
        <v>39.054000000000002</v>
      </c>
      <c r="AG27">
        <f>_xll.EQNXTDZ($A$1,$B27,AG$1,$B$1)</f>
        <v>37.113</v>
      </c>
      <c r="AH27">
        <f>_xll.EQNXTDZ($A$1,$B27,AH$1,$B$1)</f>
        <v>50.892000000000003</v>
      </c>
      <c r="AI27">
        <f>_xll.EQNXTDZ($A$1,$B27,AI$1,$B$1)</f>
        <v>50.189</v>
      </c>
      <c r="AJ27">
        <f>_xll.EQNXTDZ($A$1,$B27,AJ$1,$B$1)</f>
        <v>69.007999999999996</v>
      </c>
      <c r="AK27">
        <f>_xll.EQNXTDZ($A$1,$B27,AK$1,$B$1)</f>
        <v>113.071</v>
      </c>
      <c r="AL27">
        <f>_xll.EQNXTDZ($A$1,$B27,AL$1,$B$1)</f>
        <v>128.739</v>
      </c>
      <c r="AM27">
        <f>_xll.EQNXTDZ($A$1,$B27,AM$1,$B$1)</f>
        <v>141.15799999999999</v>
      </c>
      <c r="AN27">
        <f>_xll.EQNXTDZ($A$1,$B27,AN$1,$B$1)</f>
        <v>130.10300000000001</v>
      </c>
      <c r="AO27">
        <f>_xll.EQNXTDZ($A$1,$B27,AO$1,$B$1)</f>
        <v>155.011</v>
      </c>
      <c r="AP27">
        <f>_xll.EQNXTDZ($A$1,$B27,AP$1,$B$1)</f>
        <v>194.01400000000001</v>
      </c>
      <c r="AQ27">
        <f>_xll.EQNXTDZ($A$1,$B27,AQ$1,$B$1)</f>
        <v>216.066</v>
      </c>
      <c r="AR27">
        <f>_xll.EQNXTDZ($A$1,$B27,AR$1,$B$1)</f>
        <v>172.852</v>
      </c>
      <c r="AS27">
        <f>_xll.EQNXTDZ($A$1,$B27,AS$1,$B$1)</f>
        <v>127.36199999999999</v>
      </c>
      <c r="AT27">
        <f>_xll.EQNXTDZ($A$1,$B27,AT$1,$B$1)</f>
        <v>96.108000000000004</v>
      </c>
      <c r="AU27">
        <f>_xll.EQNXTDZ($A$1,$B27,AU$1,$B$1)</f>
        <v>101.86499999999999</v>
      </c>
      <c r="AV27">
        <f>_xll.EQNXTDZ($A$1,$B27,AV$1,$B$1)</f>
        <v>58.789000000000001</v>
      </c>
      <c r="AW27">
        <f>_xll.EQNXTDZ($A$1,$B27,AW$1,$B$1)</f>
        <v>81.117000000000004</v>
      </c>
      <c r="AX27">
        <f>_xll.EQNXTDZ($A$1,$B27,AX$1,$B$1)</f>
        <v>105.157</v>
      </c>
      <c r="AY27">
        <f>_xll.EQNXTDZ($A$1,$B27,AY$1,$B$1)</f>
        <v>73.233999999999995</v>
      </c>
      <c r="AZ27">
        <f>_xll.EQNXTDZ($A$1,$B27,AZ$1,$B$1)</f>
        <v>68.811999999999998</v>
      </c>
      <c r="BA27">
        <f>_xll.EQNXTDZ($A$1,$B27,BA$1,$B$1)</f>
        <v>52.77</v>
      </c>
      <c r="BB27">
        <f>_xll.EQNXTDZ($A$1,$B27,BB$1,$B$1)</f>
        <v>66.837999999999994</v>
      </c>
      <c r="BC27">
        <f>_xll.EQNXTDZ($A$1,$B27,BC$1,$B$1)</f>
        <v>62.985999999999997</v>
      </c>
      <c r="BD27">
        <f>_xll.EQNXTDZ($A$1,$B27,BD$1,$B$1)</f>
        <v>65.91</v>
      </c>
      <c r="BE27">
        <f>_xll.EQNXTDZ($A$1,$B27,BE$1,$B$1)</f>
        <v>60.161000000000001</v>
      </c>
      <c r="BF27">
        <f>_xll.EQNXTDZ($A$1,$B27,BF$1,$B$1)</f>
        <v>99.812000000000097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3.1429999999999998</v>
      </c>
      <c r="D28">
        <f>_xll.EQNXTDZ($A$1,$B28,D$1,$B$1)</f>
        <v>3.1640000000000001</v>
      </c>
      <c r="E28">
        <f>_xll.EQNXTDZ($A$1,$B28,E$1,$B$1)</f>
        <v>3.1720000000000002</v>
      </c>
      <c r="F28">
        <f>_xll.EQNXTDZ($A$1,$B28,F$1,$B$1)</f>
        <v>3.22</v>
      </c>
      <c r="G28">
        <f>_xll.EQNXTDZ($A$1,$B28,G$1,$B$1)</f>
        <v>3.77</v>
      </c>
      <c r="H28">
        <f>_xll.EQNXTDZ($A$1,$B28,H$1,$B$1)</f>
        <v>3.786</v>
      </c>
      <c r="I28">
        <f>_xll.EQNXTDZ($A$1,$B28,I$1,$B$1)</f>
        <v>4.5</v>
      </c>
      <c r="J28">
        <f>_xll.EQNXTDZ($A$1,$B28,J$1,$B$1)</f>
        <v>4.41</v>
      </c>
      <c r="K28">
        <f>_xll.EQNXTDZ($A$1,$B28,K$1,$B$1)</f>
        <v>4.9000000000000004</v>
      </c>
      <c r="L28">
        <f>_xll.EQNXTDZ($A$1,$B28,L$1,$B$1)</f>
        <v>4.9260000000000002</v>
      </c>
      <c r="M28">
        <f>_xll.EQNXTDZ($A$1,$B28,M$1,$B$1)</f>
        <v>4.9809999999999999</v>
      </c>
      <c r="N28">
        <f>_xll.EQNXTDZ($A$1,$B28,N$1,$B$1)</f>
        <v>3.7810000000000001</v>
      </c>
      <c r="O28">
        <f>_xll.EQNXTDZ($A$1,$B28,O$1,$B$1)</f>
        <v>4.3920000000000003</v>
      </c>
      <c r="P28">
        <f>_xll.EQNXTDZ($A$1,$B28,P$1,$B$1)</f>
        <v>4.3920000000000003</v>
      </c>
      <c r="Q28">
        <f>_xll.EQNXTDZ($A$1,$B28,Q$1,$B$1)</f>
        <v>4.3920000000000003</v>
      </c>
      <c r="R28">
        <f>_xll.EQNXTDZ($A$1,$B28,R$1,$B$1)</f>
        <v>4.7229999999999999</v>
      </c>
      <c r="S28">
        <f>_xll.EQNXTDZ($A$1,$B28,S$1,$B$1)</f>
        <v>4.4909999999999997</v>
      </c>
      <c r="T28">
        <f>_xll.EQNXTDZ($A$1,$B28,T$1,$B$1)</f>
        <v>4.4909999999999997</v>
      </c>
      <c r="U28">
        <f>_xll.EQNXTDZ($A$1,$B28,U$1,$B$1)</f>
        <v>4.4909999999999997</v>
      </c>
      <c r="V28">
        <f>_xll.EQNXTDZ($A$1,$B28,V$1,$B$1)</f>
        <v>4.7489999999999997</v>
      </c>
      <c r="W28">
        <f>_xll.EQNXTDZ($A$1,$B28,W$1,$B$1)</f>
        <v>4.391</v>
      </c>
      <c r="X28">
        <f>_xll.EQNXTDZ($A$1,$B28,X$1,$B$1)</f>
        <v>4.37</v>
      </c>
      <c r="Y28">
        <f>_xll.EQNXTDZ($A$1,$B28,Y$1,$B$1)</f>
        <v>4.37</v>
      </c>
      <c r="Z28">
        <f>_xll.EQNXTDZ($A$1,$B28,Z$1,$B$1)</f>
        <v>6.1580000000000004</v>
      </c>
      <c r="AA28">
        <f>_xll.EQNXTDZ($A$1,$B28,AA$1,$B$1)</f>
        <v>4.7069999999999999</v>
      </c>
      <c r="AB28">
        <f>_xll.EQNXTDZ($A$1,$B28,AB$1,$B$1)</f>
        <v>4.734</v>
      </c>
      <c r="AC28">
        <f>_xll.EQNXTDZ($A$1,$B28,AC$1,$B$1)</f>
        <v>4.7160000000000002</v>
      </c>
      <c r="AD28">
        <f>_xll.EQNXTDZ($A$1,$B28,AD$1,$B$1)</f>
        <v>5.3970000000000002</v>
      </c>
      <c r="AE28">
        <f>_xll.EQNXTDZ($A$1,$B28,AE$1,$B$1)</f>
        <v>5.7119999999999997</v>
      </c>
      <c r="AF28">
        <f>_xll.EQNXTDZ($A$1,$B28,AF$1,$B$1)</f>
        <v>7.8239999999999998</v>
      </c>
      <c r="AG28">
        <f>_xll.EQNXTDZ($A$1,$B28,AG$1,$B$1)</f>
        <v>7.9640000000000004</v>
      </c>
      <c r="AH28">
        <f>_xll.EQNXTDZ($A$1,$B28,AH$1,$B$1)</f>
        <v>10.122999999999999</v>
      </c>
      <c r="AI28">
        <f>_xll.EQNXTDZ($A$1,$B28,AI$1,$B$1)</f>
        <v>7.9349999999999996</v>
      </c>
      <c r="AJ28">
        <f>_xll.EQNXTDZ($A$1,$B28,AJ$1,$B$1)</f>
        <v>9.2959999999999994</v>
      </c>
      <c r="AK28">
        <f>_xll.EQNXTDZ($A$1,$B28,AK$1,$B$1)</f>
        <v>8.7140000000000004</v>
      </c>
      <c r="AL28">
        <f>_xll.EQNXTDZ($A$1,$B28,AL$1,$B$1)</f>
        <v>8.4670000000000005</v>
      </c>
      <c r="AM28">
        <f>_xll.EQNXTDZ($A$1,$B28,AM$1,$B$1)</f>
        <v>9.6750000000000007</v>
      </c>
      <c r="AN28">
        <f>_xll.EQNXTDZ($A$1,$B28,AN$1,$B$1)</f>
        <v>11.054</v>
      </c>
      <c r="AO28">
        <f>_xll.EQNXTDZ($A$1,$B28,AO$1,$B$1)</f>
        <v>10.488</v>
      </c>
      <c r="AP28">
        <f>_xll.EQNXTDZ($A$1,$B28,AP$1,$B$1)</f>
        <v>10.782</v>
      </c>
      <c r="AQ28">
        <f>_xll.EQNXTDZ($A$1,$B28,AQ$1,$B$1)</f>
        <v>11.082000000000001</v>
      </c>
      <c r="AR28">
        <f>_xll.EQNXTDZ($A$1,$B28,AR$1,$B$1)</f>
        <v>11.010999999999999</v>
      </c>
      <c r="AS28">
        <f>_xll.EQNXTDZ($A$1,$B28,AS$1,$B$1)</f>
        <v>12.337</v>
      </c>
      <c r="AT28">
        <f>_xll.EQNXTDZ($A$1,$B28,AT$1,$B$1)</f>
        <v>11.144</v>
      </c>
      <c r="AU28">
        <f>_xll.EQNXTDZ($A$1,$B28,AU$1,$B$1)</f>
        <v>11.493</v>
      </c>
      <c r="AV28">
        <f>_xll.EQNXTDZ($A$1,$B28,AV$1,$B$1)</f>
        <v>10.78</v>
      </c>
      <c r="AW28">
        <f>_xll.EQNXTDZ($A$1,$B28,AW$1,$B$1)</f>
        <v>10.848000000000001</v>
      </c>
      <c r="AX28">
        <f>_xll.EQNXTDZ($A$1,$B28,AX$1,$B$1)</f>
        <v>12.252000000000001</v>
      </c>
      <c r="AY28">
        <f>_xll.EQNXTDZ($A$1,$B28,AY$1,$B$1)</f>
        <v>11.653</v>
      </c>
      <c r="AZ28">
        <f>_xll.EQNXTDZ($A$1,$B28,AZ$1,$B$1)</f>
        <v>12.002000000000001</v>
      </c>
      <c r="BA28">
        <f>_xll.EQNXTDZ($A$1,$B28,BA$1,$B$1)</f>
        <v>11.879</v>
      </c>
      <c r="BB28">
        <f>_xll.EQNXTDZ($A$1,$B28,BB$1,$B$1)</f>
        <v>12.903</v>
      </c>
      <c r="BC28">
        <f>_xll.EQNXTDZ($A$1,$B28,BC$1,$B$1)</f>
        <v>13.972</v>
      </c>
      <c r="BD28">
        <f>_xll.EQNXTDZ($A$1,$B28,BD$1,$B$1)</f>
        <v>14.281000000000001</v>
      </c>
      <c r="BE28">
        <f>_xll.EQNXTDZ($A$1,$B28,BE$1,$B$1)</f>
        <v>14.173</v>
      </c>
      <c r="BF28">
        <f>_xll.EQNXTDZ($A$1,$B28,BF$1,$B$1)</f>
        <v>13.952999999999999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5.226</v>
      </c>
      <c r="D29">
        <f>_xll.EQNXTDZ($A$1,$B29,D$1,$B$1)</f>
        <v>5.8010000000000002</v>
      </c>
      <c r="E29">
        <f>_xll.EQNXTDZ($A$1,$B29,E$1,$B$1)</f>
        <v>0.44400000000000001</v>
      </c>
      <c r="F29">
        <f>_xll.EQNXTDZ($A$1,$B29,F$1,$B$1)</f>
        <v>3.34</v>
      </c>
      <c r="G29">
        <f>_xll.EQNXTDZ($A$1,$B29,G$1,$B$1)</f>
        <v>3.88</v>
      </c>
      <c r="H29">
        <f>_xll.EQNXTDZ($A$1,$B29,H$1,$B$1)</f>
        <v>5.8250000000000002</v>
      </c>
      <c r="I29">
        <f>_xll.EQNXTDZ($A$1,$B29,I$1,$B$1)</f>
        <v>2.58</v>
      </c>
      <c r="J29">
        <f>_xll.EQNXTDZ($A$1,$B29,J$1,$B$1)</f>
        <v>-0.16</v>
      </c>
      <c r="K29">
        <f>_xll.EQNXTDZ($A$1,$B29,K$1,$B$1)</f>
        <v>3.17</v>
      </c>
      <c r="L29">
        <f>_xll.EQNXTDZ($A$1,$B29,L$1,$B$1)</f>
        <v>5.8109999999999999</v>
      </c>
      <c r="M29">
        <f>_xll.EQNXTDZ($A$1,$B29,M$1,$B$1)</f>
        <v>3.2719999999999998</v>
      </c>
      <c r="N29">
        <f>_xll.EQNXTDZ($A$1,$B29,N$1,$B$1)</f>
        <v>7.1310000000000002</v>
      </c>
      <c r="O29">
        <f>_xll.EQNXTDZ($A$1,$B29,O$1,$B$1)</f>
        <v>6.7220000000000004</v>
      </c>
      <c r="P29">
        <f>_xll.EQNXTDZ($A$1,$B29,P$1,$B$1)</f>
        <v>7.3129999999999997</v>
      </c>
      <c r="Q29">
        <f>_xll.EQNXTDZ($A$1,$B29,Q$1,$B$1)</f>
        <v>8.35</v>
      </c>
      <c r="R29">
        <f>_xll.EQNXTDZ($A$1,$B29,R$1,$B$1)</f>
        <v>9.4969999999999999</v>
      </c>
      <c r="S29">
        <f>_xll.EQNXTDZ($A$1,$B29,S$1,$B$1)</f>
        <v>8.1859999999999999</v>
      </c>
      <c r="T29">
        <f>_xll.EQNXTDZ($A$1,$B29,T$1,$B$1)</f>
        <v>11.49</v>
      </c>
      <c r="U29">
        <f>_xll.EQNXTDZ($A$1,$B29,U$1,$B$1)</f>
        <v>10.587</v>
      </c>
      <c r="V29">
        <f>_xll.EQNXTDZ($A$1,$B29,V$1,$B$1)</f>
        <v>14.648</v>
      </c>
      <c r="W29">
        <f>_xll.EQNXTDZ($A$1,$B29,W$1,$B$1)</f>
        <v>11.647</v>
      </c>
      <c r="X29">
        <f>_xll.EQNXTDZ($A$1,$B29,X$1,$B$1)</f>
        <v>17.303999999999998</v>
      </c>
      <c r="Y29">
        <f>_xll.EQNXTDZ($A$1,$B29,Y$1,$B$1)</f>
        <v>17.501000000000001</v>
      </c>
      <c r="Z29">
        <f>_xll.EQNXTDZ($A$1,$B29,Z$1,$B$1)</f>
        <v>6.2060000000000004</v>
      </c>
      <c r="AA29">
        <f>_xll.EQNXTDZ($A$1,$B29,AA$1,$B$1)</f>
        <v>17.908000000000001</v>
      </c>
      <c r="AB29">
        <f>_xll.EQNXTDZ($A$1,$B29,AB$1,$B$1)</f>
        <v>7.3920000000000003</v>
      </c>
      <c r="AC29">
        <f>_xll.EQNXTDZ($A$1,$B29,AC$1,$B$1)</f>
        <v>9.23</v>
      </c>
      <c r="AD29">
        <f>_xll.EQNXTDZ($A$1,$B29,AD$1,$B$1)</f>
        <v>13.436999999999999</v>
      </c>
      <c r="AE29">
        <f>_xll.EQNXTDZ($A$1,$B29,AE$1,$B$1)</f>
        <v>11.474</v>
      </c>
      <c r="AF29">
        <f>_xll.EQNXTDZ($A$1,$B29,AF$1,$B$1)</f>
        <v>2.488</v>
      </c>
      <c r="AG29">
        <f>_xll.EQNXTDZ($A$1,$B29,AG$1,$B$1)</f>
        <v>8.4600000000000009</v>
      </c>
      <c r="AH29">
        <f>_xll.EQNXTDZ($A$1,$B29,AH$1,$B$1)</f>
        <v>11.211</v>
      </c>
      <c r="AI29">
        <f>_xll.EQNXTDZ($A$1,$B29,AI$1,$B$1)</f>
        <v>10.673</v>
      </c>
      <c r="AJ29">
        <f>_xll.EQNXTDZ($A$1,$B29,AJ$1,$B$1)</f>
        <v>15.51</v>
      </c>
      <c r="AK29">
        <f>_xll.EQNXTDZ($A$1,$B29,AK$1,$B$1)</f>
        <v>25.452999999999999</v>
      </c>
      <c r="AL29">
        <f>_xll.EQNXTDZ($A$1,$B29,AL$1,$B$1)</f>
        <v>31.463999999999999</v>
      </c>
      <c r="AM29">
        <f>_xll.EQNXTDZ($A$1,$B29,AM$1,$B$1)</f>
        <v>34.087000000000003</v>
      </c>
      <c r="AN29">
        <f>_xll.EQNXTDZ($A$1,$B29,AN$1,$B$1)</f>
        <v>30.984000000000002</v>
      </c>
      <c r="AO29">
        <f>_xll.EQNXTDZ($A$1,$B29,AO$1,$B$1)</f>
        <v>42.932000000000002</v>
      </c>
      <c r="AP29">
        <f>_xll.EQNXTDZ($A$1,$B29,AP$1,$B$1)</f>
        <v>52.384999999999998</v>
      </c>
      <c r="AQ29">
        <f>_xll.EQNXTDZ($A$1,$B29,AQ$1,$B$1)</f>
        <v>56.944000000000003</v>
      </c>
      <c r="AR29">
        <f>_xll.EQNXTDZ($A$1,$B29,AR$1,$B$1)</f>
        <v>43.201999999999998</v>
      </c>
      <c r="AS29">
        <f>_xll.EQNXTDZ($A$1,$B29,AS$1,$B$1)</f>
        <v>31.234000000000002</v>
      </c>
      <c r="AT29">
        <f>_xll.EQNXTDZ($A$1,$B29,AT$1,$B$1)</f>
        <v>29.751000000000001</v>
      </c>
      <c r="AU29">
        <f>_xll.EQNXTDZ($A$1,$B29,AU$1,$B$1)</f>
        <v>22.693999999999999</v>
      </c>
      <c r="AV29">
        <f>_xll.EQNXTDZ($A$1,$B29,AV$1,$B$1)</f>
        <v>11.641999999999999</v>
      </c>
      <c r="AW29">
        <f>_xll.EQNXTDZ($A$1,$B29,AW$1,$B$1)</f>
        <v>14.494999999999999</v>
      </c>
      <c r="AX29">
        <f>_xll.EQNXTDZ($A$1,$B29,AX$1,$B$1)</f>
        <v>20.422999999999998</v>
      </c>
      <c r="AY29">
        <f>_xll.EQNXTDZ($A$1,$B29,AY$1,$B$1)</f>
        <v>16.023</v>
      </c>
      <c r="AZ29">
        <f>_xll.EQNXTDZ($A$1,$B29,AZ$1,$B$1)</f>
        <v>15.356</v>
      </c>
      <c r="BA29">
        <f>_xll.EQNXTDZ($A$1,$B29,BA$1,$B$1)</f>
        <v>9.7539999999999996</v>
      </c>
      <c r="BB29">
        <f>_xll.EQNXTDZ($A$1,$B29,BB$1,$B$1)</f>
        <v>13.494999999999999</v>
      </c>
      <c r="BC29">
        <f>_xll.EQNXTDZ($A$1,$B29,BC$1,$B$1)</f>
        <v>12.486000000000001</v>
      </c>
      <c r="BD29">
        <f>_xll.EQNXTDZ($A$1,$B29,BD$1,$B$1)</f>
        <v>14.526999999999999</v>
      </c>
      <c r="BE29">
        <f>_xll.EQNXTDZ($A$1,$B29,BE$1,$B$1)</f>
        <v>15.231</v>
      </c>
      <c r="BF29">
        <f>_xll.EQNXTDZ($A$1,$B29,BF$1,$B$1)</f>
        <v>21.09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9.3670000000000009</v>
      </c>
      <c r="D30">
        <f>_xll.EQNXTDZ($A$1,$B30,D$1,$B$1)</f>
        <v>8.891</v>
      </c>
      <c r="E30">
        <f>_xll.EQNXTDZ($A$1,$B30,E$1,$B$1)</f>
        <v>7.1929999999999996</v>
      </c>
      <c r="F30">
        <f>_xll.EQNXTDZ($A$1,$B30,F$1,$B$1)</f>
        <v>5.7</v>
      </c>
      <c r="G30">
        <f>_xll.EQNXTDZ($A$1,$B30,G$1,$B$1)</f>
        <v>8.51</v>
      </c>
      <c r="H30">
        <f>_xll.EQNXTDZ($A$1,$B30,H$1,$B$1)</f>
        <v>11.734999999999999</v>
      </c>
      <c r="I30">
        <f>_xll.EQNXTDZ($A$1,$B30,I$1,$B$1)</f>
        <v>4.2</v>
      </c>
      <c r="J30">
        <f>_xll.EQNXTDZ($A$1,$B30,J$1,$B$1)</f>
        <v>9.09</v>
      </c>
      <c r="K30">
        <f>_xll.EQNXTDZ($A$1,$B30,K$1,$B$1)</f>
        <v>9.31</v>
      </c>
      <c r="L30">
        <f>_xll.EQNXTDZ($A$1,$B30,L$1,$B$1)</f>
        <v>9.0850000000000009</v>
      </c>
      <c r="M30">
        <f>_xll.EQNXTDZ($A$1,$B30,M$1,$B$1)</f>
        <v>6.194</v>
      </c>
      <c r="N30">
        <f>_xll.EQNXTDZ($A$1,$B30,N$1,$B$1)</f>
        <v>11.769</v>
      </c>
      <c r="O30">
        <f>_xll.EQNXTDZ($A$1,$B30,O$1,$B$1)</f>
        <v>12.817</v>
      </c>
      <c r="P30">
        <f>_xll.EQNXTDZ($A$1,$B30,P$1,$B$1)</f>
        <v>11.813000000000001</v>
      </c>
      <c r="Q30">
        <f>_xll.EQNXTDZ($A$1,$B30,Q$1,$B$1)</f>
        <v>13.305999999999999</v>
      </c>
      <c r="R30">
        <f>_xll.EQNXTDZ($A$1,$B30,R$1,$B$1)</f>
        <v>23.335999999999999</v>
      </c>
      <c r="S30">
        <f>_xll.EQNXTDZ($A$1,$B30,S$1,$B$1)</f>
        <v>26.341000000000001</v>
      </c>
      <c r="T30">
        <f>_xll.EQNXTDZ($A$1,$B30,T$1,$B$1)</f>
        <v>21.731000000000002</v>
      </c>
      <c r="U30">
        <f>_xll.EQNXTDZ($A$1,$B30,U$1,$B$1)</f>
        <v>19.629000000000001</v>
      </c>
      <c r="V30">
        <f>_xll.EQNXTDZ($A$1,$B30,V$1,$B$1)</f>
        <v>17.873000000000001</v>
      </c>
      <c r="W30">
        <f>_xll.EQNXTDZ($A$1,$B30,W$1,$B$1)</f>
        <v>22.754999999999999</v>
      </c>
      <c r="X30">
        <f>_xll.EQNXTDZ($A$1,$B30,X$1,$B$1)</f>
        <v>29.164000000000001</v>
      </c>
      <c r="Y30">
        <f>_xll.EQNXTDZ($A$1,$B30,Y$1,$B$1)</f>
        <v>28.087</v>
      </c>
      <c r="Z30">
        <f>_xll.EQNXTDZ($A$1,$B30,Z$1,$B$1)</f>
        <v>33.176000000000002</v>
      </c>
      <c r="AA30">
        <f>_xll.EQNXTDZ($A$1,$B30,AA$1,$B$1)</f>
        <v>33.823</v>
      </c>
      <c r="AB30">
        <f>_xll.EQNXTDZ($A$1,$B30,AB$1,$B$1)</f>
        <v>30.981000000000002</v>
      </c>
      <c r="AC30">
        <f>_xll.EQNXTDZ($A$1,$B30,AC$1,$B$1)</f>
        <v>26.273</v>
      </c>
      <c r="AD30">
        <f>_xll.EQNXTDZ($A$1,$B30,AD$1,$B$1)</f>
        <v>26.009</v>
      </c>
      <c r="AE30">
        <f>_xll.EQNXTDZ($A$1,$B30,AE$1,$B$1)</f>
        <v>18.481000000000002</v>
      </c>
      <c r="AF30">
        <f>_xll.EQNXTDZ($A$1,$B30,AF$1,$B$1)</f>
        <v>28.742000000000001</v>
      </c>
      <c r="AG30">
        <f>_xll.EQNXTDZ($A$1,$B30,AG$1,$B$1)</f>
        <v>20.689</v>
      </c>
      <c r="AH30">
        <f>_xll.EQNXTDZ($A$1,$B30,AH$1,$B$1)</f>
        <v>29.558</v>
      </c>
      <c r="AI30">
        <f>_xll.EQNXTDZ($A$1,$B30,AI$1,$B$1)</f>
        <v>31.581</v>
      </c>
      <c r="AJ30">
        <f>_xll.EQNXTDZ($A$1,$B30,AJ$1,$B$1)</f>
        <v>44.201999999999998</v>
      </c>
      <c r="AK30">
        <f>_xll.EQNXTDZ($A$1,$B30,AK$1,$B$1)</f>
        <v>78.903999999999996</v>
      </c>
      <c r="AL30">
        <f>_xll.EQNXTDZ($A$1,$B30,AL$1,$B$1)</f>
        <v>88.808000000000007</v>
      </c>
      <c r="AM30">
        <f>_xll.EQNXTDZ($A$1,$B30,AM$1,$B$1)</f>
        <v>97.396000000000001</v>
      </c>
      <c r="AN30">
        <f>_xll.EQNXTDZ($A$1,$B30,AN$1,$B$1)</f>
        <v>88.064999999999998</v>
      </c>
      <c r="AO30">
        <f>_xll.EQNXTDZ($A$1,$B30,AO$1,$B$1)</f>
        <v>101.59099999999999</v>
      </c>
      <c r="AP30">
        <f>_xll.EQNXTDZ($A$1,$B30,AP$1,$B$1)</f>
        <v>130.84700000000001</v>
      </c>
      <c r="AQ30">
        <f>_xll.EQNXTDZ($A$1,$B30,AQ$1,$B$1)</f>
        <v>148.04</v>
      </c>
      <c r="AR30">
        <f>_xll.EQNXTDZ($A$1,$B30,AR$1,$B$1)</f>
        <v>118.639</v>
      </c>
      <c r="AS30">
        <f>_xll.EQNXTDZ($A$1,$B30,AS$1,$B$1)</f>
        <v>83.790999999999997</v>
      </c>
      <c r="AT30">
        <f>_xll.EQNXTDZ($A$1,$B30,AT$1,$B$1)</f>
        <v>55.213000000000001</v>
      </c>
      <c r="AU30">
        <f>_xll.EQNXTDZ($A$1,$B30,AU$1,$B$1)</f>
        <v>67.677999999999997</v>
      </c>
      <c r="AV30">
        <f>_xll.EQNXTDZ($A$1,$B30,AV$1,$B$1)</f>
        <v>36.366999999999997</v>
      </c>
      <c r="AW30">
        <f>_xll.EQNXTDZ($A$1,$B30,AW$1,$B$1)</f>
        <v>55.774000000000001</v>
      </c>
      <c r="AX30">
        <f>_xll.EQNXTDZ($A$1,$B30,AX$1,$B$1)</f>
        <v>72.481999999999999</v>
      </c>
      <c r="AY30">
        <f>_xll.EQNXTDZ($A$1,$B30,AY$1,$B$1)</f>
        <v>45.558</v>
      </c>
      <c r="AZ30">
        <f>_xll.EQNXTDZ($A$1,$B30,AZ$1,$B$1)</f>
        <v>41.454000000000001</v>
      </c>
      <c r="BA30">
        <f>_xll.EQNXTDZ($A$1,$B30,BA$1,$B$1)</f>
        <v>31.137</v>
      </c>
      <c r="BB30">
        <f>_xll.EQNXTDZ($A$1,$B30,BB$1,$B$1)</f>
        <v>40.44</v>
      </c>
      <c r="BC30">
        <f>_xll.EQNXTDZ($A$1,$B30,BC$1,$B$1)</f>
        <v>36.527999999999999</v>
      </c>
      <c r="BD30">
        <f>_xll.EQNXTDZ($A$1,$B30,BD$1,$B$1)</f>
        <v>37.101999999999997</v>
      </c>
      <c r="BE30">
        <f>_xll.EQNXTDZ($A$1,$B30,BE$1,$B$1)</f>
        <v>30.757000000000001</v>
      </c>
      <c r="BF30">
        <f>_xll.EQNXTDZ($A$1,$B30,BF$1,$B$1)</f>
        <v>64.769000000000105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0.44400000000000001</v>
      </c>
      <c r="AE34">
        <f>_xll.EQNXTDZ($A$1,$B34,AE$1,$B$1)</f>
        <v>0.66700000000000004</v>
      </c>
      <c r="AF34">
        <f>_xll.EQNXTDZ($A$1,$B34,AF$1,$B$1)</f>
        <v>2.6850000000000001</v>
      </c>
      <c r="AG34">
        <f>_xll.EQNXTDZ($A$1,$B34,AG$1,$B$1)</f>
        <v>2.7189999999999999</v>
      </c>
      <c r="AH34">
        <f>_xll.EQNXTDZ($A$1,$B34,AH$1,$B$1)</f>
        <v>1.256</v>
      </c>
      <c r="AI34">
        <f>_xll.EQNXTDZ($A$1,$B34,AI$1,$B$1)</f>
        <v>1.383</v>
      </c>
      <c r="AJ34">
        <f>_xll.EQNXTDZ($A$1,$B34,AJ$1,$B$1)</f>
        <v>1.5569999999999999</v>
      </c>
      <c r="AK34">
        <f>_xll.EQNXTDZ($A$1,$B34,AK$1,$B$1)</f>
        <v>-3.9340000000000002</v>
      </c>
      <c r="AL34">
        <f>_xll.EQNXTDZ($A$1,$B34,AL$1,$B$1)</f>
        <v>-4.3090000000000002</v>
      </c>
      <c r="AM34">
        <f>_xll.EQNXTDZ($A$1,$B34,AM$1,$B$1)</f>
        <v>-7.0110000000000001</v>
      </c>
      <c r="AN34">
        <f>_xll.EQNXTDZ($A$1,$B34,AN$1,$B$1)</f>
        <v>-8.3140000000000001</v>
      </c>
      <c r="AO34">
        <f>_xll.EQNXTDZ($A$1,$B34,AO$1,$B$1)</f>
        <v>-12.035</v>
      </c>
      <c r="AP34">
        <f>_xll.EQNXTDZ($A$1,$B34,AP$1,$B$1)</f>
        <v>-22.123999999999999</v>
      </c>
      <c r="AQ34">
        <f>_xll.EQNXTDZ($A$1,$B34,AQ$1,$B$1)</f>
        <v>-25.071000000000002</v>
      </c>
      <c r="AR34">
        <f>_xll.EQNXTDZ($A$1,$B34,AR$1,$B$1)</f>
        <v>-26.068999999999999</v>
      </c>
      <c r="AS34">
        <f>_xll.EQNXTDZ($A$1,$B34,AS$1,$B$1)</f>
        <v>-21.22</v>
      </c>
      <c r="AT34">
        <f>_xll.EQNXTDZ($A$1,$B34,AT$1,$B$1)</f>
        <v>-7.8040000000000003</v>
      </c>
      <c r="AU34">
        <f>_xll.EQNXTDZ($A$1,$B34,AU$1,$B$1)</f>
        <v>-14.946</v>
      </c>
      <c r="AV34">
        <f>_xll.EQNXTDZ($A$1,$B34,AV$1,$B$1)</f>
        <v>-1.655</v>
      </c>
      <c r="AW34">
        <f>_xll.EQNXTDZ($A$1,$B34,AW$1,$B$1)</f>
        <v>-6.4</v>
      </c>
      <c r="AX34">
        <f>_xll.EQNXTDZ($A$1,$B34,AX$1,$B$1)</f>
        <v>-4.4480000000000004</v>
      </c>
      <c r="AY34">
        <f>_xll.EQNXTDZ($A$1,$B34,AY$1,$B$1)</f>
        <v>-2.266</v>
      </c>
      <c r="AZ34">
        <f>_xll.EQNXTDZ($A$1,$B34,AZ$1,$B$1)</f>
        <v>-0.47399999999999998</v>
      </c>
      <c r="BA34">
        <f>_xll.EQNXTDZ($A$1,$B34,BA$1,$B$1)</f>
        <v>2.0470000000000002</v>
      </c>
      <c r="BB34">
        <f>_xll.EQNXTDZ($A$1,$B34,BB$1,$B$1)</f>
        <v>-0.378</v>
      </c>
      <c r="BC34">
        <f>_xll.EQNXTDZ($A$1,$B34,BC$1,$B$1)</f>
        <v>1.4730000000000001</v>
      </c>
      <c r="BD34">
        <f>_xll.EQNXTDZ($A$1,$B34,BD$1,$B$1)</f>
        <v>-2.5430000000000001</v>
      </c>
      <c r="BE34">
        <f>_xll.EQNXTDZ($A$1,$B34,BE$1,$B$1)</f>
        <v>0.67600000000000005</v>
      </c>
      <c r="BF34">
        <f>_xll.EQNXTDZ($A$1,$B34,BF$1,$B$1)</f>
        <v>-1.5620000000000001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9.3670000000000009</v>
      </c>
      <c r="D38">
        <f>_xll.EQNXTDZ($A$1,$B38,D$1,$B$1)</f>
        <v>8.891</v>
      </c>
      <c r="E38">
        <f>_xll.EQNXTDZ($A$1,$B38,E$1,$B$1)</f>
        <v>7.1929999999999996</v>
      </c>
      <c r="F38">
        <f>_xll.EQNXTDZ($A$1,$B38,F$1,$B$1)</f>
        <v>5.7</v>
      </c>
      <c r="G38">
        <f>_xll.EQNXTDZ($A$1,$B38,G$1,$B$1)</f>
        <v>8.51</v>
      </c>
      <c r="H38">
        <f>_xll.EQNXTDZ($A$1,$B38,H$1,$B$1)</f>
        <v>11.734999999999999</v>
      </c>
      <c r="I38">
        <f>_xll.EQNXTDZ($A$1,$B38,I$1,$B$1)</f>
        <v>4.2</v>
      </c>
      <c r="J38">
        <f>_xll.EQNXTDZ($A$1,$B38,J$1,$B$1)</f>
        <v>9.09</v>
      </c>
      <c r="K38">
        <f>_xll.EQNXTDZ($A$1,$B38,K$1,$B$1)</f>
        <v>9.31</v>
      </c>
      <c r="L38">
        <f>_xll.EQNXTDZ($A$1,$B38,L$1,$B$1)</f>
        <v>9.0850000000000009</v>
      </c>
      <c r="M38">
        <f>_xll.EQNXTDZ($A$1,$B38,M$1,$B$1)</f>
        <v>6.194</v>
      </c>
      <c r="N38">
        <f>_xll.EQNXTDZ($A$1,$B38,N$1,$B$1)</f>
        <v>11.769</v>
      </c>
      <c r="O38">
        <f>_xll.EQNXTDZ($A$1,$B38,O$1,$B$1)</f>
        <v>12.817</v>
      </c>
      <c r="P38">
        <f>_xll.EQNXTDZ($A$1,$B38,P$1,$B$1)</f>
        <v>11.813000000000001</v>
      </c>
      <c r="Q38">
        <f>_xll.EQNXTDZ($A$1,$B38,Q$1,$B$1)</f>
        <v>13.305999999999999</v>
      </c>
      <c r="R38">
        <f>_xll.EQNXTDZ($A$1,$B38,R$1,$B$1)</f>
        <v>23.335999999999999</v>
      </c>
      <c r="S38">
        <f>_xll.EQNXTDZ($A$1,$B38,S$1,$B$1)</f>
        <v>26.341000000000001</v>
      </c>
      <c r="T38">
        <f>_xll.EQNXTDZ($A$1,$B38,T$1,$B$1)</f>
        <v>21.731000000000002</v>
      </c>
      <c r="U38">
        <f>_xll.EQNXTDZ($A$1,$B38,U$1,$B$1)</f>
        <v>19.629000000000001</v>
      </c>
      <c r="V38">
        <f>_xll.EQNXTDZ($A$1,$B38,V$1,$B$1)</f>
        <v>17.873000000000001</v>
      </c>
      <c r="W38">
        <f>_xll.EQNXTDZ($A$1,$B38,W$1,$B$1)</f>
        <v>22.754999999999999</v>
      </c>
      <c r="X38">
        <f>_xll.EQNXTDZ($A$1,$B38,X$1,$B$1)</f>
        <v>29.164000000000001</v>
      </c>
      <c r="Y38">
        <f>_xll.EQNXTDZ($A$1,$B38,Y$1,$B$1)</f>
        <v>28.087</v>
      </c>
      <c r="Z38">
        <f>_xll.EQNXTDZ($A$1,$B38,Z$1,$B$1)</f>
        <v>33.176000000000002</v>
      </c>
      <c r="AA38">
        <f>_xll.EQNXTDZ($A$1,$B38,AA$1,$B$1)</f>
        <v>33.823</v>
      </c>
      <c r="AB38">
        <f>_xll.EQNXTDZ($A$1,$B38,AB$1,$B$1)</f>
        <v>30.981000000000002</v>
      </c>
      <c r="AC38">
        <f>_xll.EQNXTDZ($A$1,$B38,AC$1,$B$1)</f>
        <v>26.274000000000001</v>
      </c>
      <c r="AD38">
        <f>_xll.EQNXTDZ($A$1,$B38,AD$1,$B$1)</f>
        <v>26.454999999999998</v>
      </c>
      <c r="AE38">
        <f>_xll.EQNXTDZ($A$1,$B38,AE$1,$B$1)</f>
        <v>19.146999999999998</v>
      </c>
      <c r="AF38">
        <f>_xll.EQNXTDZ($A$1,$B38,AF$1,$B$1)</f>
        <v>31.427</v>
      </c>
      <c r="AG38">
        <f>_xll.EQNXTDZ($A$1,$B38,AG$1,$B$1)</f>
        <v>23.408999999999999</v>
      </c>
      <c r="AH38">
        <f>_xll.EQNXTDZ($A$1,$B38,AH$1,$B$1)</f>
        <v>30.815000000000001</v>
      </c>
      <c r="AI38">
        <f>_xll.EQNXTDZ($A$1,$B38,AI$1,$B$1)</f>
        <v>32.963999999999999</v>
      </c>
      <c r="AJ38">
        <f>_xll.EQNXTDZ($A$1,$B38,AJ$1,$B$1)</f>
        <v>45.759</v>
      </c>
      <c r="AK38">
        <f>_xll.EQNXTDZ($A$1,$B38,AK$1,$B$1)</f>
        <v>74.971999999999994</v>
      </c>
      <c r="AL38">
        <f>_xll.EQNXTDZ($A$1,$B38,AL$1,$B$1)</f>
        <v>84.498000000000005</v>
      </c>
      <c r="AM38">
        <f>_xll.EQNXTDZ($A$1,$B38,AM$1,$B$1)</f>
        <v>90.384</v>
      </c>
      <c r="AN38">
        <f>_xll.EQNXTDZ($A$1,$B38,AN$1,$B$1)</f>
        <v>79.751999999999995</v>
      </c>
      <c r="AO38">
        <f>_xll.EQNXTDZ($A$1,$B38,AO$1,$B$1)</f>
        <v>89.558000000000007</v>
      </c>
      <c r="AP38">
        <f>_xll.EQNXTDZ($A$1,$B38,AP$1,$B$1)</f>
        <v>108.723</v>
      </c>
      <c r="AQ38">
        <f>_xll.EQNXTDZ($A$1,$B38,AQ$1,$B$1)</f>
        <v>122.968</v>
      </c>
      <c r="AR38">
        <f>_xll.EQNXTDZ($A$1,$B38,AR$1,$B$1)</f>
        <v>92.57</v>
      </c>
      <c r="AS38">
        <f>_xll.EQNXTDZ($A$1,$B38,AS$1,$B$1)</f>
        <v>62.572000000000003</v>
      </c>
      <c r="AT38">
        <f>_xll.EQNXTDZ($A$1,$B38,AT$1,$B$1)</f>
        <v>47.41</v>
      </c>
      <c r="AU38">
        <f>_xll.EQNXTDZ($A$1,$B38,AU$1,$B$1)</f>
        <v>52.732999999999997</v>
      </c>
      <c r="AV38">
        <f>_xll.EQNXTDZ($A$1,$B38,AV$1,$B$1)</f>
        <v>34.713000000000001</v>
      </c>
      <c r="AW38">
        <f>_xll.EQNXTDZ($A$1,$B38,AW$1,$B$1)</f>
        <v>49.374000000000002</v>
      </c>
      <c r="AX38">
        <f>_xll.EQNXTDZ($A$1,$B38,AX$1,$B$1)</f>
        <v>68.034000000000006</v>
      </c>
      <c r="AY38">
        <f>_xll.EQNXTDZ($A$1,$B38,AY$1,$B$1)</f>
        <v>43.292000000000002</v>
      </c>
      <c r="AZ38">
        <f>_xll.EQNXTDZ($A$1,$B38,AZ$1,$B$1)</f>
        <v>40.98</v>
      </c>
      <c r="BA38">
        <f>_xll.EQNXTDZ($A$1,$B38,BA$1,$B$1)</f>
        <v>33.186</v>
      </c>
      <c r="BB38">
        <f>_xll.EQNXTDZ($A$1,$B38,BB$1,$B$1)</f>
        <v>40.061999999999998</v>
      </c>
      <c r="BC38">
        <f>_xll.EQNXTDZ($A$1,$B38,BC$1,$B$1)</f>
        <v>38</v>
      </c>
      <c r="BD38">
        <f>_xll.EQNXTDZ($A$1,$B38,BD$1,$B$1)</f>
        <v>34.558999999999997</v>
      </c>
      <c r="BE38">
        <f>_xll.EQNXTDZ($A$1,$B38,BE$1,$B$1)</f>
        <v>31.433</v>
      </c>
      <c r="BF38">
        <f>_xll.EQNXTDZ($A$1,$B38,BF$1,$B$1)</f>
        <v>63.207999999999998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1.4E-2</v>
      </c>
      <c r="AS40">
        <f>_xll.EQNXTDZ($A$1,$B40,AS$1,$B$1)</f>
        <v>-7.5999999999999998E-2</v>
      </c>
      <c r="AT40">
        <f>_xll.EQNXTDZ($A$1,$B40,AT$1,$B$1)</f>
        <v>-0.16600000000000001</v>
      </c>
      <c r="AU40">
        <f>_xll.EQNXTDZ($A$1,$B40,AU$1,$B$1)</f>
        <v>-8.5000000000000006E-2</v>
      </c>
      <c r="AV40">
        <f>_xll.EQNXTDZ($A$1,$B40,AV$1,$B$1)</f>
        <v>-0.52</v>
      </c>
      <c r="AW40">
        <f>_xll.EQNXTDZ($A$1,$B40,AW$1,$B$1)</f>
        <v>-0.155</v>
      </c>
      <c r="AX40">
        <f>_xll.EQNXTDZ($A$1,$B40,AX$1,$B$1)</f>
        <v>-4.0599999999999996</v>
      </c>
      <c r="AY40">
        <f>_xll.EQNXTDZ($A$1,$B40,AY$1,$B$1)</f>
        <v>-4.0000000000000001E-3</v>
      </c>
      <c r="AZ40">
        <f>_xll.EQNXTDZ($A$1,$B40,AZ$1,$B$1)</f>
        <v>-4.0000000000000001E-3</v>
      </c>
      <c r="BA40">
        <f>_xll.EQNXTDZ($A$1,$B40,BA$1,$B$1)</f>
        <v>-4.0000000000000001E-3</v>
      </c>
      <c r="BB40">
        <f>_xll.EQNXTDZ($A$1,$B40,BB$1,$B$1)</f>
        <v>0.47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8.3000000000000004E-2</v>
      </c>
      <c r="BF40">
        <f>_xll.EQNXTDZ($A$1,$B40,BF$1,$B$1)</f>
        <v>-0.253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12.817</v>
      </c>
      <c r="P41">
        <f>_xll.EQNXTDZ($A$1,$B41,P$1,$B$1)</f>
        <v>11.813000000000001</v>
      </c>
      <c r="Q41">
        <f>_xll.EQNXTDZ($A$1,$B41,Q$1,$B$1)</f>
        <v>13.305999999999999</v>
      </c>
      <c r="R41">
        <f>_xll.EQNXTDZ($A$1,$B41,R$1,$B$1)</f>
        <v>23.335999999999999</v>
      </c>
      <c r="S41">
        <f>_xll.EQNXTDZ($A$1,$B41,S$1,$B$1)</f>
        <v>26.341000000000001</v>
      </c>
      <c r="T41">
        <f>_xll.EQNXTDZ($A$1,$B41,T$1,$B$1)</f>
        <v>21.731000000000002</v>
      </c>
      <c r="U41">
        <f>_xll.EQNXTDZ($A$1,$B41,U$1,$B$1)</f>
        <v>19.629000000000001</v>
      </c>
      <c r="V41">
        <f>_xll.EQNXTDZ($A$1,$B41,V$1,$B$1)</f>
        <v>17.873000000000001</v>
      </c>
      <c r="W41">
        <f>_xll.EQNXTDZ($A$1,$B41,W$1,$B$1)</f>
        <v>22.754999999999999</v>
      </c>
      <c r="X41">
        <f>_xll.EQNXTDZ($A$1,$B41,X$1,$B$1)</f>
        <v>29.164000000000001</v>
      </c>
      <c r="Y41">
        <f>_xll.EQNXTDZ($A$1,$B41,Y$1,$B$1)</f>
        <v>28.087</v>
      </c>
      <c r="Z41">
        <f>_xll.EQNXTDZ($A$1,$B41,Z$1,$B$1)</f>
        <v>33.176000000000002</v>
      </c>
      <c r="AA41">
        <f>_xll.EQNXTDZ($A$1,$B41,AA$1,$B$1)</f>
        <v>33.823</v>
      </c>
      <c r="AB41">
        <f>_xll.EQNXTDZ($A$1,$B41,AB$1,$B$1)</f>
        <v>30.981000000000002</v>
      </c>
      <c r="AC41">
        <f>_xll.EQNXTDZ($A$1,$B41,AC$1,$B$1)</f>
        <v>26.274000000000001</v>
      </c>
      <c r="AD41">
        <f>_xll.EQNXTDZ($A$1,$B41,AD$1,$B$1)</f>
        <v>26.454999999999998</v>
      </c>
      <c r="AE41">
        <f>_xll.EQNXTDZ($A$1,$B41,AE$1,$B$1)</f>
        <v>19.146999999999998</v>
      </c>
      <c r="AF41">
        <f>_xll.EQNXTDZ($A$1,$B41,AF$1,$B$1)</f>
        <v>31.427</v>
      </c>
      <c r="AG41">
        <f>_xll.EQNXTDZ($A$1,$B41,AG$1,$B$1)</f>
        <v>23.408999999999999</v>
      </c>
      <c r="AH41">
        <f>_xll.EQNXTDZ($A$1,$B41,AH$1,$B$1)</f>
        <v>30.815000000000001</v>
      </c>
      <c r="AI41">
        <f>_xll.EQNXTDZ($A$1,$B41,AI$1,$B$1)</f>
        <v>32.963999999999999</v>
      </c>
      <c r="AJ41">
        <f>_xll.EQNXTDZ($A$1,$B41,AJ$1,$B$1)</f>
        <v>45.759</v>
      </c>
      <c r="AK41">
        <f>_xll.EQNXTDZ($A$1,$B41,AK$1,$B$1)</f>
        <v>74.971999999999994</v>
      </c>
      <c r="AL41">
        <f>_xll.EQNXTDZ($A$1,$B41,AL$1,$B$1)</f>
        <v>84.498000000000005</v>
      </c>
      <c r="AM41">
        <f>_xll.EQNXTDZ($A$1,$B41,AM$1,$B$1)</f>
        <v>90.384</v>
      </c>
      <c r="AN41">
        <f>_xll.EQNXTDZ($A$1,$B41,AN$1,$B$1)</f>
        <v>79.751999999999995</v>
      </c>
      <c r="AO41">
        <f>_xll.EQNXTDZ($A$1,$B41,AO$1,$B$1)</f>
        <v>89.558000000000007</v>
      </c>
      <c r="AP41">
        <f>_xll.EQNXTDZ($A$1,$B41,AP$1,$B$1)</f>
        <v>108.723</v>
      </c>
      <c r="AQ41">
        <f>_xll.EQNXTDZ($A$1,$B41,AQ$1,$B$1)</f>
        <v>122.968</v>
      </c>
      <c r="AR41">
        <f>_xll.EQNXTDZ($A$1,$B41,AR$1,$B$1)</f>
        <v>92.576999999999998</v>
      </c>
      <c r="AS41">
        <f>_xll.EQNXTDZ($A$1,$B41,AS$1,$B$1)</f>
        <v>62.53</v>
      </c>
      <c r="AT41">
        <f>_xll.EQNXTDZ($A$1,$B41,AT$1,$B$1)</f>
        <v>47.243000000000002</v>
      </c>
      <c r="AU41">
        <f>_xll.EQNXTDZ($A$1,$B41,AU$1,$B$1)</f>
        <v>52.566000000000003</v>
      </c>
      <c r="AV41">
        <f>_xll.EQNXTDZ($A$1,$B41,AV$1,$B$1)</f>
        <v>34.098999999999997</v>
      </c>
      <c r="AW41">
        <f>_xll.EQNXTDZ($A$1,$B41,AW$1,$B$1)</f>
        <v>49.313000000000002</v>
      </c>
      <c r="AX41">
        <f>_xll.EQNXTDZ($A$1,$B41,AX$1,$B$1)</f>
        <v>63.973999999999997</v>
      </c>
      <c r="AY41">
        <f>_xll.EQNXTDZ($A$1,$B41,AY$1,$B$1)</f>
        <v>43.289000000000001</v>
      </c>
      <c r="AZ41">
        <f>_xll.EQNXTDZ($A$1,$B41,AZ$1,$B$1)</f>
        <v>40.975999999999999</v>
      </c>
      <c r="BA41">
        <f>_xll.EQNXTDZ($A$1,$B41,BA$1,$B$1)</f>
        <v>33.183</v>
      </c>
      <c r="BB41">
        <f>_xll.EQNXTDZ($A$1,$B41,BB$1,$B$1)</f>
        <v>40.445999999999998</v>
      </c>
      <c r="BC41">
        <f>_xll.EQNXTDZ($A$1,$B41,BC$1,$B$1)</f>
        <v>38</v>
      </c>
      <c r="BD41">
        <f>_xll.EQNXTDZ($A$1,$B41,BD$1,$B$1)</f>
        <v>34.558999999999997</v>
      </c>
      <c r="BE41">
        <f>_xll.EQNXTDZ($A$1,$B41,BE$1,$B$1)</f>
        <v>31.562000000000001</v>
      </c>
      <c r="BF41">
        <f>_xll.EQNXTDZ($A$1,$B41,BF$1,$B$1)</f>
        <v>62.917999999999999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9.3670000000000009</v>
      </c>
      <c r="D42">
        <f>_xll.EQNXTDZ($A$1,$B42,D$1,$B$1)</f>
        <v>8.891</v>
      </c>
      <c r="E42">
        <f>_xll.EQNXTDZ($A$1,$B42,E$1,$B$1)</f>
        <v>7.1929999999999996</v>
      </c>
      <c r="F42">
        <f>_xll.EQNXTDZ($A$1,$B42,F$1,$B$1)</f>
        <v>5.7</v>
      </c>
      <c r="G42">
        <f>_xll.EQNXTDZ($A$1,$B42,G$1,$B$1)</f>
        <v>8.51</v>
      </c>
      <c r="H42">
        <f>_xll.EQNXTDZ($A$1,$B42,H$1,$B$1)</f>
        <v>11.734999999999999</v>
      </c>
      <c r="I42">
        <f>_xll.EQNXTDZ($A$1,$B42,I$1,$B$1)</f>
        <v>4.2</v>
      </c>
      <c r="J42">
        <f>_xll.EQNXTDZ($A$1,$B42,J$1,$B$1)</f>
        <v>9.09</v>
      </c>
      <c r="K42">
        <f>_xll.EQNXTDZ($A$1,$B42,K$1,$B$1)</f>
        <v>9.31</v>
      </c>
      <c r="L42">
        <f>_xll.EQNXTDZ($A$1,$B42,L$1,$B$1)</f>
        <v>9.0850000000000009</v>
      </c>
      <c r="M42">
        <f>_xll.EQNXTDZ($A$1,$B42,M$1,$B$1)</f>
        <v>6.194</v>
      </c>
      <c r="N42">
        <f>_xll.EQNXTDZ($A$1,$B42,N$1,$B$1)</f>
        <v>11.769</v>
      </c>
      <c r="O42">
        <f>_xll.EQNXTDZ($A$1,$B42,O$1,$B$1)</f>
        <v>12.817</v>
      </c>
      <c r="P42">
        <f>_xll.EQNXTDZ($A$1,$B42,P$1,$B$1)</f>
        <v>11.813000000000001</v>
      </c>
      <c r="Q42">
        <f>_xll.EQNXTDZ($A$1,$B42,Q$1,$B$1)</f>
        <v>13.305999999999999</v>
      </c>
      <c r="R42">
        <f>_xll.EQNXTDZ($A$1,$B42,R$1,$B$1)</f>
        <v>23.335999999999999</v>
      </c>
      <c r="S42">
        <f>_xll.EQNXTDZ($A$1,$B42,S$1,$B$1)</f>
        <v>26.341000000000001</v>
      </c>
      <c r="T42">
        <f>_xll.EQNXTDZ($A$1,$B42,T$1,$B$1)</f>
        <v>21.731000000000002</v>
      </c>
      <c r="U42">
        <f>_xll.EQNXTDZ($A$1,$B42,U$1,$B$1)</f>
        <v>19.629000000000001</v>
      </c>
      <c r="V42">
        <f>_xll.EQNXTDZ($A$1,$B42,V$1,$B$1)</f>
        <v>17.873000000000001</v>
      </c>
      <c r="W42">
        <f>_xll.EQNXTDZ($A$1,$B42,W$1,$B$1)</f>
        <v>22.754999999999999</v>
      </c>
      <c r="X42">
        <f>_xll.EQNXTDZ($A$1,$B42,X$1,$B$1)</f>
        <v>29.164000000000001</v>
      </c>
      <c r="Y42">
        <f>_xll.EQNXTDZ($A$1,$B42,Y$1,$B$1)</f>
        <v>28.087</v>
      </c>
      <c r="Z42">
        <f>_xll.EQNXTDZ($A$1,$B42,Z$1,$B$1)</f>
        <v>33.176000000000002</v>
      </c>
      <c r="AA42">
        <f>_xll.EQNXTDZ($A$1,$B42,AA$1,$B$1)</f>
        <v>33.823</v>
      </c>
      <c r="AB42">
        <f>_xll.EQNXTDZ($A$1,$B42,AB$1,$B$1)</f>
        <v>30.981000000000002</v>
      </c>
      <c r="AC42">
        <f>_xll.EQNXTDZ($A$1,$B42,AC$1,$B$1)</f>
        <v>26.274000000000001</v>
      </c>
      <c r="AD42">
        <f>_xll.EQNXTDZ($A$1,$B42,AD$1,$B$1)</f>
        <v>26.454999999999998</v>
      </c>
      <c r="AE42">
        <f>_xll.EQNXTDZ($A$1,$B42,AE$1,$B$1)</f>
        <v>19.146999999999998</v>
      </c>
      <c r="AF42">
        <f>_xll.EQNXTDZ($A$1,$B42,AF$1,$B$1)</f>
        <v>31.427</v>
      </c>
      <c r="AG42">
        <f>_xll.EQNXTDZ($A$1,$B42,AG$1,$B$1)</f>
        <v>23.408999999999999</v>
      </c>
      <c r="AH42">
        <f>_xll.EQNXTDZ($A$1,$B42,AH$1,$B$1)</f>
        <v>30.815000000000001</v>
      </c>
      <c r="AI42">
        <f>_xll.EQNXTDZ($A$1,$B42,AI$1,$B$1)</f>
        <v>32.963999999999999</v>
      </c>
      <c r="AJ42">
        <f>_xll.EQNXTDZ($A$1,$B42,AJ$1,$B$1)</f>
        <v>45.759</v>
      </c>
      <c r="AK42">
        <f>_xll.EQNXTDZ($A$1,$B42,AK$1,$B$1)</f>
        <v>74.971999999999994</v>
      </c>
      <c r="AL42">
        <f>_xll.EQNXTDZ($A$1,$B42,AL$1,$B$1)</f>
        <v>84.498000000000005</v>
      </c>
      <c r="AM42">
        <f>_xll.EQNXTDZ($A$1,$B42,AM$1,$B$1)</f>
        <v>90.384</v>
      </c>
      <c r="AN42">
        <f>_xll.EQNXTDZ($A$1,$B42,AN$1,$B$1)</f>
        <v>79.751999999999995</v>
      </c>
      <c r="AO42">
        <f>_xll.EQNXTDZ($A$1,$B42,AO$1,$B$1)</f>
        <v>89.558000000000007</v>
      </c>
      <c r="AP42">
        <f>_xll.EQNXTDZ($A$1,$B42,AP$1,$B$1)</f>
        <v>108.723</v>
      </c>
      <c r="AQ42">
        <f>_xll.EQNXTDZ($A$1,$B42,AQ$1,$B$1)</f>
        <v>122.968</v>
      </c>
      <c r="AR42">
        <f>_xll.EQNXTDZ($A$1,$B42,AR$1,$B$1)</f>
        <v>92.57</v>
      </c>
      <c r="AS42">
        <f>_xll.EQNXTDZ($A$1,$B42,AS$1,$B$1)</f>
        <v>62.572000000000003</v>
      </c>
      <c r="AT42">
        <f>_xll.EQNXTDZ($A$1,$B42,AT$1,$B$1)</f>
        <v>47.41</v>
      </c>
      <c r="AU42">
        <f>_xll.EQNXTDZ($A$1,$B42,AU$1,$B$1)</f>
        <v>52.732999999999997</v>
      </c>
      <c r="AV42">
        <f>_xll.EQNXTDZ($A$1,$B42,AV$1,$B$1)</f>
        <v>34.713000000000001</v>
      </c>
      <c r="AW42">
        <f>_xll.EQNXTDZ($A$1,$B42,AW$1,$B$1)</f>
        <v>49.374000000000002</v>
      </c>
      <c r="AX42">
        <f>_xll.EQNXTDZ($A$1,$B42,AX$1,$B$1)</f>
        <v>68.034000000000006</v>
      </c>
      <c r="AY42">
        <f>_xll.EQNXTDZ($A$1,$B42,AY$1,$B$1)</f>
        <v>43.292000000000002</v>
      </c>
      <c r="AZ42">
        <f>_xll.EQNXTDZ($A$1,$B42,AZ$1,$B$1)</f>
        <v>40.98</v>
      </c>
      <c r="BA42">
        <f>_xll.EQNXTDZ($A$1,$B42,BA$1,$B$1)</f>
        <v>33.186</v>
      </c>
      <c r="BB42">
        <f>_xll.EQNXTDZ($A$1,$B42,BB$1,$B$1)</f>
        <v>40.061999999999998</v>
      </c>
      <c r="BC42">
        <f>_xll.EQNXTDZ($A$1,$B42,BC$1,$B$1)</f>
        <v>38</v>
      </c>
      <c r="BD42">
        <f>_xll.EQNXTDZ($A$1,$B42,BD$1,$B$1)</f>
        <v>34.558999999999997</v>
      </c>
      <c r="BE42">
        <f>_xll.EQNXTDZ($A$1,$B42,BE$1,$B$1)</f>
        <v>31.433</v>
      </c>
      <c r="BF42">
        <f>_xll.EQNXTDZ($A$1,$B42,BF$1,$B$1)</f>
        <v>63.207999999999998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6.48</v>
      </c>
      <c r="D45">
        <f>_xll.EQNXTDZ($A$1,$B45,D$1,$B$1)</f>
        <v>6.48</v>
      </c>
      <c r="E45">
        <f>_xll.EQNXTDZ($A$1,$B45,E$1,$B$1)</f>
        <v>6.48</v>
      </c>
      <c r="F45">
        <f>_xll.EQNXTDZ($A$1,$B45,F$1,$B$1)</f>
        <v>6.48</v>
      </c>
      <c r="G45">
        <f>_xll.EQNXTDZ($A$1,$B45,G$1,$B$1)</f>
        <v>6.48</v>
      </c>
      <c r="H45">
        <f>_xll.EQNXTDZ($A$1,$B45,H$1,$B$1)</f>
        <v>6.48</v>
      </c>
      <c r="I45">
        <f>_xll.EQNXTDZ($A$1,$B45,I$1,$B$1)</f>
        <v>6.48</v>
      </c>
      <c r="J45">
        <f>_xll.EQNXTDZ($A$1,$B45,J$1,$B$1)</f>
        <v>6.48</v>
      </c>
      <c r="K45">
        <f>_xll.EQNXTDZ($A$1,$B45,K$1,$B$1)</f>
        <v>6.48</v>
      </c>
      <c r="L45">
        <f>_xll.EQNXTDZ($A$1,$B45,L$1,$B$1)</f>
        <v>6.48</v>
      </c>
      <c r="M45">
        <f>_xll.EQNXTDZ($A$1,$B45,M$1,$B$1)</f>
        <v>6.48</v>
      </c>
      <c r="N45">
        <f>_xll.EQNXTDZ($A$1,$B45,N$1,$B$1)</f>
        <v>6.48</v>
      </c>
      <c r="O45">
        <f>_xll.EQNXTDZ($A$1,$B45,O$1,$B$1)</f>
        <v>6.48</v>
      </c>
      <c r="P45">
        <f>_xll.EQNXTDZ($A$1,$B45,P$1,$B$1)</f>
        <v>6.48</v>
      </c>
      <c r="Q45">
        <f>_xll.EQNXTDZ($A$1,$B45,Q$1,$B$1)</f>
        <v>6.48</v>
      </c>
      <c r="R45">
        <f>_xll.EQNXTDZ($A$1,$B45,R$1,$B$1)</f>
        <v>6.48</v>
      </c>
      <c r="S45">
        <f>_xll.EQNXTDZ($A$1,$B45,S$1,$B$1)</f>
        <v>6.48</v>
      </c>
      <c r="T45">
        <f>_xll.EQNXTDZ($A$1,$B45,T$1,$B$1)</f>
        <v>6.48</v>
      </c>
      <c r="U45">
        <f>_xll.EQNXTDZ($A$1,$B45,U$1,$B$1)</f>
        <v>6.48</v>
      </c>
      <c r="V45">
        <f>_xll.EQNXTDZ($A$1,$B45,V$1,$B$1)</f>
        <v>6.48</v>
      </c>
      <c r="W45">
        <f>_xll.EQNXTDZ($A$1,$B45,W$1,$B$1)</f>
        <v>6.48</v>
      </c>
      <c r="X45">
        <f>_xll.EQNXTDZ($A$1,$B45,X$1,$B$1)</f>
        <v>6.48</v>
      </c>
      <c r="Y45">
        <f>_xll.EQNXTDZ($A$1,$B45,Y$1,$B$1)</f>
        <v>6.48</v>
      </c>
      <c r="Z45">
        <f>_xll.EQNXTDZ($A$1,$B45,Z$1,$B$1)</f>
        <v>6.48</v>
      </c>
      <c r="AA45">
        <f>_xll.EQNXTDZ($A$1,$B45,AA$1,$B$1)</f>
        <v>6.48</v>
      </c>
      <c r="AB45">
        <f>_xll.EQNXTDZ($A$1,$B45,AB$1,$B$1)</f>
        <v>6.48</v>
      </c>
      <c r="AC45">
        <f>_xll.EQNXTDZ($A$1,$B45,AC$1,$B$1)</f>
        <v>6.48</v>
      </c>
      <c r="AD45">
        <f>_xll.EQNXTDZ($A$1,$B45,AD$1,$B$1)</f>
        <v>6.48</v>
      </c>
      <c r="AE45">
        <f>_xll.EQNXTDZ($A$1,$B45,AE$1,$B$1)</f>
        <v>6.48</v>
      </c>
      <c r="AF45">
        <f>_xll.EQNXTDZ($A$1,$B45,AF$1,$B$1)</f>
        <v>6.48</v>
      </c>
      <c r="AG45">
        <f>_xll.EQNXTDZ($A$1,$B45,AG$1,$B$1)</f>
        <v>6.48</v>
      </c>
      <c r="AH45">
        <f>_xll.EQNXTDZ($A$1,$B45,AH$1,$B$1)</f>
        <v>6.48</v>
      </c>
      <c r="AI45">
        <f>_xll.EQNXTDZ($A$1,$B45,AI$1,$B$1)</f>
        <v>6.48</v>
      </c>
      <c r="AJ45">
        <f>_xll.EQNXTDZ($A$1,$B45,AJ$1,$B$1)</f>
        <v>6.48</v>
      </c>
      <c r="AK45">
        <f>_xll.EQNXTDZ($A$1,$B45,AK$1,$B$1)</f>
        <v>6.48</v>
      </c>
      <c r="AL45">
        <f>_xll.EQNXTDZ($A$1,$B45,AL$1,$B$1)</f>
        <v>6.48</v>
      </c>
      <c r="AM45">
        <f>_xll.EQNXTDZ($A$1,$B45,AM$1,$B$1)</f>
        <v>6.48</v>
      </c>
      <c r="AN45">
        <f>_xll.EQNXTDZ($A$1,$B45,AN$1,$B$1)</f>
        <v>6.48</v>
      </c>
      <c r="AO45">
        <f>_xll.EQNXTDZ($A$1,$B45,AO$1,$B$1)</f>
        <v>6.48</v>
      </c>
      <c r="AP45">
        <f>_xll.EQNXTDZ($A$1,$B45,AP$1,$B$1)</f>
        <v>6.48</v>
      </c>
      <c r="AQ45">
        <f>_xll.EQNXTDZ($A$1,$B45,AQ$1,$B$1)</f>
        <v>6.48</v>
      </c>
      <c r="AR45">
        <f>_xll.EQNXTDZ($A$1,$B45,AR$1,$B$1)</f>
        <v>6.48</v>
      </c>
      <c r="AS45">
        <f>_xll.EQNXTDZ($A$1,$B45,AS$1,$B$1)</f>
        <v>6.48</v>
      </c>
      <c r="AT45">
        <f>_xll.EQNXTDZ($A$1,$B45,AT$1,$B$1)</f>
        <v>6.48</v>
      </c>
      <c r="AU45">
        <f>_xll.EQNXTDZ($A$1,$B45,AU$1,$B$1)</f>
        <v>6.48</v>
      </c>
      <c r="AV45">
        <f>_xll.EQNXTDZ($A$1,$B45,AV$1,$B$1)</f>
        <v>6.48</v>
      </c>
      <c r="AW45">
        <f>_xll.EQNXTDZ($A$1,$B45,AW$1,$B$1)</f>
        <v>6.48</v>
      </c>
      <c r="AX45">
        <f>_xll.EQNXTDZ($A$1,$B45,AX$1,$B$1)</f>
        <v>6.48</v>
      </c>
      <c r="AY45">
        <f>_xll.EQNXTDZ($A$1,$B45,AY$1,$B$1)</f>
        <v>6.48</v>
      </c>
      <c r="AZ45">
        <f>_xll.EQNXTDZ($A$1,$B45,AZ$1,$B$1)</f>
        <v>6.48</v>
      </c>
      <c r="BA45">
        <f>_xll.EQNXTDZ($A$1,$B45,BA$1,$B$1)</f>
        <v>6.48</v>
      </c>
      <c r="BB45">
        <f>_xll.EQNXTDZ($A$1,$B45,BB$1,$B$1)</f>
        <v>6.48</v>
      </c>
      <c r="BC45">
        <f>_xll.EQNXTDZ($A$1,$B45,BC$1,$B$1)</f>
        <v>6.48</v>
      </c>
      <c r="BD45">
        <f>_xll.EQNXTDZ($A$1,$B45,BD$1,$B$1)</f>
        <v>6.48</v>
      </c>
      <c r="BE45">
        <f>_xll.EQNXTDZ($A$1,$B45,BE$1,$B$1)</f>
        <v>6.48</v>
      </c>
      <c r="BF45">
        <f>_xll.EQNXTDZ($A$1,$B45,BF$1,$B$1)</f>
        <v>6.48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37.9</v>
      </c>
      <c r="D48" s="55">
        <f>_xll.EQNXTDZ($A$1,$B48,D$5)</f>
        <v>58.95</v>
      </c>
      <c r="E48" s="55">
        <f>_xll.EQNXTDZ($A$1,$B48,E$5)</f>
        <v>54.1</v>
      </c>
      <c r="F48" s="55">
        <f>_xll.EQNXTDZ($A$1,$B48,F$5)</f>
        <v>35.200000000000003</v>
      </c>
      <c r="G48" s="55">
        <f>_xll.EQNXTDZ($A$1,$B48,G$5)</f>
        <v>33.450000000000003</v>
      </c>
      <c r="H48" s="55">
        <f>_xll.EQNXTDZ($A$1,$B48,H$5)</f>
        <v>32.15</v>
      </c>
      <c r="I48" s="55">
        <f>_xll.EQNXTDZ($A$1,$B48,I$5)</f>
        <v>49.8</v>
      </c>
      <c r="J48" s="55">
        <f>_xll.EQNXTDZ($A$1,$B48,J$5)</f>
        <v>39.950000000000003</v>
      </c>
      <c r="K48" s="55">
        <f>_xll.EQNXTDZ($A$1,$B48,K$5)</f>
        <v>60.9</v>
      </c>
      <c r="L48" s="55">
        <f>_xll.EQNXTDZ($A$1,$B48,L$5)</f>
        <v>78.55</v>
      </c>
      <c r="M48" s="55">
        <f>_xll.EQNXTDZ($A$1,$B48,M$5)</f>
        <v>70.75</v>
      </c>
      <c r="N48" s="55">
        <f>_xll.EQNXTDZ($A$1,$B48,N$5)</f>
        <v>81.05</v>
      </c>
      <c r="O48" s="55">
        <f>_xll.EQNXTDZ($A$1,$B48,O$5)</f>
        <v>115.1</v>
      </c>
      <c r="P48" s="55">
        <f>_xll.EQNXTDZ($A$1,$B48,P$5)</f>
        <v>125.8</v>
      </c>
      <c r="Q48" s="55">
        <f>_xll.EQNXTDZ($A$1,$B48,Q$5)</f>
        <v>164.6</v>
      </c>
      <c r="R48" s="55">
        <f>_xll.EQNXTDZ($A$1,$B48,R$5)</f>
        <v>178.5</v>
      </c>
      <c r="S48" s="55">
        <f>_xll.EQNXTDZ($A$1,$B48,S$5)</f>
        <v>277.89999999999998</v>
      </c>
      <c r="T48" s="55">
        <f>_xll.EQNXTDZ($A$1,$B48,T$5)</f>
        <v>295.89999999999998</v>
      </c>
      <c r="U48" s="55">
        <f>_xll.EQNXTDZ($A$1,$B48,U$5)</f>
        <v>320.10000000000002</v>
      </c>
      <c r="V48" s="55">
        <f>_xll.EQNXTDZ($A$1,$B48,V$5)</f>
        <v>379.6</v>
      </c>
      <c r="W48" s="55">
        <f>_xll.EQNXTDZ($A$1,$B48,W$5)</f>
        <v>336.3</v>
      </c>
      <c r="X48" s="55">
        <f>_xll.EQNXTDZ($A$1,$B48,X$5)</f>
        <v>337.05</v>
      </c>
      <c r="Y48" s="55">
        <f>_xll.EQNXTDZ($A$1,$B48,Y$5)</f>
        <v>636.04999999999995</v>
      </c>
      <c r="Z48" s="55">
        <f>_xll.EQNXTDZ($A$1,$B48,Z$5)</f>
        <v>562.75</v>
      </c>
      <c r="AA48" s="55">
        <f>_xll.EQNXTDZ($A$1,$B48,AA$5)</f>
        <v>549.04999999999995</v>
      </c>
      <c r="AB48" s="55">
        <f>_xll.EQNXTDZ($A$1,$B48,AB$5)</f>
        <v>469.5</v>
      </c>
      <c r="AC48" s="55">
        <f>_xll.EQNXTDZ($A$1,$B48,AC$5)</f>
        <v>459.35</v>
      </c>
      <c r="AD48" s="55">
        <f>_xll.EQNXTDZ($A$1,$B48,AD$5)</f>
        <v>489.1</v>
      </c>
      <c r="AE48" s="55">
        <f>_xll.EQNXTDZ($A$1,$B48,AE$5)</f>
        <v>377.8</v>
      </c>
      <c r="AF48" s="55">
        <f>_xll.EQNXTDZ($A$1,$B48,AF$5)</f>
        <v>332.95</v>
      </c>
      <c r="AG48" s="55">
        <f>_xll.EQNXTDZ($A$1,$B48,AG$5)</f>
        <v>398.2</v>
      </c>
      <c r="AH48" s="55">
        <f>_xll.EQNXTDZ($A$1,$B48,AH$5)</f>
        <v>250.95</v>
      </c>
      <c r="AI48" s="55">
        <f>_xll.EQNXTDZ($A$1,$B48,AI$5)</f>
        <v>493.65</v>
      </c>
      <c r="AJ48" s="55">
        <f>_xll.EQNXTDZ($A$1,$B48,AJ$5)</f>
        <v>807.9</v>
      </c>
      <c r="AK48" s="55">
        <f>_xll.EQNXTDZ($A$1,$B48,AK$5)</f>
        <v>925.45</v>
      </c>
      <c r="AL48" s="55">
        <f>_xll.EQNXTDZ($A$1,$B48,AL$5)</f>
        <v>1762.85</v>
      </c>
      <c r="AM48" s="55">
        <f>_xll.EQNXTDZ($A$1,$B48,AM$5)</f>
        <v>2666.85</v>
      </c>
      <c r="AN48" s="55">
        <f>_xll.EQNXTDZ($A$1,$B48,AN$5)</f>
        <v>4516.1000000000004</v>
      </c>
      <c r="AO48" s="55">
        <f>_xll.EQNXTDZ($A$1,$B48,AO$5)</f>
        <v>3419.2</v>
      </c>
      <c r="AP48" s="55">
        <f>_xll.EQNXTDZ($A$1,$B48,AP$5)</f>
        <v>2902.15</v>
      </c>
      <c r="AQ48" s="55">
        <f>_xll.EQNXTDZ($A$1,$B48,AQ$5)</f>
        <v>2862.95</v>
      </c>
      <c r="AR48" s="55">
        <f>_xll.EQNXTDZ($A$1,$B48,AR$5)</f>
        <v>3171.05</v>
      </c>
      <c r="AS48" s="55">
        <f>_xll.EQNXTDZ($A$1,$B48,AS$5)</f>
        <v>2707.25</v>
      </c>
      <c r="AT48" s="55">
        <f>_xll.EQNXTDZ($A$1,$B48,AT$5)</f>
        <v>1942.65</v>
      </c>
      <c r="AU48" s="55">
        <f>_xll.EQNXTDZ($A$1,$B48,AU$5)</f>
        <v>2316.25</v>
      </c>
      <c r="AV48" s="55">
        <f>_xll.EQNXTDZ($A$1,$B48,AV$5)</f>
        <v>2173.0500000000002</v>
      </c>
      <c r="AW48" s="55">
        <f>_xll.EQNXTDZ($A$1,$B48,AW$5)</f>
        <v>2668.4</v>
      </c>
      <c r="AX48" s="55">
        <f>_xll.EQNXTDZ($A$1,$B48,AX$5)</f>
        <v>2043.9</v>
      </c>
      <c r="AY48" s="55">
        <f>_xll.EQNXTDZ($A$1,$B48,AY$5)</f>
        <v>2290.65</v>
      </c>
      <c r="AZ48" s="55">
        <f>_xll.EQNXTDZ($A$1,$B48,AZ$5)</f>
        <v>2283</v>
      </c>
      <c r="BA48" s="55">
        <f>_xll.EQNXTDZ($A$1,$B48,BA$5)</f>
        <v>1788</v>
      </c>
      <c r="BB48" s="55">
        <f>_xll.EQNXTDZ($A$1,$B48,BB$5)</f>
        <v>1207.25</v>
      </c>
      <c r="BC48" s="55">
        <f>_xll.EQNXTDZ($A$1,$B48,BC$5)</f>
        <v>1845.4</v>
      </c>
      <c r="BD48" s="55">
        <f>_xll.EQNXTDZ($A$1,$B48,BD$5)</f>
        <v>1391.35</v>
      </c>
      <c r="BE48" s="55">
        <f>_xll.EQNXTDZ($A$1,$B48,BE$5)</f>
        <v>1118.5999999999999</v>
      </c>
      <c r="BF48" s="55">
        <f>_xll.EQNXTDZ($A$1,$B48,BF$5)</f>
        <v>977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53.87</v>
      </c>
      <c r="D49" s="55">
        <f>_xll.EQNXTDZ($A$1,$B49,D$5)</f>
        <v>53.87</v>
      </c>
      <c r="E49" s="55">
        <f>_xll.EQNXTDZ($A$1,$B49,E$5)</f>
        <v>53.87</v>
      </c>
      <c r="F49" s="55">
        <f>_xll.EQNXTDZ($A$1,$B49,F$5)</f>
        <v>53.93</v>
      </c>
      <c r="G49" s="55">
        <f>_xll.EQNXTDZ($A$1,$B49,G$5)</f>
        <v>53.99</v>
      </c>
      <c r="H49" s="55">
        <f>_xll.EQNXTDZ($A$1,$B49,H$5)</f>
        <v>54.24</v>
      </c>
      <c r="I49" s="55">
        <f>_xll.EQNXTDZ($A$1,$B49,I$5)</f>
        <v>54.34</v>
      </c>
      <c r="J49" s="55">
        <f>_xll.EQNXTDZ($A$1,$B49,J$5)</f>
        <v>54.34</v>
      </c>
      <c r="K49" s="55">
        <f>_xll.EQNXTDZ($A$1,$B49,K$5)</f>
        <v>54.34</v>
      </c>
      <c r="L49" s="55">
        <f>_xll.EQNXTDZ($A$1,$B49,L$5)</f>
        <v>54.34</v>
      </c>
      <c r="M49" s="55">
        <f>_xll.EQNXTDZ($A$1,$B49,M$5)</f>
        <v>54.34</v>
      </c>
      <c r="N49" s="55">
        <f>_xll.EQNXTDZ($A$1,$B49,N$5)</f>
        <v>54.39</v>
      </c>
      <c r="O49" s="55">
        <f>_xll.EQNXTDZ($A$1,$B49,O$5)</f>
        <v>54.4</v>
      </c>
      <c r="P49" s="55">
        <f>_xll.EQNXTDZ($A$1,$B49,P$5)</f>
        <v>54.4</v>
      </c>
      <c r="Q49" s="55">
        <f>_xll.EQNXTDZ($A$1,$B49,Q$5)</f>
        <v>54.4</v>
      </c>
      <c r="R49" s="55">
        <f>_xll.EQNXTDZ($A$1,$B49,R$5)</f>
        <v>54.42</v>
      </c>
      <c r="S49" s="55">
        <f>_xll.EQNXTDZ($A$1,$B49,S$5)</f>
        <v>54.42</v>
      </c>
      <c r="T49" s="55">
        <f>_xll.EQNXTDZ($A$1,$B49,T$5)</f>
        <v>54.42</v>
      </c>
      <c r="U49" s="55">
        <f>_xll.EQNXTDZ($A$1,$B49,U$5)</f>
        <v>54.46</v>
      </c>
      <c r="V49" s="55">
        <f>_xll.EQNXTDZ($A$1,$B49,V$5)</f>
        <v>54.46</v>
      </c>
      <c r="W49" s="55">
        <f>_xll.EQNXTDZ($A$1,$B49,W$5)</f>
        <v>54.5</v>
      </c>
      <c r="X49" s="55">
        <f>_xll.EQNXTDZ($A$1,$B49,X$5)</f>
        <v>54.55</v>
      </c>
      <c r="Y49" s="55">
        <f>_xll.EQNXTDZ($A$1,$B49,Y$5)</f>
        <v>54.49</v>
      </c>
      <c r="Z49" s="55">
        <f>_xll.EQNXTDZ($A$1,$B49,Z$5)</f>
        <v>54.55</v>
      </c>
      <c r="AA49" s="55">
        <f>_xll.EQNXTDZ($A$1,$B49,AA$5)</f>
        <v>54.57</v>
      </c>
      <c r="AB49" s="55">
        <f>_xll.EQNXTDZ($A$1,$B49,AB$5)</f>
        <v>54.59</v>
      </c>
      <c r="AC49" s="55">
        <f>_xll.EQNXTDZ($A$1,$B49,AC$5)</f>
        <v>53.34</v>
      </c>
      <c r="AD49" s="55">
        <f>_xll.EQNXTDZ($A$1,$B49,AD$5)</f>
        <v>53.38</v>
      </c>
      <c r="AE49" s="55">
        <f>_xll.EQNXTDZ($A$1,$B49,AE$5)</f>
        <v>53.46</v>
      </c>
      <c r="AF49" s="55">
        <f>_xll.EQNXTDZ($A$1,$B49,AF$5)</f>
        <v>53.61</v>
      </c>
      <c r="AG49" s="55">
        <f>_xll.EQNXTDZ($A$1,$B49,AG$5)</f>
        <v>53.64</v>
      </c>
      <c r="AH49" s="55">
        <f>_xll.EQNXTDZ($A$1,$B49,AH$5)</f>
        <v>53.67</v>
      </c>
      <c r="AI49" s="55">
        <f>_xll.EQNXTDZ($A$1,$B49,AI$5)</f>
        <v>53.7</v>
      </c>
      <c r="AJ49" s="55">
        <f>_xll.EQNXTDZ($A$1,$B49,AJ$5)</f>
        <v>53.7</v>
      </c>
      <c r="AK49" s="55">
        <f>_xll.EQNXTDZ($A$1,$B49,AK$5)</f>
        <v>53.7</v>
      </c>
      <c r="AL49" s="55">
        <f>_xll.EQNXTDZ($A$1,$B49,AL$5)</f>
        <v>53.7</v>
      </c>
      <c r="AM49" s="55">
        <f>_xll.EQNXTDZ($A$1,$B49,AM$5)</f>
        <v>53.67</v>
      </c>
      <c r="AN49" s="55">
        <f>_xll.EQNXTDZ($A$1,$B49,AN$5)</f>
        <v>53.7</v>
      </c>
      <c r="AO49" s="55">
        <f>_xll.EQNXTDZ($A$1,$B49,AO$5)</f>
        <v>53.7</v>
      </c>
      <c r="AP49" s="55">
        <f>_xll.EQNXTDZ($A$1,$B49,AP$5)</f>
        <v>53.7</v>
      </c>
      <c r="AQ49" s="55">
        <f>_xll.EQNXTDZ($A$1,$B49,AQ$5)</f>
        <v>53.7</v>
      </c>
      <c r="AR49" s="55">
        <f>_xll.EQNXTDZ($A$1,$B49,AR$5)</f>
        <v>53.7</v>
      </c>
      <c r="AS49" s="55">
        <f>_xll.EQNXTDZ($A$1,$B49,AS$5)</f>
        <v>53.7</v>
      </c>
      <c r="AT49" s="55">
        <f>_xll.EQNXTDZ($A$1,$B49,AT$5)</f>
        <v>53.7</v>
      </c>
      <c r="AU49" s="55">
        <f>_xll.EQNXTDZ($A$1,$B49,AU$5)</f>
        <v>53.7</v>
      </c>
      <c r="AV49" s="55">
        <f>_xll.EQNXTDZ($A$1,$B49,AV$5)</f>
        <v>53.7</v>
      </c>
      <c r="AW49" s="55">
        <f>_xll.EQNXTDZ($A$1,$B49,AW$5)</f>
        <v>53.7</v>
      </c>
      <c r="AX49" s="55">
        <f>_xll.EQNXTDZ($A$1,$B49,AX$5)</f>
        <v>53.7</v>
      </c>
      <c r="AY49" s="55">
        <f>_xll.EQNXTDZ($A$1,$B49,AY$5)</f>
        <v>53.7</v>
      </c>
      <c r="AZ49" s="55">
        <f>_xll.EQNXTDZ($A$1,$B49,AZ$5)</f>
        <v>53.7</v>
      </c>
      <c r="BA49" s="55">
        <f>_xll.EQNXTDZ($A$1,$B49,BA$5)</f>
        <v>53.7</v>
      </c>
      <c r="BB49" s="55">
        <f>_xll.EQNXTDZ($A$1,$B49,BB$5)</f>
        <v>54.62</v>
      </c>
      <c r="BC49" s="55">
        <f>_xll.EQNXTDZ($A$1,$B49,BC$5)</f>
        <v>54.59</v>
      </c>
      <c r="BD49" s="55">
        <f>_xll.EQNXTDZ($A$1,$B49,BD$5)</f>
        <v>54.59</v>
      </c>
      <c r="BE49" s="55">
        <f>_xll.EQNXTDZ($A$1,$B49,BE$5)</f>
        <v>54.59</v>
      </c>
      <c r="BF49" s="55">
        <f>_xll.EQNXTDZ($A$1,$B49,BF$5)</f>
        <v>54.59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38.57</v>
      </c>
      <c r="D50" s="55">
        <f>_xll.EQNXTDZ($A$1,$B50,D$5)</f>
        <v>38.57</v>
      </c>
      <c r="E50" s="55">
        <f>_xll.EQNXTDZ($A$1,$B50,E$5)</f>
        <v>38.57</v>
      </c>
      <c r="F50" s="55">
        <f>_xll.EQNXTDZ($A$1,$B50,F$5)</f>
        <v>38.53</v>
      </c>
      <c r="G50" s="55">
        <f>_xll.EQNXTDZ($A$1,$B50,G$5)</f>
        <v>38.479999999999997</v>
      </c>
      <c r="H50" s="55">
        <f>_xll.EQNXTDZ($A$1,$B50,H$5)</f>
        <v>38.299999999999997</v>
      </c>
      <c r="I50" s="55">
        <f>_xll.EQNXTDZ($A$1,$B50,I$5)</f>
        <v>38.24</v>
      </c>
      <c r="J50" s="55">
        <f>_xll.EQNXTDZ($A$1,$B50,J$5)</f>
        <v>38.24</v>
      </c>
      <c r="K50" s="55">
        <f>_xll.EQNXTDZ($A$1,$B50,K$5)</f>
        <v>38.24</v>
      </c>
      <c r="L50" s="55">
        <f>_xll.EQNXTDZ($A$1,$B50,L$5)</f>
        <v>38.24</v>
      </c>
      <c r="M50" s="55">
        <f>_xll.EQNXTDZ($A$1,$B50,M$5)</f>
        <v>38.24</v>
      </c>
      <c r="N50" s="55">
        <f>_xll.EQNXTDZ($A$1,$B50,N$5)</f>
        <v>38.200000000000003</v>
      </c>
      <c r="O50" s="55">
        <f>_xll.EQNXTDZ($A$1,$B50,O$5)</f>
        <v>38.19</v>
      </c>
      <c r="P50" s="55">
        <f>_xll.EQNXTDZ($A$1,$B50,P$5)</f>
        <v>36.49</v>
      </c>
      <c r="Q50" s="55">
        <f>_xll.EQNXTDZ($A$1,$B50,Q$5)</f>
        <v>36.49</v>
      </c>
      <c r="R50" s="55">
        <f>_xll.EQNXTDZ($A$1,$B50,R$5)</f>
        <v>25.8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1.93</v>
      </c>
      <c r="W50" s="55">
        <f>_xll.EQNXTDZ($A$1,$B50,W$5)</f>
        <v>1.93</v>
      </c>
      <c r="X50" s="55">
        <f>_xll.EQNXTDZ($A$1,$B50,X$5)</f>
        <v>1.92</v>
      </c>
      <c r="Y50" s="55">
        <f>_xll.EQNXTDZ($A$1,$B50,Y$5)</f>
        <v>1.92</v>
      </c>
      <c r="Z50" s="55">
        <f>_xll.EQNXTDZ($A$1,$B50,Z$5)</f>
        <v>1.92</v>
      </c>
      <c r="AA50" s="55">
        <f>_xll.EQNXTDZ($A$1,$B50,AA$5)</f>
        <v>1.92</v>
      </c>
      <c r="AB50" s="55">
        <f>_xll.EQNXTDZ($A$1,$B50,AB$5)</f>
        <v>1.92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17.670000000000002</v>
      </c>
      <c r="BF50" s="55">
        <f>_xll.EQNXTDZ($A$1,$B50,BF$5)</f>
        <v>17.670000000000002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6.48</v>
      </c>
      <c r="E56" s="55">
        <f>_xll.EQNXTDZ($A$1,$B56,E$5,$B$1)</f>
        <v>0</v>
      </c>
      <c r="F56" s="55">
        <f>_xll.EQNXTDZ($A$1,$B56,F$5,$B$1)</f>
        <v>6.48</v>
      </c>
      <c r="G56" s="55">
        <f>_xll.EQNXTDZ($A$1,$B56,G$5,$B$1)</f>
        <v>0</v>
      </c>
      <c r="H56" s="55">
        <f>_xll.EQNXTDZ($A$1,$B56,H$5,$B$1)</f>
        <v>6.48</v>
      </c>
      <c r="I56" s="55">
        <f>_xll.EQNXTDZ($A$1,$B56,I$5,$B$1)</f>
        <v>0</v>
      </c>
      <c r="J56" s="55">
        <f>_xll.EQNXTDZ($A$1,$B56,J$5,$B$1)</f>
        <v>6.48</v>
      </c>
      <c r="K56" s="55">
        <f>_xll.EQNXTDZ($A$1,$B56,K$5,$B$1)</f>
        <v>0</v>
      </c>
      <c r="L56" s="55">
        <f>_xll.EQNXTDZ($A$1,$B56,L$5,$B$1)</f>
        <v>6.48</v>
      </c>
      <c r="M56" s="55">
        <f>_xll.EQNXTDZ($A$1,$B56,M$5,$B$1)</f>
        <v>0</v>
      </c>
      <c r="N56" s="55">
        <f>_xll.EQNXTDZ($A$1,$B56,N$5,$B$1)</f>
        <v>6.48</v>
      </c>
      <c r="O56" s="55">
        <f>_xll.EQNXTDZ($A$1,$B56,O$5,$B$1)</f>
        <v>0</v>
      </c>
      <c r="P56" s="55">
        <f>_xll.EQNXTDZ($A$1,$B56,P$5,$B$1)</f>
        <v>6.48</v>
      </c>
      <c r="Q56" s="55">
        <f>_xll.EQNXTDZ($A$1,$B56,Q$5,$B$1)</f>
        <v>0</v>
      </c>
      <c r="R56" s="55">
        <f>_xll.EQNXTDZ($A$1,$B56,R$5,$B$1)</f>
        <v>6.48</v>
      </c>
      <c r="S56" s="55">
        <f>_xll.EQNXTDZ($A$1,$B56,S$5,$B$1)</f>
        <v>0</v>
      </c>
      <c r="T56" s="55">
        <f>_xll.EQNXTDZ($A$1,$B56,T$5,$B$1)</f>
        <v>6.48</v>
      </c>
      <c r="U56" s="55">
        <f>_xll.EQNXTDZ($A$1,$B56,U$5,$B$1)</f>
        <v>0</v>
      </c>
      <c r="V56" s="55">
        <f>_xll.EQNXTDZ($A$1,$B56,V$5,$B$1)</f>
        <v>6.48</v>
      </c>
      <c r="W56" s="55">
        <f>_xll.EQNXTDZ($A$1,$B56,W$5,$B$1)</f>
        <v>0</v>
      </c>
      <c r="X56" s="55">
        <f>_xll.EQNXTDZ($A$1,$B56,X$5,$B$1)</f>
        <v>6.48</v>
      </c>
      <c r="Y56" s="55">
        <f>_xll.EQNXTDZ($A$1,$B56,Y$5,$B$1)</f>
        <v>0</v>
      </c>
      <c r="Z56" s="55">
        <f>_xll.EQNXTDZ($A$1,$B56,Z$5,$B$1)</f>
        <v>6.48</v>
      </c>
      <c r="AA56" s="55">
        <f>_xll.EQNXTDZ($A$1,$B56,AA$5,$B$1)</f>
        <v>0</v>
      </c>
      <c r="AB56" s="55">
        <f>_xll.EQNXTDZ($A$1,$B56,AB$5,$B$1)</f>
        <v>6.48</v>
      </c>
      <c r="AC56" s="55">
        <f>_xll.EQNXTDZ($A$1,$B56,AC$5,$B$1)</f>
        <v>0</v>
      </c>
      <c r="AD56" s="55">
        <f>_xll.EQNXTDZ($A$1,$B56,AD$5,$B$1)</f>
        <v>6.48</v>
      </c>
      <c r="AE56" s="55">
        <f>_xll.EQNXTDZ($A$1,$B56,AE$5,$B$1)</f>
        <v>0</v>
      </c>
      <c r="AF56" s="55">
        <f>_xll.EQNXTDZ($A$1,$B56,AF$5,$B$1)</f>
        <v>6.48</v>
      </c>
      <c r="AG56" s="55">
        <f>_xll.EQNXTDZ($A$1,$B56,AG$5,$B$1)</f>
        <v>0</v>
      </c>
      <c r="AH56" s="55">
        <f>_xll.EQNXTDZ($A$1,$B56,AH$5,$B$1)</f>
        <v>6.48</v>
      </c>
      <c r="AI56" s="55">
        <f>_xll.EQNXTDZ($A$1,$B56,AI$5,$B$1)</f>
        <v>0</v>
      </c>
      <c r="AJ56" s="55">
        <f>_xll.EQNXTDZ($A$1,$B56,AJ$5,$B$1)</f>
        <v>6.48</v>
      </c>
      <c r="AK56" s="55">
        <f>_xll.EQNXTDZ($A$1,$B56,AK$5,$B$1)</f>
        <v>0</v>
      </c>
      <c r="AL56" s="55">
        <f>_xll.EQNXTDZ($A$1,$B56,AL$5,$B$1)</f>
        <v>6.48</v>
      </c>
      <c r="AM56" s="55">
        <f>_xll.EQNXTDZ($A$1,$B56,AM$5,$B$1)</f>
        <v>0</v>
      </c>
      <c r="AN56" s="55">
        <f>_xll.EQNXTDZ($A$1,$B56,AN$5,$B$1)</f>
        <v>6.48</v>
      </c>
      <c r="AO56" s="55">
        <f>_xll.EQNXTDZ($A$1,$B56,AO$5,$B$1)</f>
        <v>0</v>
      </c>
      <c r="AP56" s="55">
        <f>_xll.EQNXTDZ($A$1,$B56,AP$5,$B$1)</f>
        <v>6.48</v>
      </c>
      <c r="AQ56" s="55">
        <f>_xll.EQNXTDZ($A$1,$B56,AQ$5,$B$1)</f>
        <v>0</v>
      </c>
      <c r="AR56" s="55">
        <f>_xll.EQNXTDZ($A$1,$B56,AR$5,$B$1)</f>
        <v>6.48</v>
      </c>
      <c r="AS56" s="55">
        <f>_xll.EQNXTDZ($A$1,$B56,AS$5,$B$1)</f>
        <v>0</v>
      </c>
      <c r="AT56" s="55">
        <f>_xll.EQNXTDZ($A$1,$B56,AT$5,$B$1)</f>
        <v>6.48</v>
      </c>
      <c r="AU56" s="55">
        <f>_xll.EQNXTDZ($A$1,$B56,AU$5,$B$1)</f>
        <v>0</v>
      </c>
      <c r="AV56" s="55">
        <f>_xll.EQNXTDZ($A$1,$B56,AV$5,$B$1)</f>
        <v>6.48</v>
      </c>
      <c r="AW56" s="55">
        <f>_xll.EQNXTDZ($A$1,$B56,AW$5,$B$1)</f>
        <v>0</v>
      </c>
      <c r="AX56" s="55">
        <f>_xll.EQNXTDZ($A$1,$B56,AX$5,$B$1)</f>
        <v>6.48</v>
      </c>
      <c r="AY56" s="55">
        <f>_xll.EQNXTDZ($A$1,$B56,AY$5,$B$1)</f>
        <v>0</v>
      </c>
      <c r="AZ56" s="55">
        <f>_xll.EQNXTDZ($A$1,$B56,AZ$5,$B$1)</f>
        <v>6.48</v>
      </c>
      <c r="BA56" s="55">
        <f>_xll.EQNXTDZ($A$1,$B56,BA$5,$B$1)</f>
        <v>0</v>
      </c>
      <c r="BB56" s="55">
        <f>_xll.EQNXTDZ($A$1,$B56,BB$5,$B$1)</f>
        <v>6.48</v>
      </c>
      <c r="BC56" s="55">
        <f>_xll.EQNXTDZ($A$1,$B56,BC$5,$B$1)</f>
        <v>0</v>
      </c>
      <c r="BD56" s="55">
        <f>_xll.EQNXTDZ($A$1,$B56,BD$5,$B$1)</f>
        <v>6.48</v>
      </c>
      <c r="BE56" s="55">
        <f>_xll.EQNXTDZ($A$1,$B56,BE$5,$B$1)</f>
        <v>0</v>
      </c>
      <c r="BF56" s="55">
        <f>_xll.EQNXTDZ($A$1,$B56,BF$5,$B$1)</f>
        <v>6.48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157.97300000000001</v>
      </c>
      <c r="E58" s="55">
        <f>_xll.EQNXTDZ($A$1,$B58,E$5,$B$1)</f>
        <v>0</v>
      </c>
      <c r="F58" s="55">
        <f>_xll.EQNXTDZ($A$1,$B58,F$5,$B$1)</f>
        <v>166</v>
      </c>
      <c r="G58" s="55">
        <f>_xll.EQNXTDZ($A$1,$B58,G$5,$B$1)</f>
        <v>0</v>
      </c>
      <c r="H58" s="55">
        <f>_xll.EQNXTDZ($A$1,$B58,H$5,$B$1)</f>
        <v>186.22900000000001</v>
      </c>
      <c r="I58" s="55">
        <f>_xll.EQNXTDZ($A$1,$B58,I$5,$B$1)</f>
        <v>0</v>
      </c>
      <c r="J58" s="55">
        <f>_xll.EQNXTDZ($A$1,$B58,J$5,$B$1)</f>
        <v>195.76</v>
      </c>
      <c r="K58" s="55">
        <f>_xll.EQNXTDZ($A$1,$B58,K$5,$B$1)</f>
        <v>0</v>
      </c>
      <c r="L58" s="55">
        <f>_xll.EQNXTDZ($A$1,$B58,L$5,$B$1)</f>
        <v>215.14</v>
      </c>
      <c r="M58" s="55">
        <f>_xll.EQNXTDZ($A$1,$B58,M$5,$B$1)</f>
        <v>0</v>
      </c>
      <c r="N58" s="55">
        <f>_xll.EQNXTDZ($A$1,$B58,N$5,$B$1)</f>
        <v>221.43299999999999</v>
      </c>
      <c r="O58" s="55">
        <f>_xll.EQNXTDZ($A$1,$B58,O$5,$B$1)</f>
        <v>0</v>
      </c>
      <c r="P58" s="55">
        <f>_xll.EQNXTDZ($A$1,$B58,P$5,$B$1)</f>
        <v>255.874</v>
      </c>
      <c r="Q58" s="55">
        <f>_xll.EQNXTDZ($A$1,$B58,Q$5,$B$1)</f>
        <v>0</v>
      </c>
      <c r="R58" s="55">
        <f>_xll.EQNXTDZ($A$1,$B58,R$5,$B$1)</f>
        <v>273.72800000000001</v>
      </c>
      <c r="S58" s="55">
        <f>_xll.EQNXTDZ($A$1,$B58,S$5,$B$1)</f>
        <v>0</v>
      </c>
      <c r="T58" s="55">
        <f>_xll.EQNXTDZ($A$1,$B58,T$5,$B$1)</f>
        <v>333.28399999999999</v>
      </c>
      <c r="U58" s="55">
        <f>_xll.EQNXTDZ($A$1,$B58,U$5,$B$1)</f>
        <v>0</v>
      </c>
      <c r="V58" s="55">
        <f>_xll.EQNXTDZ($A$1,$B58,V$5,$B$1)</f>
        <v>355.98200000000003</v>
      </c>
      <c r="W58" s="55">
        <f>_xll.EQNXTDZ($A$1,$B58,W$5,$B$1)</f>
        <v>0</v>
      </c>
      <c r="X58" s="55">
        <f>_xll.EQNXTDZ($A$1,$B58,X$5,$B$1)</f>
        <v>414.12299999999999</v>
      </c>
      <c r="Y58" s="55">
        <f>_xll.EQNXTDZ($A$1,$B58,Y$5,$B$1)</f>
        <v>0</v>
      </c>
      <c r="Z58" s="55">
        <f>_xll.EQNXTDZ($A$1,$B58,Z$5,$B$1)</f>
        <v>460.80099999999999</v>
      </c>
      <c r="AA58" s="55">
        <f>_xll.EQNXTDZ($A$1,$B58,AA$5,$B$1)</f>
        <v>0</v>
      </c>
      <c r="AB58" s="55">
        <f>_xll.EQNXTDZ($A$1,$B58,AB$5,$B$1)</f>
        <v>515.24800000000005</v>
      </c>
      <c r="AC58" s="55">
        <f>_xll.EQNXTDZ($A$1,$B58,AC$5,$B$1)</f>
        <v>0</v>
      </c>
      <c r="AD58" s="55">
        <f>_xll.EQNXTDZ($A$1,$B58,AD$5,$B$1)</f>
        <v>567.97699999999998</v>
      </c>
      <c r="AE58" s="55">
        <f>_xll.EQNXTDZ($A$1,$B58,AE$5,$B$1)</f>
        <v>0</v>
      </c>
      <c r="AF58" s="55">
        <f>_xll.EQNXTDZ($A$1,$B58,AF$5,$B$1)</f>
        <v>607.59400000000005</v>
      </c>
      <c r="AG58" s="55">
        <f>_xll.EQNXTDZ($A$1,$B58,AG$5,$B$1)</f>
        <v>0</v>
      </c>
      <c r="AH58" s="55">
        <f>_xll.EQNXTDZ($A$1,$B58,AH$5,$B$1)</f>
        <v>651.66099999999994</v>
      </c>
      <c r="AI58" s="55">
        <f>_xll.EQNXTDZ($A$1,$B58,AI$5,$B$1)</f>
        <v>0</v>
      </c>
      <c r="AJ58" s="55">
        <f>_xll.EQNXTDZ($A$1,$B58,AJ$5,$B$1)</f>
        <v>728.91899999999998</v>
      </c>
      <c r="AK58" s="55">
        <f>_xll.EQNXTDZ($A$1,$B58,AK$5,$B$1)</f>
        <v>0</v>
      </c>
      <c r="AL58" s="55">
        <f>_xll.EQNXTDZ($A$1,$B58,AL$5,$B$1)</f>
        <v>887.91</v>
      </c>
      <c r="AM58" s="55">
        <f>_xll.EQNXTDZ($A$1,$B58,AM$5,$B$1)</f>
        <v>0</v>
      </c>
      <c r="AN58" s="55">
        <f>_xll.EQNXTDZ($A$1,$B58,AN$5,$B$1)</f>
        <v>1045.086</v>
      </c>
      <c r="AO58" s="55">
        <f>_xll.EQNXTDZ($A$1,$B58,AO$5,$B$1)</f>
        <v>0</v>
      </c>
      <c r="AP58" s="55">
        <f>_xll.EQNXTDZ($A$1,$B58,AP$5,$B$1)</f>
        <v>1243.3679999999999</v>
      </c>
      <c r="AQ58" s="55">
        <f>_xll.EQNXTDZ($A$1,$B58,AQ$5,$B$1)</f>
        <v>0</v>
      </c>
      <c r="AR58" s="55">
        <f>_xll.EQNXTDZ($A$1,$B58,AR$5,$B$1)</f>
        <v>1437.9770000000001</v>
      </c>
      <c r="AS58" s="55">
        <f>_xll.EQNXTDZ($A$1,$B58,AS$5,$B$1)</f>
        <v>0</v>
      </c>
      <c r="AT58" s="55">
        <f>_xll.EQNXTDZ($A$1,$B58,AT$5,$B$1)</f>
        <v>1547.7539999999999</v>
      </c>
      <c r="AU58" s="55">
        <f>_xll.EQNXTDZ($A$1,$B58,AU$5,$B$1)</f>
        <v>0</v>
      </c>
      <c r="AV58" s="55">
        <f>_xll.EQNXTDZ($A$1,$B58,AV$5,$B$1)</f>
        <v>1602.018</v>
      </c>
      <c r="AW58" s="55">
        <f>_xll.EQNXTDZ($A$1,$B58,AW$5,$B$1)</f>
        <v>0</v>
      </c>
      <c r="AX58" s="55">
        <f>_xll.EQNXTDZ($A$1,$B58,AX$5,$B$1)</f>
        <v>1715.3779999999999</v>
      </c>
      <c r="AY58" s="55">
        <f>_xll.EQNXTDZ($A$1,$B58,AY$5,$B$1)</f>
        <v>0</v>
      </c>
      <c r="AZ58" s="55">
        <f>_xll.EQNXTDZ($A$1,$B58,AZ$5,$B$1)</f>
        <v>1764.002</v>
      </c>
      <c r="BA58" s="55">
        <f>_xll.EQNXTDZ($A$1,$B58,BA$5,$B$1)</f>
        <v>0</v>
      </c>
      <c r="BB58" s="55">
        <f>_xll.EQNXTDZ($A$1,$B58,BB$5,$B$1)</f>
        <v>1838.578</v>
      </c>
      <c r="BC58" s="55">
        <f>_xll.EQNXTDZ($A$1,$B58,BC$5,$B$1)</f>
        <v>0</v>
      </c>
      <c r="BD58" s="55">
        <f>_xll.EQNXTDZ($A$1,$B58,BD$5,$B$1)</f>
        <v>1875.4939999999999</v>
      </c>
      <c r="BE58" s="55">
        <f>_xll.EQNXTDZ($A$1,$B58,BE$5,$B$1)</f>
        <v>0</v>
      </c>
      <c r="BF58" s="55">
        <f>_xll.EQNXTDZ($A$1,$B58,BF$5,$B$1)</f>
        <v>1969.9760000000001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164.453</v>
      </c>
      <c r="E59" s="55">
        <f>_xll.EQNXTDZ($A$1,$B59,E$5,$B$1)</f>
        <v>0</v>
      </c>
      <c r="F59" s="55">
        <f>_xll.EQNXTDZ($A$1,$B59,F$5,$B$1)</f>
        <v>172.48</v>
      </c>
      <c r="G59" s="55">
        <f>_xll.EQNXTDZ($A$1,$B59,G$5,$B$1)</f>
        <v>0</v>
      </c>
      <c r="H59" s="55">
        <f>_xll.EQNXTDZ($A$1,$B59,H$5,$B$1)</f>
        <v>192.709</v>
      </c>
      <c r="I59" s="55">
        <f>_xll.EQNXTDZ($A$1,$B59,I$5,$B$1)</f>
        <v>0</v>
      </c>
      <c r="J59" s="55">
        <f>_xll.EQNXTDZ($A$1,$B59,J$5,$B$1)</f>
        <v>202.24</v>
      </c>
      <c r="K59" s="55">
        <f>_xll.EQNXTDZ($A$1,$B59,K$5,$B$1)</f>
        <v>0</v>
      </c>
      <c r="L59" s="55">
        <f>_xll.EQNXTDZ($A$1,$B59,L$5,$B$1)</f>
        <v>221.62</v>
      </c>
      <c r="M59" s="55">
        <f>_xll.EQNXTDZ($A$1,$B59,M$5,$B$1)</f>
        <v>0</v>
      </c>
      <c r="N59" s="55">
        <f>_xll.EQNXTDZ($A$1,$B59,N$5,$B$1)</f>
        <v>227.91300000000001</v>
      </c>
      <c r="O59" s="55">
        <f>_xll.EQNXTDZ($A$1,$B59,O$5,$B$1)</f>
        <v>0</v>
      </c>
      <c r="P59" s="55">
        <f>_xll.EQNXTDZ($A$1,$B59,P$5,$B$1)</f>
        <v>262.35399999999998</v>
      </c>
      <c r="Q59" s="55">
        <f>_xll.EQNXTDZ($A$1,$B59,Q$5,$B$1)</f>
        <v>0</v>
      </c>
      <c r="R59" s="55">
        <f>_xll.EQNXTDZ($A$1,$B59,R$5,$B$1)</f>
        <v>280.20800000000003</v>
      </c>
      <c r="S59" s="55">
        <f>_xll.EQNXTDZ($A$1,$B59,S$5,$B$1)</f>
        <v>0</v>
      </c>
      <c r="T59" s="55">
        <f>_xll.EQNXTDZ($A$1,$B59,T$5,$B$1)</f>
        <v>339.76400000000001</v>
      </c>
      <c r="U59" s="55">
        <f>_xll.EQNXTDZ($A$1,$B59,U$5,$B$1)</f>
        <v>0</v>
      </c>
      <c r="V59" s="55">
        <f>_xll.EQNXTDZ($A$1,$B59,V$5,$B$1)</f>
        <v>362.46199999999999</v>
      </c>
      <c r="W59" s="55">
        <f>_xll.EQNXTDZ($A$1,$B59,W$5,$B$1)</f>
        <v>0</v>
      </c>
      <c r="X59" s="55">
        <f>_xll.EQNXTDZ($A$1,$B59,X$5,$B$1)</f>
        <v>420.60300000000001</v>
      </c>
      <c r="Y59" s="55">
        <f>_xll.EQNXTDZ($A$1,$B59,Y$5,$B$1)</f>
        <v>0</v>
      </c>
      <c r="Z59" s="55">
        <f>_xll.EQNXTDZ($A$1,$B59,Z$5,$B$1)</f>
        <v>467.28100000000001</v>
      </c>
      <c r="AA59" s="55">
        <f>_xll.EQNXTDZ($A$1,$B59,AA$5,$B$1)</f>
        <v>0</v>
      </c>
      <c r="AB59" s="55">
        <f>_xll.EQNXTDZ($A$1,$B59,AB$5,$B$1)</f>
        <v>521.72799999999995</v>
      </c>
      <c r="AC59" s="55">
        <f>_xll.EQNXTDZ($A$1,$B59,AC$5,$B$1)</f>
        <v>0</v>
      </c>
      <c r="AD59" s="55">
        <f>_xll.EQNXTDZ($A$1,$B59,AD$5,$B$1)</f>
        <v>574.45699999999999</v>
      </c>
      <c r="AE59" s="55">
        <f>_xll.EQNXTDZ($A$1,$B59,AE$5,$B$1)</f>
        <v>0</v>
      </c>
      <c r="AF59" s="55">
        <f>_xll.EQNXTDZ($A$1,$B59,AF$5,$B$1)</f>
        <v>614.07399999999996</v>
      </c>
      <c r="AG59" s="55">
        <f>_xll.EQNXTDZ($A$1,$B59,AG$5,$B$1)</f>
        <v>0</v>
      </c>
      <c r="AH59" s="55">
        <f>_xll.EQNXTDZ($A$1,$B59,AH$5,$B$1)</f>
        <v>658.14099999999996</v>
      </c>
      <c r="AI59" s="55">
        <f>_xll.EQNXTDZ($A$1,$B59,AI$5,$B$1)</f>
        <v>0</v>
      </c>
      <c r="AJ59" s="55">
        <f>_xll.EQNXTDZ($A$1,$B59,AJ$5,$B$1)</f>
        <v>735.399</v>
      </c>
      <c r="AK59" s="55">
        <f>_xll.EQNXTDZ($A$1,$B59,AK$5,$B$1)</f>
        <v>0</v>
      </c>
      <c r="AL59" s="55">
        <f>_xll.EQNXTDZ($A$1,$B59,AL$5,$B$1)</f>
        <v>894.39</v>
      </c>
      <c r="AM59" s="55">
        <f>_xll.EQNXTDZ($A$1,$B59,AM$5,$B$1)</f>
        <v>0</v>
      </c>
      <c r="AN59" s="55">
        <f>_xll.EQNXTDZ($A$1,$B59,AN$5,$B$1)</f>
        <v>1051.566</v>
      </c>
      <c r="AO59" s="55">
        <f>_xll.EQNXTDZ($A$1,$B59,AO$5,$B$1)</f>
        <v>0</v>
      </c>
      <c r="AP59" s="55">
        <f>_xll.EQNXTDZ($A$1,$B59,AP$5,$B$1)</f>
        <v>1249.848</v>
      </c>
      <c r="AQ59" s="55">
        <f>_xll.EQNXTDZ($A$1,$B59,AQ$5,$B$1)</f>
        <v>0</v>
      </c>
      <c r="AR59" s="55">
        <f>_xll.EQNXTDZ($A$1,$B59,AR$5,$B$1)</f>
        <v>1444.4570000000001</v>
      </c>
      <c r="AS59" s="55">
        <f>_xll.EQNXTDZ($A$1,$B59,AS$5,$B$1)</f>
        <v>0</v>
      </c>
      <c r="AT59" s="55">
        <f>_xll.EQNXTDZ($A$1,$B59,AT$5,$B$1)</f>
        <v>1554.2339999999999</v>
      </c>
      <c r="AU59" s="55">
        <f>_xll.EQNXTDZ($A$1,$B59,AU$5,$B$1)</f>
        <v>0</v>
      </c>
      <c r="AV59" s="55">
        <f>_xll.EQNXTDZ($A$1,$B59,AV$5,$B$1)</f>
        <v>1608.498</v>
      </c>
      <c r="AW59" s="55">
        <f>_xll.EQNXTDZ($A$1,$B59,AW$5,$B$1)</f>
        <v>0</v>
      </c>
      <c r="AX59" s="55">
        <f>_xll.EQNXTDZ($A$1,$B59,AX$5,$B$1)</f>
        <v>1721.8579999999999</v>
      </c>
      <c r="AY59" s="55">
        <f>_xll.EQNXTDZ($A$1,$B59,AY$5,$B$1)</f>
        <v>0</v>
      </c>
      <c r="AZ59" s="55">
        <f>_xll.EQNXTDZ($A$1,$B59,AZ$5,$B$1)</f>
        <v>1770.482</v>
      </c>
      <c r="BA59" s="55">
        <f>_xll.EQNXTDZ($A$1,$B59,BA$5,$B$1)</f>
        <v>0</v>
      </c>
      <c r="BB59" s="55">
        <f>_xll.EQNXTDZ($A$1,$B59,BB$5,$B$1)</f>
        <v>1845.058</v>
      </c>
      <c r="BC59" s="55">
        <f>_xll.EQNXTDZ($A$1,$B59,BC$5,$B$1)</f>
        <v>0</v>
      </c>
      <c r="BD59" s="55">
        <f>_xll.EQNXTDZ($A$1,$B59,BD$5,$B$1)</f>
        <v>1881.9739999999999</v>
      </c>
      <c r="BE59" s="55">
        <f>_xll.EQNXTDZ($A$1,$B59,BE$5,$B$1)</f>
        <v>0</v>
      </c>
      <c r="BF59" s="55">
        <f>_xll.EQNXTDZ($A$1,$B59,BF$5,$B$1)</f>
        <v>1976.4559999999999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1.9850000000000001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17.556000000000001</v>
      </c>
      <c r="AE60" s="55">
        <f>_xll.EQNXTDZ($A$1,$B60,AE$5,$B$1)</f>
        <v>0</v>
      </c>
      <c r="AF60" s="55">
        <f>_xll.EQNXTDZ($A$1,$B60,AF$5,$B$1)</f>
        <v>14.202999999999999</v>
      </c>
      <c r="AG60" s="55">
        <f>_xll.EQNXTDZ($A$1,$B60,AG$5,$B$1)</f>
        <v>0</v>
      </c>
      <c r="AH60" s="55">
        <f>_xll.EQNXTDZ($A$1,$B60,AH$5,$B$1)</f>
        <v>10.228</v>
      </c>
      <c r="AI60" s="55">
        <f>_xll.EQNXTDZ($A$1,$B60,AI$5,$B$1)</f>
        <v>0</v>
      </c>
      <c r="AJ60" s="55">
        <f>_xll.EQNXTDZ($A$1,$B60,AJ$5,$B$1)</f>
        <v>7.2889999999999997</v>
      </c>
      <c r="AK60" s="55">
        <f>_xll.EQNXTDZ($A$1,$B60,AK$5,$B$1)</f>
        <v>0</v>
      </c>
      <c r="AL60" s="55">
        <f>_xll.EQNXTDZ($A$1,$B60,AL$5,$B$1)</f>
        <v>15.531000000000001</v>
      </c>
      <c r="AM60" s="55">
        <f>_xll.EQNXTDZ($A$1,$B60,AM$5,$B$1)</f>
        <v>0</v>
      </c>
      <c r="AN60" s="55">
        <f>_xll.EQNXTDZ($A$1,$B60,AN$5,$B$1)</f>
        <v>30.856000000000002</v>
      </c>
      <c r="AO60" s="55">
        <f>_xll.EQNXTDZ($A$1,$B60,AO$5,$B$1)</f>
        <v>0</v>
      </c>
      <c r="AP60" s="55">
        <f>_xll.EQNXTDZ($A$1,$B60,AP$5,$B$1)</f>
        <v>65.013000000000005</v>
      </c>
      <c r="AQ60" s="55">
        <f>_xll.EQNXTDZ($A$1,$B60,AQ$5,$B$1)</f>
        <v>0</v>
      </c>
      <c r="AR60" s="55">
        <f>_xll.EQNXTDZ($A$1,$B60,AR$5,$B$1)</f>
        <v>114.935</v>
      </c>
      <c r="AS60" s="55">
        <f>_xll.EQNXTDZ($A$1,$B60,AS$5,$B$1)</f>
        <v>0</v>
      </c>
      <c r="AT60" s="55">
        <f>_xll.EQNXTDZ($A$1,$B60,AT$5,$B$1)</f>
        <v>143.92500000000001</v>
      </c>
      <c r="AU60" s="55">
        <f>_xll.EQNXTDZ($A$1,$B60,AU$5,$B$1)</f>
        <v>0</v>
      </c>
      <c r="AV60" s="55">
        <f>_xll.EQNXTDZ($A$1,$B60,AV$5,$B$1)</f>
        <v>160.703</v>
      </c>
      <c r="AW60" s="55">
        <f>_xll.EQNXTDZ($A$1,$B60,AW$5,$B$1)</f>
        <v>0</v>
      </c>
      <c r="AX60" s="55">
        <f>_xll.EQNXTDZ($A$1,$B60,AX$5,$B$1)</f>
        <v>171.38399999999999</v>
      </c>
      <c r="AY60" s="55">
        <f>_xll.EQNXTDZ($A$1,$B60,AY$5,$B$1)</f>
        <v>0</v>
      </c>
      <c r="AZ60" s="55">
        <f>_xll.EQNXTDZ($A$1,$B60,AZ$5,$B$1)</f>
        <v>174.124</v>
      </c>
      <c r="BA60" s="55">
        <f>_xll.EQNXTDZ($A$1,$B60,BA$5,$B$1)</f>
        <v>0</v>
      </c>
      <c r="BB60" s="55">
        <f>_xll.EQNXTDZ($A$1,$B60,BB$5,$B$1)</f>
        <v>173.315</v>
      </c>
      <c r="BC60" s="55">
        <f>_xll.EQNXTDZ($A$1,$B60,BC$5,$B$1)</f>
        <v>0</v>
      </c>
      <c r="BD60" s="55">
        <f>_xll.EQNXTDZ($A$1,$B60,BD$5,$B$1)</f>
        <v>174.387</v>
      </c>
      <c r="BE60" s="55">
        <f>_xll.EQNXTDZ($A$1,$B60,BE$5,$B$1)</f>
        <v>0</v>
      </c>
      <c r="BF60" s="55">
        <f>_xll.EQNXTDZ($A$1,$B60,BF$5,$B$1)</f>
        <v>175.26300000000001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99.498999999999995</v>
      </c>
      <c r="E61" s="55">
        <f>_xll.EQNXTDZ($A$1,$B61,E$5,$B$1)</f>
        <v>0</v>
      </c>
      <c r="F61" s="55">
        <f>_xll.EQNXTDZ($A$1,$B61,F$5,$B$1)</f>
        <v>103.73</v>
      </c>
      <c r="G61" s="55">
        <f>_xll.EQNXTDZ($A$1,$B61,G$5,$B$1)</f>
        <v>0</v>
      </c>
      <c r="H61" s="55">
        <f>_xll.EQNXTDZ($A$1,$B61,H$5,$B$1)</f>
        <v>101.011</v>
      </c>
      <c r="I61" s="55">
        <f>_xll.EQNXTDZ($A$1,$B61,I$5,$B$1)</f>
        <v>0</v>
      </c>
      <c r="J61" s="55">
        <f>_xll.EQNXTDZ($A$1,$B61,J$5,$B$1)</f>
        <v>85.95</v>
      </c>
      <c r="K61" s="55">
        <f>_xll.EQNXTDZ($A$1,$B61,K$5,$B$1)</f>
        <v>0</v>
      </c>
      <c r="L61" s="55">
        <f>_xll.EQNXTDZ($A$1,$B61,L$5,$B$1)</f>
        <v>75.67</v>
      </c>
      <c r="M61" s="55">
        <f>_xll.EQNXTDZ($A$1,$B61,M$5,$B$1)</f>
        <v>0</v>
      </c>
      <c r="N61" s="55">
        <f>_xll.EQNXTDZ($A$1,$B61,N$5,$B$1)</f>
        <v>74.801000000000002</v>
      </c>
      <c r="O61" s="55">
        <f>_xll.EQNXTDZ($A$1,$B61,O$5,$B$1)</f>
        <v>0</v>
      </c>
      <c r="P61" s="55">
        <f>_xll.EQNXTDZ($A$1,$B61,P$5,$B$1)</f>
        <v>47.735999999999997</v>
      </c>
      <c r="Q61" s="55">
        <f>_xll.EQNXTDZ($A$1,$B61,Q$5,$B$1)</f>
        <v>0</v>
      </c>
      <c r="R61" s="55">
        <f>_xll.EQNXTDZ($A$1,$B61,R$5,$B$1)</f>
        <v>46.392000000000003</v>
      </c>
      <c r="S61" s="55">
        <f>_xll.EQNXTDZ($A$1,$B61,S$5,$B$1)</f>
        <v>0</v>
      </c>
      <c r="T61" s="55">
        <f>_xll.EQNXTDZ($A$1,$B61,T$5,$B$1)</f>
        <v>32.433</v>
      </c>
      <c r="U61" s="55">
        <f>_xll.EQNXTDZ($A$1,$B61,U$5,$B$1)</f>
        <v>0</v>
      </c>
      <c r="V61" s="55">
        <f>_xll.EQNXTDZ($A$1,$B61,V$5,$B$1)</f>
        <v>16.815000000000001</v>
      </c>
      <c r="W61" s="55">
        <f>_xll.EQNXTDZ($A$1,$B61,W$5,$B$1)</f>
        <v>0</v>
      </c>
      <c r="X61" s="55">
        <f>_xll.EQNXTDZ($A$1,$B61,X$5,$B$1)</f>
        <v>8.6869999999999994</v>
      </c>
      <c r="Y61" s="55">
        <f>_xll.EQNXTDZ($A$1,$B61,Y$5,$B$1)</f>
        <v>0</v>
      </c>
      <c r="Z61" s="55">
        <f>_xll.EQNXTDZ($A$1,$B61,Z$5,$B$1)</f>
        <v>42.488</v>
      </c>
      <c r="AA61" s="55">
        <f>_xll.EQNXTDZ($A$1,$B61,AA$5,$B$1)</f>
        <v>0</v>
      </c>
      <c r="AB61" s="55">
        <f>_xll.EQNXTDZ($A$1,$B61,AB$5,$B$1)</f>
        <v>2.2850000000000001</v>
      </c>
      <c r="AC61" s="55">
        <f>_xll.EQNXTDZ($A$1,$B61,AC$5,$B$1)</f>
        <v>0</v>
      </c>
      <c r="AD61" s="55">
        <f>_xll.EQNXTDZ($A$1,$B61,AD$5,$B$1)</f>
        <v>83.331999999999994</v>
      </c>
      <c r="AE61" s="55">
        <f>_xll.EQNXTDZ($A$1,$B61,AE$5,$B$1)</f>
        <v>0</v>
      </c>
      <c r="AF61" s="55">
        <f>_xll.EQNXTDZ($A$1,$B61,AF$5,$B$1)</f>
        <v>78.242000000000004</v>
      </c>
      <c r="AG61" s="55">
        <f>_xll.EQNXTDZ($A$1,$B61,AG$5,$B$1)</f>
        <v>0</v>
      </c>
      <c r="AH61" s="55">
        <f>_xll.EQNXTDZ($A$1,$B61,AH$5,$B$1)</f>
        <v>119.908</v>
      </c>
      <c r="AI61" s="55">
        <f>_xll.EQNXTDZ($A$1,$B61,AI$5,$B$1)</f>
        <v>0</v>
      </c>
      <c r="AJ61" s="55">
        <f>_xll.EQNXTDZ($A$1,$B61,AJ$5,$B$1)</f>
        <v>111.111</v>
      </c>
      <c r="AK61" s="55">
        <f>_xll.EQNXTDZ($A$1,$B61,AK$5,$B$1)</f>
        <v>0</v>
      </c>
      <c r="AL61" s="55">
        <f>_xll.EQNXTDZ($A$1,$B61,AL$5,$B$1)</f>
        <v>88.849000000000004</v>
      </c>
      <c r="AM61" s="55">
        <f>_xll.EQNXTDZ($A$1,$B61,AM$5,$B$1)</f>
        <v>0</v>
      </c>
      <c r="AN61" s="55">
        <f>_xll.EQNXTDZ($A$1,$B61,AN$5,$B$1)</f>
        <v>71.212999999999994</v>
      </c>
      <c r="AO61" s="55">
        <f>_xll.EQNXTDZ($A$1,$B61,AO$5,$B$1)</f>
        <v>0</v>
      </c>
      <c r="AP61" s="55">
        <f>_xll.EQNXTDZ($A$1,$B61,AP$5,$B$1)</f>
        <v>57.573999999999998</v>
      </c>
      <c r="AQ61" s="55">
        <f>_xll.EQNXTDZ($A$1,$B61,AQ$5,$B$1)</f>
        <v>0</v>
      </c>
      <c r="AR61" s="55">
        <f>_xll.EQNXTDZ($A$1,$B61,AR$5,$B$1)</f>
        <v>43.938000000000002</v>
      </c>
      <c r="AS61" s="55">
        <f>_xll.EQNXTDZ($A$1,$B61,AS$5,$B$1)</f>
        <v>0</v>
      </c>
      <c r="AT61" s="55">
        <f>_xll.EQNXTDZ($A$1,$B61,AT$5,$B$1)</f>
        <v>30.303000000000001</v>
      </c>
      <c r="AU61" s="55">
        <f>_xll.EQNXTDZ($A$1,$B61,AU$5,$B$1)</f>
        <v>0</v>
      </c>
      <c r="AV61" s="55">
        <f>_xll.EQNXTDZ($A$1,$B61,AV$5,$B$1)</f>
        <v>16.667000000000002</v>
      </c>
      <c r="AW61" s="55">
        <f>_xll.EQNXTDZ($A$1,$B61,AW$5,$B$1)</f>
        <v>0</v>
      </c>
      <c r="AX61" s="55">
        <f>_xll.EQNXTDZ($A$1,$B61,AX$5,$B$1)</f>
        <v>10.606</v>
      </c>
      <c r="AY61" s="55">
        <f>_xll.EQNXTDZ($A$1,$B61,AY$5,$B$1)</f>
        <v>0</v>
      </c>
      <c r="AZ61" s="55">
        <f>_xll.EQNXTDZ($A$1,$B61,AZ$5,$B$1)</f>
        <v>6.0609999999999999</v>
      </c>
      <c r="BA61" s="55">
        <f>_xll.EQNXTDZ($A$1,$B61,BA$5,$B$1)</f>
        <v>0</v>
      </c>
      <c r="BB61" s="55">
        <f>_xll.EQNXTDZ($A$1,$B61,BB$5,$B$1)</f>
        <v>1.5149999999999999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64.834000000000003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99.498999999999995</v>
      </c>
      <c r="E63" s="55">
        <f>_xll.EQNXTDZ($A$1,$B63,E$5,$B$1)</f>
        <v>0</v>
      </c>
      <c r="F63" s="55">
        <f>_xll.EQNXTDZ($A$1,$B63,F$5,$B$1)</f>
        <v>103.73</v>
      </c>
      <c r="G63" s="55">
        <f>_xll.EQNXTDZ($A$1,$B63,G$5,$B$1)</f>
        <v>0</v>
      </c>
      <c r="H63" s="55">
        <f>_xll.EQNXTDZ($A$1,$B63,H$5,$B$1)</f>
        <v>101.011</v>
      </c>
      <c r="I63" s="55">
        <f>_xll.EQNXTDZ($A$1,$B63,I$5,$B$1)</f>
        <v>0</v>
      </c>
      <c r="J63" s="55">
        <f>_xll.EQNXTDZ($A$1,$B63,J$5,$B$1)</f>
        <v>85.95</v>
      </c>
      <c r="K63" s="55">
        <f>_xll.EQNXTDZ($A$1,$B63,K$5,$B$1)</f>
        <v>0</v>
      </c>
      <c r="L63" s="55">
        <f>_xll.EQNXTDZ($A$1,$B63,L$5,$B$1)</f>
        <v>75.67</v>
      </c>
      <c r="M63" s="55">
        <f>_xll.EQNXTDZ($A$1,$B63,M$5,$B$1)</f>
        <v>0</v>
      </c>
      <c r="N63" s="55">
        <f>_xll.EQNXTDZ($A$1,$B63,N$5,$B$1)</f>
        <v>74.801000000000002</v>
      </c>
      <c r="O63" s="55">
        <f>_xll.EQNXTDZ($A$1,$B63,O$5,$B$1)</f>
        <v>0</v>
      </c>
      <c r="P63" s="55">
        <f>_xll.EQNXTDZ($A$1,$B63,P$5,$B$1)</f>
        <v>47.735999999999997</v>
      </c>
      <c r="Q63" s="55">
        <f>_xll.EQNXTDZ($A$1,$B63,Q$5,$B$1)</f>
        <v>0</v>
      </c>
      <c r="R63" s="55">
        <f>_xll.EQNXTDZ($A$1,$B63,R$5,$B$1)</f>
        <v>46.392000000000003</v>
      </c>
      <c r="S63" s="55">
        <f>_xll.EQNXTDZ($A$1,$B63,S$5,$B$1)</f>
        <v>0</v>
      </c>
      <c r="T63" s="55">
        <f>_xll.EQNXTDZ($A$1,$B63,T$5,$B$1)</f>
        <v>32.433</v>
      </c>
      <c r="U63" s="55">
        <f>_xll.EQNXTDZ($A$1,$B63,U$5,$B$1)</f>
        <v>0</v>
      </c>
      <c r="V63" s="55">
        <f>_xll.EQNXTDZ($A$1,$B63,V$5,$B$1)</f>
        <v>16.815000000000001</v>
      </c>
      <c r="W63" s="55">
        <f>_xll.EQNXTDZ($A$1,$B63,W$5,$B$1)</f>
        <v>0</v>
      </c>
      <c r="X63" s="55">
        <f>_xll.EQNXTDZ($A$1,$B63,X$5,$B$1)</f>
        <v>8.6869999999999994</v>
      </c>
      <c r="Y63" s="55">
        <f>_xll.EQNXTDZ($A$1,$B63,Y$5,$B$1)</f>
        <v>0</v>
      </c>
      <c r="Z63" s="55">
        <f>_xll.EQNXTDZ($A$1,$B63,Z$5,$B$1)</f>
        <v>42.488</v>
      </c>
      <c r="AA63" s="55">
        <f>_xll.EQNXTDZ($A$1,$B63,AA$5,$B$1)</f>
        <v>0</v>
      </c>
      <c r="AB63" s="55">
        <f>_xll.EQNXTDZ($A$1,$B63,AB$5,$B$1)</f>
        <v>2.2850000000000001</v>
      </c>
      <c r="AC63" s="55">
        <f>_xll.EQNXTDZ($A$1,$B63,AC$5,$B$1)</f>
        <v>0</v>
      </c>
      <c r="AD63" s="55">
        <f>_xll.EQNXTDZ($A$1,$B63,AD$5,$B$1)</f>
        <v>83.331999999999994</v>
      </c>
      <c r="AE63" s="55">
        <f>_xll.EQNXTDZ($A$1,$B63,AE$5,$B$1)</f>
        <v>0</v>
      </c>
      <c r="AF63" s="55">
        <f>_xll.EQNXTDZ($A$1,$B63,AF$5,$B$1)</f>
        <v>78.242000000000004</v>
      </c>
      <c r="AG63" s="55">
        <f>_xll.EQNXTDZ($A$1,$B63,AG$5,$B$1)</f>
        <v>0</v>
      </c>
      <c r="AH63" s="55">
        <f>_xll.EQNXTDZ($A$1,$B63,AH$5,$B$1)</f>
        <v>119.908</v>
      </c>
      <c r="AI63" s="55">
        <f>_xll.EQNXTDZ($A$1,$B63,AI$5,$B$1)</f>
        <v>0</v>
      </c>
      <c r="AJ63" s="55">
        <f>_xll.EQNXTDZ($A$1,$B63,AJ$5,$B$1)</f>
        <v>111.111</v>
      </c>
      <c r="AK63" s="55">
        <f>_xll.EQNXTDZ($A$1,$B63,AK$5,$B$1)</f>
        <v>0</v>
      </c>
      <c r="AL63" s="55">
        <f>_xll.EQNXTDZ($A$1,$B63,AL$5,$B$1)</f>
        <v>88.849000000000004</v>
      </c>
      <c r="AM63" s="55">
        <f>_xll.EQNXTDZ($A$1,$B63,AM$5,$B$1)</f>
        <v>0</v>
      </c>
      <c r="AN63" s="55">
        <f>_xll.EQNXTDZ($A$1,$B63,AN$5,$B$1)</f>
        <v>71.212999999999994</v>
      </c>
      <c r="AO63" s="55">
        <f>_xll.EQNXTDZ($A$1,$B63,AO$5,$B$1)</f>
        <v>0</v>
      </c>
      <c r="AP63" s="55">
        <f>_xll.EQNXTDZ($A$1,$B63,AP$5,$B$1)</f>
        <v>57.573999999999998</v>
      </c>
      <c r="AQ63" s="55">
        <f>_xll.EQNXTDZ($A$1,$B63,AQ$5,$B$1)</f>
        <v>0</v>
      </c>
      <c r="AR63" s="55">
        <f>_xll.EQNXTDZ($A$1,$B63,AR$5,$B$1)</f>
        <v>43.938000000000002</v>
      </c>
      <c r="AS63" s="55">
        <f>_xll.EQNXTDZ($A$1,$B63,AS$5,$B$1)</f>
        <v>0</v>
      </c>
      <c r="AT63" s="55">
        <f>_xll.EQNXTDZ($A$1,$B63,AT$5,$B$1)</f>
        <v>30.303000000000001</v>
      </c>
      <c r="AU63" s="55">
        <f>_xll.EQNXTDZ($A$1,$B63,AU$5,$B$1)</f>
        <v>0</v>
      </c>
      <c r="AV63" s="55">
        <f>_xll.EQNXTDZ($A$1,$B63,AV$5,$B$1)</f>
        <v>16.667000000000002</v>
      </c>
      <c r="AW63" s="55">
        <f>_xll.EQNXTDZ($A$1,$B63,AW$5,$B$1)</f>
        <v>0</v>
      </c>
      <c r="AX63" s="55">
        <f>_xll.EQNXTDZ($A$1,$B63,AX$5,$B$1)</f>
        <v>10.606</v>
      </c>
      <c r="AY63" s="55">
        <f>_xll.EQNXTDZ($A$1,$B63,AY$5,$B$1)</f>
        <v>0</v>
      </c>
      <c r="AZ63" s="55">
        <f>_xll.EQNXTDZ($A$1,$B63,AZ$5,$B$1)</f>
        <v>6.0609999999999999</v>
      </c>
      <c r="BA63" s="55">
        <f>_xll.EQNXTDZ($A$1,$B63,BA$5,$B$1)</f>
        <v>0</v>
      </c>
      <c r="BB63" s="55">
        <f>_xll.EQNXTDZ($A$1,$B63,BB$5,$B$1)</f>
        <v>1.5149999999999999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64.834000000000003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2.5110000000000001</v>
      </c>
      <c r="E64" s="55">
        <f>_xll.EQNXTDZ($A$1,$B64,E$5,$B$1)</f>
        <v>0</v>
      </c>
      <c r="F64" s="55">
        <f>_xll.EQNXTDZ($A$1,$B64,F$5,$B$1)</f>
        <v>5.85</v>
      </c>
      <c r="G64" s="55">
        <f>_xll.EQNXTDZ($A$1,$B64,G$5,$B$1)</f>
        <v>0</v>
      </c>
      <c r="H64" s="55">
        <f>_xll.EQNXTDZ($A$1,$B64,H$5,$B$1)</f>
        <v>3.548</v>
      </c>
      <c r="I64" s="55">
        <f>_xll.EQNXTDZ($A$1,$B64,I$5,$B$1)</f>
        <v>0</v>
      </c>
      <c r="J64" s="55">
        <f>_xll.EQNXTDZ($A$1,$B64,J$5,$B$1)</f>
        <v>5.04</v>
      </c>
      <c r="K64" s="55">
        <f>_xll.EQNXTDZ($A$1,$B64,K$5,$B$1)</f>
        <v>0</v>
      </c>
      <c r="L64" s="55">
        <f>_xll.EQNXTDZ($A$1,$B64,L$5,$B$1)</f>
        <v>2.98</v>
      </c>
      <c r="M64" s="55">
        <f>_xll.EQNXTDZ($A$1,$B64,M$5,$B$1)</f>
        <v>0</v>
      </c>
      <c r="N64" s="55">
        <f>_xll.EQNXTDZ($A$1,$B64,N$5,$B$1)</f>
        <v>16.349</v>
      </c>
      <c r="O64" s="55">
        <f>_xll.EQNXTDZ($A$1,$B64,O$5,$B$1)</f>
        <v>0</v>
      </c>
      <c r="P64" s="55">
        <f>_xll.EQNXTDZ($A$1,$B64,P$5,$B$1)</f>
        <v>1.5960000000000001</v>
      </c>
      <c r="Q64" s="55">
        <f>_xll.EQNXTDZ($A$1,$B64,Q$5,$B$1)</f>
        <v>0</v>
      </c>
      <c r="R64" s="55">
        <f>_xll.EQNXTDZ($A$1,$B64,R$5,$B$1)</f>
        <v>12.028</v>
      </c>
      <c r="S64" s="55">
        <f>_xll.EQNXTDZ($A$1,$B64,S$5,$B$1)</f>
        <v>0</v>
      </c>
      <c r="T64" s="55">
        <f>_xll.EQNXTDZ($A$1,$B64,T$5,$B$1)</f>
        <v>1.2050000000000001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0.96</v>
      </c>
      <c r="Y64" s="55">
        <f>_xll.EQNXTDZ($A$1,$B64,Y$5,$B$1)</f>
        <v>0</v>
      </c>
      <c r="Z64" s="55">
        <f>_xll.EQNXTDZ($A$1,$B64,Z$5,$B$1)</f>
        <v>0.55300000000000005</v>
      </c>
      <c r="AA64" s="55">
        <f>_xll.EQNXTDZ($A$1,$B64,AA$5,$B$1)</f>
        <v>0</v>
      </c>
      <c r="AB64" s="55">
        <f>_xll.EQNXTDZ($A$1,$B64,AB$5,$B$1)</f>
        <v>116.407</v>
      </c>
      <c r="AC64" s="55">
        <f>_xll.EQNXTDZ($A$1,$B64,AC$5,$B$1)</f>
        <v>0</v>
      </c>
      <c r="AD64" s="55">
        <f>_xll.EQNXTDZ($A$1,$B64,AD$5,$B$1)</f>
        <v>3.194</v>
      </c>
      <c r="AE64" s="55">
        <f>_xll.EQNXTDZ($A$1,$B64,AE$5,$B$1)</f>
        <v>0</v>
      </c>
      <c r="AF64" s="55">
        <f>_xll.EQNXTDZ($A$1,$B64,AF$5,$B$1)</f>
        <v>4.2869999999999999</v>
      </c>
      <c r="AG64" s="55">
        <f>_xll.EQNXTDZ($A$1,$B64,AG$5,$B$1)</f>
        <v>0</v>
      </c>
      <c r="AH64" s="55">
        <f>_xll.EQNXTDZ($A$1,$B64,AH$5,$B$1)</f>
        <v>5.0030000000000001</v>
      </c>
      <c r="AI64" s="55">
        <f>_xll.EQNXTDZ($A$1,$B64,AI$5,$B$1)</f>
        <v>0</v>
      </c>
      <c r="AJ64" s="55">
        <f>_xll.EQNXTDZ($A$1,$B64,AJ$5,$B$1)</f>
        <v>2.84</v>
      </c>
      <c r="AK64" s="55">
        <f>_xll.EQNXTDZ($A$1,$B64,AK$5,$B$1)</f>
        <v>0</v>
      </c>
      <c r="AL64" s="55">
        <f>_xll.EQNXTDZ($A$1,$B64,AL$5,$B$1)</f>
        <v>3.8410000000000002</v>
      </c>
      <c r="AM64" s="55">
        <f>_xll.EQNXTDZ($A$1,$B64,AM$5,$B$1)</f>
        <v>0</v>
      </c>
      <c r="AN64" s="55">
        <f>_xll.EQNXTDZ($A$1,$B64,AN$5,$B$1)</f>
        <v>1.718</v>
      </c>
      <c r="AO64" s="55">
        <f>_xll.EQNXTDZ($A$1,$B64,AO$5,$B$1)</f>
        <v>0</v>
      </c>
      <c r="AP64" s="55">
        <f>_xll.EQNXTDZ($A$1,$B64,AP$5,$B$1)</f>
        <v>3.6909999999999998</v>
      </c>
      <c r="AQ64" s="55">
        <f>_xll.EQNXTDZ($A$1,$B64,AQ$5,$B$1)</f>
        <v>0</v>
      </c>
      <c r="AR64" s="55">
        <f>_xll.EQNXTDZ($A$1,$B64,AR$5,$B$1)</f>
        <v>3.4460000000000002</v>
      </c>
      <c r="AS64" s="55">
        <f>_xll.EQNXTDZ($A$1,$B64,AS$5,$B$1)</f>
        <v>0</v>
      </c>
      <c r="AT64" s="55">
        <f>_xll.EQNXTDZ($A$1,$B64,AT$5,$B$1)</f>
        <v>1.9710000000000001</v>
      </c>
      <c r="AU64" s="55">
        <f>_xll.EQNXTDZ($A$1,$B64,AU$5,$B$1)</f>
        <v>0</v>
      </c>
      <c r="AV64" s="55">
        <f>_xll.EQNXTDZ($A$1,$B64,AV$5,$B$1)</f>
        <v>3.8</v>
      </c>
      <c r="AW64" s="55">
        <f>_xll.EQNXTDZ($A$1,$B64,AW$5,$B$1)</f>
        <v>0</v>
      </c>
      <c r="AX64" s="55">
        <f>_xll.EQNXTDZ($A$1,$B64,AX$5,$B$1)</f>
        <v>1.663</v>
      </c>
      <c r="AY64" s="55">
        <f>_xll.EQNXTDZ($A$1,$B64,AY$5,$B$1)</f>
        <v>0</v>
      </c>
      <c r="AZ64" s="55">
        <f>_xll.EQNXTDZ($A$1,$B64,AZ$5,$B$1)</f>
        <v>1.595</v>
      </c>
      <c r="BA64" s="55">
        <f>_xll.EQNXTDZ($A$1,$B64,BA$5,$B$1)</f>
        <v>0</v>
      </c>
      <c r="BB64" s="55">
        <f>_xll.EQNXTDZ($A$1,$B64,BB$5,$B$1)</f>
        <v>1.4370000000000001</v>
      </c>
      <c r="BC64" s="55">
        <f>_xll.EQNXTDZ($A$1,$B64,BC$5,$B$1)</f>
        <v>0</v>
      </c>
      <c r="BD64" s="55">
        <f>_xll.EQNXTDZ($A$1,$B64,BD$5,$B$1)</f>
        <v>1.375</v>
      </c>
      <c r="BE64" s="55">
        <f>_xll.EQNXTDZ($A$1,$B64,BE$5,$B$1)</f>
        <v>0</v>
      </c>
      <c r="BF64" s="55">
        <f>_xll.EQNXTDZ($A$1,$B64,BF$5,$B$1)</f>
        <v>6.6559999999999997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5.8289999999999997</v>
      </c>
      <c r="W65" s="55">
        <f>_xll.EQNXTDZ($A$1,$B65,W$5,$B$1)</f>
        <v>0</v>
      </c>
      <c r="X65" s="55">
        <f>_xll.EQNXTDZ($A$1,$B65,X$5,$B$1)</f>
        <v>1.986</v>
      </c>
      <c r="Y65" s="55">
        <f>_xll.EQNXTDZ($A$1,$B65,Y$5,$B$1)</f>
        <v>0</v>
      </c>
      <c r="Z65" s="55">
        <f>_xll.EQNXTDZ($A$1,$B65,Z$5,$B$1)</f>
        <v>12.787000000000001</v>
      </c>
      <c r="AA65" s="55">
        <f>_xll.EQNXTDZ($A$1,$B65,AA$5,$B$1)</f>
        <v>0</v>
      </c>
      <c r="AB65" s="55">
        <f>_xll.EQNXTDZ($A$1,$B65,AB$5,$B$1)</f>
        <v>2.0950000000000002</v>
      </c>
      <c r="AC65" s="55">
        <f>_xll.EQNXTDZ($A$1,$B65,AC$5,$B$1)</f>
        <v>0</v>
      </c>
      <c r="AD65" s="55">
        <f>_xll.EQNXTDZ($A$1,$B65,AD$5,$B$1)</f>
        <v>13.175000000000001</v>
      </c>
      <c r="AE65" s="55">
        <f>_xll.EQNXTDZ($A$1,$B65,AE$5,$B$1)</f>
        <v>0</v>
      </c>
      <c r="AF65" s="55">
        <f>_xll.EQNXTDZ($A$1,$B65,AF$5,$B$1)</f>
        <v>11.521000000000001</v>
      </c>
      <c r="AG65" s="55">
        <f>_xll.EQNXTDZ($A$1,$B65,AG$5,$B$1)</f>
        <v>0</v>
      </c>
      <c r="AH65" s="55">
        <f>_xll.EQNXTDZ($A$1,$B65,AH$5,$B$1)</f>
        <v>11.755000000000001</v>
      </c>
      <c r="AI65" s="55">
        <f>_xll.EQNXTDZ($A$1,$B65,AI$5,$B$1)</f>
        <v>0</v>
      </c>
      <c r="AJ65" s="55">
        <f>_xll.EQNXTDZ($A$1,$B65,AJ$5,$B$1)</f>
        <v>13.151</v>
      </c>
      <c r="AK65" s="55">
        <f>_xll.EQNXTDZ($A$1,$B65,AK$5,$B$1)</f>
        <v>0</v>
      </c>
      <c r="AL65" s="55">
        <f>_xll.EQNXTDZ($A$1,$B65,AL$5,$B$1)</f>
        <v>17.667999999999999</v>
      </c>
      <c r="AM65" s="55">
        <f>_xll.EQNXTDZ($A$1,$B65,AM$5,$B$1)</f>
        <v>0</v>
      </c>
      <c r="AN65" s="55">
        <f>_xll.EQNXTDZ($A$1,$B65,AN$5,$B$1)</f>
        <v>6.13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0.65500000000000003</v>
      </c>
      <c r="AQ66" s="55">
        <f>_xll.EQNXTDZ($A$1,$B66,AQ$5,$B$1)</f>
        <v>0</v>
      </c>
      <c r="AR66" s="55">
        <f>_xll.EQNXTDZ($A$1,$B66,AR$5,$B$1)</f>
        <v>0.129</v>
      </c>
      <c r="AS66" s="55">
        <f>_xll.EQNXTDZ($A$1,$B66,AS$5,$B$1)</f>
        <v>0</v>
      </c>
      <c r="AT66" s="55">
        <f>_xll.EQNXTDZ($A$1,$B66,AT$5,$B$1)</f>
        <v>1.825</v>
      </c>
      <c r="AU66" s="55">
        <f>_xll.EQNXTDZ($A$1,$B66,AU$5,$B$1)</f>
        <v>0</v>
      </c>
      <c r="AV66" s="55">
        <f>_xll.EQNXTDZ($A$1,$B66,AV$5,$B$1)</f>
        <v>1.675</v>
      </c>
      <c r="AW66" s="55">
        <f>_xll.EQNXTDZ($A$1,$B66,AW$5,$B$1)</f>
        <v>0</v>
      </c>
      <c r="AX66" s="55">
        <f>_xll.EQNXTDZ($A$1,$B66,AX$5,$B$1)</f>
        <v>4.4400000000000004</v>
      </c>
      <c r="AY66" s="55">
        <f>_xll.EQNXTDZ($A$1,$B66,AY$5,$B$1)</f>
        <v>0</v>
      </c>
      <c r="AZ66" s="55">
        <f>_xll.EQNXTDZ($A$1,$B66,AZ$5,$B$1)</f>
        <v>1.893</v>
      </c>
      <c r="BA66" s="55">
        <f>_xll.EQNXTDZ($A$1,$B66,BA$5,$B$1)</f>
        <v>0</v>
      </c>
      <c r="BB66" s="55">
        <f>_xll.EQNXTDZ($A$1,$B66,BB$5,$B$1)</f>
        <v>2.665</v>
      </c>
      <c r="BC66" s="55">
        <f>_xll.EQNXTDZ($A$1,$B66,BC$5,$B$1)</f>
        <v>0</v>
      </c>
      <c r="BD66" s="55">
        <f>_xll.EQNXTDZ($A$1,$B66,BD$5,$B$1)</f>
        <v>3.7570000000000001</v>
      </c>
      <c r="BE66" s="55">
        <f>_xll.EQNXTDZ($A$1,$B66,BE$5,$B$1)</f>
        <v>0</v>
      </c>
      <c r="BF66" s="55">
        <f>_xll.EQNXTDZ($A$1,$B66,BF$5,$B$1)</f>
        <v>3.4569999999999999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266.46300000000002</v>
      </c>
      <c r="E67" s="55">
        <f>_xll.EQNXTDZ($A$1,$B67,E$5,$B$1)</f>
        <v>0</v>
      </c>
      <c r="F67" s="55">
        <f>_xll.EQNXTDZ($A$1,$B67,F$5,$B$1)</f>
        <v>282.06</v>
      </c>
      <c r="G67" s="55">
        <f>_xll.EQNXTDZ($A$1,$B67,G$5,$B$1)</f>
        <v>0</v>
      </c>
      <c r="H67" s="55">
        <f>_xll.EQNXTDZ($A$1,$B67,H$5,$B$1)</f>
        <v>297.26799999999997</v>
      </c>
      <c r="I67" s="55">
        <f>_xll.EQNXTDZ($A$1,$B67,I$5,$B$1)</f>
        <v>0</v>
      </c>
      <c r="J67" s="55">
        <f>_xll.EQNXTDZ($A$1,$B67,J$5,$B$1)</f>
        <v>293.23</v>
      </c>
      <c r="K67" s="55">
        <f>_xll.EQNXTDZ($A$1,$B67,K$5,$B$1)</f>
        <v>0</v>
      </c>
      <c r="L67" s="55">
        <f>_xll.EQNXTDZ($A$1,$B67,L$5,$B$1)</f>
        <v>300.27</v>
      </c>
      <c r="M67" s="55">
        <f>_xll.EQNXTDZ($A$1,$B67,M$5,$B$1)</f>
        <v>0</v>
      </c>
      <c r="N67" s="55">
        <f>_xll.EQNXTDZ($A$1,$B67,N$5,$B$1)</f>
        <v>321.048</v>
      </c>
      <c r="O67" s="55">
        <f>_xll.EQNXTDZ($A$1,$B67,O$5,$B$1)</f>
        <v>0</v>
      </c>
      <c r="P67" s="55">
        <f>_xll.EQNXTDZ($A$1,$B67,P$5,$B$1)</f>
        <v>311.68599999999998</v>
      </c>
      <c r="Q67" s="55">
        <f>_xll.EQNXTDZ($A$1,$B67,Q$5,$B$1)</f>
        <v>0</v>
      </c>
      <c r="R67" s="55">
        <f>_xll.EQNXTDZ($A$1,$B67,R$5,$B$1)</f>
        <v>338.62799999999999</v>
      </c>
      <c r="S67" s="55">
        <f>_xll.EQNXTDZ($A$1,$B67,S$5,$B$1)</f>
        <v>0</v>
      </c>
      <c r="T67" s="55">
        <f>_xll.EQNXTDZ($A$1,$B67,T$5,$B$1)</f>
        <v>373.40199999999999</v>
      </c>
      <c r="U67" s="55">
        <f>_xll.EQNXTDZ($A$1,$B67,U$5,$B$1)</f>
        <v>0</v>
      </c>
      <c r="V67" s="55">
        <f>_xll.EQNXTDZ($A$1,$B67,V$5,$B$1)</f>
        <v>385.10599999999999</v>
      </c>
      <c r="W67" s="55">
        <f>_xll.EQNXTDZ($A$1,$B67,W$5,$B$1)</f>
        <v>0</v>
      </c>
      <c r="X67" s="55">
        <f>_xll.EQNXTDZ($A$1,$B67,X$5,$B$1)</f>
        <v>432.23599999999999</v>
      </c>
      <c r="Y67" s="55">
        <f>_xll.EQNXTDZ($A$1,$B67,Y$5,$B$1)</f>
        <v>0</v>
      </c>
      <c r="Z67" s="55">
        <f>_xll.EQNXTDZ($A$1,$B67,Z$5,$B$1)</f>
        <v>541.10900000000004</v>
      </c>
      <c r="AA67" s="55">
        <f>_xll.EQNXTDZ($A$1,$B67,AA$5,$B$1)</f>
        <v>0</v>
      </c>
      <c r="AB67" s="55">
        <f>_xll.EQNXTDZ($A$1,$B67,AB$5,$B$1)</f>
        <v>642.51499999999999</v>
      </c>
      <c r="AC67" s="55">
        <f>_xll.EQNXTDZ($A$1,$B67,AC$5,$B$1)</f>
        <v>0</v>
      </c>
      <c r="AD67" s="55">
        <f>_xll.EQNXTDZ($A$1,$B67,AD$5,$B$1)</f>
        <v>691.71400000000006</v>
      </c>
      <c r="AE67" s="55">
        <f>_xll.EQNXTDZ($A$1,$B67,AE$5,$B$1)</f>
        <v>0</v>
      </c>
      <c r="AF67" s="55">
        <f>_xll.EQNXTDZ($A$1,$B67,AF$5,$B$1)</f>
        <v>722.327</v>
      </c>
      <c r="AG67" s="55">
        <f>_xll.EQNXTDZ($A$1,$B67,AG$5,$B$1)</f>
        <v>0</v>
      </c>
      <c r="AH67" s="55">
        <f>_xll.EQNXTDZ($A$1,$B67,AH$5,$B$1)</f>
        <v>805.03499999999997</v>
      </c>
      <c r="AI67" s="55">
        <f>_xll.EQNXTDZ($A$1,$B67,AI$5,$B$1)</f>
        <v>0</v>
      </c>
      <c r="AJ67" s="55">
        <f>_xll.EQNXTDZ($A$1,$B67,AJ$5,$B$1)</f>
        <v>869.79</v>
      </c>
      <c r="AK67" s="55">
        <f>_xll.EQNXTDZ($A$1,$B67,AK$5,$B$1)</f>
        <v>0</v>
      </c>
      <c r="AL67" s="55">
        <f>_xll.EQNXTDZ($A$1,$B67,AL$5,$B$1)</f>
        <v>1020.279</v>
      </c>
      <c r="AM67" s="55">
        <f>_xll.EQNXTDZ($A$1,$B67,AM$5,$B$1)</f>
        <v>0</v>
      </c>
      <c r="AN67" s="55">
        <f>_xll.EQNXTDZ($A$1,$B67,AN$5,$B$1)</f>
        <v>1161.4829999999999</v>
      </c>
      <c r="AO67" s="55">
        <f>_xll.EQNXTDZ($A$1,$B67,AO$5,$B$1)</f>
        <v>0</v>
      </c>
      <c r="AP67" s="55">
        <f>_xll.EQNXTDZ($A$1,$B67,AP$5,$B$1)</f>
        <v>1376.7809999999999</v>
      </c>
      <c r="AQ67" s="55">
        <f>_xll.EQNXTDZ($A$1,$B67,AQ$5,$B$1)</f>
        <v>0</v>
      </c>
      <c r="AR67" s="55">
        <f>_xll.EQNXTDZ($A$1,$B67,AR$5,$B$1)</f>
        <v>1606.905</v>
      </c>
      <c r="AS67" s="55">
        <f>_xll.EQNXTDZ($A$1,$B67,AS$5,$B$1)</f>
        <v>0</v>
      </c>
      <c r="AT67" s="55">
        <f>_xll.EQNXTDZ($A$1,$B67,AT$5,$B$1)</f>
        <v>1732.258</v>
      </c>
      <c r="AU67" s="55">
        <f>_xll.EQNXTDZ($A$1,$B67,AU$5,$B$1)</f>
        <v>0</v>
      </c>
      <c r="AV67" s="55">
        <f>_xll.EQNXTDZ($A$1,$B67,AV$5,$B$1)</f>
        <v>1791.3430000000001</v>
      </c>
      <c r="AW67" s="55">
        <f>_xll.EQNXTDZ($A$1,$B67,AW$5,$B$1)</f>
        <v>0</v>
      </c>
      <c r="AX67" s="55">
        <f>_xll.EQNXTDZ($A$1,$B67,AX$5,$B$1)</f>
        <v>1909.951</v>
      </c>
      <c r="AY67" s="55">
        <f>_xll.EQNXTDZ($A$1,$B67,AY$5,$B$1)</f>
        <v>0</v>
      </c>
      <c r="AZ67" s="55">
        <f>_xll.EQNXTDZ($A$1,$B67,AZ$5,$B$1)</f>
        <v>1954.155</v>
      </c>
      <c r="BA67" s="55">
        <f>_xll.EQNXTDZ($A$1,$B67,BA$5,$B$1)</f>
        <v>0</v>
      </c>
      <c r="BB67" s="55">
        <f>_xll.EQNXTDZ($A$1,$B67,BB$5,$B$1)</f>
        <v>2023.99</v>
      </c>
      <c r="BC67" s="55">
        <f>_xll.EQNXTDZ($A$1,$B67,BC$5,$B$1)</f>
        <v>0</v>
      </c>
      <c r="BD67" s="55">
        <f>_xll.EQNXTDZ($A$1,$B67,BD$5,$B$1)</f>
        <v>2061.4929999999999</v>
      </c>
      <c r="BE67" s="55">
        <f>_xll.EQNXTDZ($A$1,$B67,BE$5,$B$1)</f>
        <v>0</v>
      </c>
      <c r="BF67" s="55">
        <f>_xll.EQNXTDZ($A$1,$B67,BF$5,$B$1)</f>
        <v>2226.6660000000002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190.18700000000001</v>
      </c>
      <c r="E68" s="55">
        <f>_xll.EQNXTDZ($A$1,$B68,E$5,$B$1)</f>
        <v>0</v>
      </c>
      <c r="F68" s="55">
        <f>_xll.EQNXTDZ($A$1,$B68,F$5,$B$1)</f>
        <v>234.05</v>
      </c>
      <c r="G68" s="55">
        <f>_xll.EQNXTDZ($A$1,$B68,G$5,$B$1)</f>
        <v>0</v>
      </c>
      <c r="H68" s="55">
        <f>_xll.EQNXTDZ($A$1,$B68,H$5,$B$1)</f>
        <v>227.01900000000001</v>
      </c>
      <c r="I68" s="55">
        <f>_xll.EQNXTDZ($A$1,$B68,I$5,$B$1)</f>
        <v>0</v>
      </c>
      <c r="J68" s="55">
        <f>_xll.EQNXTDZ($A$1,$B68,J$5,$B$1)</f>
        <v>325.08</v>
      </c>
      <c r="K68" s="55">
        <f>_xll.EQNXTDZ($A$1,$B68,K$5,$B$1)</f>
        <v>0</v>
      </c>
      <c r="L68" s="55">
        <f>_xll.EQNXTDZ($A$1,$B68,L$5,$B$1)</f>
        <v>320.7</v>
      </c>
      <c r="M68" s="55">
        <f>_xll.EQNXTDZ($A$1,$B68,M$5,$B$1)</f>
        <v>0</v>
      </c>
      <c r="N68" s="55">
        <f>_xll.EQNXTDZ($A$1,$B68,N$5,$B$1)</f>
        <v>341.10500000000002</v>
      </c>
      <c r="O68" s="55">
        <f>_xll.EQNXTDZ($A$1,$B68,O$5,$B$1)</f>
        <v>0</v>
      </c>
      <c r="P68" s="55">
        <f>_xll.EQNXTDZ($A$1,$B68,P$5,$B$1)</f>
        <v>312.673</v>
      </c>
      <c r="Q68" s="55">
        <f>_xll.EQNXTDZ($A$1,$B68,Q$5,$B$1)</f>
        <v>0</v>
      </c>
      <c r="R68" s="55">
        <f>_xll.EQNXTDZ($A$1,$B68,R$5,$B$1)</f>
        <v>340.815</v>
      </c>
      <c r="S68" s="55">
        <f>_xll.EQNXTDZ($A$1,$B68,S$5,$B$1)</f>
        <v>0</v>
      </c>
      <c r="T68" s="55">
        <f>_xll.EQNXTDZ($A$1,$B68,T$5,$B$1)</f>
        <v>315.45600000000002</v>
      </c>
      <c r="U68" s="55">
        <f>_xll.EQNXTDZ($A$1,$B68,U$5,$B$1)</f>
        <v>0</v>
      </c>
      <c r="V68" s="55">
        <f>_xll.EQNXTDZ($A$1,$B68,V$5,$B$1)</f>
        <v>325.48</v>
      </c>
      <c r="W68" s="55">
        <f>_xll.EQNXTDZ($A$1,$B68,W$5,$B$1)</f>
        <v>0</v>
      </c>
      <c r="X68" s="55">
        <f>_xll.EQNXTDZ($A$1,$B68,X$5,$B$1)</f>
        <v>302.67099999999999</v>
      </c>
      <c r="Y68" s="55">
        <f>_xll.EQNXTDZ($A$1,$B68,Y$5,$B$1)</f>
        <v>0</v>
      </c>
      <c r="Z68" s="55">
        <f>_xll.EQNXTDZ($A$1,$B68,Z$5,$B$1)</f>
        <v>316.05799999999999</v>
      </c>
      <c r="AA68" s="55">
        <f>_xll.EQNXTDZ($A$1,$B68,AA$5,$B$1)</f>
        <v>0</v>
      </c>
      <c r="AB68" s="55">
        <f>_xll.EQNXTDZ($A$1,$B68,AB$5,$B$1)</f>
        <v>308.27699999999999</v>
      </c>
      <c r="AC68" s="55">
        <f>_xll.EQNXTDZ($A$1,$B68,AC$5,$B$1)</f>
        <v>0</v>
      </c>
      <c r="AD68" s="55">
        <f>_xll.EQNXTDZ($A$1,$B68,AD$5,$B$1)</f>
        <v>319.74599999999998</v>
      </c>
      <c r="AE68" s="55">
        <f>_xll.EQNXTDZ($A$1,$B68,AE$5,$B$1)</f>
        <v>0</v>
      </c>
      <c r="AF68" s="55">
        <f>_xll.EQNXTDZ($A$1,$B68,AF$5,$B$1)</f>
        <v>583.649</v>
      </c>
      <c r="AG68" s="55">
        <f>_xll.EQNXTDZ($A$1,$B68,AG$5,$B$1)</f>
        <v>0</v>
      </c>
      <c r="AH68" s="55">
        <f>_xll.EQNXTDZ($A$1,$B68,AH$5,$B$1)</f>
        <v>573.00099999999998</v>
      </c>
      <c r="AI68" s="55">
        <f>_xll.EQNXTDZ($A$1,$B68,AI$5,$B$1)</f>
        <v>0</v>
      </c>
      <c r="AJ68" s="55">
        <f>_xll.EQNXTDZ($A$1,$B68,AJ$5,$B$1)</f>
        <v>556.74800000000005</v>
      </c>
      <c r="AK68" s="55">
        <f>_xll.EQNXTDZ($A$1,$B68,AK$5,$B$1)</f>
        <v>0</v>
      </c>
      <c r="AL68" s="55">
        <f>_xll.EQNXTDZ($A$1,$B68,AL$5,$B$1)</f>
        <v>542.91700000000003</v>
      </c>
      <c r="AM68" s="55">
        <f>_xll.EQNXTDZ($A$1,$B68,AM$5,$B$1)</f>
        <v>0</v>
      </c>
      <c r="AN68" s="55">
        <f>_xll.EQNXTDZ($A$1,$B68,AN$5,$B$1)</f>
        <v>665.34299999999996</v>
      </c>
      <c r="AO68" s="55">
        <f>_xll.EQNXTDZ($A$1,$B68,AO$5,$B$1)</f>
        <v>0</v>
      </c>
      <c r="AP68" s="55">
        <f>_xll.EQNXTDZ($A$1,$B68,AP$5,$B$1)</f>
        <v>676.14800000000002</v>
      </c>
      <c r="AQ68" s="55">
        <f>_xll.EQNXTDZ($A$1,$B68,AQ$5,$B$1)</f>
        <v>0</v>
      </c>
      <c r="AR68" s="55">
        <f>_xll.EQNXTDZ($A$1,$B68,AR$5,$B$1)</f>
        <v>784.1</v>
      </c>
      <c r="AS68" s="55">
        <f>_xll.EQNXTDZ($A$1,$B68,AS$5,$B$1)</f>
        <v>0</v>
      </c>
      <c r="AT68" s="55">
        <f>_xll.EQNXTDZ($A$1,$B68,AT$5,$B$1)</f>
        <v>775.28300000000002</v>
      </c>
      <c r="AU68" s="55">
        <f>_xll.EQNXTDZ($A$1,$B68,AU$5,$B$1)</f>
        <v>0</v>
      </c>
      <c r="AV68" s="55">
        <f>_xll.EQNXTDZ($A$1,$B68,AV$5,$B$1)</f>
        <v>765.97199999999998</v>
      </c>
      <c r="AW68" s="55">
        <f>_xll.EQNXTDZ($A$1,$B68,AW$5,$B$1)</f>
        <v>0</v>
      </c>
      <c r="AX68" s="55">
        <f>_xll.EQNXTDZ($A$1,$B68,AX$5,$B$1)</f>
        <v>892.98</v>
      </c>
      <c r="AY68" s="55">
        <f>_xll.EQNXTDZ($A$1,$B68,AY$5,$B$1)</f>
        <v>0</v>
      </c>
      <c r="AZ68" s="55">
        <f>_xll.EQNXTDZ($A$1,$B68,AZ$5,$B$1)</f>
        <v>882.33699999999999</v>
      </c>
      <c r="BA68" s="55">
        <f>_xll.EQNXTDZ($A$1,$B68,BA$5,$B$1)</f>
        <v>0</v>
      </c>
      <c r="BB68" s="55">
        <f>_xll.EQNXTDZ($A$1,$B68,BB$5,$B$1)</f>
        <v>1001.232</v>
      </c>
      <c r="BC68" s="55">
        <f>_xll.EQNXTDZ($A$1,$B68,BC$5,$B$1)</f>
        <v>0</v>
      </c>
      <c r="BD68" s="55">
        <f>_xll.EQNXTDZ($A$1,$B68,BD$5,$B$1)</f>
        <v>1052.451</v>
      </c>
      <c r="BE68" s="55">
        <f>_xll.EQNXTDZ($A$1,$B68,BE$5,$B$1)</f>
        <v>0</v>
      </c>
      <c r="BF68" s="55">
        <f>_xll.EQNXTDZ($A$1,$B68,BF$5,$B$1)</f>
        <v>1037.5940000000001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190.18700000000001</v>
      </c>
      <c r="E71" s="55">
        <f>_xll.EQNXTDZ($A$1,$B71,E$5,$B$1)</f>
        <v>0</v>
      </c>
      <c r="F71" s="55">
        <f>_xll.EQNXTDZ($A$1,$B71,F$5,$B$1)</f>
        <v>234.05</v>
      </c>
      <c r="G71" s="55">
        <f>_xll.EQNXTDZ($A$1,$B71,G$5,$B$1)</f>
        <v>0</v>
      </c>
      <c r="H71" s="55">
        <f>_xll.EQNXTDZ($A$1,$B71,H$5,$B$1)</f>
        <v>227.01900000000001</v>
      </c>
      <c r="I71" s="55">
        <f>_xll.EQNXTDZ($A$1,$B71,I$5,$B$1)</f>
        <v>0</v>
      </c>
      <c r="J71" s="55">
        <f>_xll.EQNXTDZ($A$1,$B71,J$5,$B$1)</f>
        <v>325.08</v>
      </c>
      <c r="K71" s="55">
        <f>_xll.EQNXTDZ($A$1,$B71,K$5,$B$1)</f>
        <v>0</v>
      </c>
      <c r="L71" s="55">
        <f>_xll.EQNXTDZ($A$1,$B71,L$5,$B$1)</f>
        <v>320.7</v>
      </c>
      <c r="M71" s="55">
        <f>_xll.EQNXTDZ($A$1,$B71,M$5,$B$1)</f>
        <v>0</v>
      </c>
      <c r="N71" s="55">
        <f>_xll.EQNXTDZ($A$1,$B71,N$5,$B$1)</f>
        <v>341.10500000000002</v>
      </c>
      <c r="O71" s="55">
        <f>_xll.EQNXTDZ($A$1,$B71,O$5,$B$1)</f>
        <v>0</v>
      </c>
      <c r="P71" s="55">
        <f>_xll.EQNXTDZ($A$1,$B71,P$5,$B$1)</f>
        <v>312.673</v>
      </c>
      <c r="Q71" s="55">
        <f>_xll.EQNXTDZ($A$1,$B71,Q$5,$B$1)</f>
        <v>0</v>
      </c>
      <c r="R71" s="55">
        <f>_xll.EQNXTDZ($A$1,$B71,R$5,$B$1)</f>
        <v>340.815</v>
      </c>
      <c r="S71" s="55">
        <f>_xll.EQNXTDZ($A$1,$B71,S$5,$B$1)</f>
        <v>0</v>
      </c>
      <c r="T71" s="55">
        <f>_xll.EQNXTDZ($A$1,$B71,T$5,$B$1)</f>
        <v>315.45600000000002</v>
      </c>
      <c r="U71" s="55">
        <f>_xll.EQNXTDZ($A$1,$B71,U$5,$B$1)</f>
        <v>0</v>
      </c>
      <c r="V71" s="55">
        <f>_xll.EQNXTDZ($A$1,$B71,V$5,$B$1)</f>
        <v>325.48</v>
      </c>
      <c r="W71" s="55">
        <f>_xll.EQNXTDZ($A$1,$B71,W$5,$B$1)</f>
        <v>0</v>
      </c>
      <c r="X71" s="55">
        <f>_xll.EQNXTDZ($A$1,$B71,X$5,$B$1)</f>
        <v>302.67099999999999</v>
      </c>
      <c r="Y71" s="55">
        <f>_xll.EQNXTDZ($A$1,$B71,Y$5,$B$1)</f>
        <v>0</v>
      </c>
      <c r="Z71" s="55">
        <f>_xll.EQNXTDZ($A$1,$B71,Z$5,$B$1)</f>
        <v>316.05799999999999</v>
      </c>
      <c r="AA71" s="55">
        <f>_xll.EQNXTDZ($A$1,$B71,AA$5,$B$1)</f>
        <v>0</v>
      </c>
      <c r="AB71" s="55">
        <f>_xll.EQNXTDZ($A$1,$B71,AB$5,$B$1)</f>
        <v>308.27699999999999</v>
      </c>
      <c r="AC71" s="55">
        <f>_xll.EQNXTDZ($A$1,$B71,AC$5,$B$1)</f>
        <v>0</v>
      </c>
      <c r="AD71" s="55">
        <f>_xll.EQNXTDZ($A$1,$B71,AD$5,$B$1)</f>
        <v>319.74599999999998</v>
      </c>
      <c r="AE71" s="55">
        <f>_xll.EQNXTDZ($A$1,$B71,AE$5,$B$1)</f>
        <v>0</v>
      </c>
      <c r="AF71" s="55">
        <f>_xll.EQNXTDZ($A$1,$B71,AF$5,$B$1)</f>
        <v>583.649</v>
      </c>
      <c r="AG71" s="55">
        <f>_xll.EQNXTDZ($A$1,$B71,AG$5,$B$1)</f>
        <v>0</v>
      </c>
      <c r="AH71" s="55">
        <f>_xll.EQNXTDZ($A$1,$B71,AH$5,$B$1)</f>
        <v>573.00099999999998</v>
      </c>
      <c r="AI71" s="55">
        <f>_xll.EQNXTDZ($A$1,$B71,AI$5,$B$1)</f>
        <v>0</v>
      </c>
      <c r="AJ71" s="55">
        <f>_xll.EQNXTDZ($A$1,$B71,AJ$5,$B$1)</f>
        <v>556.74800000000005</v>
      </c>
      <c r="AK71" s="55">
        <f>_xll.EQNXTDZ($A$1,$B71,AK$5,$B$1)</f>
        <v>0</v>
      </c>
      <c r="AL71" s="55">
        <f>_xll.EQNXTDZ($A$1,$B71,AL$5,$B$1)</f>
        <v>542.91700000000003</v>
      </c>
      <c r="AM71" s="55">
        <f>_xll.EQNXTDZ($A$1,$B71,AM$5,$B$1)</f>
        <v>0</v>
      </c>
      <c r="AN71" s="55">
        <f>_xll.EQNXTDZ($A$1,$B71,AN$5,$B$1)</f>
        <v>665.34299999999996</v>
      </c>
      <c r="AO71" s="55">
        <f>_xll.EQNXTDZ($A$1,$B71,AO$5,$B$1)</f>
        <v>0</v>
      </c>
      <c r="AP71" s="55">
        <f>_xll.EQNXTDZ($A$1,$B71,AP$5,$B$1)</f>
        <v>676.14800000000002</v>
      </c>
      <c r="AQ71" s="55">
        <f>_xll.EQNXTDZ($A$1,$B71,AQ$5,$B$1)</f>
        <v>0</v>
      </c>
      <c r="AR71" s="55">
        <f>_xll.EQNXTDZ($A$1,$B71,AR$5,$B$1)</f>
        <v>784.1</v>
      </c>
      <c r="AS71" s="55">
        <f>_xll.EQNXTDZ($A$1,$B71,AS$5,$B$1)</f>
        <v>0</v>
      </c>
      <c r="AT71" s="55">
        <f>_xll.EQNXTDZ($A$1,$B71,AT$5,$B$1)</f>
        <v>775.28300000000002</v>
      </c>
      <c r="AU71" s="55">
        <f>_xll.EQNXTDZ($A$1,$B71,AU$5,$B$1)</f>
        <v>0</v>
      </c>
      <c r="AV71" s="55">
        <f>_xll.EQNXTDZ($A$1,$B71,AV$5,$B$1)</f>
        <v>765.97199999999998</v>
      </c>
      <c r="AW71" s="55">
        <f>_xll.EQNXTDZ($A$1,$B71,AW$5,$B$1)</f>
        <v>0</v>
      </c>
      <c r="AX71" s="55">
        <f>_xll.EQNXTDZ($A$1,$B71,AX$5,$B$1)</f>
        <v>892.98</v>
      </c>
      <c r="AY71" s="55">
        <f>_xll.EQNXTDZ($A$1,$B71,AY$5,$B$1)</f>
        <v>0</v>
      </c>
      <c r="AZ71" s="55">
        <f>_xll.EQNXTDZ($A$1,$B71,AZ$5,$B$1)</f>
        <v>882.33699999999999</v>
      </c>
      <c r="BA71" s="55">
        <f>_xll.EQNXTDZ($A$1,$B71,BA$5,$B$1)</f>
        <v>0</v>
      </c>
      <c r="BB71" s="55">
        <f>_xll.EQNXTDZ($A$1,$B71,BB$5,$B$1)</f>
        <v>1001.232</v>
      </c>
      <c r="BC71" s="55">
        <f>_xll.EQNXTDZ($A$1,$B71,BC$5,$B$1)</f>
        <v>0</v>
      </c>
      <c r="BD71" s="55">
        <f>_xll.EQNXTDZ($A$1,$B71,BD$5,$B$1)</f>
        <v>1052.451</v>
      </c>
      <c r="BE71" s="55">
        <f>_xll.EQNXTDZ($A$1,$B71,BE$5,$B$1)</f>
        <v>0</v>
      </c>
      <c r="BF71" s="55">
        <f>_xll.EQNXTDZ($A$1,$B71,BF$5,$B$1)</f>
        <v>1037.5940000000001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51.76</v>
      </c>
      <c r="E74" s="55">
        <f>_xll.EQNXTDZ($A$1,$B74,E$5,$B$1)</f>
        <v>0</v>
      </c>
      <c r="F74" s="55">
        <f>_xll.EQNXTDZ($A$1,$B74,F$5,$B$1)</f>
        <v>62.923000000000002</v>
      </c>
      <c r="G74" s="55">
        <f>_xll.EQNXTDZ($A$1,$B74,G$5,$B$1)</f>
        <v>0</v>
      </c>
      <c r="H74" s="55">
        <f>_xll.EQNXTDZ($A$1,$B74,H$5,$B$1)</f>
        <v>93.805000000000007</v>
      </c>
      <c r="I74" s="55">
        <f>_xll.EQNXTDZ($A$1,$B74,I$5,$B$1)</f>
        <v>0</v>
      </c>
      <c r="J74" s="55">
        <f>_xll.EQNXTDZ($A$1,$B74,J$5,$B$1)</f>
        <v>8.1199999999999992</v>
      </c>
      <c r="K74" s="55">
        <f>_xll.EQNXTDZ($A$1,$B74,K$5,$B$1)</f>
        <v>0</v>
      </c>
      <c r="L74" s="55">
        <f>_xll.EQNXTDZ($A$1,$B74,L$5,$B$1)</f>
        <v>8.43</v>
      </c>
      <c r="M74" s="55">
        <f>_xll.EQNXTDZ($A$1,$B74,M$5,$B$1)</f>
        <v>0</v>
      </c>
      <c r="N74" s="55">
        <f>_xll.EQNXTDZ($A$1,$B74,N$5,$B$1)</f>
        <v>3.3210000000000002</v>
      </c>
      <c r="O74" s="55">
        <f>_xll.EQNXTDZ($A$1,$B74,O$5,$B$1)</f>
        <v>0</v>
      </c>
      <c r="P74" s="55">
        <f>_xll.EQNXTDZ($A$1,$B74,P$5,$B$1)</f>
        <v>7.2930000000000001</v>
      </c>
      <c r="Q74" s="55">
        <f>_xll.EQNXTDZ($A$1,$B74,Q$5,$B$1)</f>
        <v>0</v>
      </c>
      <c r="R74" s="55">
        <f>_xll.EQNXTDZ($A$1,$B74,R$5,$B$1)</f>
        <v>16.260999999999999</v>
      </c>
      <c r="S74" s="55">
        <f>_xll.EQNXTDZ($A$1,$B74,S$5,$B$1)</f>
        <v>0</v>
      </c>
      <c r="T74" s="55">
        <f>_xll.EQNXTDZ($A$1,$B74,T$5,$B$1)</f>
        <v>16.759</v>
      </c>
      <c r="U74" s="55">
        <f>_xll.EQNXTDZ($A$1,$B74,U$5,$B$1)</f>
        <v>0</v>
      </c>
      <c r="V74" s="55">
        <f>_xll.EQNXTDZ($A$1,$B74,V$5,$B$1)</f>
        <v>25.082999999999998</v>
      </c>
      <c r="W74" s="55">
        <f>_xll.EQNXTDZ($A$1,$B74,W$5,$B$1)</f>
        <v>0</v>
      </c>
      <c r="X74" s="55">
        <f>_xll.EQNXTDZ($A$1,$B74,X$5,$B$1)</f>
        <v>43.661000000000001</v>
      </c>
      <c r="Y74" s="55">
        <f>_xll.EQNXTDZ($A$1,$B74,Y$5,$B$1)</f>
        <v>0</v>
      </c>
      <c r="Z74" s="55">
        <f>_xll.EQNXTDZ($A$1,$B74,Z$5,$B$1)</f>
        <v>123.13</v>
      </c>
      <c r="AA74" s="55">
        <f>_xll.EQNXTDZ($A$1,$B74,AA$5,$B$1)</f>
        <v>0</v>
      </c>
      <c r="AB74" s="55">
        <f>_xll.EQNXTDZ($A$1,$B74,AB$5,$B$1)</f>
        <v>74.471000000000004</v>
      </c>
      <c r="AC74" s="55">
        <f>_xll.EQNXTDZ($A$1,$B74,AC$5,$B$1)</f>
        <v>0</v>
      </c>
      <c r="AD74" s="55">
        <f>_xll.EQNXTDZ($A$1,$B74,AD$5,$B$1)</f>
        <v>269.45999999999998</v>
      </c>
      <c r="AE74" s="55">
        <f>_xll.EQNXTDZ($A$1,$B74,AE$5,$B$1)</f>
        <v>0</v>
      </c>
      <c r="AF74" s="55">
        <f>_xll.EQNXTDZ($A$1,$B74,AF$5,$B$1)</f>
        <v>22.003</v>
      </c>
      <c r="AG74" s="55">
        <f>_xll.EQNXTDZ($A$1,$B74,AG$5,$B$1)</f>
        <v>0</v>
      </c>
      <c r="AH74" s="55">
        <f>_xll.EQNXTDZ($A$1,$B74,AH$5,$B$1)</f>
        <v>46.267000000000003</v>
      </c>
      <c r="AI74" s="55">
        <f>_xll.EQNXTDZ($A$1,$B74,AI$5,$B$1)</f>
        <v>0</v>
      </c>
      <c r="AJ74" s="55">
        <f>_xll.EQNXTDZ($A$1,$B74,AJ$5,$B$1)</f>
        <v>98.65</v>
      </c>
      <c r="AK74" s="55">
        <f>_xll.EQNXTDZ($A$1,$B74,AK$5,$B$1)</f>
        <v>0</v>
      </c>
      <c r="AL74" s="55">
        <f>_xll.EQNXTDZ($A$1,$B74,AL$5,$B$1)</f>
        <v>173.27600000000001</v>
      </c>
      <c r="AM74" s="55">
        <f>_xll.EQNXTDZ($A$1,$B74,AM$5,$B$1)</f>
        <v>0</v>
      </c>
      <c r="AN74" s="55">
        <f>_xll.EQNXTDZ($A$1,$B74,AN$5,$B$1)</f>
        <v>79.207999999999998</v>
      </c>
      <c r="AO74" s="55">
        <f>_xll.EQNXTDZ($A$1,$B74,AO$5,$B$1)</f>
        <v>0</v>
      </c>
      <c r="AP74" s="55">
        <f>_xll.EQNXTDZ($A$1,$B74,AP$5,$B$1)</f>
        <v>140.93600000000001</v>
      </c>
      <c r="AQ74" s="55">
        <f>_xll.EQNXTDZ($A$1,$B74,AQ$5,$B$1)</f>
        <v>0</v>
      </c>
      <c r="AR74" s="55">
        <f>_xll.EQNXTDZ($A$1,$B74,AR$5,$B$1)</f>
        <v>34.831000000000003</v>
      </c>
      <c r="AS74" s="55">
        <f>_xll.EQNXTDZ($A$1,$B74,AS$5,$B$1)</f>
        <v>0</v>
      </c>
      <c r="AT74" s="55">
        <f>_xll.EQNXTDZ($A$1,$B74,AT$5,$B$1)</f>
        <v>113.23</v>
      </c>
      <c r="AU74" s="55">
        <f>_xll.EQNXTDZ($A$1,$B74,AU$5,$B$1)</f>
        <v>0</v>
      </c>
      <c r="AV74" s="55">
        <f>_xll.EQNXTDZ($A$1,$B74,AV$5,$B$1)</f>
        <v>195.50700000000001</v>
      </c>
      <c r="AW74" s="55">
        <f>_xll.EQNXTDZ($A$1,$B74,AW$5,$B$1)</f>
        <v>0</v>
      </c>
      <c r="AX74" s="55">
        <f>_xll.EQNXTDZ($A$1,$B74,AX$5,$B$1)</f>
        <v>202.59399999999999</v>
      </c>
      <c r="AY74" s="55">
        <f>_xll.EQNXTDZ($A$1,$B74,AY$5,$B$1)</f>
        <v>0</v>
      </c>
      <c r="AZ74" s="55">
        <f>_xll.EQNXTDZ($A$1,$B74,AZ$5,$B$1)</f>
        <v>283.11200000000002</v>
      </c>
      <c r="BA74" s="55">
        <f>_xll.EQNXTDZ($A$1,$B74,BA$5,$B$1)</f>
        <v>0</v>
      </c>
      <c r="BB74" s="55">
        <f>_xll.EQNXTDZ($A$1,$B74,BB$5,$B$1)</f>
        <v>234.33</v>
      </c>
      <c r="BC74" s="55">
        <f>_xll.EQNXTDZ($A$1,$B74,BC$5,$B$1)</f>
        <v>0</v>
      </c>
      <c r="BD74" s="55">
        <f>_xll.EQNXTDZ($A$1,$B74,BD$5,$B$1)</f>
        <v>339.23399999999998</v>
      </c>
      <c r="BE74" s="55">
        <f>_xll.EQNXTDZ($A$1,$B74,BE$5,$B$1)</f>
        <v>0</v>
      </c>
      <c r="BF74" s="55">
        <f>_xll.EQNXTDZ($A$1,$B74,BF$5,$B$1)</f>
        <v>512.029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20.652999999999999</v>
      </c>
      <c r="E77" s="55">
        <f>_xll.EQNXTDZ($A$1,$B77,E$5,$B$1)</f>
        <v>0</v>
      </c>
      <c r="F77" s="55">
        <f>_xll.EQNXTDZ($A$1,$B77,F$5,$B$1)</f>
        <v>0.71</v>
      </c>
      <c r="G77" s="55">
        <f>_xll.EQNXTDZ($A$1,$B77,G$5,$B$1)</f>
        <v>0</v>
      </c>
      <c r="H77" s="55">
        <f>_xll.EQNXTDZ($A$1,$B77,H$5,$B$1)</f>
        <v>0.71299999999999997</v>
      </c>
      <c r="I77" s="55">
        <f>_xll.EQNXTDZ($A$1,$B77,I$5,$B$1)</f>
        <v>0</v>
      </c>
      <c r="J77" s="55">
        <f>_xll.EQNXTDZ($A$1,$B77,J$5,$B$1)</f>
        <v>0.71</v>
      </c>
      <c r="K77" s="55">
        <f>_xll.EQNXTDZ($A$1,$B77,K$5,$B$1)</f>
        <v>0</v>
      </c>
      <c r="L77" s="55">
        <f>_xll.EQNXTDZ($A$1,$B77,L$5,$B$1)</f>
        <v>0.71</v>
      </c>
      <c r="M77" s="55">
        <f>_xll.EQNXTDZ($A$1,$B77,M$5,$B$1)</f>
        <v>0</v>
      </c>
      <c r="N77" s="55">
        <f>_xll.EQNXTDZ($A$1,$B77,N$5,$B$1)</f>
        <v>1.4999999999999999E-2</v>
      </c>
      <c r="O77" s="55">
        <f>_xll.EQNXTDZ($A$1,$B77,O$5,$B$1)</f>
        <v>0</v>
      </c>
      <c r="P77" s="55">
        <f>_xll.EQNXTDZ($A$1,$B77,P$5,$B$1)</f>
        <v>0.71299999999999997</v>
      </c>
      <c r="Q77" s="55">
        <f>_xll.EQNXTDZ($A$1,$B77,Q$5,$B$1)</f>
        <v>0</v>
      </c>
      <c r="R77" s="55">
        <f>_xll.EQNXTDZ($A$1,$B77,R$5,$B$1)</f>
        <v>1.4999999999999999E-2</v>
      </c>
      <c r="S77" s="55">
        <f>_xll.EQNXTDZ($A$1,$B77,S$5,$B$1)</f>
        <v>0</v>
      </c>
      <c r="T77" s="55">
        <f>_xll.EQNXTDZ($A$1,$B77,T$5,$B$1)</f>
        <v>30.152999999999999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30.148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66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5.0190000000000001</v>
      </c>
      <c r="AQ77" s="55">
        <f>_xll.EQNXTDZ($A$1,$B77,AQ$5,$B$1)</f>
        <v>0</v>
      </c>
      <c r="AR77" s="55">
        <f>_xll.EQNXTDZ($A$1,$B77,AR$5,$B$1)</f>
        <v>1E-3</v>
      </c>
      <c r="AS77" s="55">
        <f>_xll.EQNXTDZ($A$1,$B77,AS$5,$B$1)</f>
        <v>0</v>
      </c>
      <c r="AT77" s="55">
        <f>_xll.EQNXTDZ($A$1,$B77,AT$5,$B$1)</f>
        <v>5.2210000000000001</v>
      </c>
      <c r="AU77" s="55">
        <f>_xll.EQNXTDZ($A$1,$B77,AU$5,$B$1)</f>
        <v>0</v>
      </c>
      <c r="AV77" s="55">
        <f>_xll.EQNXTDZ($A$1,$B77,AV$5,$B$1)</f>
        <v>5.1189999999999998</v>
      </c>
      <c r="AW77" s="55">
        <f>_xll.EQNXTDZ($A$1,$B77,AW$5,$B$1)</f>
        <v>0</v>
      </c>
      <c r="AX77" s="55">
        <f>_xll.EQNXTDZ($A$1,$B77,AX$5,$B$1)</f>
        <v>5.016</v>
      </c>
      <c r="AY77" s="55">
        <f>_xll.EQNXTDZ($A$1,$B77,AY$5,$B$1)</f>
        <v>0</v>
      </c>
      <c r="AZ77" s="55">
        <f>_xll.EQNXTDZ($A$1,$B77,AZ$5,$B$1)</f>
        <v>4.9130000000000003</v>
      </c>
      <c r="BA77" s="55">
        <f>_xll.EQNXTDZ($A$1,$B77,BA$5,$B$1)</f>
        <v>0</v>
      </c>
      <c r="BB77" s="55">
        <f>_xll.EQNXTDZ($A$1,$B77,BB$5,$B$1)</f>
        <v>4.8099999999999996</v>
      </c>
      <c r="BC77" s="55">
        <f>_xll.EQNXTDZ($A$1,$B77,BC$5,$B$1)</f>
        <v>0</v>
      </c>
      <c r="BD77" s="55">
        <f>_xll.EQNXTDZ($A$1,$B77,BD$5,$B$1)</f>
        <v>4.7069999999999999</v>
      </c>
      <c r="BE77" s="55">
        <f>_xll.EQNXTDZ($A$1,$B77,BE$5,$B$1)</f>
        <v>0</v>
      </c>
      <c r="BF77" s="55">
        <f>_xll.EQNXTDZ($A$1,$B77,BF$5,$B$1)</f>
        <v>4.6040000000000001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0.76500000000000001</v>
      </c>
      <c r="E78" s="55">
        <f>_xll.EQNXTDZ($A$1,$B78,E$5,$B$1)</f>
        <v>0</v>
      </c>
      <c r="F78" s="55">
        <f>_xll.EQNXTDZ($A$1,$B78,F$5,$B$1)</f>
        <v>0.75</v>
      </c>
      <c r="G78" s="55">
        <f>_xll.EQNXTDZ($A$1,$B78,G$5,$B$1)</f>
        <v>0</v>
      </c>
      <c r="H78" s="55">
        <f>_xll.EQNXTDZ($A$1,$B78,H$5,$B$1)</f>
        <v>0.754</v>
      </c>
      <c r="I78" s="55">
        <f>_xll.EQNXTDZ($A$1,$B78,I$5,$B$1)</f>
        <v>0</v>
      </c>
      <c r="J78" s="55">
        <f>_xll.EQNXTDZ($A$1,$B78,J$5,$B$1)</f>
        <v>0.74</v>
      </c>
      <c r="K78" s="55">
        <f>_xll.EQNXTDZ($A$1,$B78,K$5,$B$1)</f>
        <v>0</v>
      </c>
      <c r="L78" s="55">
        <f>_xll.EQNXTDZ($A$1,$B78,L$5,$B$1)</f>
        <v>0.75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0.73899999999999999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15.084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1.091</v>
      </c>
      <c r="E79" s="55">
        <f>_xll.EQNXTDZ($A$1,$B79,E$5,$B$1)</f>
        <v>0</v>
      </c>
      <c r="F79" s="55">
        <f>_xll.EQNXTDZ($A$1,$B79,F$5,$B$1)</f>
        <v>2.0499999999999998</v>
      </c>
      <c r="G79" s="55">
        <f>_xll.EQNXTDZ($A$1,$B79,G$5,$B$1)</f>
        <v>0</v>
      </c>
      <c r="H79" s="55">
        <f>_xll.EQNXTDZ($A$1,$B79,H$5,$B$1)</f>
        <v>2.177</v>
      </c>
      <c r="I79" s="55">
        <f>_xll.EQNXTDZ($A$1,$B79,I$5,$B$1)</f>
        <v>0</v>
      </c>
      <c r="J79" s="55">
        <f>_xll.EQNXTDZ($A$1,$B79,J$5,$B$1)</f>
        <v>2.2799999999999998</v>
      </c>
      <c r="K79" s="55">
        <f>_xll.EQNXTDZ($A$1,$B79,K$5,$B$1)</f>
        <v>0</v>
      </c>
      <c r="L79" s="55">
        <f>_xll.EQNXTDZ($A$1,$B79,L$5,$B$1)</f>
        <v>2.21</v>
      </c>
      <c r="M79" s="55">
        <f>_xll.EQNXTDZ($A$1,$B79,M$5,$B$1)</f>
        <v>0</v>
      </c>
      <c r="N79" s="55">
        <f>_xll.EQNXTDZ($A$1,$B79,N$5,$B$1)</f>
        <v>2.3109999999999999</v>
      </c>
      <c r="O79" s="55">
        <f>_xll.EQNXTDZ($A$1,$B79,O$5,$B$1)</f>
        <v>0</v>
      </c>
      <c r="P79" s="55">
        <f>_xll.EQNXTDZ($A$1,$B79,P$5,$B$1)</f>
        <v>2.2509999999999999</v>
      </c>
      <c r="Q79" s="55">
        <f>_xll.EQNXTDZ($A$1,$B79,Q$5,$B$1)</f>
        <v>0</v>
      </c>
      <c r="R79" s="55">
        <f>_xll.EQNXTDZ($A$1,$B79,R$5,$B$1)</f>
        <v>2.319</v>
      </c>
      <c r="S79" s="55">
        <f>_xll.EQNXTDZ($A$1,$B79,S$5,$B$1)</f>
        <v>0</v>
      </c>
      <c r="T79" s="55">
        <f>_xll.EQNXTDZ($A$1,$B79,T$5,$B$1)</f>
        <v>2.258</v>
      </c>
      <c r="U79" s="55">
        <f>_xll.EQNXTDZ($A$1,$B79,U$5,$B$1)</f>
        <v>0</v>
      </c>
      <c r="V79" s="55">
        <f>_xll.EQNXTDZ($A$1,$B79,V$5,$B$1)</f>
        <v>4.891</v>
      </c>
      <c r="W79" s="55">
        <f>_xll.EQNXTDZ($A$1,$B79,W$5,$B$1)</f>
        <v>0</v>
      </c>
      <c r="X79" s="55">
        <f>_xll.EQNXTDZ($A$1,$B79,X$5,$B$1)</f>
        <v>30.562999999999999</v>
      </c>
      <c r="Y79" s="55">
        <f>_xll.EQNXTDZ($A$1,$B79,Y$5,$B$1)</f>
        <v>0</v>
      </c>
      <c r="Z79" s="55">
        <f>_xll.EQNXTDZ($A$1,$B79,Z$5,$B$1)</f>
        <v>53.933</v>
      </c>
      <c r="AA79" s="55">
        <f>_xll.EQNXTDZ($A$1,$B79,AA$5,$B$1)</f>
        <v>0</v>
      </c>
      <c r="AB79" s="55">
        <f>_xll.EQNXTDZ($A$1,$B79,AB$5,$B$1)</f>
        <v>120.166</v>
      </c>
      <c r="AC79" s="55">
        <f>_xll.EQNXTDZ($A$1,$B79,AC$5,$B$1)</f>
        <v>0</v>
      </c>
      <c r="AD79" s="55">
        <f>_xll.EQNXTDZ($A$1,$B79,AD$5,$B$1)</f>
        <v>7.2779999999999996</v>
      </c>
      <c r="AE79" s="55">
        <f>_xll.EQNXTDZ($A$1,$B79,AE$5,$B$1)</f>
        <v>0</v>
      </c>
      <c r="AF79" s="55">
        <f>_xll.EQNXTDZ($A$1,$B79,AF$5,$B$1)</f>
        <v>8.2690000000000001</v>
      </c>
      <c r="AG79" s="55">
        <f>_xll.EQNXTDZ($A$1,$B79,AG$5,$B$1)</f>
        <v>0</v>
      </c>
      <c r="AH79" s="55">
        <f>_xll.EQNXTDZ($A$1,$B79,AH$5,$B$1)</f>
        <v>33.225000000000001</v>
      </c>
      <c r="AI79" s="55">
        <f>_xll.EQNXTDZ($A$1,$B79,AI$5,$B$1)</f>
        <v>0</v>
      </c>
      <c r="AJ79" s="55">
        <f>_xll.EQNXTDZ($A$1,$B79,AJ$5,$B$1)</f>
        <v>25.594000000000001</v>
      </c>
      <c r="AK79" s="55">
        <f>_xll.EQNXTDZ($A$1,$B79,AK$5,$B$1)</f>
        <v>0</v>
      </c>
      <c r="AL79" s="55">
        <f>_xll.EQNXTDZ($A$1,$B79,AL$5,$B$1)</f>
        <v>17.052</v>
      </c>
      <c r="AM79" s="55">
        <f>_xll.EQNXTDZ($A$1,$B79,AM$5,$B$1)</f>
        <v>0</v>
      </c>
      <c r="AN79" s="55">
        <f>_xll.EQNXTDZ($A$1,$B79,AN$5,$B$1)</f>
        <v>15.840999999999999</v>
      </c>
      <c r="AO79" s="55">
        <f>_xll.EQNXTDZ($A$1,$B79,AO$5,$B$1)</f>
        <v>0</v>
      </c>
      <c r="AP79" s="55">
        <f>_xll.EQNXTDZ($A$1,$B79,AP$5,$B$1)</f>
        <v>16.064</v>
      </c>
      <c r="AQ79" s="55">
        <f>_xll.EQNXTDZ($A$1,$B79,AQ$5,$B$1)</f>
        <v>0</v>
      </c>
      <c r="AR79" s="55">
        <f>_xll.EQNXTDZ($A$1,$B79,AR$5,$B$1)</f>
        <v>29.977</v>
      </c>
      <c r="AS79" s="55">
        <f>_xll.EQNXTDZ($A$1,$B79,AS$5,$B$1)</f>
        <v>0</v>
      </c>
      <c r="AT79" s="55">
        <f>_xll.EQNXTDZ($A$1,$B79,AT$5,$B$1)</f>
        <v>36.652999999999999</v>
      </c>
      <c r="AU79" s="55">
        <f>_xll.EQNXTDZ($A$1,$B79,AU$5,$B$1)</f>
        <v>0</v>
      </c>
      <c r="AV79" s="55">
        <f>_xll.EQNXTDZ($A$1,$B79,AV$5,$B$1)</f>
        <v>53.881999999999998</v>
      </c>
      <c r="AW79" s="55">
        <f>_xll.EQNXTDZ($A$1,$B79,AW$5,$B$1)</f>
        <v>0</v>
      </c>
      <c r="AX79" s="55">
        <f>_xll.EQNXTDZ($A$1,$B79,AX$5,$B$1)</f>
        <v>48.582000000000001</v>
      </c>
      <c r="AY79" s="55">
        <f>_xll.EQNXTDZ($A$1,$B79,AY$5,$B$1)</f>
        <v>0</v>
      </c>
      <c r="AZ79" s="55">
        <f>_xll.EQNXTDZ($A$1,$B79,AZ$5,$B$1)</f>
        <v>39.328000000000003</v>
      </c>
      <c r="BA79" s="55">
        <f>_xll.EQNXTDZ($A$1,$B79,BA$5,$B$1)</f>
        <v>0</v>
      </c>
      <c r="BB79" s="55">
        <f>_xll.EQNXTDZ($A$1,$B79,BB$5,$B$1)</f>
        <v>70.78</v>
      </c>
      <c r="BC79" s="55">
        <f>_xll.EQNXTDZ($A$1,$B79,BC$5,$B$1)</f>
        <v>0</v>
      </c>
      <c r="BD79" s="55">
        <f>_xll.EQNXTDZ($A$1,$B79,BD$5,$B$1)</f>
        <v>86.15</v>
      </c>
      <c r="BE79" s="55">
        <f>_xll.EQNXTDZ($A$1,$B79,BE$5,$B$1)</f>
        <v>0</v>
      </c>
      <c r="BF79" s="55">
        <f>_xll.EQNXTDZ($A$1,$B79,BF$5,$B$1)</f>
        <v>247.41800000000001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19.940000000000001</v>
      </c>
      <c r="G80" s="55">
        <f>_xll.EQNXTDZ($A$1,$B80,G$5,$B$1)</f>
        <v>0</v>
      </c>
      <c r="H80" s="55">
        <f>_xll.EQNXTDZ($A$1,$B80,H$5,$B$1)</f>
        <v>19.940000000000001</v>
      </c>
      <c r="I80" s="55">
        <f>_xll.EQNXTDZ($A$1,$B80,I$5,$B$1)</f>
        <v>0</v>
      </c>
      <c r="J80" s="55">
        <f>_xll.EQNXTDZ($A$1,$B80,J$5,$B$1)</f>
        <v>19.940000000000001</v>
      </c>
      <c r="K80" s="55">
        <f>_xll.EQNXTDZ($A$1,$B80,K$5,$B$1)</f>
        <v>0</v>
      </c>
      <c r="L80" s="55">
        <f>_xll.EQNXTDZ($A$1,$B80,L$5,$B$1)</f>
        <v>29.44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29.44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1.4999999999999999E-2</v>
      </c>
      <c r="W80" s="55">
        <f>_xll.EQNXTDZ($A$1,$B80,W$5,$B$1)</f>
        <v>0</v>
      </c>
      <c r="X80" s="55">
        <f>_xll.EQNXTDZ($A$1,$B80,X$5,$B$1)</f>
        <v>5.0000000000000001E-3</v>
      </c>
      <c r="Y80" s="55">
        <f>_xll.EQNXTDZ($A$1,$B80,Y$5,$B$1)</f>
        <v>0</v>
      </c>
      <c r="Z80" s="55">
        <f>_xll.EQNXTDZ($A$1,$B80,Z$5,$B$1)</f>
        <v>5.0000000000000001E-3</v>
      </c>
      <c r="AA80" s="55">
        <f>_xll.EQNXTDZ($A$1,$B80,AA$5,$B$1)</f>
        <v>0</v>
      </c>
      <c r="AB80" s="55">
        <f>_xll.EQNXTDZ($A$1,$B80,AB$5,$B$1)</f>
        <v>67.685000000000002</v>
      </c>
      <c r="AC80" s="55">
        <f>_xll.EQNXTDZ($A$1,$B80,AC$5,$B$1)</f>
        <v>0</v>
      </c>
      <c r="AD80" s="55">
        <f>_xll.EQNXTDZ($A$1,$B80,AD$5,$B$1)</f>
        <v>1E-3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47.500999999999998</v>
      </c>
      <c r="AI80" s="55">
        <f>_xll.EQNXTDZ($A$1,$B80,AI$5,$B$1)</f>
        <v>0</v>
      </c>
      <c r="AJ80" s="55">
        <f>_xll.EQNXTDZ($A$1,$B80,AJ$5,$B$1)</f>
        <v>1E-3</v>
      </c>
      <c r="AK80" s="55">
        <f>_xll.EQNXTDZ($A$1,$B80,AK$5,$B$1)</f>
        <v>0</v>
      </c>
      <c r="AL80" s="55">
        <f>_xll.EQNXTDZ($A$1,$B80,AL$5,$B$1)</f>
        <v>1E-3</v>
      </c>
      <c r="AM80" s="55">
        <f>_xll.EQNXTDZ($A$1,$B80,AM$5,$B$1)</f>
        <v>0</v>
      </c>
      <c r="AN80" s="55">
        <f>_xll.EQNXTDZ($A$1,$B80,AN$5,$B$1)</f>
        <v>1E-3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25.369</v>
      </c>
      <c r="AS80" s="55">
        <f>_xll.EQNXTDZ($A$1,$B80,AS$5,$B$1)</f>
        <v>0</v>
      </c>
      <c r="AT80" s="55">
        <f>_xll.EQNXTDZ($A$1,$B80,AT$5,$B$1)</f>
        <v>72.653000000000006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89.93</v>
      </c>
      <c r="E81" s="55">
        <f>_xll.EQNXTDZ($A$1,$B81,E$5,$B$1)</f>
        <v>0</v>
      </c>
      <c r="F81" s="55">
        <f>_xll.EQNXTDZ($A$1,$B81,F$5,$B$1)</f>
        <v>56.75</v>
      </c>
      <c r="G81" s="55">
        <f>_xll.EQNXTDZ($A$1,$B81,G$5,$B$1)</f>
        <v>0</v>
      </c>
      <c r="H81" s="55">
        <f>_xll.EQNXTDZ($A$1,$B81,H$5,$B$1)</f>
        <v>89.790999999999997</v>
      </c>
      <c r="I81" s="55">
        <f>_xll.EQNXTDZ($A$1,$B81,I$5,$B$1)</f>
        <v>0</v>
      </c>
      <c r="J81" s="55">
        <f>_xll.EQNXTDZ($A$1,$B81,J$5,$B$1)</f>
        <v>90.63</v>
      </c>
      <c r="K81" s="55">
        <f>_xll.EQNXTDZ($A$1,$B81,K$5,$B$1)</f>
        <v>0</v>
      </c>
      <c r="L81" s="55">
        <f>_xll.EQNXTDZ($A$1,$B81,L$5,$B$1)</f>
        <v>107.42</v>
      </c>
      <c r="M81" s="55">
        <f>_xll.EQNXTDZ($A$1,$B81,M$5,$B$1)</f>
        <v>0</v>
      </c>
      <c r="N81" s="55">
        <f>_xll.EQNXTDZ($A$1,$B81,N$5,$B$1)</f>
        <v>112.377</v>
      </c>
      <c r="O81" s="55">
        <f>_xll.EQNXTDZ($A$1,$B81,O$5,$B$1)</f>
        <v>0</v>
      </c>
      <c r="P81" s="55">
        <f>_xll.EQNXTDZ($A$1,$B81,P$5,$B$1)</f>
        <v>69.361999999999995</v>
      </c>
      <c r="Q81" s="55">
        <f>_xll.EQNXTDZ($A$1,$B81,Q$5,$B$1)</f>
        <v>0</v>
      </c>
      <c r="R81" s="55">
        <f>_xll.EQNXTDZ($A$1,$B81,R$5,$B$1)</f>
        <v>78.031000000000006</v>
      </c>
      <c r="S81" s="55">
        <f>_xll.EQNXTDZ($A$1,$B81,S$5,$B$1)</f>
        <v>0</v>
      </c>
      <c r="T81" s="55">
        <f>_xll.EQNXTDZ($A$1,$B81,T$5,$B$1)</f>
        <v>68.707999999999998</v>
      </c>
      <c r="U81" s="55">
        <f>_xll.EQNXTDZ($A$1,$B81,U$5,$B$1)</f>
        <v>0</v>
      </c>
      <c r="V81" s="55">
        <f>_xll.EQNXTDZ($A$1,$B81,V$5,$B$1)</f>
        <v>98.980999999999995</v>
      </c>
      <c r="W81" s="55">
        <f>_xll.EQNXTDZ($A$1,$B81,W$5,$B$1)</f>
        <v>0</v>
      </c>
      <c r="X81" s="55">
        <f>_xll.EQNXTDZ($A$1,$B81,X$5,$B$1)</f>
        <v>60.802</v>
      </c>
      <c r="Y81" s="55">
        <f>_xll.EQNXTDZ($A$1,$B81,Y$5,$B$1)</f>
        <v>0</v>
      </c>
      <c r="Z81" s="55">
        <f>_xll.EQNXTDZ($A$1,$B81,Z$5,$B$1)</f>
        <v>89.096999999999994</v>
      </c>
      <c r="AA81" s="55">
        <f>_xll.EQNXTDZ($A$1,$B81,AA$5,$B$1)</f>
        <v>0</v>
      </c>
      <c r="AB81" s="55">
        <f>_xll.EQNXTDZ($A$1,$B81,AB$5,$B$1)</f>
        <v>161.762</v>
      </c>
      <c r="AC81" s="55">
        <f>_xll.EQNXTDZ($A$1,$B81,AC$5,$B$1)</f>
        <v>0</v>
      </c>
      <c r="AD81" s="55">
        <f>_xll.EQNXTDZ($A$1,$B81,AD$5,$B$1)</f>
        <v>163.15199999999999</v>
      </c>
      <c r="AE81" s="55">
        <f>_xll.EQNXTDZ($A$1,$B81,AE$5,$B$1)</f>
        <v>0</v>
      </c>
      <c r="AF81" s="55">
        <f>_xll.EQNXTDZ($A$1,$B81,AF$5,$B$1)</f>
        <v>121.331</v>
      </c>
      <c r="AG81" s="55">
        <f>_xll.EQNXTDZ($A$1,$B81,AG$5,$B$1)</f>
        <v>0</v>
      </c>
      <c r="AH81" s="55">
        <f>_xll.EQNXTDZ($A$1,$B81,AH$5,$B$1)</f>
        <v>108.806</v>
      </c>
      <c r="AI81" s="55">
        <f>_xll.EQNXTDZ($A$1,$B81,AI$5,$B$1)</f>
        <v>0</v>
      </c>
      <c r="AJ81" s="55">
        <f>_xll.EQNXTDZ($A$1,$B81,AJ$5,$B$1)</f>
        <v>132.839</v>
      </c>
      <c r="AK81" s="55">
        <f>_xll.EQNXTDZ($A$1,$B81,AK$5,$B$1)</f>
        <v>0</v>
      </c>
      <c r="AL81" s="55">
        <f>_xll.EQNXTDZ($A$1,$B81,AL$5,$B$1)</f>
        <v>109.938</v>
      </c>
      <c r="AM81" s="55">
        <f>_xll.EQNXTDZ($A$1,$B81,AM$5,$B$1)</f>
        <v>0</v>
      </c>
      <c r="AN81" s="55">
        <f>_xll.EQNXTDZ($A$1,$B81,AN$5,$B$1)</f>
        <v>236.67699999999999</v>
      </c>
      <c r="AO81" s="55">
        <f>_xll.EQNXTDZ($A$1,$B81,AO$5,$B$1)</f>
        <v>0</v>
      </c>
      <c r="AP81" s="55">
        <f>_xll.EQNXTDZ($A$1,$B81,AP$5,$B$1)</f>
        <v>222.358</v>
      </c>
      <c r="AQ81" s="55">
        <f>_xll.EQNXTDZ($A$1,$B81,AQ$5,$B$1)</f>
        <v>0</v>
      </c>
      <c r="AR81" s="55">
        <f>_xll.EQNXTDZ($A$1,$B81,AR$5,$B$1)</f>
        <v>454.40899999999999</v>
      </c>
      <c r="AS81" s="55">
        <f>_xll.EQNXTDZ($A$1,$B81,AS$5,$B$1)</f>
        <v>0</v>
      </c>
      <c r="AT81" s="55">
        <f>_xll.EQNXTDZ($A$1,$B81,AT$5,$B$1)</f>
        <v>302.81400000000002</v>
      </c>
      <c r="AU81" s="55">
        <f>_xll.EQNXTDZ($A$1,$B81,AU$5,$B$1)</f>
        <v>0</v>
      </c>
      <c r="AV81" s="55">
        <f>_xll.EQNXTDZ($A$1,$B81,AV$5,$B$1)</f>
        <v>233.822</v>
      </c>
      <c r="AW81" s="55">
        <f>_xll.EQNXTDZ($A$1,$B81,AW$5,$B$1)</f>
        <v>0</v>
      </c>
      <c r="AX81" s="55">
        <f>_xll.EQNXTDZ($A$1,$B81,AX$5,$B$1)</f>
        <v>286.899</v>
      </c>
      <c r="AY81" s="55">
        <f>_xll.EQNXTDZ($A$1,$B81,AY$5,$B$1)</f>
        <v>0</v>
      </c>
      <c r="AZ81" s="55">
        <f>_xll.EQNXTDZ($A$1,$B81,AZ$5,$B$1)</f>
        <v>294.61700000000002</v>
      </c>
      <c r="BA81" s="55">
        <f>_xll.EQNXTDZ($A$1,$B81,BA$5,$B$1)</f>
        <v>0</v>
      </c>
      <c r="BB81" s="55">
        <f>_xll.EQNXTDZ($A$1,$B81,BB$5,$B$1)</f>
        <v>273.78399999999999</v>
      </c>
      <c r="BC81" s="55">
        <f>_xll.EQNXTDZ($A$1,$B81,BC$5,$B$1)</f>
        <v>0</v>
      </c>
      <c r="BD81" s="55">
        <f>_xll.EQNXTDZ($A$1,$B81,BD$5,$B$1)</f>
        <v>297.495</v>
      </c>
      <c r="BE81" s="55">
        <f>_xll.EQNXTDZ($A$1,$B81,BE$5,$B$1)</f>
        <v>0</v>
      </c>
      <c r="BF81" s="55">
        <f>_xll.EQNXTDZ($A$1,$B81,BF$5,$B$1)</f>
        <v>247.11699999999999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81.757000000000005</v>
      </c>
      <c r="E82" s="55">
        <f>_xll.EQNXTDZ($A$1,$B82,E$5,$B$1)</f>
        <v>0</v>
      </c>
      <c r="F82" s="55">
        <f>_xll.EQNXTDZ($A$1,$B82,F$5,$B$1)</f>
        <v>103.71</v>
      </c>
      <c r="G82" s="55">
        <f>_xll.EQNXTDZ($A$1,$B82,G$5,$B$1)</f>
        <v>0</v>
      </c>
      <c r="H82" s="55">
        <f>_xll.EQNXTDZ($A$1,$B82,H$5,$B$1)</f>
        <v>117.009</v>
      </c>
      <c r="I82" s="55">
        <f>_xll.EQNXTDZ($A$1,$B82,I$5,$B$1)</f>
        <v>0</v>
      </c>
      <c r="J82" s="55">
        <f>_xll.EQNXTDZ($A$1,$B82,J$5,$B$1)</f>
        <v>131.53</v>
      </c>
      <c r="K82" s="55">
        <f>_xll.EQNXTDZ($A$1,$B82,K$5,$B$1)</f>
        <v>0</v>
      </c>
      <c r="L82" s="55">
        <f>_xll.EQNXTDZ($A$1,$B82,L$5,$B$1)</f>
        <v>104.26</v>
      </c>
      <c r="M82" s="55">
        <f>_xll.EQNXTDZ($A$1,$B82,M$5,$B$1)</f>
        <v>0</v>
      </c>
      <c r="N82" s="55">
        <f>_xll.EQNXTDZ($A$1,$B82,N$5,$B$1)</f>
        <v>119.366</v>
      </c>
      <c r="O82" s="55">
        <f>_xll.EQNXTDZ($A$1,$B82,O$5,$B$1)</f>
        <v>0</v>
      </c>
      <c r="P82" s="55">
        <f>_xll.EQNXTDZ($A$1,$B82,P$5,$B$1)</f>
        <v>107.684</v>
      </c>
      <c r="Q82" s="55">
        <f>_xll.EQNXTDZ($A$1,$B82,Q$5,$B$1)</f>
        <v>0</v>
      </c>
      <c r="R82" s="55">
        <f>_xll.EQNXTDZ($A$1,$B82,R$5,$B$1)</f>
        <v>124.343</v>
      </c>
      <c r="S82" s="55">
        <f>_xll.EQNXTDZ($A$1,$B82,S$5,$B$1)</f>
        <v>0</v>
      </c>
      <c r="T82" s="55">
        <f>_xll.EQNXTDZ($A$1,$B82,T$5,$B$1)</f>
        <v>104.31699999999999</v>
      </c>
      <c r="U82" s="55">
        <f>_xll.EQNXTDZ($A$1,$B82,U$5,$B$1)</f>
        <v>0</v>
      </c>
      <c r="V82" s="55">
        <f>_xll.EQNXTDZ($A$1,$B82,V$5,$B$1)</f>
        <v>124.288</v>
      </c>
      <c r="W82" s="55">
        <f>_xll.EQNXTDZ($A$1,$B82,W$5,$B$1)</f>
        <v>0</v>
      </c>
      <c r="X82" s="55">
        <f>_xll.EQNXTDZ($A$1,$B82,X$5,$B$1)</f>
        <v>148.02500000000001</v>
      </c>
      <c r="Y82" s="55">
        <f>_xll.EQNXTDZ($A$1,$B82,Y$5,$B$1)</f>
        <v>0</v>
      </c>
      <c r="Z82" s="55">
        <f>_xll.EQNXTDZ($A$1,$B82,Z$5,$B$1)</f>
        <v>172.678</v>
      </c>
      <c r="AA82" s="55">
        <f>_xll.EQNXTDZ($A$1,$B82,AA$5,$B$1)</f>
        <v>0</v>
      </c>
      <c r="AB82" s="55">
        <f>_xll.EQNXTDZ($A$1,$B82,AB$5,$B$1)</f>
        <v>149.971</v>
      </c>
      <c r="AC82" s="55">
        <f>_xll.EQNXTDZ($A$1,$B82,AC$5,$B$1)</f>
        <v>0</v>
      </c>
      <c r="AD82" s="55">
        <f>_xll.EQNXTDZ($A$1,$B82,AD$5,$B$1)</f>
        <v>167.21799999999999</v>
      </c>
      <c r="AE82" s="55">
        <f>_xll.EQNXTDZ($A$1,$B82,AE$5,$B$1)</f>
        <v>0</v>
      </c>
      <c r="AF82" s="55">
        <f>_xll.EQNXTDZ($A$1,$B82,AF$5,$B$1)</f>
        <v>160.922</v>
      </c>
      <c r="AG82" s="55">
        <f>_xll.EQNXTDZ($A$1,$B82,AG$5,$B$1)</f>
        <v>0</v>
      </c>
      <c r="AH82" s="55">
        <f>_xll.EQNXTDZ($A$1,$B82,AH$5,$B$1)</f>
        <v>207.43899999999999</v>
      </c>
      <c r="AI82" s="55">
        <f>_xll.EQNXTDZ($A$1,$B82,AI$5,$B$1)</f>
        <v>0</v>
      </c>
      <c r="AJ82" s="55">
        <f>_xll.EQNXTDZ($A$1,$B82,AJ$5,$B$1)</f>
        <v>213.328</v>
      </c>
      <c r="AK82" s="55">
        <f>_xll.EQNXTDZ($A$1,$B82,AK$5,$B$1)</f>
        <v>0</v>
      </c>
      <c r="AL82" s="55">
        <f>_xll.EQNXTDZ($A$1,$B82,AL$5,$B$1)</f>
        <v>305.65800000000002</v>
      </c>
      <c r="AM82" s="55">
        <f>_xll.EQNXTDZ($A$1,$B82,AM$5,$B$1)</f>
        <v>0</v>
      </c>
      <c r="AN82" s="55">
        <f>_xll.EQNXTDZ($A$1,$B82,AN$5,$B$1)</f>
        <v>407.125</v>
      </c>
      <c r="AO82" s="55">
        <f>_xll.EQNXTDZ($A$1,$B82,AO$5,$B$1)</f>
        <v>0</v>
      </c>
      <c r="AP82" s="55">
        <f>_xll.EQNXTDZ($A$1,$B82,AP$5,$B$1)</f>
        <v>588.14599999999996</v>
      </c>
      <c r="AQ82" s="55">
        <f>_xll.EQNXTDZ($A$1,$B82,AQ$5,$B$1)</f>
        <v>0</v>
      </c>
      <c r="AR82" s="55">
        <f>_xll.EQNXTDZ($A$1,$B82,AR$5,$B$1)</f>
        <v>484.97899999999998</v>
      </c>
      <c r="AS82" s="55">
        <f>_xll.EQNXTDZ($A$1,$B82,AS$5,$B$1)</f>
        <v>0</v>
      </c>
      <c r="AT82" s="55">
        <f>_xll.EQNXTDZ($A$1,$B82,AT$5,$B$1)</f>
        <v>377.80399999999997</v>
      </c>
      <c r="AU82" s="55">
        <f>_xll.EQNXTDZ($A$1,$B82,AU$5,$B$1)</f>
        <v>0</v>
      </c>
      <c r="AV82" s="55">
        <f>_xll.EQNXTDZ($A$1,$B82,AV$5,$B$1)</f>
        <v>348.399</v>
      </c>
      <c r="AW82" s="55">
        <f>_xll.EQNXTDZ($A$1,$B82,AW$5,$B$1)</f>
        <v>0</v>
      </c>
      <c r="AX82" s="55">
        <f>_xll.EQNXTDZ($A$1,$B82,AX$5,$B$1)</f>
        <v>319.399</v>
      </c>
      <c r="AY82" s="55">
        <f>_xll.EQNXTDZ($A$1,$B82,AY$5,$B$1)</f>
        <v>0</v>
      </c>
      <c r="AZ82" s="55">
        <f>_xll.EQNXTDZ($A$1,$B82,AZ$5,$B$1)</f>
        <v>290.84399999999999</v>
      </c>
      <c r="BA82" s="55">
        <f>_xll.EQNXTDZ($A$1,$B82,BA$5,$B$1)</f>
        <v>0</v>
      </c>
      <c r="BB82" s="55">
        <f>_xll.EQNXTDZ($A$1,$B82,BB$5,$B$1)</f>
        <v>275.274</v>
      </c>
      <c r="BC82" s="55">
        <f>_xll.EQNXTDZ($A$1,$B82,BC$5,$B$1)</f>
        <v>0</v>
      </c>
      <c r="BD82" s="55">
        <f>_xll.EQNXTDZ($A$1,$B82,BD$5,$B$1)</f>
        <v>287.04199999999997</v>
      </c>
      <c r="BE82" s="55">
        <f>_xll.EQNXTDZ($A$1,$B82,BE$5,$B$1)</f>
        <v>0</v>
      </c>
      <c r="BF82" s="55">
        <f>_xll.EQNXTDZ($A$1,$B82,BF$5,$B$1)</f>
        <v>345.85899999999998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6.4359999999999999</v>
      </c>
      <c r="E83" s="55">
        <f>_xll.EQNXTDZ($A$1,$B83,E$5,$B$1)</f>
        <v>0</v>
      </c>
      <c r="F83" s="55">
        <f>_xll.EQNXTDZ($A$1,$B83,F$5,$B$1)</f>
        <v>2.68</v>
      </c>
      <c r="G83" s="55">
        <f>_xll.EQNXTDZ($A$1,$B83,G$5,$B$1)</f>
        <v>0</v>
      </c>
      <c r="H83" s="55">
        <f>_xll.EQNXTDZ($A$1,$B83,H$5,$B$1)</f>
        <v>11.791</v>
      </c>
      <c r="I83" s="55">
        <f>_xll.EQNXTDZ($A$1,$B83,I$5,$B$1)</f>
        <v>0</v>
      </c>
      <c r="J83" s="55">
        <f>_xll.EQNXTDZ($A$1,$B83,J$5,$B$1)</f>
        <v>9.74</v>
      </c>
      <c r="K83" s="55">
        <f>_xll.EQNXTDZ($A$1,$B83,K$5,$B$1)</f>
        <v>0</v>
      </c>
      <c r="L83" s="55">
        <f>_xll.EQNXTDZ($A$1,$B83,L$5,$B$1)</f>
        <v>6.94</v>
      </c>
      <c r="M83" s="55">
        <f>_xll.EQNXTDZ($A$1,$B83,M$5,$B$1)</f>
        <v>0</v>
      </c>
      <c r="N83" s="55">
        <f>_xll.EQNXTDZ($A$1,$B83,N$5,$B$1)</f>
        <v>6.9969999999999999</v>
      </c>
      <c r="O83" s="55">
        <f>_xll.EQNXTDZ($A$1,$B83,O$5,$B$1)</f>
        <v>0</v>
      </c>
      <c r="P83" s="55">
        <f>_xll.EQNXTDZ($A$1,$B83,P$5,$B$1)</f>
        <v>4.923</v>
      </c>
      <c r="Q83" s="55">
        <f>_xll.EQNXTDZ($A$1,$B83,Q$5,$B$1)</f>
        <v>0</v>
      </c>
      <c r="R83" s="55">
        <f>_xll.EQNXTDZ($A$1,$B83,R$5,$B$1)</f>
        <v>8.5679999999999996</v>
      </c>
      <c r="S83" s="55">
        <f>_xll.EQNXTDZ($A$1,$B83,S$5,$B$1)</f>
        <v>0</v>
      </c>
      <c r="T83" s="55">
        <f>_xll.EQNXTDZ($A$1,$B83,T$5,$B$1)</f>
        <v>5.625</v>
      </c>
      <c r="U83" s="55">
        <f>_xll.EQNXTDZ($A$1,$B83,U$5,$B$1)</f>
        <v>0</v>
      </c>
      <c r="V83" s="55">
        <f>_xll.EQNXTDZ($A$1,$B83,V$5,$B$1)</f>
        <v>3.49</v>
      </c>
      <c r="W83" s="55">
        <f>_xll.EQNXTDZ($A$1,$B83,W$5,$B$1)</f>
        <v>0</v>
      </c>
      <c r="X83" s="55">
        <f>_xll.EQNXTDZ($A$1,$B83,X$5,$B$1)</f>
        <v>9.1820000000000004</v>
      </c>
      <c r="Y83" s="55">
        <f>_xll.EQNXTDZ($A$1,$B83,Y$5,$B$1)</f>
        <v>0</v>
      </c>
      <c r="Z83" s="55">
        <f>_xll.EQNXTDZ($A$1,$B83,Z$5,$B$1)</f>
        <v>24.164000000000001</v>
      </c>
      <c r="AA83" s="55">
        <f>_xll.EQNXTDZ($A$1,$B83,AA$5,$B$1)</f>
        <v>0</v>
      </c>
      <c r="AB83" s="55">
        <f>_xll.EQNXTDZ($A$1,$B83,AB$5,$B$1)</f>
        <v>10.659000000000001</v>
      </c>
      <c r="AC83" s="55">
        <f>_xll.EQNXTDZ($A$1,$B83,AC$5,$B$1)</f>
        <v>0</v>
      </c>
      <c r="AD83" s="55">
        <f>_xll.EQNXTDZ($A$1,$B83,AD$5,$B$1)</f>
        <v>20.398</v>
      </c>
      <c r="AE83" s="55">
        <f>_xll.EQNXTDZ($A$1,$B83,AE$5,$B$1)</f>
        <v>0</v>
      </c>
      <c r="AF83" s="55">
        <f>_xll.EQNXTDZ($A$1,$B83,AF$5,$B$1)</f>
        <v>7.3639999999999999</v>
      </c>
      <c r="AG83" s="55">
        <f>_xll.EQNXTDZ($A$1,$B83,AG$5,$B$1)</f>
        <v>0</v>
      </c>
      <c r="AH83" s="55">
        <f>_xll.EQNXTDZ($A$1,$B83,AH$5,$B$1)</f>
        <v>8.8109999999999999</v>
      </c>
      <c r="AI83" s="55">
        <f>_xll.EQNXTDZ($A$1,$B83,AI$5,$B$1)</f>
        <v>0</v>
      </c>
      <c r="AJ83" s="55">
        <f>_xll.EQNXTDZ($A$1,$B83,AJ$5,$B$1)</f>
        <v>5.7409999999999997</v>
      </c>
      <c r="AK83" s="55">
        <f>_xll.EQNXTDZ($A$1,$B83,AK$5,$B$1)</f>
        <v>0</v>
      </c>
      <c r="AL83" s="55">
        <f>_xll.EQNXTDZ($A$1,$B83,AL$5,$B$1)</f>
        <v>19.643000000000001</v>
      </c>
      <c r="AM83" s="55">
        <f>_xll.EQNXTDZ($A$1,$B83,AM$5,$B$1)</f>
        <v>0</v>
      </c>
      <c r="AN83" s="55">
        <f>_xll.EQNXTDZ($A$1,$B83,AN$5,$B$1)</f>
        <v>8.6750000000000007</v>
      </c>
      <c r="AO83" s="55">
        <f>_xll.EQNXTDZ($A$1,$B83,AO$5,$B$1)</f>
        <v>0</v>
      </c>
      <c r="AP83" s="55">
        <f>_xll.EQNXTDZ($A$1,$B83,AP$5,$B$1)</f>
        <v>51.558999999999997</v>
      </c>
      <c r="AQ83" s="55">
        <f>_xll.EQNXTDZ($A$1,$B83,AQ$5,$B$1)</f>
        <v>0</v>
      </c>
      <c r="AR83" s="55">
        <f>_xll.EQNXTDZ($A$1,$B83,AR$5,$B$1)</f>
        <v>62.728999999999999</v>
      </c>
      <c r="AS83" s="55">
        <f>_xll.EQNXTDZ($A$1,$B83,AS$5,$B$1)</f>
        <v>0</v>
      </c>
      <c r="AT83" s="55">
        <f>_xll.EQNXTDZ($A$1,$B83,AT$5,$B$1)</f>
        <v>235.92099999999999</v>
      </c>
      <c r="AU83" s="55">
        <f>_xll.EQNXTDZ($A$1,$B83,AU$5,$B$1)</f>
        <v>0</v>
      </c>
      <c r="AV83" s="55">
        <f>_xll.EQNXTDZ($A$1,$B83,AV$5,$B$1)</f>
        <v>344.87799999999999</v>
      </c>
      <c r="AW83" s="55">
        <f>_xll.EQNXTDZ($A$1,$B83,AW$5,$B$1)</f>
        <v>0</v>
      </c>
      <c r="AX83" s="55">
        <f>_xll.EQNXTDZ($A$1,$B83,AX$5,$B$1)</f>
        <v>339.79199999999997</v>
      </c>
      <c r="AY83" s="55">
        <f>_xll.EQNXTDZ($A$1,$B83,AY$5,$B$1)</f>
        <v>0</v>
      </c>
      <c r="AZ83" s="55">
        <f>_xll.EQNXTDZ($A$1,$B83,AZ$5,$B$1)</f>
        <v>317.03399999999999</v>
      </c>
      <c r="BA83" s="55">
        <f>_xll.EQNXTDZ($A$1,$B83,BA$5,$B$1)</f>
        <v>0</v>
      </c>
      <c r="BB83" s="55">
        <f>_xll.EQNXTDZ($A$1,$B83,BB$5,$B$1)</f>
        <v>353.53300000000002</v>
      </c>
      <c r="BC83" s="55">
        <f>_xll.EQNXTDZ($A$1,$B83,BC$5,$B$1)</f>
        <v>0</v>
      </c>
      <c r="BD83" s="55">
        <f>_xll.EQNXTDZ($A$1,$B83,BD$5,$B$1)</f>
        <v>186.07499999999999</v>
      </c>
      <c r="BE83" s="55">
        <f>_xll.EQNXTDZ($A$1,$B83,BE$5,$B$1)</f>
        <v>0</v>
      </c>
      <c r="BF83" s="55">
        <f>_xll.EQNXTDZ($A$1,$B83,BF$5,$B$1)</f>
        <v>271.36099999999999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52.786999999999999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68.78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98.635000000000005</v>
      </c>
      <c r="AE84" s="55">
        <f>_xll.EQNXTDZ($A$1,$B84,AE$5,$B$1)</f>
        <v>0</v>
      </c>
      <c r="AF84" s="55">
        <f>_xll.EQNXTDZ($A$1,$B84,AF$5,$B$1)</f>
        <v>90.337000000000003</v>
      </c>
      <c r="AG84" s="55">
        <f>_xll.EQNXTDZ($A$1,$B84,AG$5,$B$1)</f>
        <v>0</v>
      </c>
      <c r="AH84" s="55">
        <f>_xll.EQNXTDZ($A$1,$B84,AH$5,$B$1)</f>
        <v>88.052999999999997</v>
      </c>
      <c r="AI84" s="55">
        <f>_xll.EQNXTDZ($A$1,$B84,AI$5,$B$1)</f>
        <v>0</v>
      </c>
      <c r="AJ84" s="55">
        <f>_xll.EQNXTDZ($A$1,$B84,AJ$5,$B$1)</f>
        <v>148.126</v>
      </c>
      <c r="AK84" s="55">
        <f>_xll.EQNXTDZ($A$1,$B84,AK$5,$B$1)</f>
        <v>0</v>
      </c>
      <c r="AL84" s="55">
        <f>_xll.EQNXTDZ($A$1,$B84,AL$5,$B$1)</f>
        <v>141.84399999999999</v>
      </c>
      <c r="AM84" s="55">
        <f>_xll.EQNXTDZ($A$1,$B84,AM$5,$B$1)</f>
        <v>0</v>
      </c>
      <c r="AN84" s="55">
        <f>_xll.EQNXTDZ($A$1,$B84,AN$5,$B$1)</f>
        <v>184.05099999999999</v>
      </c>
      <c r="AO84" s="55">
        <f>_xll.EQNXTDZ($A$1,$B84,AO$5,$B$1)</f>
        <v>0</v>
      </c>
      <c r="AP84" s="55">
        <f>_xll.EQNXTDZ($A$1,$B84,AP$5,$B$1)</f>
        <v>45.030999999999999</v>
      </c>
      <c r="AQ84" s="55">
        <f>_xll.EQNXTDZ($A$1,$B84,AQ$5,$B$1)</f>
        <v>0</v>
      </c>
      <c r="AR84" s="55">
        <f>_xll.EQNXTDZ($A$1,$B84,AR$5,$B$1)</f>
        <v>179.25700000000001</v>
      </c>
      <c r="AS84" s="55">
        <f>_xll.EQNXTDZ($A$1,$B84,AS$5,$B$1)</f>
        <v>0</v>
      </c>
      <c r="AT84" s="55">
        <f>_xll.EQNXTDZ($A$1,$B84,AT$5,$B$1)</f>
        <v>43.228999999999999</v>
      </c>
      <c r="AU84" s="55">
        <f>_xll.EQNXTDZ($A$1,$B84,AU$5,$B$1)</f>
        <v>0</v>
      </c>
      <c r="AV84" s="55">
        <f>_xll.EQNXTDZ($A$1,$B84,AV$5,$B$1)</f>
        <v>41.805999999999997</v>
      </c>
      <c r="AW84" s="55">
        <f>_xll.EQNXTDZ($A$1,$B84,AW$5,$B$1)</f>
        <v>0</v>
      </c>
      <c r="AX84" s="55">
        <f>_xll.EQNXTDZ($A$1,$B84,AX$5,$B$1)</f>
        <v>50.892000000000003</v>
      </c>
      <c r="AY84" s="55">
        <f>_xll.EQNXTDZ($A$1,$B84,AY$5,$B$1)</f>
        <v>0</v>
      </c>
      <c r="AZ84" s="55">
        <f>_xll.EQNXTDZ($A$1,$B84,AZ$5,$B$1)</f>
        <v>41.156999999999996</v>
      </c>
      <c r="BA84" s="55">
        <f>_xll.EQNXTDZ($A$1,$B84,BA$5,$B$1)</f>
        <v>0</v>
      </c>
      <c r="BB84" s="55">
        <f>_xll.EQNXTDZ($A$1,$B84,BB$5,$B$1)</f>
        <v>38.316000000000003</v>
      </c>
      <c r="BC84" s="55">
        <f>_xll.EQNXTDZ($A$1,$B84,BC$5,$B$1)</f>
        <v>0</v>
      </c>
      <c r="BD84" s="55">
        <f>_xll.EQNXTDZ($A$1,$B84,BD$5,$B$1)</f>
        <v>78.307000000000002</v>
      </c>
      <c r="BE84" s="55">
        <f>_xll.EQNXTDZ($A$1,$B84,BE$5,$B$1)</f>
        <v>0</v>
      </c>
      <c r="BF84" s="55">
        <f>_xll.EQNXTDZ($A$1,$B84,BF$5,$B$1)</f>
        <v>76.555000000000007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40.427999999999997</v>
      </c>
      <c r="E85" s="55">
        <f>_xll.EQNXTDZ($A$1,$B85,E$5,$B$1)</f>
        <v>0</v>
      </c>
      <c r="F85" s="55">
        <f>_xll.EQNXTDZ($A$1,$B85,F$5,$B$1)</f>
        <v>36.880000000000003</v>
      </c>
      <c r="G85" s="55">
        <f>_xll.EQNXTDZ($A$1,$B85,G$5,$B$1)</f>
        <v>0</v>
      </c>
      <c r="H85" s="55">
        <f>_xll.EQNXTDZ($A$1,$B85,H$5,$B$1)</f>
        <v>32.167999999999999</v>
      </c>
      <c r="I85" s="55">
        <f>_xll.EQNXTDZ($A$1,$B85,I$5,$B$1)</f>
        <v>0</v>
      </c>
      <c r="J85" s="55">
        <f>_xll.EQNXTDZ($A$1,$B85,J$5,$B$1)</f>
        <v>32.58</v>
      </c>
      <c r="K85" s="55">
        <f>_xll.EQNXTDZ($A$1,$B85,K$5,$B$1)</f>
        <v>0</v>
      </c>
      <c r="L85" s="55">
        <f>_xll.EQNXTDZ($A$1,$B85,L$5,$B$1)</f>
        <v>25.12</v>
      </c>
      <c r="M85" s="55">
        <f>_xll.EQNXTDZ($A$1,$B85,M$5,$B$1)</f>
        <v>0</v>
      </c>
      <c r="N85" s="55">
        <f>_xll.EQNXTDZ($A$1,$B85,N$5,$B$1)</f>
        <v>37.055999999999997</v>
      </c>
      <c r="O85" s="55">
        <f>_xll.EQNXTDZ($A$1,$B85,O$5,$B$1)</f>
        <v>0</v>
      </c>
      <c r="P85" s="55">
        <f>_xll.EQNXTDZ($A$1,$B85,P$5,$B$1)</f>
        <v>38.707999999999998</v>
      </c>
      <c r="Q85" s="55">
        <f>_xll.EQNXTDZ($A$1,$B85,Q$5,$B$1)</f>
        <v>0</v>
      </c>
      <c r="R85" s="55">
        <f>_xll.EQNXTDZ($A$1,$B85,R$5,$B$1)</f>
        <v>34.383000000000003</v>
      </c>
      <c r="S85" s="55">
        <f>_xll.EQNXTDZ($A$1,$B85,S$5,$B$1)</f>
        <v>0</v>
      </c>
      <c r="T85" s="55">
        <f>_xll.EQNXTDZ($A$1,$B85,T$5,$B$1)</f>
        <v>17.847000000000001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61.662999999999997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218.55099999999999</v>
      </c>
      <c r="E86" s="55">
        <f>_xll.EQNXTDZ($A$1,$B86,E$5,$B$1)</f>
        <v>0</v>
      </c>
      <c r="F86" s="55">
        <f>_xll.EQNXTDZ($A$1,$B86,F$5,$B$1)</f>
        <v>219.96</v>
      </c>
      <c r="G86" s="55">
        <f>_xll.EQNXTDZ($A$1,$B86,G$5,$B$1)</f>
        <v>0</v>
      </c>
      <c r="H86" s="55">
        <f>_xll.EQNXTDZ($A$1,$B86,H$5,$B$1)</f>
        <v>270.69900000000001</v>
      </c>
      <c r="I86" s="55">
        <f>_xll.EQNXTDZ($A$1,$B86,I$5,$B$1)</f>
        <v>0</v>
      </c>
      <c r="J86" s="55">
        <f>_xll.EQNXTDZ($A$1,$B86,J$5,$B$1)</f>
        <v>284.42</v>
      </c>
      <c r="K86" s="55">
        <f>_xll.EQNXTDZ($A$1,$B86,K$5,$B$1)</f>
        <v>0</v>
      </c>
      <c r="L86" s="55">
        <f>_xll.EQNXTDZ($A$1,$B86,L$5,$B$1)</f>
        <v>273.18</v>
      </c>
      <c r="M86" s="55">
        <f>_xll.EQNXTDZ($A$1,$B86,M$5,$B$1)</f>
        <v>0</v>
      </c>
      <c r="N86" s="55">
        <f>_xll.EQNXTDZ($A$1,$B86,N$5,$B$1)</f>
        <v>275.79599999999999</v>
      </c>
      <c r="O86" s="55">
        <f>_xll.EQNXTDZ($A$1,$B86,O$5,$B$1)</f>
        <v>0</v>
      </c>
      <c r="P86" s="55">
        <f>_xll.EQNXTDZ($A$1,$B86,P$5,$B$1)</f>
        <v>250.11699999999999</v>
      </c>
      <c r="Q86" s="55">
        <f>_xll.EQNXTDZ($A$1,$B86,Q$5,$B$1)</f>
        <v>0</v>
      </c>
      <c r="R86" s="55">
        <f>_xll.EQNXTDZ($A$1,$B86,R$5,$B$1)</f>
        <v>245.32499999999999</v>
      </c>
      <c r="S86" s="55">
        <f>_xll.EQNXTDZ($A$1,$B86,S$5,$B$1)</f>
        <v>0</v>
      </c>
      <c r="T86" s="55">
        <f>_xll.EQNXTDZ($A$1,$B86,T$5,$B$1)</f>
        <v>196.49700000000001</v>
      </c>
      <c r="U86" s="55">
        <f>_xll.EQNXTDZ($A$1,$B86,U$5,$B$1)</f>
        <v>0</v>
      </c>
      <c r="V86" s="55">
        <f>_xll.EQNXTDZ($A$1,$B86,V$5,$B$1)</f>
        <v>279.56099999999998</v>
      </c>
      <c r="W86" s="55">
        <f>_xll.EQNXTDZ($A$1,$B86,W$5,$B$1)</f>
        <v>0</v>
      </c>
      <c r="X86" s="55">
        <f>_xll.EQNXTDZ($A$1,$B86,X$5,$B$1)</f>
        <v>279.67700000000002</v>
      </c>
      <c r="Y86" s="55">
        <f>_xll.EQNXTDZ($A$1,$B86,Y$5,$B$1)</f>
        <v>0</v>
      </c>
      <c r="Z86" s="55">
        <f>_xll.EQNXTDZ($A$1,$B86,Z$5,$B$1)</f>
        <v>354.72399999999999</v>
      </c>
      <c r="AA86" s="55">
        <f>_xll.EQNXTDZ($A$1,$B86,AA$5,$B$1)</f>
        <v>0</v>
      </c>
      <c r="AB86" s="55">
        <f>_xll.EQNXTDZ($A$1,$B86,AB$5,$B$1)</f>
        <v>390.077</v>
      </c>
      <c r="AC86" s="55">
        <f>_xll.EQNXTDZ($A$1,$B86,AC$5,$B$1)</f>
        <v>0</v>
      </c>
      <c r="AD86" s="55">
        <f>_xll.EQNXTDZ($A$1,$B86,AD$5,$B$1)</f>
        <v>449.404</v>
      </c>
      <c r="AE86" s="55">
        <f>_xll.EQNXTDZ($A$1,$B86,AE$5,$B$1)</f>
        <v>0</v>
      </c>
      <c r="AF86" s="55">
        <f>_xll.EQNXTDZ($A$1,$B86,AF$5,$B$1)</f>
        <v>379.95400000000001</v>
      </c>
      <c r="AG86" s="55">
        <f>_xll.EQNXTDZ($A$1,$B86,AG$5,$B$1)</f>
        <v>0</v>
      </c>
      <c r="AH86" s="55">
        <f>_xll.EQNXTDZ($A$1,$B86,AH$5,$B$1)</f>
        <v>460.61</v>
      </c>
      <c r="AI86" s="55">
        <f>_xll.EQNXTDZ($A$1,$B86,AI$5,$B$1)</f>
        <v>0</v>
      </c>
      <c r="AJ86" s="55">
        <f>_xll.EQNXTDZ($A$1,$B86,AJ$5,$B$1)</f>
        <v>500.03500000000003</v>
      </c>
      <c r="AK86" s="55">
        <f>_xll.EQNXTDZ($A$1,$B86,AK$5,$B$1)</f>
        <v>0</v>
      </c>
      <c r="AL86" s="55">
        <f>_xll.EQNXTDZ($A$1,$B86,AL$5,$B$1)</f>
        <v>577.08399999999995</v>
      </c>
      <c r="AM86" s="55">
        <f>_xll.EQNXTDZ($A$1,$B86,AM$5,$B$1)</f>
        <v>0</v>
      </c>
      <c r="AN86" s="55">
        <f>_xll.EQNXTDZ($A$1,$B86,AN$5,$B$1)</f>
        <v>836.529</v>
      </c>
      <c r="AO86" s="55">
        <f>_xll.EQNXTDZ($A$1,$B86,AO$5,$B$1)</f>
        <v>0</v>
      </c>
      <c r="AP86" s="55">
        <f>_xll.EQNXTDZ($A$1,$B86,AP$5,$B$1)</f>
        <v>907.09400000000005</v>
      </c>
      <c r="AQ86" s="55">
        <f>_xll.EQNXTDZ($A$1,$B86,AQ$5,$B$1)</f>
        <v>0</v>
      </c>
      <c r="AR86" s="55">
        <f>_xll.EQNXTDZ($A$1,$B86,AR$5,$B$1)</f>
        <v>1206.7429999999999</v>
      </c>
      <c r="AS86" s="55">
        <f>_xll.EQNXTDZ($A$1,$B86,AS$5,$B$1)</f>
        <v>0</v>
      </c>
      <c r="AT86" s="55">
        <f>_xll.EQNXTDZ($A$1,$B86,AT$5,$B$1)</f>
        <v>1032.421</v>
      </c>
      <c r="AU86" s="55">
        <f>_xll.EQNXTDZ($A$1,$B86,AU$5,$B$1)</f>
        <v>0</v>
      </c>
      <c r="AV86" s="55">
        <f>_xll.EQNXTDZ($A$1,$B86,AV$5,$B$1)</f>
        <v>968.90499999999997</v>
      </c>
      <c r="AW86" s="55">
        <f>_xll.EQNXTDZ($A$1,$B86,AW$5,$B$1)</f>
        <v>0</v>
      </c>
      <c r="AX86" s="55">
        <f>_xll.EQNXTDZ($A$1,$B86,AX$5,$B$1)</f>
        <v>996.98199999999997</v>
      </c>
      <c r="AY86" s="55">
        <f>_xll.EQNXTDZ($A$1,$B86,AY$5,$B$1)</f>
        <v>0</v>
      </c>
      <c r="AZ86" s="55">
        <f>_xll.EQNXTDZ($A$1,$B86,AZ$5,$B$1)</f>
        <v>943.65200000000004</v>
      </c>
      <c r="BA86" s="55">
        <f>_xll.EQNXTDZ($A$1,$B86,BA$5,$B$1)</f>
        <v>0</v>
      </c>
      <c r="BB86" s="55">
        <f>_xll.EQNXTDZ($A$1,$B86,BB$5,$B$1)</f>
        <v>940.90700000000004</v>
      </c>
      <c r="BC86" s="55">
        <f>_xll.EQNXTDZ($A$1,$B86,BC$5,$B$1)</f>
        <v>0</v>
      </c>
      <c r="BD86" s="55">
        <f>_xll.EQNXTDZ($A$1,$B86,BD$5,$B$1)</f>
        <v>848.91899999999998</v>
      </c>
      <c r="BE86" s="55">
        <f>_xll.EQNXTDZ($A$1,$B86,BE$5,$B$1)</f>
        <v>0</v>
      </c>
      <c r="BF86" s="55">
        <f>_xll.EQNXTDZ($A$1,$B86,BF$5,$B$1)</f>
        <v>940.89200000000005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69.477000000000004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96.308999999999997</v>
      </c>
      <c r="E88" s="55">
        <f>_xll.EQNXTDZ($A$1,$B88,E$5,$B$1)</f>
        <v>0</v>
      </c>
      <c r="F88" s="55">
        <f>_xll.EQNXTDZ($A$1,$B88,F$5,$B$1)</f>
        <v>105.58</v>
      </c>
      <c r="G88" s="55">
        <f>_xll.EQNXTDZ($A$1,$B88,G$5,$B$1)</f>
        <v>0</v>
      </c>
      <c r="H88" s="55">
        <f>_xll.EQNXTDZ($A$1,$B88,H$5,$B$1)</f>
        <v>108.13</v>
      </c>
      <c r="I88" s="55">
        <f>_xll.EQNXTDZ($A$1,$B88,I$5,$B$1)</f>
        <v>0</v>
      </c>
      <c r="J88" s="55">
        <f>_xll.EQNXTDZ($A$1,$B88,J$5,$B$1)</f>
        <v>139.46</v>
      </c>
      <c r="K88" s="55">
        <f>_xll.EQNXTDZ($A$1,$B88,K$5,$B$1)</f>
        <v>0</v>
      </c>
      <c r="L88" s="55">
        <f>_xll.EQNXTDZ($A$1,$B88,L$5,$B$1)</f>
        <v>137.16999999999999</v>
      </c>
      <c r="M88" s="55">
        <f>_xll.EQNXTDZ($A$1,$B88,M$5,$B$1)</f>
        <v>0</v>
      </c>
      <c r="N88" s="55">
        <f>_xll.EQNXTDZ($A$1,$B88,N$5,$B$1)</f>
        <v>148.46100000000001</v>
      </c>
      <c r="O88" s="55">
        <f>_xll.EQNXTDZ($A$1,$B88,O$5,$B$1)</f>
        <v>0</v>
      </c>
      <c r="P88" s="55">
        <f>_xll.EQNXTDZ($A$1,$B88,P$5,$B$1)</f>
        <v>106.905</v>
      </c>
      <c r="Q88" s="55">
        <f>_xll.EQNXTDZ($A$1,$B88,Q$5,$B$1)</f>
        <v>0</v>
      </c>
      <c r="R88" s="55">
        <f>_xll.EQNXTDZ($A$1,$B88,R$5,$B$1)</f>
        <v>101.166</v>
      </c>
      <c r="S88" s="55">
        <f>_xll.EQNXTDZ($A$1,$B88,S$5,$B$1)</f>
        <v>0</v>
      </c>
      <c r="T88" s="55">
        <f>_xll.EQNXTDZ($A$1,$B88,T$5,$B$1)</f>
        <v>55.651000000000003</v>
      </c>
      <c r="U88" s="55">
        <f>_xll.EQNXTDZ($A$1,$B88,U$5,$B$1)</f>
        <v>0</v>
      </c>
      <c r="V88" s="55">
        <f>_xll.EQNXTDZ($A$1,$B88,V$5,$B$1)</f>
        <v>66.206999999999994</v>
      </c>
      <c r="W88" s="55">
        <f>_xll.EQNXTDZ($A$1,$B88,W$5,$B$1)</f>
        <v>0</v>
      </c>
      <c r="X88" s="55">
        <f>_xll.EQNXTDZ($A$1,$B88,X$5,$B$1)</f>
        <v>37.847000000000001</v>
      </c>
      <c r="Y88" s="55">
        <f>_xll.EQNXTDZ($A$1,$B88,Y$5,$B$1)</f>
        <v>0</v>
      </c>
      <c r="Z88" s="55">
        <f>_xll.EQNXTDZ($A$1,$B88,Z$5,$B$1)</f>
        <v>99.680999999999997</v>
      </c>
      <c r="AA88" s="55">
        <f>_xll.EQNXTDZ($A$1,$B88,AA$5,$B$1)</f>
        <v>0</v>
      </c>
      <c r="AB88" s="55">
        <f>_xll.EQNXTDZ($A$1,$B88,AB$5,$B$1)</f>
        <v>136.39500000000001</v>
      </c>
      <c r="AC88" s="55">
        <f>_xll.EQNXTDZ($A$1,$B88,AC$5,$B$1)</f>
        <v>0</v>
      </c>
      <c r="AD88" s="55">
        <f>_xll.EQNXTDZ($A$1,$B88,AD$5,$B$1)</f>
        <v>107.40600000000001</v>
      </c>
      <c r="AE88" s="55">
        <f>_xll.EQNXTDZ($A$1,$B88,AE$5,$B$1)</f>
        <v>0</v>
      </c>
      <c r="AF88" s="55">
        <f>_xll.EQNXTDZ($A$1,$B88,AF$5,$B$1)</f>
        <v>150.167</v>
      </c>
      <c r="AG88" s="55">
        <f>_xll.EQNXTDZ($A$1,$B88,AG$5,$B$1)</f>
        <v>0</v>
      </c>
      <c r="AH88" s="55">
        <f>_xll.EQNXTDZ($A$1,$B88,AH$5,$B$1)</f>
        <v>121.476</v>
      </c>
      <c r="AI88" s="55">
        <f>_xll.EQNXTDZ($A$1,$B88,AI$5,$B$1)</f>
        <v>0</v>
      </c>
      <c r="AJ88" s="55">
        <f>_xll.EQNXTDZ($A$1,$B88,AJ$5,$B$1)</f>
        <v>96.706999999999994</v>
      </c>
      <c r="AK88" s="55">
        <f>_xll.EQNXTDZ($A$1,$B88,AK$5,$B$1)</f>
        <v>0</v>
      </c>
      <c r="AL88" s="55">
        <f>_xll.EQNXTDZ($A$1,$B88,AL$5,$B$1)</f>
        <v>10.945</v>
      </c>
      <c r="AM88" s="55">
        <f>_xll.EQNXTDZ($A$1,$B88,AM$5,$B$1)</f>
        <v>0</v>
      </c>
      <c r="AN88" s="55">
        <f>_xll.EQNXTDZ($A$1,$B88,AN$5,$B$1)</f>
        <v>93.25</v>
      </c>
      <c r="AO88" s="55">
        <f>_xll.EQNXTDZ($A$1,$B88,AO$5,$B$1)</f>
        <v>0</v>
      </c>
      <c r="AP88" s="55">
        <f>_xll.EQNXTDZ($A$1,$B88,AP$5,$B$1)</f>
        <v>43.063000000000002</v>
      </c>
      <c r="AQ88" s="55">
        <f>_xll.EQNXTDZ($A$1,$B88,AQ$5,$B$1)</f>
        <v>0</v>
      </c>
      <c r="AR88" s="55">
        <f>_xll.EQNXTDZ($A$1,$B88,AR$5,$B$1)</f>
        <v>67.272000000000006</v>
      </c>
      <c r="AS88" s="55">
        <f>_xll.EQNXTDZ($A$1,$B88,AS$5,$B$1)</f>
        <v>0</v>
      </c>
      <c r="AT88" s="55">
        <f>_xll.EQNXTDZ($A$1,$B88,AT$5,$B$1)</f>
        <v>27.271999999999998</v>
      </c>
      <c r="AU88" s="55">
        <f>_xll.EQNXTDZ($A$1,$B88,AU$5,$B$1)</f>
        <v>0</v>
      </c>
      <c r="AV88" s="55">
        <f>_xll.EQNXTDZ($A$1,$B88,AV$5,$B$1)</f>
        <v>27.271999999999998</v>
      </c>
      <c r="AW88" s="55">
        <f>_xll.EQNXTDZ($A$1,$B88,AW$5,$B$1)</f>
        <v>0</v>
      </c>
      <c r="AX88" s="55">
        <f>_xll.EQNXTDZ($A$1,$B88,AX$5,$B$1)</f>
        <v>9.0909999999999993</v>
      </c>
      <c r="AY88" s="55">
        <f>_xll.EQNXTDZ($A$1,$B88,AY$5,$B$1)</f>
        <v>0</v>
      </c>
      <c r="AZ88" s="55">
        <f>_xll.EQNXTDZ($A$1,$B88,AZ$5,$B$1)</f>
        <v>9.0909999999999993</v>
      </c>
      <c r="BA88" s="55">
        <f>_xll.EQNXTDZ($A$1,$B88,BA$5,$B$1)</f>
        <v>0</v>
      </c>
      <c r="BB88" s="55">
        <f>_xll.EQNXTDZ($A$1,$B88,BB$5,$B$1)</f>
        <v>9.0909999999999993</v>
      </c>
      <c r="BC88" s="55">
        <f>_xll.EQNXTDZ($A$1,$B88,BC$5,$B$1)</f>
        <v>0</v>
      </c>
      <c r="BD88" s="55">
        <f>_xll.EQNXTDZ($A$1,$B88,BD$5,$B$1)</f>
        <v>31.061</v>
      </c>
      <c r="BE88" s="55">
        <f>_xll.EQNXTDZ($A$1,$B88,BE$5,$B$1)</f>
        <v>0</v>
      </c>
      <c r="BF88" s="55">
        <f>_xll.EQNXTDZ($A$1,$B88,BF$5,$B$1)</f>
        <v>68.076999999999998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35.51</v>
      </c>
      <c r="G89" s="55">
        <f>_xll.EQNXTDZ($A$1,$B89,G$5,$B$1)</f>
        <v>0</v>
      </c>
      <c r="H89" s="55">
        <f>_xll.EQNXTDZ($A$1,$B89,H$5,$B$1)</f>
        <v>91.858999999999995</v>
      </c>
      <c r="I89" s="55">
        <f>_xll.EQNXTDZ($A$1,$B89,I$5,$B$1)</f>
        <v>0</v>
      </c>
      <c r="J89" s="55">
        <f>_xll.EQNXTDZ($A$1,$B89,J$5,$B$1)</f>
        <v>86.97</v>
      </c>
      <c r="K89" s="55">
        <f>_xll.EQNXTDZ($A$1,$B89,K$5,$B$1)</f>
        <v>0</v>
      </c>
      <c r="L89" s="55">
        <f>_xll.EQNXTDZ($A$1,$B89,L$5,$B$1)</f>
        <v>66.510000000000005</v>
      </c>
      <c r="M89" s="55">
        <f>_xll.EQNXTDZ($A$1,$B89,M$5,$B$1)</f>
        <v>0</v>
      </c>
      <c r="N89" s="55">
        <f>_xll.EQNXTDZ($A$1,$B89,N$5,$B$1)</f>
        <v>47.551000000000002</v>
      </c>
      <c r="O89" s="55">
        <f>_xll.EQNXTDZ($A$1,$B89,O$5,$B$1)</f>
        <v>0</v>
      </c>
      <c r="P89" s="55">
        <f>_xll.EQNXTDZ($A$1,$B89,P$5,$B$1)</f>
        <v>39.421999999999997</v>
      </c>
      <c r="Q89" s="55">
        <f>_xll.EQNXTDZ($A$1,$B89,Q$5,$B$1)</f>
        <v>0</v>
      </c>
      <c r="R89" s="55">
        <f>_xll.EQNXTDZ($A$1,$B89,R$5,$B$1)</f>
        <v>49.337000000000003</v>
      </c>
      <c r="S89" s="55">
        <f>_xll.EQNXTDZ($A$1,$B89,S$5,$B$1)</f>
        <v>0</v>
      </c>
      <c r="T89" s="55">
        <f>_xll.EQNXTDZ($A$1,$B89,T$5,$B$1)</f>
        <v>37.728999999999999</v>
      </c>
      <c r="U89" s="55">
        <f>_xll.EQNXTDZ($A$1,$B89,U$5,$B$1)</f>
        <v>0</v>
      </c>
      <c r="V89" s="55">
        <f>_xll.EQNXTDZ($A$1,$B89,V$5,$B$1)</f>
        <v>51.472000000000001</v>
      </c>
      <c r="W89" s="55">
        <f>_xll.EQNXTDZ($A$1,$B89,W$5,$B$1)</f>
        <v>0</v>
      </c>
      <c r="X89" s="55">
        <f>_xll.EQNXTDZ($A$1,$B89,X$5,$B$1)</f>
        <v>57.914000000000001</v>
      </c>
      <c r="Y89" s="55">
        <f>_xll.EQNXTDZ($A$1,$B89,Y$5,$B$1)</f>
        <v>0</v>
      </c>
      <c r="Z89" s="55">
        <f>_xll.EQNXTDZ($A$1,$B89,Z$5,$B$1)</f>
        <v>71.626000000000005</v>
      </c>
      <c r="AA89" s="55">
        <f>_xll.EQNXTDZ($A$1,$B89,AA$5,$B$1)</f>
        <v>0</v>
      </c>
      <c r="AB89" s="55">
        <f>_xll.EQNXTDZ($A$1,$B89,AB$5,$B$1)</f>
        <v>79.808999999999997</v>
      </c>
      <c r="AC89" s="55">
        <f>_xll.EQNXTDZ($A$1,$B89,AC$5,$B$1)</f>
        <v>0</v>
      </c>
      <c r="AD89" s="55">
        <f>_xll.EQNXTDZ($A$1,$B89,AD$5,$B$1)</f>
        <v>85.05</v>
      </c>
      <c r="AE89" s="55">
        <f>_xll.EQNXTDZ($A$1,$B89,AE$5,$B$1)</f>
        <v>0</v>
      </c>
      <c r="AF89" s="55">
        <f>_xll.EQNXTDZ($A$1,$B89,AF$5,$B$1)</f>
        <v>25.834</v>
      </c>
      <c r="AG89" s="55">
        <f>_xll.EQNXTDZ($A$1,$B89,AG$5,$B$1)</f>
        <v>0</v>
      </c>
      <c r="AH89" s="55">
        <f>_xll.EQNXTDZ($A$1,$B89,AH$5,$B$1)</f>
        <v>59.362000000000002</v>
      </c>
      <c r="AI89" s="55">
        <f>_xll.EQNXTDZ($A$1,$B89,AI$5,$B$1)</f>
        <v>0</v>
      </c>
      <c r="AJ89" s="55">
        <f>_xll.EQNXTDZ($A$1,$B89,AJ$5,$B$1)</f>
        <v>63.823999999999998</v>
      </c>
      <c r="AK89" s="55">
        <f>_xll.EQNXTDZ($A$1,$B89,AK$5,$B$1)</f>
        <v>0</v>
      </c>
      <c r="AL89" s="55">
        <f>_xll.EQNXTDZ($A$1,$B89,AL$5,$B$1)</f>
        <v>76.796999999999997</v>
      </c>
      <c r="AM89" s="55">
        <f>_xll.EQNXTDZ($A$1,$B89,AM$5,$B$1)</f>
        <v>0</v>
      </c>
      <c r="AN89" s="55">
        <f>_xll.EQNXTDZ($A$1,$B89,AN$5,$B$1)</f>
        <v>88.512</v>
      </c>
      <c r="AO89" s="55">
        <f>_xll.EQNXTDZ($A$1,$B89,AO$5,$B$1)</f>
        <v>0</v>
      </c>
      <c r="AP89" s="55">
        <f>_xll.EQNXTDZ($A$1,$B89,AP$5,$B$1)</f>
        <v>180.88200000000001</v>
      </c>
      <c r="AQ89" s="55">
        <f>_xll.EQNXTDZ($A$1,$B89,AQ$5,$B$1)</f>
        <v>0</v>
      </c>
      <c r="AR89" s="55">
        <f>_xll.EQNXTDZ($A$1,$B89,AR$5,$B$1)</f>
        <v>84.06</v>
      </c>
      <c r="AS89" s="55">
        <f>_xll.EQNXTDZ($A$1,$B89,AS$5,$B$1)</f>
        <v>0</v>
      </c>
      <c r="AT89" s="55">
        <f>_xll.EQNXTDZ($A$1,$B89,AT$5,$B$1)</f>
        <v>62.104999999999997</v>
      </c>
      <c r="AU89" s="55">
        <f>_xll.EQNXTDZ($A$1,$B89,AU$5,$B$1)</f>
        <v>0</v>
      </c>
      <c r="AV89" s="55">
        <f>_xll.EQNXTDZ($A$1,$B89,AV$5,$B$1)</f>
        <v>42.148000000000003</v>
      </c>
      <c r="AW89" s="55">
        <f>_xll.EQNXTDZ($A$1,$B89,AW$5,$B$1)</f>
        <v>0</v>
      </c>
      <c r="AX89" s="55">
        <f>_xll.EQNXTDZ($A$1,$B89,AX$5,$B$1)</f>
        <v>77.790999999999997</v>
      </c>
      <c r="AY89" s="55">
        <f>_xll.EQNXTDZ($A$1,$B89,AY$5,$B$1)</f>
        <v>0</v>
      </c>
      <c r="AZ89" s="55">
        <f>_xll.EQNXTDZ($A$1,$B89,AZ$5,$B$1)</f>
        <v>54.143999999999998</v>
      </c>
      <c r="BA89" s="55">
        <f>_xll.EQNXTDZ($A$1,$B89,BA$5,$B$1)</f>
        <v>0</v>
      </c>
      <c r="BB89" s="55">
        <f>_xll.EQNXTDZ($A$1,$B89,BB$5,$B$1)</f>
        <v>69.114999999999995</v>
      </c>
      <c r="BC89" s="55">
        <f>_xll.EQNXTDZ($A$1,$B89,BC$5,$B$1)</f>
        <v>0</v>
      </c>
      <c r="BD89" s="55">
        <f>_xll.EQNXTDZ($A$1,$B89,BD$5,$B$1)</f>
        <v>70.769000000000005</v>
      </c>
      <c r="BE89" s="55">
        <f>_xll.EQNXTDZ($A$1,$B89,BE$5,$B$1)</f>
        <v>0</v>
      </c>
      <c r="BF89" s="55">
        <f>_xll.EQNXTDZ($A$1,$B89,BF$5,$B$1)</f>
        <v>85.013999999999996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36.340000000000003</v>
      </c>
      <c r="G91" s="55">
        <f>_xll.EQNXTDZ($A$1,$B91,G$5,$B$1)</f>
        <v>0</v>
      </c>
      <c r="H91" s="55">
        <f>_xll.EQNXTDZ($A$1,$B91,H$5,$B$1)</f>
        <v>38.154000000000003</v>
      </c>
      <c r="I91" s="55">
        <f>_xll.EQNXTDZ($A$1,$B91,I$5,$B$1)</f>
        <v>0</v>
      </c>
      <c r="J91" s="55">
        <f>_xll.EQNXTDZ($A$1,$B91,J$5,$B$1)</f>
        <v>41.52</v>
      </c>
      <c r="K91" s="55">
        <f>_xll.EQNXTDZ($A$1,$B91,K$5,$B$1)</f>
        <v>0</v>
      </c>
      <c r="L91" s="55">
        <f>_xll.EQNXTDZ($A$1,$B91,L$5,$B$1)</f>
        <v>36.61</v>
      </c>
      <c r="M91" s="55">
        <f>_xll.EQNXTDZ($A$1,$B91,M$5,$B$1)</f>
        <v>0</v>
      </c>
      <c r="N91" s="55">
        <f>_xll.EQNXTDZ($A$1,$B91,N$5,$B$1)</f>
        <v>42.396999999999998</v>
      </c>
      <c r="O91" s="55">
        <f>_xll.EQNXTDZ($A$1,$B91,O$5,$B$1)</f>
        <v>0</v>
      </c>
      <c r="P91" s="55">
        <f>_xll.EQNXTDZ($A$1,$B91,P$5,$B$1)</f>
        <v>35.734000000000002</v>
      </c>
      <c r="Q91" s="55">
        <f>_xll.EQNXTDZ($A$1,$B91,Q$5,$B$1)</f>
        <v>0</v>
      </c>
      <c r="R91" s="55">
        <f>_xll.EQNXTDZ($A$1,$B91,R$5,$B$1)</f>
        <v>30.733000000000001</v>
      </c>
      <c r="S91" s="55">
        <f>_xll.EQNXTDZ($A$1,$B91,S$5,$B$1)</f>
        <v>0</v>
      </c>
      <c r="T91" s="55">
        <f>_xll.EQNXTDZ($A$1,$B91,T$5,$B$1)</f>
        <v>25.856000000000002</v>
      </c>
      <c r="U91" s="55">
        <f>_xll.EQNXTDZ($A$1,$B91,U$5,$B$1)</f>
        <v>0</v>
      </c>
      <c r="V91" s="55">
        <f>_xll.EQNXTDZ($A$1,$B91,V$5,$B$1)</f>
        <v>65.144999999999996</v>
      </c>
      <c r="W91" s="55">
        <f>_xll.EQNXTDZ($A$1,$B91,W$5,$B$1)</f>
        <v>0</v>
      </c>
      <c r="X91" s="55">
        <f>_xll.EQNXTDZ($A$1,$B91,X$5,$B$1)</f>
        <v>85.65</v>
      </c>
      <c r="Y91" s="55">
        <f>_xll.EQNXTDZ($A$1,$B91,Y$5,$B$1)</f>
        <v>0</v>
      </c>
      <c r="Z91" s="55">
        <f>_xll.EQNXTDZ($A$1,$B91,Z$5,$B$1)</f>
        <v>63.225000000000001</v>
      </c>
      <c r="AA91" s="55">
        <f>_xll.EQNXTDZ($A$1,$B91,AA$5,$B$1)</f>
        <v>0</v>
      </c>
      <c r="AB91" s="55">
        <f>_xll.EQNXTDZ($A$1,$B91,AB$5,$B$1)</f>
        <v>35.906999999999996</v>
      </c>
      <c r="AC91" s="55">
        <f>_xll.EQNXTDZ($A$1,$B91,AC$5,$B$1)</f>
        <v>0</v>
      </c>
      <c r="AD91" s="55">
        <f>_xll.EQNXTDZ($A$1,$B91,AD$5,$B$1)</f>
        <v>93.552000000000007</v>
      </c>
      <c r="AE91" s="55">
        <f>_xll.EQNXTDZ($A$1,$B91,AE$5,$B$1)</f>
        <v>0</v>
      </c>
      <c r="AF91" s="55">
        <f>_xll.EQNXTDZ($A$1,$B91,AF$5,$B$1)</f>
        <v>36.088000000000001</v>
      </c>
      <c r="AG91" s="55">
        <f>_xll.EQNXTDZ($A$1,$B91,AG$5,$B$1)</f>
        <v>0</v>
      </c>
      <c r="AH91" s="55">
        <f>_xll.EQNXTDZ($A$1,$B91,AH$5,$B$1)</f>
        <v>62.445999999999998</v>
      </c>
      <c r="AI91" s="55">
        <f>_xll.EQNXTDZ($A$1,$B91,AI$5,$B$1)</f>
        <v>0</v>
      </c>
      <c r="AJ91" s="55">
        <f>_xll.EQNXTDZ($A$1,$B91,AJ$5,$B$1)</f>
        <v>91.875</v>
      </c>
      <c r="AK91" s="55">
        <f>_xll.EQNXTDZ($A$1,$B91,AK$5,$B$1)</f>
        <v>0</v>
      </c>
      <c r="AL91" s="55">
        <f>_xll.EQNXTDZ($A$1,$B91,AL$5,$B$1)</f>
        <v>115.045</v>
      </c>
      <c r="AM91" s="55">
        <f>_xll.EQNXTDZ($A$1,$B91,AM$5,$B$1)</f>
        <v>0</v>
      </c>
      <c r="AN91" s="55">
        <f>_xll.EQNXTDZ($A$1,$B91,AN$5,$B$1)</f>
        <v>159.03100000000001</v>
      </c>
      <c r="AO91" s="55">
        <f>_xll.EQNXTDZ($A$1,$B91,AO$5,$B$1)</f>
        <v>0</v>
      </c>
      <c r="AP91" s="55">
        <f>_xll.EQNXTDZ($A$1,$B91,AP$5,$B$1)</f>
        <v>76.784999999999997</v>
      </c>
      <c r="AQ91" s="55">
        <f>_xll.EQNXTDZ($A$1,$B91,AQ$5,$B$1)</f>
        <v>0</v>
      </c>
      <c r="AR91" s="55">
        <f>_xll.EQNXTDZ($A$1,$B91,AR$5,$B$1)</f>
        <v>218.011</v>
      </c>
      <c r="AS91" s="55">
        <f>_xll.EQNXTDZ($A$1,$B91,AS$5,$B$1)</f>
        <v>0</v>
      </c>
      <c r="AT91" s="55">
        <f>_xll.EQNXTDZ($A$1,$B91,AT$5,$B$1)</f>
        <v>59.643000000000001</v>
      </c>
      <c r="AU91" s="55">
        <f>_xll.EQNXTDZ($A$1,$B91,AU$5,$B$1)</f>
        <v>0</v>
      </c>
      <c r="AV91" s="55">
        <f>_xll.EQNXTDZ($A$1,$B91,AV$5,$B$1)</f>
        <v>46.8</v>
      </c>
      <c r="AW91" s="55">
        <f>_xll.EQNXTDZ($A$1,$B91,AW$5,$B$1)</f>
        <v>0</v>
      </c>
      <c r="AX91" s="55">
        <f>_xll.EQNXTDZ($A$1,$B91,AX$5,$B$1)</f>
        <v>58.91</v>
      </c>
      <c r="AY91" s="55">
        <f>_xll.EQNXTDZ($A$1,$B91,AY$5,$B$1)</f>
        <v>0</v>
      </c>
      <c r="AZ91" s="55">
        <f>_xll.EQNXTDZ($A$1,$B91,AZ$5,$B$1)</f>
        <v>40.75</v>
      </c>
      <c r="BA91" s="55">
        <f>_xll.EQNXTDZ($A$1,$B91,BA$5,$B$1)</f>
        <v>0</v>
      </c>
      <c r="BB91" s="55">
        <f>_xll.EQNXTDZ($A$1,$B91,BB$5,$B$1)</f>
        <v>49.566000000000003</v>
      </c>
      <c r="BC91" s="55">
        <f>_xll.EQNXTDZ($A$1,$B91,BC$5,$B$1)</f>
        <v>0</v>
      </c>
      <c r="BD91" s="55">
        <f>_xll.EQNXTDZ($A$1,$B91,BD$5,$B$1)</f>
        <v>59.465000000000003</v>
      </c>
      <c r="BE91" s="55">
        <f>_xll.EQNXTDZ($A$1,$B91,BE$5,$B$1)</f>
        <v>0</v>
      </c>
      <c r="BF91" s="55">
        <f>_xll.EQNXTDZ($A$1,$B91,BF$5,$B$1)</f>
        <v>247.75200000000001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8.343</v>
      </c>
      <c r="E92" s="55">
        <f>_xll.EQNXTDZ($A$1,$B92,E$5,$B$1)</f>
        <v>0</v>
      </c>
      <c r="F92" s="55">
        <f>_xll.EQNXTDZ($A$1,$B92,F$5,$B$1)</f>
        <v>21.14</v>
      </c>
      <c r="G92" s="55">
        <f>_xll.EQNXTDZ($A$1,$B92,G$5,$B$1)</f>
        <v>0</v>
      </c>
      <c r="H92" s="55">
        <f>_xll.EQNXTDZ($A$1,$B92,H$5,$B$1)</f>
        <v>10.233000000000001</v>
      </c>
      <c r="I92" s="55">
        <f>_xll.EQNXTDZ($A$1,$B92,I$5,$B$1)</f>
        <v>0</v>
      </c>
      <c r="J92" s="55">
        <f>_xll.EQNXTDZ($A$1,$B92,J$5,$B$1)</f>
        <v>17.73</v>
      </c>
      <c r="K92" s="55">
        <f>_xll.EQNXTDZ($A$1,$B92,K$5,$B$1)</f>
        <v>0</v>
      </c>
      <c r="L92" s="55">
        <f>_xll.EQNXTDZ($A$1,$B92,L$5,$B$1)</f>
        <v>18.13</v>
      </c>
      <c r="M92" s="55">
        <f>_xll.EQNXTDZ($A$1,$B92,M$5,$B$1)</f>
        <v>0</v>
      </c>
      <c r="N92" s="55">
        <f>_xll.EQNXTDZ($A$1,$B92,N$5,$B$1)</f>
        <v>17.963999999999999</v>
      </c>
      <c r="O92" s="55">
        <f>_xll.EQNXTDZ($A$1,$B92,O$5,$B$1)</f>
        <v>0</v>
      </c>
      <c r="P92" s="55">
        <f>_xll.EQNXTDZ($A$1,$B92,P$5,$B$1)</f>
        <v>25.515000000000001</v>
      </c>
      <c r="Q92" s="55">
        <f>_xll.EQNXTDZ($A$1,$B92,Q$5,$B$1)</f>
        <v>0</v>
      </c>
      <c r="R92" s="55">
        <f>_xll.EQNXTDZ($A$1,$B92,R$5,$B$1)</f>
        <v>34.399000000000001</v>
      </c>
      <c r="S92" s="55">
        <f>_xll.EQNXTDZ($A$1,$B92,S$5,$B$1)</f>
        <v>0</v>
      </c>
      <c r="T92" s="55">
        <f>_xll.EQNXTDZ($A$1,$B92,T$5,$B$1)</f>
        <v>26.177</v>
      </c>
      <c r="U92" s="55">
        <f>_xll.EQNXTDZ($A$1,$B92,U$5,$B$1)</f>
        <v>0</v>
      </c>
      <c r="V92" s="55">
        <f>_xll.EQNXTDZ($A$1,$B92,V$5,$B$1)</f>
        <v>16.27</v>
      </c>
      <c r="W92" s="55">
        <f>_xll.EQNXTDZ($A$1,$B92,W$5,$B$1)</f>
        <v>0</v>
      </c>
      <c r="X92" s="55">
        <f>_xll.EQNXTDZ($A$1,$B92,X$5,$B$1)</f>
        <v>12.170999999999999</v>
      </c>
      <c r="Y92" s="55">
        <f>_xll.EQNXTDZ($A$1,$B92,Y$5,$B$1)</f>
        <v>0</v>
      </c>
      <c r="Z92" s="55">
        <f>_xll.EQNXTDZ($A$1,$B92,Z$5,$B$1)</f>
        <v>21.978999999999999</v>
      </c>
      <c r="AA92" s="55">
        <f>_xll.EQNXTDZ($A$1,$B92,AA$5,$B$1)</f>
        <v>0</v>
      </c>
      <c r="AB92" s="55">
        <f>_xll.EQNXTDZ($A$1,$B92,AB$5,$B$1)</f>
        <v>15.632</v>
      </c>
      <c r="AC92" s="55">
        <f>_xll.EQNXTDZ($A$1,$B92,AC$5,$B$1)</f>
        <v>0</v>
      </c>
      <c r="AD92" s="55">
        <f>_xll.EQNXTDZ($A$1,$B92,AD$5,$B$1)</f>
        <v>22.417000000000002</v>
      </c>
      <c r="AE92" s="55">
        <f>_xll.EQNXTDZ($A$1,$B92,AE$5,$B$1)</f>
        <v>0</v>
      </c>
      <c r="AF92" s="55">
        <f>_xll.EQNXTDZ($A$1,$B92,AF$5,$B$1)</f>
        <v>12.760999999999999</v>
      </c>
      <c r="AG92" s="55">
        <f>_xll.EQNXTDZ($A$1,$B92,AG$5,$B$1)</f>
        <v>0</v>
      </c>
      <c r="AH92" s="55">
        <f>_xll.EQNXTDZ($A$1,$B92,AH$5,$B$1)</f>
        <v>21.055</v>
      </c>
      <c r="AI92" s="55">
        <f>_xll.EQNXTDZ($A$1,$B92,AI$5,$B$1)</f>
        <v>0</v>
      </c>
      <c r="AJ92" s="55">
        <f>_xll.EQNXTDZ($A$1,$B92,AJ$5,$B$1)</f>
        <v>17.98</v>
      </c>
      <c r="AK92" s="55">
        <f>_xll.EQNXTDZ($A$1,$B92,AK$5,$B$1)</f>
        <v>0</v>
      </c>
      <c r="AL92" s="55">
        <f>_xll.EQNXTDZ($A$1,$B92,AL$5,$B$1)</f>
        <v>40.018999999999998</v>
      </c>
      <c r="AM92" s="55">
        <f>_xll.EQNXTDZ($A$1,$B92,AM$5,$B$1)</f>
        <v>0</v>
      </c>
      <c r="AN92" s="55">
        <f>_xll.EQNXTDZ($A$1,$B92,AN$5,$B$1)</f>
        <v>32.286999999999999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1.528</v>
      </c>
      <c r="AS92" s="55">
        <f>_xll.EQNXTDZ($A$1,$B92,AS$5,$B$1)</f>
        <v>0</v>
      </c>
      <c r="AT92" s="55">
        <f>_xll.EQNXTDZ($A$1,$B92,AT$5,$B$1)</f>
        <v>0.318</v>
      </c>
      <c r="AU92" s="55">
        <f>_xll.EQNXTDZ($A$1,$B92,AU$5,$B$1)</f>
        <v>0</v>
      </c>
      <c r="AV92" s="55">
        <f>_xll.EQNXTDZ($A$1,$B92,AV$5,$B$1)</f>
        <v>0.20499999999999999</v>
      </c>
      <c r="AW92" s="55">
        <f>_xll.EQNXTDZ($A$1,$B92,AW$5,$B$1)</f>
        <v>0</v>
      </c>
      <c r="AX92" s="55">
        <f>_xll.EQNXTDZ($A$1,$B92,AX$5,$B$1)</f>
        <v>2.9119999999999999</v>
      </c>
      <c r="AY92" s="55">
        <f>_xll.EQNXTDZ($A$1,$B92,AY$5,$B$1)</f>
        <v>0</v>
      </c>
      <c r="AZ92" s="55">
        <f>_xll.EQNXTDZ($A$1,$B92,AZ$5,$B$1)</f>
        <v>1.379</v>
      </c>
      <c r="BA92" s="55">
        <f>_xll.EQNXTDZ($A$1,$B92,BA$5,$B$1)</f>
        <v>0</v>
      </c>
      <c r="BB92" s="55">
        <f>_xll.EQNXTDZ($A$1,$B92,BB$5,$B$1)</f>
        <v>1.917</v>
      </c>
      <c r="BC92" s="55">
        <f>_xll.EQNXTDZ($A$1,$B92,BC$5,$B$1)</f>
        <v>0</v>
      </c>
      <c r="BD92" s="55">
        <f>_xll.EQNXTDZ($A$1,$B92,BD$5,$B$1)</f>
        <v>2.9079999999999999</v>
      </c>
      <c r="BE92" s="55">
        <f>_xll.EQNXTDZ($A$1,$B92,BE$5,$B$1)</f>
        <v>0</v>
      </c>
      <c r="BF92" s="55">
        <f>_xll.EQNXTDZ($A$1,$B92,BF$5,$B$1)</f>
        <v>1.196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174.12899999999999</v>
      </c>
      <c r="E93" s="55">
        <f>_xll.EQNXTDZ($A$1,$B93,E$5,$B$1)</f>
        <v>0</v>
      </c>
      <c r="F93" s="55">
        <f>_xll.EQNXTDZ($A$1,$B93,F$5,$B$1)</f>
        <v>198.57</v>
      </c>
      <c r="G93" s="55">
        <f>_xll.EQNXTDZ($A$1,$B93,G$5,$B$1)</f>
        <v>0</v>
      </c>
      <c r="H93" s="55">
        <f>_xll.EQNXTDZ($A$1,$B93,H$5,$B$1)</f>
        <v>248.376</v>
      </c>
      <c r="I93" s="55">
        <f>_xll.EQNXTDZ($A$1,$B93,I$5,$B$1)</f>
        <v>0</v>
      </c>
      <c r="J93" s="55">
        <f>_xll.EQNXTDZ($A$1,$B93,J$5,$B$1)</f>
        <v>285.68</v>
      </c>
      <c r="K93" s="55">
        <f>_xll.EQNXTDZ($A$1,$B93,K$5,$B$1)</f>
        <v>0</v>
      </c>
      <c r="L93" s="55">
        <f>_xll.EQNXTDZ($A$1,$B93,L$5,$B$1)</f>
        <v>258.42</v>
      </c>
      <c r="M93" s="55">
        <f>_xll.EQNXTDZ($A$1,$B93,M$5,$B$1)</f>
        <v>0</v>
      </c>
      <c r="N93" s="55">
        <f>_xll.EQNXTDZ($A$1,$B93,N$5,$B$1)</f>
        <v>256.37299999999999</v>
      </c>
      <c r="O93" s="55">
        <f>_xll.EQNXTDZ($A$1,$B93,O$5,$B$1)</f>
        <v>0</v>
      </c>
      <c r="P93" s="55">
        <f>_xll.EQNXTDZ($A$1,$B93,P$5,$B$1)</f>
        <v>207.57599999999999</v>
      </c>
      <c r="Q93" s="55">
        <f>_xll.EQNXTDZ($A$1,$B93,Q$5,$B$1)</f>
        <v>0</v>
      </c>
      <c r="R93" s="55">
        <f>_xll.EQNXTDZ($A$1,$B93,R$5,$B$1)</f>
        <v>215.63499999999999</v>
      </c>
      <c r="S93" s="55">
        <f>_xll.EQNXTDZ($A$1,$B93,S$5,$B$1)</f>
        <v>0</v>
      </c>
      <c r="T93" s="55">
        <f>_xll.EQNXTDZ($A$1,$B93,T$5,$B$1)</f>
        <v>145.41300000000001</v>
      </c>
      <c r="U93" s="55">
        <f>_xll.EQNXTDZ($A$1,$B93,U$5,$B$1)</f>
        <v>0</v>
      </c>
      <c r="V93" s="55">
        <f>_xll.EQNXTDZ($A$1,$B93,V$5,$B$1)</f>
        <v>199.09399999999999</v>
      </c>
      <c r="W93" s="55">
        <f>_xll.EQNXTDZ($A$1,$B93,W$5,$B$1)</f>
        <v>0</v>
      </c>
      <c r="X93" s="55">
        <f>_xll.EQNXTDZ($A$1,$B93,X$5,$B$1)</f>
        <v>193.58199999999999</v>
      </c>
      <c r="Y93" s="55">
        <f>_xll.EQNXTDZ($A$1,$B93,Y$5,$B$1)</f>
        <v>0</v>
      </c>
      <c r="Z93" s="55">
        <f>_xll.EQNXTDZ($A$1,$B93,Z$5,$B$1)</f>
        <v>256.51100000000002</v>
      </c>
      <c r="AA93" s="55">
        <f>_xll.EQNXTDZ($A$1,$B93,AA$5,$B$1)</f>
        <v>0</v>
      </c>
      <c r="AB93" s="55">
        <f>_xll.EQNXTDZ($A$1,$B93,AB$5,$B$1)</f>
        <v>267.74299999999999</v>
      </c>
      <c r="AC93" s="55">
        <f>_xll.EQNXTDZ($A$1,$B93,AC$5,$B$1)</f>
        <v>0</v>
      </c>
      <c r="AD93" s="55">
        <f>_xll.EQNXTDZ($A$1,$B93,AD$5,$B$1)</f>
        <v>308.42500000000001</v>
      </c>
      <c r="AE93" s="55">
        <f>_xll.EQNXTDZ($A$1,$B93,AE$5,$B$1)</f>
        <v>0</v>
      </c>
      <c r="AF93" s="55">
        <f>_xll.EQNXTDZ($A$1,$B93,AF$5,$B$1)</f>
        <v>224.85</v>
      </c>
      <c r="AG93" s="55">
        <f>_xll.EQNXTDZ($A$1,$B93,AG$5,$B$1)</f>
        <v>0</v>
      </c>
      <c r="AH93" s="55">
        <f>_xll.EQNXTDZ($A$1,$B93,AH$5,$B$1)</f>
        <v>264.339</v>
      </c>
      <c r="AI93" s="55">
        <f>_xll.EQNXTDZ($A$1,$B93,AI$5,$B$1)</f>
        <v>0</v>
      </c>
      <c r="AJ93" s="55">
        <f>_xll.EQNXTDZ($A$1,$B93,AJ$5,$B$1)</f>
        <v>270.38600000000002</v>
      </c>
      <c r="AK93" s="55">
        <f>_xll.EQNXTDZ($A$1,$B93,AK$5,$B$1)</f>
        <v>0</v>
      </c>
      <c r="AL93" s="55">
        <f>_xll.EQNXTDZ($A$1,$B93,AL$5,$B$1)</f>
        <v>242.80600000000001</v>
      </c>
      <c r="AM93" s="55">
        <f>_xll.EQNXTDZ($A$1,$B93,AM$5,$B$1)</f>
        <v>0</v>
      </c>
      <c r="AN93" s="55">
        <f>_xll.EQNXTDZ($A$1,$B93,AN$5,$B$1)</f>
        <v>373.08</v>
      </c>
      <c r="AO93" s="55">
        <f>_xll.EQNXTDZ($A$1,$B93,AO$5,$B$1)</f>
        <v>0</v>
      </c>
      <c r="AP93" s="55">
        <f>_xll.EQNXTDZ($A$1,$B93,AP$5,$B$1)</f>
        <v>300.73</v>
      </c>
      <c r="AQ93" s="55">
        <f>_xll.EQNXTDZ($A$1,$B93,AQ$5,$B$1)</f>
        <v>0</v>
      </c>
      <c r="AR93" s="55">
        <f>_xll.EQNXTDZ($A$1,$B93,AR$5,$B$1)</f>
        <v>370.87099999999998</v>
      </c>
      <c r="AS93" s="55">
        <f>_xll.EQNXTDZ($A$1,$B93,AS$5,$B$1)</f>
        <v>0</v>
      </c>
      <c r="AT93" s="55">
        <f>_xll.EQNXTDZ($A$1,$B93,AT$5,$B$1)</f>
        <v>149.33799999999999</v>
      </c>
      <c r="AU93" s="55">
        <f>_xll.EQNXTDZ($A$1,$B93,AU$5,$B$1)</f>
        <v>0</v>
      </c>
      <c r="AV93" s="55">
        <f>_xll.EQNXTDZ($A$1,$B93,AV$5,$B$1)</f>
        <v>116.425</v>
      </c>
      <c r="AW93" s="55">
        <f>_xll.EQNXTDZ($A$1,$B93,AW$5,$B$1)</f>
        <v>0</v>
      </c>
      <c r="AX93" s="55">
        <f>_xll.EQNXTDZ($A$1,$B93,AX$5,$B$1)</f>
        <v>148.70400000000001</v>
      </c>
      <c r="AY93" s="55">
        <f>_xll.EQNXTDZ($A$1,$B93,AY$5,$B$1)</f>
        <v>0</v>
      </c>
      <c r="AZ93" s="55">
        <f>_xll.EQNXTDZ($A$1,$B93,AZ$5,$B$1)</f>
        <v>105.364</v>
      </c>
      <c r="BA93" s="55">
        <f>_xll.EQNXTDZ($A$1,$B93,BA$5,$B$1)</f>
        <v>0</v>
      </c>
      <c r="BB93" s="55">
        <f>_xll.EQNXTDZ($A$1,$B93,BB$5,$B$1)</f>
        <v>129.68899999999999</v>
      </c>
      <c r="BC93" s="55">
        <f>_xll.EQNXTDZ($A$1,$B93,BC$5,$B$1)</f>
        <v>0</v>
      </c>
      <c r="BD93" s="55">
        <f>_xll.EQNXTDZ($A$1,$B93,BD$5,$B$1)</f>
        <v>164.203</v>
      </c>
      <c r="BE93" s="55">
        <f>_xll.EQNXTDZ($A$1,$B93,BE$5,$B$1)</f>
        <v>0</v>
      </c>
      <c r="BF93" s="55">
        <f>_xll.EQNXTDZ($A$1,$B93,BF$5,$B$1)</f>
        <v>402.03899999999999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44.421999999999997</v>
      </c>
      <c r="E94" s="55">
        <f>_xll.EQNXTDZ($A$1,$B94,E$5,$B$1)</f>
        <v>0</v>
      </c>
      <c r="F94" s="55">
        <f>_xll.EQNXTDZ($A$1,$B94,F$5,$B$1)</f>
        <v>21.39</v>
      </c>
      <c r="G94" s="55">
        <f>_xll.EQNXTDZ($A$1,$B94,G$5,$B$1)</f>
        <v>0</v>
      </c>
      <c r="H94" s="55">
        <f>_xll.EQNXTDZ($A$1,$B94,H$5,$B$1)</f>
        <v>22.323</v>
      </c>
      <c r="I94" s="55">
        <f>_xll.EQNXTDZ($A$1,$B94,I$5,$B$1)</f>
        <v>0</v>
      </c>
      <c r="J94" s="55">
        <f>_xll.EQNXTDZ($A$1,$B94,J$5,$B$1)</f>
        <v>-1.25999999999995</v>
      </c>
      <c r="K94" s="55">
        <f>_xll.EQNXTDZ($A$1,$B94,K$5,$B$1)</f>
        <v>0</v>
      </c>
      <c r="L94" s="55">
        <f>_xll.EQNXTDZ($A$1,$B94,L$5,$B$1)</f>
        <v>14.76</v>
      </c>
      <c r="M94" s="55">
        <f>_xll.EQNXTDZ($A$1,$B94,M$5,$B$1)</f>
        <v>0</v>
      </c>
      <c r="N94" s="55">
        <f>_xll.EQNXTDZ($A$1,$B94,N$5,$B$1)</f>
        <v>19.422999999999998</v>
      </c>
      <c r="O94" s="55">
        <f>_xll.EQNXTDZ($A$1,$B94,O$5,$B$1)</f>
        <v>0</v>
      </c>
      <c r="P94" s="55">
        <f>_xll.EQNXTDZ($A$1,$B94,P$5,$B$1)</f>
        <v>42.540999999999997</v>
      </c>
      <c r="Q94" s="55">
        <f>_xll.EQNXTDZ($A$1,$B94,Q$5,$B$1)</f>
        <v>0</v>
      </c>
      <c r="R94" s="55">
        <f>_xll.EQNXTDZ($A$1,$B94,R$5,$B$1)</f>
        <v>29.69</v>
      </c>
      <c r="S94" s="55">
        <f>_xll.EQNXTDZ($A$1,$B94,S$5,$B$1)</f>
        <v>0</v>
      </c>
      <c r="T94" s="55">
        <f>_xll.EQNXTDZ($A$1,$B94,T$5,$B$1)</f>
        <v>51.084000000000003</v>
      </c>
      <c r="U94" s="55">
        <f>_xll.EQNXTDZ($A$1,$B94,U$5,$B$1)</f>
        <v>0</v>
      </c>
      <c r="V94" s="55">
        <f>_xll.EQNXTDZ($A$1,$B94,V$5,$B$1)</f>
        <v>80.466999999999999</v>
      </c>
      <c r="W94" s="55">
        <f>_xll.EQNXTDZ($A$1,$B94,W$5,$B$1)</f>
        <v>0</v>
      </c>
      <c r="X94" s="55">
        <f>_xll.EQNXTDZ($A$1,$B94,X$5,$B$1)</f>
        <v>86.095000000000098</v>
      </c>
      <c r="Y94" s="55">
        <f>_xll.EQNXTDZ($A$1,$B94,Y$5,$B$1)</f>
        <v>0</v>
      </c>
      <c r="Z94" s="55">
        <f>_xll.EQNXTDZ($A$1,$B94,Z$5,$B$1)</f>
        <v>98.212999999999994</v>
      </c>
      <c r="AA94" s="55">
        <f>_xll.EQNXTDZ($A$1,$B94,AA$5,$B$1)</f>
        <v>0</v>
      </c>
      <c r="AB94" s="55">
        <f>_xll.EQNXTDZ($A$1,$B94,AB$5,$B$1)</f>
        <v>122.334</v>
      </c>
      <c r="AC94" s="55">
        <f>_xll.EQNXTDZ($A$1,$B94,AC$5,$B$1)</f>
        <v>0</v>
      </c>
      <c r="AD94" s="55">
        <f>_xll.EQNXTDZ($A$1,$B94,AD$5,$B$1)</f>
        <v>140.97900000000001</v>
      </c>
      <c r="AE94" s="55">
        <f>_xll.EQNXTDZ($A$1,$B94,AE$5,$B$1)</f>
        <v>0</v>
      </c>
      <c r="AF94" s="55">
        <f>_xll.EQNXTDZ($A$1,$B94,AF$5,$B$1)</f>
        <v>155.10400000000001</v>
      </c>
      <c r="AG94" s="55">
        <f>_xll.EQNXTDZ($A$1,$B94,AG$5,$B$1)</f>
        <v>0</v>
      </c>
      <c r="AH94" s="55">
        <f>_xll.EQNXTDZ($A$1,$B94,AH$5,$B$1)</f>
        <v>196.27099999999999</v>
      </c>
      <c r="AI94" s="55">
        <f>_xll.EQNXTDZ($A$1,$B94,AI$5,$B$1)</f>
        <v>0</v>
      </c>
      <c r="AJ94" s="55">
        <f>_xll.EQNXTDZ($A$1,$B94,AJ$5,$B$1)</f>
        <v>229.649</v>
      </c>
      <c r="AK94" s="55">
        <f>_xll.EQNXTDZ($A$1,$B94,AK$5,$B$1)</f>
        <v>0</v>
      </c>
      <c r="AL94" s="55">
        <f>_xll.EQNXTDZ($A$1,$B94,AL$5,$B$1)</f>
        <v>334.27800000000002</v>
      </c>
      <c r="AM94" s="55">
        <f>_xll.EQNXTDZ($A$1,$B94,AM$5,$B$1)</f>
        <v>0</v>
      </c>
      <c r="AN94" s="55">
        <f>_xll.EQNXTDZ($A$1,$B94,AN$5,$B$1)</f>
        <v>463.44900000000001</v>
      </c>
      <c r="AO94" s="55">
        <f>_xll.EQNXTDZ($A$1,$B94,AO$5,$B$1)</f>
        <v>0</v>
      </c>
      <c r="AP94" s="55">
        <f>_xll.EQNXTDZ($A$1,$B94,AP$5,$B$1)</f>
        <v>606.36400000000003</v>
      </c>
      <c r="AQ94" s="55">
        <f>_xll.EQNXTDZ($A$1,$B94,AQ$5,$B$1)</f>
        <v>0</v>
      </c>
      <c r="AR94" s="55">
        <f>_xll.EQNXTDZ($A$1,$B94,AR$5,$B$1)</f>
        <v>835.87199999999996</v>
      </c>
      <c r="AS94" s="55">
        <f>_xll.EQNXTDZ($A$1,$B94,AS$5,$B$1)</f>
        <v>0</v>
      </c>
      <c r="AT94" s="55">
        <f>_xll.EQNXTDZ($A$1,$B94,AT$5,$B$1)</f>
        <v>883.08299999999997</v>
      </c>
      <c r="AU94" s="55">
        <f>_xll.EQNXTDZ($A$1,$B94,AU$5,$B$1)</f>
        <v>0</v>
      </c>
      <c r="AV94" s="55">
        <f>_xll.EQNXTDZ($A$1,$B94,AV$5,$B$1)</f>
        <v>852.48</v>
      </c>
      <c r="AW94" s="55">
        <f>_xll.EQNXTDZ($A$1,$B94,AW$5,$B$1)</f>
        <v>0</v>
      </c>
      <c r="AX94" s="55">
        <f>_xll.EQNXTDZ($A$1,$B94,AX$5,$B$1)</f>
        <v>848.27800000000002</v>
      </c>
      <c r="AY94" s="55">
        <f>_xll.EQNXTDZ($A$1,$B94,AY$5,$B$1)</f>
        <v>0</v>
      </c>
      <c r="AZ94" s="55">
        <f>_xll.EQNXTDZ($A$1,$B94,AZ$5,$B$1)</f>
        <v>838.28800000000001</v>
      </c>
      <c r="BA94" s="55">
        <f>_xll.EQNXTDZ($A$1,$B94,BA$5,$B$1)</f>
        <v>0</v>
      </c>
      <c r="BB94" s="55">
        <f>_xll.EQNXTDZ($A$1,$B94,BB$5,$B$1)</f>
        <v>811.21799999999996</v>
      </c>
      <c r="BC94" s="55">
        <f>_xll.EQNXTDZ($A$1,$B94,BC$5,$B$1)</f>
        <v>0</v>
      </c>
      <c r="BD94" s="55">
        <f>_xll.EQNXTDZ($A$1,$B94,BD$5,$B$1)</f>
        <v>684.71600000000001</v>
      </c>
      <c r="BE94" s="55">
        <f>_xll.EQNXTDZ($A$1,$B94,BE$5,$B$1)</f>
        <v>0</v>
      </c>
      <c r="BF94" s="55">
        <f>_xll.EQNXTDZ($A$1,$B94,BF$5,$B$1)</f>
        <v>538.85299999999995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-42.414999999999999</v>
      </c>
      <c r="E96" s="55">
        <f>_xll.EQNXTDZ($A$1,$B96,E$5,$B$1)</f>
        <v>0</v>
      </c>
      <c r="F96" s="55">
        <f>_xll.EQNXTDZ($A$1,$B96,F$5,$B$1)</f>
        <v>-39.82</v>
      </c>
      <c r="G96" s="55">
        <f>_xll.EQNXTDZ($A$1,$B96,G$5,$B$1)</f>
        <v>0</v>
      </c>
      <c r="H96" s="55">
        <f>_xll.EQNXTDZ($A$1,$B96,H$5,$B$1)</f>
        <v>-49.521000000000001</v>
      </c>
      <c r="I96" s="55">
        <f>_xll.EQNXTDZ($A$1,$B96,I$5,$B$1)</f>
        <v>0</v>
      </c>
      <c r="J96" s="55">
        <f>_xll.EQNXTDZ($A$1,$B96,J$5,$B$1)</f>
        <v>-42.44</v>
      </c>
      <c r="K96" s="55">
        <f>_xll.EQNXTDZ($A$1,$B96,K$5,$B$1)</f>
        <v>0</v>
      </c>
      <c r="L96" s="55">
        <f>_xll.EQNXTDZ($A$1,$B96,L$5,$B$1)</f>
        <v>-47.29</v>
      </c>
      <c r="M96" s="55">
        <f>_xll.EQNXTDZ($A$1,$B96,M$5,$B$1)</f>
        <v>0</v>
      </c>
      <c r="N96" s="55">
        <f>_xll.EQNXTDZ($A$1,$B96,N$5,$B$1)</f>
        <v>-45.127000000000002</v>
      </c>
      <c r="O96" s="55">
        <f>_xll.EQNXTDZ($A$1,$B96,O$5,$B$1)</f>
        <v>0</v>
      </c>
      <c r="P96" s="55">
        <f>_xll.EQNXTDZ($A$1,$B96,P$5,$B$1)</f>
        <v>-54.524000000000001</v>
      </c>
      <c r="Q96" s="55">
        <f>_xll.EQNXTDZ($A$1,$B96,Q$5,$B$1)</f>
        <v>0</v>
      </c>
      <c r="R96" s="55">
        <f>_xll.EQNXTDZ($A$1,$B96,R$5,$B$1)</f>
        <v>-50.472000000000001</v>
      </c>
      <c r="S96" s="55">
        <f>_xll.EQNXTDZ($A$1,$B96,S$5,$B$1)</f>
        <v>0</v>
      </c>
      <c r="T96" s="55">
        <f>_xll.EQNXTDZ($A$1,$B96,T$5,$B$1)</f>
        <v>-57.392000000000003</v>
      </c>
      <c r="U96" s="55">
        <f>_xll.EQNXTDZ($A$1,$B96,U$5,$B$1)</f>
        <v>0</v>
      </c>
      <c r="V96" s="55">
        <f>_xll.EQNXTDZ($A$1,$B96,V$5,$B$1)</f>
        <v>-50.816000000000003</v>
      </c>
      <c r="W96" s="55">
        <f>_xll.EQNXTDZ($A$1,$B96,W$5,$B$1)</f>
        <v>0</v>
      </c>
      <c r="X96" s="55">
        <f>_xll.EQNXTDZ($A$1,$B96,X$5,$B$1)</f>
        <v>-60.902999999999999</v>
      </c>
      <c r="Y96" s="55">
        <f>_xll.EQNXTDZ($A$1,$B96,Y$5,$B$1)</f>
        <v>0</v>
      </c>
      <c r="Z96" s="55">
        <f>_xll.EQNXTDZ($A$1,$B96,Z$5,$B$1)</f>
        <v>-50.222999999999999</v>
      </c>
      <c r="AA96" s="55">
        <f>_xll.EQNXTDZ($A$1,$B96,AA$5,$B$1)</f>
        <v>0</v>
      </c>
      <c r="AB96" s="55">
        <f>_xll.EQNXTDZ($A$1,$B96,AB$5,$B$1)</f>
        <v>-48.732999999999997</v>
      </c>
      <c r="AC96" s="55">
        <f>_xll.EQNXTDZ($A$1,$B96,AC$5,$B$1)</f>
        <v>0</v>
      </c>
      <c r="AD96" s="55">
        <f>_xll.EQNXTDZ($A$1,$B96,AD$5,$B$1)</f>
        <v>-45.75</v>
      </c>
      <c r="AE96" s="55">
        <f>_xll.EQNXTDZ($A$1,$B96,AE$5,$B$1)</f>
        <v>0</v>
      </c>
      <c r="AF96" s="55">
        <f>_xll.EQNXTDZ($A$1,$B96,AF$5,$B$1)</f>
        <v>-46.698999999999998</v>
      </c>
      <c r="AG96" s="55">
        <f>_xll.EQNXTDZ($A$1,$B96,AG$5,$B$1)</f>
        <v>0</v>
      </c>
      <c r="AH96" s="55">
        <f>_xll.EQNXTDZ($A$1,$B96,AH$5,$B$1)</f>
        <v>-43.728999999999999</v>
      </c>
      <c r="AI96" s="55">
        <f>_xll.EQNXTDZ($A$1,$B96,AI$5,$B$1)</f>
        <v>0</v>
      </c>
      <c r="AJ96" s="55">
        <f>_xll.EQNXTDZ($A$1,$B96,AJ$5,$B$1)</f>
        <v>-40.85</v>
      </c>
      <c r="AK96" s="55">
        <f>_xll.EQNXTDZ($A$1,$B96,AK$5,$B$1)</f>
        <v>0</v>
      </c>
      <c r="AL96" s="55">
        <f>_xll.EQNXTDZ($A$1,$B96,AL$5,$B$1)</f>
        <v>-47.244</v>
      </c>
      <c r="AM96" s="55">
        <f>_xll.EQNXTDZ($A$1,$B96,AM$5,$B$1)</f>
        <v>0</v>
      </c>
      <c r="AN96" s="55">
        <f>_xll.EQNXTDZ($A$1,$B96,AN$5,$B$1)</f>
        <v>-62.357999999999997</v>
      </c>
      <c r="AO96" s="55">
        <f>_xll.EQNXTDZ($A$1,$B96,AO$5,$B$1)</f>
        <v>0</v>
      </c>
      <c r="AP96" s="55">
        <f>_xll.EQNXTDZ($A$1,$B96,AP$5,$B$1)</f>
        <v>-67.748999999999995</v>
      </c>
      <c r="AQ96" s="55">
        <f>_xll.EQNXTDZ($A$1,$B96,AQ$5,$B$1)</f>
        <v>0</v>
      </c>
      <c r="AR96" s="55">
        <f>_xll.EQNXTDZ($A$1,$B96,AR$5,$B$1)</f>
        <v>-77.876999999999995</v>
      </c>
      <c r="AS96" s="55">
        <f>_xll.EQNXTDZ($A$1,$B96,AS$5,$B$1)</f>
        <v>0</v>
      </c>
      <c r="AT96" s="55">
        <f>_xll.EQNXTDZ($A$1,$B96,AT$5,$B$1)</f>
        <v>-81.212000000000003</v>
      </c>
      <c r="AU96" s="55">
        <f>_xll.EQNXTDZ($A$1,$B96,AU$5,$B$1)</f>
        <v>0</v>
      </c>
      <c r="AV96" s="55">
        <f>_xll.EQNXTDZ($A$1,$B96,AV$5,$B$1)</f>
        <v>-81.617000000000004</v>
      </c>
      <c r="AW96" s="55">
        <f>_xll.EQNXTDZ($A$1,$B96,AW$5,$B$1)</f>
        <v>0</v>
      </c>
      <c r="AX96" s="55">
        <f>_xll.EQNXTDZ($A$1,$B96,AX$5,$B$1)</f>
        <v>-87.498000000000005</v>
      </c>
      <c r="AY96" s="55">
        <f>_xll.EQNXTDZ($A$1,$B96,AY$5,$B$1)</f>
        <v>0</v>
      </c>
      <c r="AZ96" s="55">
        <f>_xll.EQNXTDZ($A$1,$B96,AZ$5,$B$1)</f>
        <v>-93.822999999999993</v>
      </c>
      <c r="BA96" s="55">
        <f>_xll.EQNXTDZ($A$1,$B96,BA$5,$B$1)</f>
        <v>0</v>
      </c>
      <c r="BB96" s="55">
        <f>_xll.EQNXTDZ($A$1,$B96,BB$5,$B$1)</f>
        <v>-98.38</v>
      </c>
      <c r="BC96" s="55">
        <f>_xll.EQNXTDZ($A$1,$B96,BC$5,$B$1)</f>
        <v>0</v>
      </c>
      <c r="BD96" s="55">
        <f>_xll.EQNXTDZ($A$1,$B96,BD$5,$B$1)</f>
        <v>-105.76600000000001</v>
      </c>
      <c r="BE96" s="55">
        <f>_xll.EQNXTDZ($A$1,$B96,BE$5,$B$1)</f>
        <v>0</v>
      </c>
      <c r="BF96" s="55">
        <f>_xll.EQNXTDZ($A$1,$B96,BF$5,$B$1)</f>
        <v>-113.83199999999999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266.46300000000002</v>
      </c>
      <c r="E97" s="55">
        <f>_xll.EQNXTDZ($A$1,$B97,E$5,$B$1)</f>
        <v>0</v>
      </c>
      <c r="F97" s="55">
        <f>_xll.EQNXTDZ($A$1,$B97,F$5,$B$1)</f>
        <v>282.053</v>
      </c>
      <c r="G97" s="55">
        <f>_xll.EQNXTDZ($A$1,$B97,G$5,$B$1)</f>
        <v>0</v>
      </c>
      <c r="H97" s="55">
        <f>_xll.EQNXTDZ($A$1,$B97,H$5,$B$1)</f>
        <v>297.27</v>
      </c>
      <c r="I97" s="55">
        <f>_xll.EQNXTDZ($A$1,$B97,I$5,$B$1)</f>
        <v>0</v>
      </c>
      <c r="J97" s="55">
        <f>_xll.EQNXTDZ($A$1,$B97,J$5,$B$1)</f>
        <v>293.23</v>
      </c>
      <c r="K97" s="55">
        <f>_xll.EQNXTDZ($A$1,$B97,K$5,$B$1)</f>
        <v>0</v>
      </c>
      <c r="L97" s="55">
        <f>_xll.EQNXTDZ($A$1,$B97,L$5,$B$1)</f>
        <v>300.27</v>
      </c>
      <c r="M97" s="55">
        <f>_xll.EQNXTDZ($A$1,$B97,M$5,$B$1)</f>
        <v>0</v>
      </c>
      <c r="N97" s="55">
        <f>_xll.EQNXTDZ($A$1,$B97,N$5,$B$1)</f>
        <v>321.048</v>
      </c>
      <c r="O97" s="55">
        <f>_xll.EQNXTDZ($A$1,$B97,O$5,$B$1)</f>
        <v>0</v>
      </c>
      <c r="P97" s="55">
        <f>_xll.EQNXTDZ($A$1,$B97,P$5,$B$1)</f>
        <v>311.68599999999998</v>
      </c>
      <c r="Q97" s="55">
        <f>_xll.EQNXTDZ($A$1,$B97,Q$5,$B$1)</f>
        <v>0</v>
      </c>
      <c r="R97" s="55">
        <f>_xll.EQNXTDZ($A$1,$B97,R$5,$B$1)</f>
        <v>338.62799999999999</v>
      </c>
      <c r="S97" s="55">
        <f>_xll.EQNXTDZ($A$1,$B97,S$5,$B$1)</f>
        <v>0</v>
      </c>
      <c r="T97" s="55">
        <f>_xll.EQNXTDZ($A$1,$B97,T$5,$B$1)</f>
        <v>373.40199999999999</v>
      </c>
      <c r="U97" s="55">
        <f>_xll.EQNXTDZ($A$1,$B97,U$5,$B$1)</f>
        <v>0</v>
      </c>
      <c r="V97" s="55">
        <f>_xll.EQNXTDZ($A$1,$B97,V$5,$B$1)</f>
        <v>385.10500000000002</v>
      </c>
      <c r="W97" s="55">
        <f>_xll.EQNXTDZ($A$1,$B97,W$5,$B$1)</f>
        <v>0</v>
      </c>
      <c r="X97" s="55">
        <f>_xll.EQNXTDZ($A$1,$B97,X$5,$B$1)</f>
        <v>432.23500000000001</v>
      </c>
      <c r="Y97" s="55">
        <f>_xll.EQNXTDZ($A$1,$B97,Y$5,$B$1)</f>
        <v>0</v>
      </c>
      <c r="Z97" s="55">
        <f>_xll.EQNXTDZ($A$1,$B97,Z$5,$B$1)</f>
        <v>541.11099999999999</v>
      </c>
      <c r="AA97" s="55">
        <f>_xll.EQNXTDZ($A$1,$B97,AA$5,$B$1)</f>
        <v>0</v>
      </c>
      <c r="AB97" s="55">
        <f>_xll.EQNXTDZ($A$1,$B97,AB$5,$B$1)</f>
        <v>642.51499999999999</v>
      </c>
      <c r="AC97" s="55">
        <f>_xll.EQNXTDZ($A$1,$B97,AC$5,$B$1)</f>
        <v>0</v>
      </c>
      <c r="AD97" s="55">
        <f>_xll.EQNXTDZ($A$1,$B97,AD$5,$B$1)</f>
        <v>691.71299999999997</v>
      </c>
      <c r="AE97" s="55">
        <f>_xll.EQNXTDZ($A$1,$B97,AE$5,$B$1)</f>
        <v>0</v>
      </c>
      <c r="AF97" s="55">
        <f>_xll.EQNXTDZ($A$1,$B97,AF$5,$B$1)</f>
        <v>722.32600000000002</v>
      </c>
      <c r="AG97" s="55">
        <f>_xll.EQNXTDZ($A$1,$B97,AG$5,$B$1)</f>
        <v>0</v>
      </c>
      <c r="AH97" s="55">
        <f>_xll.EQNXTDZ($A$1,$B97,AH$5,$B$1)</f>
        <v>805.03499999999997</v>
      </c>
      <c r="AI97" s="55">
        <f>_xll.EQNXTDZ($A$1,$B97,AI$5,$B$1)</f>
        <v>0</v>
      </c>
      <c r="AJ97" s="55">
        <f>_xll.EQNXTDZ($A$1,$B97,AJ$5,$B$1)</f>
        <v>869.79100000000005</v>
      </c>
      <c r="AK97" s="55">
        <f>_xll.EQNXTDZ($A$1,$B97,AK$5,$B$1)</f>
        <v>0</v>
      </c>
      <c r="AL97" s="55">
        <f>_xll.EQNXTDZ($A$1,$B97,AL$5,$B$1)</f>
        <v>1020.279</v>
      </c>
      <c r="AM97" s="55">
        <f>_xll.EQNXTDZ($A$1,$B97,AM$5,$B$1)</f>
        <v>0</v>
      </c>
      <c r="AN97" s="55">
        <f>_xll.EQNXTDZ($A$1,$B97,AN$5,$B$1)</f>
        <v>1161.4829999999999</v>
      </c>
      <c r="AO97" s="55">
        <f>_xll.EQNXTDZ($A$1,$B97,AO$5,$B$1)</f>
        <v>0</v>
      </c>
      <c r="AP97" s="55">
        <f>_xll.EQNXTDZ($A$1,$B97,AP$5,$B$1)</f>
        <v>1376.7819999999999</v>
      </c>
      <c r="AQ97" s="55">
        <f>_xll.EQNXTDZ($A$1,$B97,AQ$5,$B$1)</f>
        <v>0</v>
      </c>
      <c r="AR97" s="55">
        <f>_xll.EQNXTDZ($A$1,$B97,AR$5,$B$1)</f>
        <v>1606.904</v>
      </c>
      <c r="AS97" s="55">
        <f>_xll.EQNXTDZ($A$1,$B97,AS$5,$B$1)</f>
        <v>0</v>
      </c>
      <c r="AT97" s="55">
        <f>_xll.EQNXTDZ($A$1,$B97,AT$5,$B$1)</f>
        <v>1732.258</v>
      </c>
      <c r="AU97" s="55">
        <f>_xll.EQNXTDZ($A$1,$B97,AU$5,$B$1)</f>
        <v>0</v>
      </c>
      <c r="AV97" s="55">
        <f>_xll.EQNXTDZ($A$1,$B97,AV$5,$B$1)</f>
        <v>1791.3430000000001</v>
      </c>
      <c r="AW97" s="55">
        <f>_xll.EQNXTDZ($A$1,$B97,AW$5,$B$1)</f>
        <v>0</v>
      </c>
      <c r="AX97" s="55">
        <f>_xll.EQNXTDZ($A$1,$B97,AX$5,$B$1)</f>
        <v>1909.952</v>
      </c>
      <c r="AY97" s="55">
        <f>_xll.EQNXTDZ($A$1,$B97,AY$5,$B$1)</f>
        <v>0</v>
      </c>
      <c r="AZ97" s="55">
        <f>_xll.EQNXTDZ($A$1,$B97,AZ$5,$B$1)</f>
        <v>1954.155</v>
      </c>
      <c r="BA97" s="55">
        <f>_xll.EQNXTDZ($A$1,$B97,BA$5,$B$1)</f>
        <v>0</v>
      </c>
      <c r="BB97" s="55">
        <f>_xll.EQNXTDZ($A$1,$B97,BB$5,$B$1)</f>
        <v>2023.99</v>
      </c>
      <c r="BC97" s="55">
        <f>_xll.EQNXTDZ($A$1,$B97,BC$5,$B$1)</f>
        <v>0</v>
      </c>
      <c r="BD97" s="55">
        <f>_xll.EQNXTDZ($A$1,$B97,BD$5,$B$1)</f>
        <v>2061.4920000000002</v>
      </c>
      <c r="BE97" s="55">
        <f>_xll.EQNXTDZ($A$1,$B97,BE$5,$B$1)</f>
        <v>0</v>
      </c>
      <c r="BF97" s="55">
        <f>_xll.EQNXTDZ($A$1,$B97,BF$5,$B$1)</f>
        <v>2226.6660000000002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130999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Balaji Amines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29.322552999999999</v>
      </c>
      <c r="D6" s="100">
        <f>_xll.EQNXTDZ($A$1,$B6,D$1,$B$1)</f>
        <v>41.153086399999999</v>
      </c>
      <c r="E6" s="100">
        <f>_xll.EQNXTDZ($A$1,$B6,E$1,$B$1)</f>
        <v>50.679308300000002</v>
      </c>
      <c r="F6" s="100">
        <f>_xll.EQNXTDZ($A$1,$B6,F$1,$B$1)</f>
        <v>81.990467899999999</v>
      </c>
      <c r="G6" s="100">
        <f>_xll.EQNXTDZ($A$1,$B6,G$1,$B$1)</f>
        <v>99.190306399999997</v>
      </c>
      <c r="H6" s="100">
        <f>_xll.EQNXTDZ($A$1,$B6,H$1,$B$1)</f>
        <v>145.89401380000001</v>
      </c>
      <c r="I6" s="100">
        <f>_xll.EQNXTDZ($A$1,$B6,I$1,$B$1)</f>
        <v>197.2938441</v>
      </c>
      <c r="J6" s="100">
        <f>_xll.EQNXTDZ($A$1,$B6,J$1,$B$1)</f>
        <v>239.67647640000001</v>
      </c>
      <c r="K6" s="100">
        <f>_xll.EQNXTDZ($A$1,$B6,K$1,$B$1)</f>
        <v>273.5852635</v>
      </c>
      <c r="L6" s="100">
        <f>_xll.EQNXTDZ($A$1,$B6,L$1,$B$1)</f>
        <v>277.13981710000002</v>
      </c>
      <c r="M6" s="100">
        <f>_xll.EQNXTDZ($A$1,$B6,M$1,$B$1)</f>
        <v>374.72099259999999</v>
      </c>
      <c r="N6" s="100">
        <f>_xll.EQNXTDZ($A$1,$B6,N$1,$B$1)</f>
        <v>485.95722690000002</v>
      </c>
      <c r="O6" s="100">
        <f>_xll.EQNXTDZ($A$1,$B6,O$1,$B$1)</f>
        <v>556.33360849999997</v>
      </c>
      <c r="P6" s="100">
        <f>_xll.EQNXTDZ($A$1,$B6,P$1,$B$1)</f>
        <v>667.41449999999998</v>
      </c>
      <c r="Q6" s="100">
        <f>_xll.EQNXTDZ($A$1,$B6,Q$1,$B$1)</f>
        <v>673.69466829999999</v>
      </c>
      <c r="R6" s="100">
        <f>_xll.EQNXTDZ($A$1,$B6,R$1,$B$1)</f>
        <v>698.2066797</v>
      </c>
      <c r="S6" s="100">
        <f>_xll.EQNXTDZ($A$1,$B6,S$1,$B$1)</f>
        <v>730.59146350000003</v>
      </c>
      <c r="T6" s="100">
        <f>_xll.EQNXTDZ($A$1,$B6,T$1,$B$1)</f>
        <v>874.58986470000002</v>
      </c>
      <c r="U6" s="100">
        <f>_xll.EQNXTDZ($A$1,$B6,U$1,$B$1)</f>
        <v>943.05127170000003</v>
      </c>
      <c r="V6" s="100">
        <f>_xll.EQNXTDZ($A$1,$B6,V$1,$B$1)</f>
        <v>935.77183890000003</v>
      </c>
      <c r="W6" s="100">
        <f>_xll.EQNXTDZ($A$1,$B6,W$1,$B$1)</f>
        <v>1311.4550999999999</v>
      </c>
      <c r="X6" s="100">
        <f>_xll.EQNXTDZ($A$1,$B6,X$1,$B$1)</f>
        <v>2326.2546000000002</v>
      </c>
      <c r="Y6" s="100">
        <f>_xll.EQNXTDZ($A$1,$B6,Y$1,$B$1)</f>
        <v>2359.4351000000001</v>
      </c>
      <c r="Z6" s="100">
        <f>_xll.EQNXTDZ($A$1,$B6,Z$1,$B$1)</f>
        <v>1642.5360000000001</v>
      </c>
      <c r="AA6" s="100">
        <f>_xll.EQNXTDZ($A$1,$B6,AA$1,$B$1)</f>
        <v>1400.7005999999999</v>
      </c>
      <c r="AB6" s="100">
        <f>_xll.EQNXTDZ($A$1,$B6,AB$1,$B$1)</f>
        <v>1294.1110000000001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3.371</v>
      </c>
      <c r="Y8" s="100">
        <f>_xll.EQNXTDZ($A$1,$B8,Y$1,$B$1)</f>
        <v>4.0395000000000003</v>
      </c>
      <c r="Z8" s="100">
        <f>_xll.EQNXTDZ($A$1,$B8,Z$1,$B$1)</f>
        <v>1.0229999999999999</v>
      </c>
      <c r="AA8" s="100">
        <f>_xll.EQNXTDZ($A$1,$B8,AA$1,$B$1)</f>
        <v>3.6162000000000001</v>
      </c>
      <c r="AB8" s="100">
        <f>_xll.EQNXTDZ($A$1,$B8,AB$1,$B$1)</f>
        <v>2.5663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3.1924888999999999</v>
      </c>
      <c r="D9" s="100">
        <f>_xll.EQNXTDZ($A$1,$B9,D$1,$B$1)</f>
        <v>4.5787399999999998</v>
      </c>
      <c r="E9" s="100">
        <f>_xll.EQNXTDZ($A$1,$B9,E$1,$B$1)</f>
        <v>5.5724933999999999</v>
      </c>
      <c r="F9" s="100">
        <f>_xll.EQNXTDZ($A$1,$B9,F$1,$B$1)</f>
        <v>11.084473900000001</v>
      </c>
      <c r="G9" s="100">
        <f>_xll.EQNXTDZ($A$1,$B9,G$1,$B$1)</f>
        <v>11.4634337</v>
      </c>
      <c r="H9" s="100">
        <f>_xll.EQNXTDZ($A$1,$B9,H$1,$B$1)</f>
        <v>17.280034799999999</v>
      </c>
      <c r="I9" s="100">
        <f>_xll.EQNXTDZ($A$1,$B9,I$1,$B$1)</f>
        <v>21.788731200000001</v>
      </c>
      <c r="J9" s="100">
        <f>_xll.EQNXTDZ($A$1,$B9,J$1,$B$1)</f>
        <v>21.8569584</v>
      </c>
      <c r="K9" s="100">
        <f>_xll.EQNXTDZ($A$1,$B9,K$1,$B$1)</f>
        <v>21.898457100000002</v>
      </c>
      <c r="L9" s="100">
        <f>_xll.EQNXTDZ($A$1,$B9,L$1,$B$1)</f>
        <v>15.243988</v>
      </c>
      <c r="M9" s="100">
        <f>_xll.EQNXTDZ($A$1,$B9,M$1,$B$1)</f>
        <v>27.951322699999999</v>
      </c>
      <c r="N9" s="100">
        <f>_xll.EQNXTDZ($A$1,$B9,N$1,$B$1)</f>
        <v>36.433662300000002</v>
      </c>
      <c r="O9" s="100">
        <f>_xll.EQNXTDZ($A$1,$B9,O$1,$B$1)</f>
        <v>44.5376306</v>
      </c>
      <c r="P9" s="100">
        <f>_xll.EQNXTDZ($A$1,$B9,P$1,$B$1)</f>
        <v>57.288200000000003</v>
      </c>
      <c r="Q9" s="100">
        <f>_xll.EQNXTDZ($A$1,$B9,Q$1,$B$1)</f>
        <v>54.919732400000001</v>
      </c>
      <c r="R9" s="100">
        <f>_xll.EQNXTDZ($A$1,$B9,R$1,$B$1)</f>
        <v>55.061539500000002</v>
      </c>
      <c r="S9" s="100">
        <f>_xll.EQNXTDZ($A$1,$B9,S$1,$B$1)</f>
        <v>60.1068833</v>
      </c>
      <c r="T9" s="100">
        <f>_xll.EQNXTDZ($A$1,$B9,T$1,$B$1)</f>
        <v>13.3562417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26.130064099999998</v>
      </c>
      <c r="D10" s="100">
        <f>_xll.EQNXTDZ($A$1,$B10,D$1,$B$1)</f>
        <v>36.574346400000003</v>
      </c>
      <c r="E10" s="100">
        <f>_xll.EQNXTDZ($A$1,$B10,E$1,$B$1)</f>
        <v>45.106814900000003</v>
      </c>
      <c r="F10" s="100">
        <f>_xll.EQNXTDZ($A$1,$B10,F$1,$B$1)</f>
        <v>70.905994000000007</v>
      </c>
      <c r="G10" s="100">
        <f>_xll.EQNXTDZ($A$1,$B10,G$1,$B$1)</f>
        <v>87.726872700000001</v>
      </c>
      <c r="H10" s="100">
        <f>_xll.EQNXTDZ($A$1,$B10,H$1,$B$1)</f>
        <v>128.613979</v>
      </c>
      <c r="I10" s="100">
        <f>_xll.EQNXTDZ($A$1,$B10,I$1,$B$1)</f>
        <v>175.5051129</v>
      </c>
      <c r="J10" s="100">
        <f>_xll.EQNXTDZ($A$1,$B10,J$1,$B$1)</f>
        <v>217.81951799999999</v>
      </c>
      <c r="K10" s="100">
        <f>_xll.EQNXTDZ($A$1,$B10,K$1,$B$1)</f>
        <v>251.68680639999999</v>
      </c>
      <c r="L10" s="100">
        <f>_xll.EQNXTDZ($A$1,$B10,L$1,$B$1)</f>
        <v>261.89582910000001</v>
      </c>
      <c r="M10" s="100">
        <f>_xll.EQNXTDZ($A$1,$B10,M$1,$B$1)</f>
        <v>346.7696699</v>
      </c>
      <c r="N10" s="100">
        <f>_xll.EQNXTDZ($A$1,$B10,N$1,$B$1)</f>
        <v>449.52356459999999</v>
      </c>
      <c r="O10" s="100">
        <f>_xll.EQNXTDZ($A$1,$B10,O$1,$B$1)</f>
        <v>511.79597790000003</v>
      </c>
      <c r="P10" s="100">
        <f>_xll.EQNXTDZ($A$1,$B10,P$1,$B$1)</f>
        <v>610.12630000000001</v>
      </c>
      <c r="Q10" s="100">
        <f>_xll.EQNXTDZ($A$1,$B10,Q$1,$B$1)</f>
        <v>618.77493589999995</v>
      </c>
      <c r="R10" s="100">
        <f>_xll.EQNXTDZ($A$1,$B10,R$1,$B$1)</f>
        <v>643.14514020000001</v>
      </c>
      <c r="S10" s="100">
        <f>_xll.EQNXTDZ($A$1,$B10,S$1,$B$1)</f>
        <v>670.48458019999998</v>
      </c>
      <c r="T10" s="100">
        <f>_xll.EQNXTDZ($A$1,$B10,T$1,$B$1)</f>
        <v>861.23362299999997</v>
      </c>
      <c r="U10" s="100">
        <f>_xll.EQNXTDZ($A$1,$B10,U$1,$B$1)</f>
        <v>943.05127170000003</v>
      </c>
      <c r="V10" s="100">
        <f>_xll.EQNXTDZ($A$1,$B10,V$1,$B$1)</f>
        <v>935.77183890000003</v>
      </c>
      <c r="W10" s="100">
        <f>_xll.EQNXTDZ($A$1,$B10,W$1,$B$1)</f>
        <v>1311.4550999999999</v>
      </c>
      <c r="X10" s="100">
        <f>_xll.EQNXTDZ($A$1,$B10,X$1,$B$1)</f>
        <v>2322.8836000000001</v>
      </c>
      <c r="Y10" s="100">
        <f>_xll.EQNXTDZ($A$1,$B10,Y$1,$B$1)</f>
        <v>2355.3955999999998</v>
      </c>
      <c r="Z10" s="100">
        <f>_xll.EQNXTDZ($A$1,$B10,Z$1,$B$1)</f>
        <v>1641.5129999999999</v>
      </c>
      <c r="AA10" s="100">
        <f>_xll.EQNXTDZ($A$1,$B10,AA$1,$B$1)</f>
        <v>1397.0844</v>
      </c>
      <c r="AB10" s="100">
        <f>_xll.EQNXTDZ($A$1,$B10,AB$1,$B$1)</f>
        <v>1291.5446999999999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-0.45941769999999998</v>
      </c>
      <c r="D11" s="100">
        <f>_xll.EQNXTDZ($A$1,$B11,D$1,$B$1)</f>
        <v>0.65281990000000001</v>
      </c>
      <c r="E11" s="100">
        <f>_xll.EQNXTDZ($A$1,$B11,E$1,$B$1)</f>
        <v>7.0696099999999998E-2</v>
      </c>
      <c r="F11" s="100">
        <f>_xll.EQNXTDZ($A$1,$B11,F$1,$B$1)</f>
        <v>-2.8792667000000001</v>
      </c>
      <c r="G11" s="100">
        <f>_xll.EQNXTDZ($A$1,$B11,G$1,$B$1)</f>
        <v>-4.1421282000000001</v>
      </c>
      <c r="H11" s="100">
        <f>_xll.EQNXTDZ($A$1,$B11,H$1,$B$1)</f>
        <v>-0.97283240000000004</v>
      </c>
      <c r="I11" s="100">
        <f>_xll.EQNXTDZ($A$1,$B11,I$1,$B$1)</f>
        <v>-8.9860900000000008</v>
      </c>
      <c r="J11" s="100">
        <f>_xll.EQNXTDZ($A$1,$B11,J$1,$B$1)</f>
        <v>9.3914083000000002</v>
      </c>
      <c r="K11" s="100">
        <f>_xll.EQNXTDZ($A$1,$B11,K$1,$B$1)</f>
        <v>-0.46374729999999997</v>
      </c>
      <c r="L11" s="100">
        <f>_xll.EQNXTDZ($A$1,$B11,L$1,$B$1)</f>
        <v>-2.7195811000000001</v>
      </c>
      <c r="M11" s="100">
        <f>_xll.EQNXTDZ($A$1,$B11,M$1,$B$1)</f>
        <v>-22.4158206</v>
      </c>
      <c r="N11" s="100">
        <f>_xll.EQNXTDZ($A$1,$B11,N$1,$B$1)</f>
        <v>-18.437705900000001</v>
      </c>
      <c r="O11" s="100">
        <f>_xll.EQNXTDZ($A$1,$B11,O$1,$B$1)</f>
        <v>25.030586100000001</v>
      </c>
      <c r="P11" s="100">
        <f>_xll.EQNXTDZ($A$1,$B11,P$1,$B$1)</f>
        <v>-22.450600000000001</v>
      </c>
      <c r="Q11" s="100">
        <f>_xll.EQNXTDZ($A$1,$B11,Q$1,$B$1)</f>
        <v>2.8768742</v>
      </c>
      <c r="R11" s="100">
        <f>_xll.EQNXTDZ($A$1,$B11,R$1,$B$1)</f>
        <v>25.693215299999999</v>
      </c>
      <c r="S11" s="100">
        <f>_xll.EQNXTDZ($A$1,$B11,S$1,$B$1)</f>
        <v>-4.9581327999999996</v>
      </c>
      <c r="T11" s="100">
        <f>_xll.EQNXTDZ($A$1,$B11,T$1,$B$1)</f>
        <v>3.1161998</v>
      </c>
      <c r="U11" s="100">
        <f>_xll.EQNXTDZ($A$1,$B11,U$1,$B$1)</f>
        <v>-25.6556462</v>
      </c>
      <c r="V11" s="100">
        <f>_xll.EQNXTDZ($A$1,$B11,V$1,$B$1)</f>
        <v>15.859391499999999</v>
      </c>
      <c r="W11" s="100">
        <f>_xll.EQNXTDZ($A$1,$B11,W$1,$B$1)</f>
        <v>14.453900000000001</v>
      </c>
      <c r="X11" s="100">
        <f>_xll.EQNXTDZ($A$1,$B11,X$1,$B$1)</f>
        <v>-53.884</v>
      </c>
      <c r="Y11" s="100">
        <f>_xll.EQNXTDZ($A$1,$B11,Y$1,$B$1)</f>
        <v>-15.4108</v>
      </c>
      <c r="Z11" s="100">
        <f>_xll.EQNXTDZ($A$1,$B11,Z$1,$B$1)</f>
        <v>-13.0511</v>
      </c>
      <c r="AA11" s="100">
        <f>_xll.EQNXTDZ($A$1,$B11,AA$1,$B$1)</f>
        <v>16.469100000000001</v>
      </c>
      <c r="AB11" s="100">
        <f>_xll.EQNXTDZ($A$1,$B11,AB$1,$B$1)</f>
        <v>-16.734200000000001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13.941151899999999</v>
      </c>
      <c r="D12" s="100">
        <f>_xll.EQNXTDZ($A$1,$B12,D$1,$B$1)</f>
        <v>16.707094699999999</v>
      </c>
      <c r="E12" s="100">
        <f>_xll.EQNXTDZ($A$1,$B12,E$1,$B$1)</f>
        <v>22.226832999999999</v>
      </c>
      <c r="F12" s="100">
        <f>_xll.EQNXTDZ($A$1,$B12,F$1,$B$1)</f>
        <v>42.588877600000004</v>
      </c>
      <c r="G12" s="100">
        <f>_xll.EQNXTDZ($A$1,$B12,G$1,$B$1)</f>
        <v>56.728602299999999</v>
      </c>
      <c r="H12" s="100">
        <f>_xll.EQNXTDZ($A$1,$B12,H$1,$B$1)</f>
        <v>77.3040278</v>
      </c>
      <c r="I12" s="100">
        <f>_xll.EQNXTDZ($A$1,$B12,I$1,$B$1)</f>
        <v>113.9076187</v>
      </c>
      <c r="J12" s="100">
        <f>_xll.EQNXTDZ($A$1,$B12,J$1,$B$1)</f>
        <v>125.69362630000001</v>
      </c>
      <c r="K12" s="100">
        <f>_xll.EQNXTDZ($A$1,$B12,K$1,$B$1)</f>
        <v>156.23600149999999</v>
      </c>
      <c r="L12" s="100">
        <f>_xll.EQNXTDZ($A$1,$B12,L$1,$B$1)</f>
        <v>146.4185167</v>
      </c>
      <c r="M12" s="100">
        <f>_xll.EQNXTDZ($A$1,$B12,M$1,$B$1)</f>
        <v>214.1118846</v>
      </c>
      <c r="N12" s="100">
        <f>_xll.EQNXTDZ($A$1,$B12,N$1,$B$1)</f>
        <v>281.08797049999998</v>
      </c>
      <c r="O12" s="100">
        <f>_xll.EQNXTDZ($A$1,$B12,O$1,$B$1)</f>
        <v>287.17201679999999</v>
      </c>
      <c r="P12" s="100">
        <f>_xll.EQNXTDZ($A$1,$B12,P$1,$B$1)</f>
        <v>403.42259999999999</v>
      </c>
      <c r="Q12" s="100">
        <f>_xll.EQNXTDZ($A$1,$B12,Q$1,$B$1)</f>
        <v>356.66738290000001</v>
      </c>
      <c r="R12" s="100">
        <f>_xll.EQNXTDZ($A$1,$B12,R$1,$B$1)</f>
        <v>330.53016300000002</v>
      </c>
      <c r="S12" s="100">
        <f>_xll.EQNXTDZ($A$1,$B12,S$1,$B$1)</f>
        <v>347.32578330000001</v>
      </c>
      <c r="T12" s="100">
        <f>_xll.EQNXTDZ($A$1,$B12,T$1,$B$1)</f>
        <v>460.96928880000002</v>
      </c>
      <c r="U12" s="100">
        <f>_xll.EQNXTDZ($A$1,$B12,U$1,$B$1)</f>
        <v>541.01227270000004</v>
      </c>
      <c r="V12" s="100">
        <f>_xll.EQNXTDZ($A$1,$B12,V$1,$B$1)</f>
        <v>497.97119989999999</v>
      </c>
      <c r="W12" s="100">
        <f>_xll.EQNXTDZ($A$1,$B12,W$1,$B$1)</f>
        <v>615.80219999999997</v>
      </c>
      <c r="X12" s="100">
        <f>_xll.EQNXTDZ($A$1,$B12,X$1,$B$1)</f>
        <v>1276.4100000000001</v>
      </c>
      <c r="Y12" s="100">
        <f>_xll.EQNXTDZ($A$1,$B12,Y$1,$B$1)</f>
        <v>1261.1993</v>
      </c>
      <c r="Z12" s="100">
        <f>_xll.EQNXTDZ($A$1,$B12,Z$1,$B$1)</f>
        <v>916.24969999999996</v>
      </c>
      <c r="AA12" s="100">
        <f>_xll.EQNXTDZ($A$1,$B12,AA$1,$B$1)</f>
        <v>764.18409999999994</v>
      </c>
      <c r="AB12" s="100">
        <f>_xll.EQNXTDZ($A$1,$B12,AB$1,$B$1)</f>
        <v>726.55790000000002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3.7361171999999998</v>
      </c>
      <c r="D13" s="100">
        <f>_xll.EQNXTDZ($A$1,$B13,D$1,$B$1)</f>
        <v>3.9301357000000001</v>
      </c>
      <c r="E13" s="100">
        <f>_xll.EQNXTDZ($A$1,$B13,E$1,$B$1)</f>
        <v>4.7636878999999999</v>
      </c>
      <c r="F13" s="100">
        <f>_xll.EQNXTDZ($A$1,$B13,F$1,$B$1)</f>
        <v>7.1645532999999997</v>
      </c>
      <c r="G13" s="100">
        <f>_xll.EQNXTDZ($A$1,$B13,G$1,$B$1)</f>
        <v>9.0957375000000003</v>
      </c>
      <c r="H13" s="100">
        <f>_xll.EQNXTDZ($A$1,$B13,H$1,$B$1)</f>
        <v>11.449297100000001</v>
      </c>
      <c r="I13" s="100">
        <f>_xll.EQNXTDZ($A$1,$B13,I$1,$B$1)</f>
        <v>15.1320465</v>
      </c>
      <c r="J13" s="100">
        <f>_xll.EQNXTDZ($A$1,$B13,J$1,$B$1)</f>
        <v>17.365087200000001</v>
      </c>
      <c r="K13" s="100">
        <f>_xll.EQNXTDZ($A$1,$B13,K$1,$B$1)</f>
        <v>23.074569199999999</v>
      </c>
      <c r="L13" s="100">
        <f>_xll.EQNXTDZ($A$1,$B13,L$1,$B$1)</f>
        <v>28.4872625</v>
      </c>
      <c r="M13" s="100">
        <f>_xll.EQNXTDZ($A$1,$B13,M$1,$B$1)</f>
        <v>39.581493000000002</v>
      </c>
      <c r="N13" s="100">
        <f>_xll.EQNXTDZ($A$1,$B13,N$1,$B$1)</f>
        <v>49.989398199999997</v>
      </c>
      <c r="O13" s="100">
        <f>_xll.EQNXTDZ($A$1,$B13,O$1,$B$1)</f>
        <v>54.343789200000003</v>
      </c>
      <c r="P13" s="100">
        <f>_xll.EQNXTDZ($A$1,$B13,P$1,$B$1)</f>
        <v>63.809399999999997</v>
      </c>
      <c r="Q13" s="100">
        <f>_xll.EQNXTDZ($A$1,$B13,Q$1,$B$1)</f>
        <v>64.576120399999994</v>
      </c>
      <c r="R13" s="100">
        <f>_xll.EQNXTDZ($A$1,$B13,R$1,$B$1)</f>
        <v>62.423136399999997</v>
      </c>
      <c r="S13" s="100">
        <f>_xll.EQNXTDZ($A$1,$B13,S$1,$B$1)</f>
        <v>57.940365</v>
      </c>
      <c r="T13" s="100">
        <f>_xll.EQNXTDZ($A$1,$B13,T$1,$B$1)</f>
        <v>76.517341400000007</v>
      </c>
      <c r="U13" s="100">
        <f>_xll.EQNXTDZ($A$1,$B13,U$1,$B$1)</f>
        <v>84.700332099999997</v>
      </c>
      <c r="V13" s="100">
        <f>_xll.EQNXTDZ($A$1,$B13,V$1,$B$1)</f>
        <v>95.030401800000007</v>
      </c>
      <c r="W13" s="100">
        <f>_xll.EQNXTDZ($A$1,$B13,W$1,$B$1)</f>
        <v>125.0226</v>
      </c>
      <c r="X13" s="100">
        <f>_xll.EQNXTDZ($A$1,$B13,X$1,$B$1)</f>
        <v>209.9179</v>
      </c>
      <c r="Y13" s="100">
        <f>_xll.EQNXTDZ($A$1,$B13,Y$1,$B$1)</f>
        <v>237.5692</v>
      </c>
      <c r="Z13" s="100">
        <f>_xll.EQNXTDZ($A$1,$B13,Z$1,$B$1)</f>
        <v>169.8792</v>
      </c>
      <c r="AA13" s="100">
        <f>_xll.EQNXTDZ($A$1,$B13,AA$1,$B$1)</f>
        <v>149.6147</v>
      </c>
      <c r="AB13" s="100">
        <f>_xll.EQNXTDZ($A$1,$B13,AB$1,$B$1)</f>
        <v>118.685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0.87712840000000003</v>
      </c>
      <c r="D14" s="100">
        <f>_xll.EQNXTDZ($A$1,$B14,D$1,$B$1)</f>
        <v>0.99919579999999997</v>
      </c>
      <c r="E14" s="100">
        <f>_xll.EQNXTDZ($A$1,$B14,E$1,$B$1)</f>
        <v>1.1901778000000001</v>
      </c>
      <c r="F14" s="100">
        <f>_xll.EQNXTDZ($A$1,$B14,F$1,$B$1)</f>
        <v>1.6467426999999999</v>
      </c>
      <c r="G14" s="100">
        <f>_xll.EQNXTDZ($A$1,$B14,G$1,$B$1)</f>
        <v>2.2550053000000001</v>
      </c>
      <c r="H14" s="100">
        <f>_xll.EQNXTDZ($A$1,$B14,H$1,$B$1)</f>
        <v>2.9508445000000001</v>
      </c>
      <c r="I14" s="100">
        <f>_xll.EQNXTDZ($A$1,$B14,I$1,$B$1)</f>
        <v>3.4899673999999998</v>
      </c>
      <c r="J14" s="100">
        <f>_xll.EQNXTDZ($A$1,$B14,J$1,$B$1)</f>
        <v>4.0490098999999997</v>
      </c>
      <c r="K14" s="100">
        <f>_xll.EQNXTDZ($A$1,$B14,K$1,$B$1)</f>
        <v>5.4576675999999997</v>
      </c>
      <c r="L14" s="100">
        <f>_xll.EQNXTDZ($A$1,$B14,L$1,$B$1)</f>
        <v>6.8088090000000001</v>
      </c>
      <c r="M14" s="100">
        <f>_xll.EQNXTDZ($A$1,$B14,M$1,$B$1)</f>
        <v>8.6727746000000003</v>
      </c>
      <c r="N14" s="100">
        <f>_xll.EQNXTDZ($A$1,$B14,N$1,$B$1)</f>
        <v>11.8963266</v>
      </c>
      <c r="O14" s="100">
        <f>_xll.EQNXTDZ($A$1,$B14,O$1,$B$1)</f>
        <v>12.900621599999999</v>
      </c>
      <c r="P14" s="100">
        <f>_xll.EQNXTDZ($A$1,$B14,P$1,$B$1)</f>
        <v>15.844799999999999</v>
      </c>
      <c r="Q14" s="100">
        <f>_xll.EQNXTDZ($A$1,$B14,Q$1,$B$1)</f>
        <v>20.900010699999999</v>
      </c>
      <c r="R14" s="100">
        <f>_xll.EQNXTDZ($A$1,$B14,R$1,$B$1)</f>
        <v>21.625794800000001</v>
      </c>
      <c r="S14" s="100">
        <f>_xll.EQNXTDZ($A$1,$B14,S$1,$B$1)</f>
        <v>24.4719309</v>
      </c>
      <c r="T14" s="100">
        <f>_xll.EQNXTDZ($A$1,$B14,T$1,$B$1)</f>
        <v>26.894887300000001</v>
      </c>
      <c r="U14" s="100">
        <f>_xll.EQNXTDZ($A$1,$B14,U$1,$B$1)</f>
        <v>29.4692972</v>
      </c>
      <c r="V14" s="100">
        <f>_xll.EQNXTDZ($A$1,$B14,V$1,$B$1)</f>
        <v>34.070705699999998</v>
      </c>
      <c r="W14" s="100">
        <f>_xll.EQNXTDZ($A$1,$B14,W$1,$B$1)</f>
        <v>33.564700000000002</v>
      </c>
      <c r="X14" s="100">
        <f>_xll.EQNXTDZ($A$1,$B14,X$1,$B$1)</f>
        <v>96.635599999999997</v>
      </c>
      <c r="Y14" s="100">
        <f>_xll.EQNXTDZ($A$1,$B14,Y$1,$B$1)</f>
        <v>85.205699999999993</v>
      </c>
      <c r="Z14" s="100">
        <f>_xll.EQNXTDZ($A$1,$B14,Z$1,$B$1)</f>
        <v>82.268100000000004</v>
      </c>
      <c r="AA14" s="100">
        <f>_xll.EQNXTDZ($A$1,$B14,AA$1,$B$1)</f>
        <v>79.860399999999998</v>
      </c>
      <c r="AB14" s="100">
        <f>_xll.EQNXTDZ($A$1,$B14,AB$1,$B$1)</f>
        <v>77.143000000000001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1.6168982000000001</v>
      </c>
      <c r="D15" s="100">
        <f>_xll.EQNXTDZ($A$1,$B15,D$1,$B$1)</f>
        <v>2.4421327000000002</v>
      </c>
      <c r="E15" s="100">
        <f>_xll.EQNXTDZ($A$1,$B15,E$1,$B$1)</f>
        <v>3.6772315999999998</v>
      </c>
      <c r="F15" s="100">
        <f>_xll.EQNXTDZ($A$1,$B15,F$1,$B$1)</f>
        <v>4.4617804000000003</v>
      </c>
      <c r="G15" s="100">
        <f>_xll.EQNXTDZ($A$1,$B15,G$1,$B$1)</f>
        <v>6.3403451000000004</v>
      </c>
      <c r="H15" s="100">
        <f>_xll.EQNXTDZ($A$1,$B15,H$1,$B$1)</f>
        <v>9.6007268000000003</v>
      </c>
      <c r="I15" s="100">
        <f>_xll.EQNXTDZ($A$1,$B15,I$1,$B$1)</f>
        <v>13.7043476</v>
      </c>
      <c r="J15" s="100">
        <f>_xll.EQNXTDZ($A$1,$B15,J$1,$B$1)</f>
        <v>16.888919699999999</v>
      </c>
      <c r="K15" s="100">
        <f>_xll.EQNXTDZ($A$1,$B15,K$1,$B$1)</f>
        <v>14.207914000000001</v>
      </c>
      <c r="L15" s="100">
        <f>_xll.EQNXTDZ($A$1,$B15,L$1,$B$1)</f>
        <v>18.726176500000001</v>
      </c>
      <c r="M15" s="100">
        <f>_xll.EQNXTDZ($A$1,$B15,M$1,$B$1)</f>
        <v>17.557192799999999</v>
      </c>
      <c r="N15" s="100">
        <f>_xll.EQNXTDZ($A$1,$B15,N$1,$B$1)</f>
        <v>19.005962400000001</v>
      </c>
      <c r="O15" s="100">
        <f>_xll.EQNXTDZ($A$1,$B15,O$1,$B$1)</f>
        <v>22.354117500000001</v>
      </c>
      <c r="P15" s="100">
        <f>_xll.EQNXTDZ($A$1,$B15,P$1,$B$1)</f>
        <v>24.570599999999999</v>
      </c>
      <c r="Q15" s="100">
        <f>_xll.EQNXTDZ($A$1,$B15,Q$1,$B$1)</f>
        <v>26.576192299999999</v>
      </c>
      <c r="R15" s="100">
        <f>_xll.EQNXTDZ($A$1,$B15,R$1,$B$1)</f>
        <v>9.5089488000000006</v>
      </c>
      <c r="S15" s="100">
        <f>_xll.EQNXTDZ($A$1,$B15,S$1,$B$1)</f>
        <v>18.091172700000001</v>
      </c>
      <c r="T15" s="100">
        <f>_xll.EQNXTDZ($A$1,$B15,T$1,$B$1)</f>
        <v>16.035813399999999</v>
      </c>
      <c r="U15" s="100">
        <f>_xll.EQNXTDZ($A$1,$B15,U$1,$B$1)</f>
        <v>19.257876100000001</v>
      </c>
      <c r="V15" s="100">
        <f>_xll.EQNXTDZ($A$1,$B15,V$1,$B$1)</f>
        <v>15.0490605</v>
      </c>
      <c r="W15" s="100">
        <f>_xll.EQNXTDZ($A$1,$B15,W$1,$B$1)</f>
        <v>18.131</v>
      </c>
      <c r="X15" s="100">
        <f>_xll.EQNXTDZ($A$1,$B15,X$1,$B$1)</f>
        <v>79.340199999999996</v>
      </c>
      <c r="Y15" s="100">
        <f>_xll.EQNXTDZ($A$1,$B15,Y$1,$B$1)</f>
        <v>77.000100000000003</v>
      </c>
      <c r="Z15" s="100">
        <f>_xll.EQNXTDZ($A$1,$B15,Z$1,$B$1)</f>
        <v>69.813900000000004</v>
      </c>
      <c r="AA15" s="100">
        <f>_xll.EQNXTDZ($A$1,$B15,AA$1,$B$1)</f>
        <v>65.324299999999994</v>
      </c>
      <c r="AB15" s="100">
        <f>_xll.EQNXTDZ($A$1,$B15,AB$1,$B$1)</f>
        <v>65.093199999999996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1.1723648</v>
      </c>
      <c r="D17" s="100">
        <f>_xll.EQNXTDZ($A$1,$B17,D$1,$B$1)</f>
        <v>1.5864259000000001</v>
      </c>
      <c r="E17" s="100">
        <f>_xll.EQNXTDZ($A$1,$B17,E$1,$B$1)</f>
        <v>2.0068644999999998</v>
      </c>
      <c r="F17" s="100">
        <f>_xll.EQNXTDZ($A$1,$B17,F$1,$B$1)</f>
        <v>1.1453089000000001</v>
      </c>
      <c r="G17" s="100">
        <f>_xll.EQNXTDZ($A$1,$B17,G$1,$B$1)</f>
        <v>1.5265568</v>
      </c>
      <c r="H17" s="100">
        <f>_xll.EQNXTDZ($A$1,$B17,H$1,$B$1)</f>
        <v>2.3651086000000001</v>
      </c>
      <c r="I17" s="100">
        <f>_xll.EQNXTDZ($A$1,$B17,I$1,$B$1)</f>
        <v>2.8069500999999999</v>
      </c>
      <c r="J17" s="100">
        <f>_xll.EQNXTDZ($A$1,$B17,J$1,$B$1)</f>
        <v>3.0533717</v>
      </c>
      <c r="K17" s="100">
        <f>_xll.EQNXTDZ($A$1,$B17,K$1,$B$1)</f>
        <v>3.9064112999999998</v>
      </c>
      <c r="L17" s="100">
        <f>_xll.EQNXTDZ($A$1,$B17,L$1,$B$1)</f>
        <v>4.1112662000000002</v>
      </c>
      <c r="M17" s="100">
        <f>_xll.EQNXTDZ($A$1,$B17,M$1,$B$1)</f>
        <v>15.8381516</v>
      </c>
      <c r="N17" s="100">
        <f>_xll.EQNXTDZ($A$1,$B17,N$1,$B$1)</f>
        <v>10.335189099999999</v>
      </c>
      <c r="O17" s="100">
        <f>_xll.EQNXTDZ($A$1,$B17,O$1,$B$1)</f>
        <v>11.0306148</v>
      </c>
      <c r="P17" s="100">
        <f>_xll.EQNXTDZ($A$1,$B17,P$1,$B$1)</f>
        <v>13.0649</v>
      </c>
      <c r="Q17" s="100">
        <f>_xll.EQNXTDZ($A$1,$B17,Q$1,$B$1)</f>
        <v>17.074104800000001</v>
      </c>
      <c r="R17" s="100">
        <f>_xll.EQNXTDZ($A$1,$B17,R$1,$B$1)</f>
        <v>22.491335100000001</v>
      </c>
      <c r="S17" s="100">
        <f>_xll.EQNXTDZ($A$1,$B17,S$1,$B$1)</f>
        <v>27.8027561</v>
      </c>
      <c r="T17" s="100">
        <f>_xll.EQNXTDZ($A$1,$B17,T$1,$B$1)</f>
        <v>29.262159499999999</v>
      </c>
      <c r="U17" s="100">
        <f>_xll.EQNXTDZ($A$1,$B17,U$1,$B$1)</f>
        <v>30.0767153</v>
      </c>
      <c r="V17" s="100">
        <f>_xll.EQNXTDZ($A$1,$B17,V$1,$B$1)</f>
        <v>28.8194853</v>
      </c>
      <c r="W17" s="100">
        <f>_xll.EQNXTDZ($A$1,$B17,W$1,$B$1)</f>
        <v>48.363300000000002</v>
      </c>
      <c r="X17" s="100">
        <f>_xll.EQNXTDZ($A$1,$B17,X$1,$B$1)</f>
        <v>10.6525</v>
      </c>
      <c r="Y17" s="100">
        <f>_xll.EQNXTDZ($A$1,$B17,Y$1,$B$1)</f>
        <v>14.159700000000001</v>
      </c>
      <c r="Z17" s="100">
        <f>_xll.EQNXTDZ($A$1,$B17,Z$1,$B$1)</f>
        <v>19.3247</v>
      </c>
      <c r="AA17" s="100">
        <f>_xll.EQNXTDZ($A$1,$B17,AA$1,$B$1)</f>
        <v>14.661</v>
      </c>
      <c r="AB17" s="100">
        <f>_xll.EQNXTDZ($A$1,$B17,AB$1,$B$1)</f>
        <v>16.979600000000001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0.88932449999999996</v>
      </c>
      <c r="D18" s="100">
        <f>_xll.EQNXTDZ($A$1,$B18,D$1,$B$1)</f>
        <v>1.1137668000000001</v>
      </c>
      <c r="E18" s="100">
        <f>_xll.EQNXTDZ($A$1,$B18,E$1,$B$1)</f>
        <v>1.8791209</v>
      </c>
      <c r="F18" s="100">
        <f>_xll.EQNXTDZ($A$1,$B18,F$1,$B$1)</f>
        <v>2.3340399000000001</v>
      </c>
      <c r="G18" s="100">
        <f>_xll.EQNXTDZ($A$1,$B18,G$1,$B$1)</f>
        <v>3.2671532000000001</v>
      </c>
      <c r="H18" s="100">
        <f>_xll.EQNXTDZ($A$1,$B18,H$1,$B$1)</f>
        <v>6.7559614999999997</v>
      </c>
      <c r="I18" s="100">
        <f>_xll.EQNXTDZ($A$1,$B18,I$1,$B$1)</f>
        <v>10.2509137</v>
      </c>
      <c r="J18" s="100">
        <f>_xll.EQNXTDZ($A$1,$B18,J$1,$B$1)</f>
        <v>11.569645100000001</v>
      </c>
      <c r="K18" s="100">
        <f>_xll.EQNXTDZ($A$1,$B18,K$1,$B$1)</f>
        <v>12.222967300000001</v>
      </c>
      <c r="L18" s="100">
        <f>_xll.EQNXTDZ($A$1,$B18,L$1,$B$1)</f>
        <v>13.766982</v>
      </c>
      <c r="M18" s="100">
        <f>_xll.EQNXTDZ($A$1,$B18,M$1,$B$1)</f>
        <v>10.1321406</v>
      </c>
      <c r="N18" s="100">
        <f>_xll.EQNXTDZ($A$1,$B18,N$1,$B$1)</f>
        <v>16.3520699</v>
      </c>
      <c r="O18" s="100">
        <f>_xll.EQNXTDZ($A$1,$B18,O$1,$B$1)</f>
        <v>19.624292199999999</v>
      </c>
      <c r="P18" s="100">
        <f>_xll.EQNXTDZ($A$1,$B18,P$1,$B$1)</f>
        <v>24.4878</v>
      </c>
      <c r="Q18" s="100">
        <f>_xll.EQNXTDZ($A$1,$B18,Q$1,$B$1)</f>
        <v>26.281848799999999</v>
      </c>
      <c r="R18" s="100">
        <f>_xll.EQNXTDZ($A$1,$B18,R$1,$B$1)</f>
        <v>46.563833899999999</v>
      </c>
      <c r="S18" s="100">
        <f>_xll.EQNXTDZ($A$1,$B18,S$1,$B$1)</f>
        <v>49.378404000000003</v>
      </c>
      <c r="T18" s="100">
        <f>_xll.EQNXTDZ($A$1,$B18,T$1,$B$1)</f>
        <v>64.512717800000004</v>
      </c>
      <c r="U18" s="100">
        <f>_xll.EQNXTDZ($A$1,$B18,U$1,$B$1)</f>
        <v>70.005305300000003</v>
      </c>
      <c r="V18" s="100">
        <f>_xll.EQNXTDZ($A$1,$B18,V$1,$B$1)</f>
        <v>68.692874000000003</v>
      </c>
      <c r="W18" s="100">
        <f>_xll.EQNXTDZ($A$1,$B18,W$1,$B$1)</f>
        <v>84.330699999999993</v>
      </c>
      <c r="X18" s="100">
        <f>_xll.EQNXTDZ($A$1,$B18,X$1,$B$1)</f>
        <v>74.980699999999999</v>
      </c>
      <c r="Y18" s="100">
        <f>_xll.EQNXTDZ($A$1,$B18,Y$1,$B$1)</f>
        <v>72.244699999999995</v>
      </c>
      <c r="Z18" s="100">
        <f>_xll.EQNXTDZ($A$1,$B18,Z$1,$B$1)</f>
        <v>56.144100000000002</v>
      </c>
      <c r="AA18" s="100">
        <f>_xll.EQNXTDZ($A$1,$B18,AA$1,$B$1)</f>
        <v>61.005400000000002</v>
      </c>
      <c r="AB18" s="100">
        <f>_xll.EQNXTDZ($A$1,$B18,AB$1,$B$1)</f>
        <v>47.011899999999997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3.6686099999999999E-2</v>
      </c>
      <c r="D19" s="100">
        <f>_xll.EQNXTDZ($A$1,$B19,D$1,$B$1)</f>
        <v>0.25680249999999999</v>
      </c>
      <c r="E19" s="100">
        <f>_xll.EQNXTDZ($A$1,$B19,E$1,$B$1)</f>
        <v>0</v>
      </c>
      <c r="F19" s="100">
        <f>_xll.EQNXTDZ($A$1,$B19,F$1,$B$1)</f>
        <v>3.8689000000000001E-2</v>
      </c>
      <c r="G19" s="100">
        <f>_xll.EQNXTDZ($A$1,$B19,G$1,$B$1)</f>
        <v>0.01</v>
      </c>
      <c r="H19" s="100">
        <f>_xll.EQNXTDZ($A$1,$B19,H$1,$B$1)</f>
        <v>0.41273110000000002</v>
      </c>
      <c r="I19" s="100">
        <f>_xll.EQNXTDZ($A$1,$B19,I$1,$B$1)</f>
        <v>0.23073879999999999</v>
      </c>
      <c r="J19" s="100">
        <f>_xll.EQNXTDZ($A$1,$B19,J$1,$B$1)</f>
        <v>0.23073879999999999</v>
      </c>
      <c r="K19" s="100">
        <f>_xll.EQNXTDZ($A$1,$B19,K$1,$B$1)</f>
        <v>0.23073879999999999</v>
      </c>
      <c r="L19" s="100">
        <f>_xll.EQNXTDZ($A$1,$B19,L$1,$B$1)</f>
        <v>0.2042505</v>
      </c>
      <c r="M19" s="100">
        <f>_xll.EQNXTDZ($A$1,$B19,M$1,$B$1)</f>
        <v>0.2273617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2.1299999999999999E-2</v>
      </c>
      <c r="Q19" s="100">
        <f>_xll.EQNXTDZ($A$1,$B19,Q$1,$B$1)</f>
        <v>2.0633715000000001</v>
      </c>
      <c r="R19" s="100">
        <f>_xll.EQNXTDZ($A$1,$B19,R$1,$B$1)</f>
        <v>1.0276803999999999</v>
      </c>
      <c r="S19" s="100">
        <f>_xll.EQNXTDZ($A$1,$B19,S$1,$B$1)</f>
        <v>1.3496117000000001</v>
      </c>
      <c r="T19" s="100">
        <f>_xll.EQNXTDZ($A$1,$B19,T$1,$B$1)</f>
        <v>1.8903798000000001</v>
      </c>
      <c r="U19" s="100">
        <f>_xll.EQNXTDZ($A$1,$B19,U$1,$B$1)</f>
        <v>2.6302460000000001</v>
      </c>
      <c r="V19" s="100">
        <f>_xll.EQNXTDZ($A$1,$B19,V$1,$B$1)</f>
        <v>2.7938749999999999</v>
      </c>
      <c r="W19" s="100">
        <f>_xll.EQNXTDZ($A$1,$B19,W$1,$B$1)</f>
        <v>3.8494000000000002</v>
      </c>
      <c r="X19" s="100">
        <f>_xll.EQNXTDZ($A$1,$B19,X$1,$B$1)</f>
        <v>6.1620999999999997</v>
      </c>
      <c r="Y19" s="100">
        <f>_xll.EQNXTDZ($A$1,$B19,Y$1,$B$1)</f>
        <v>14.313800000000001</v>
      </c>
      <c r="Z19" s="100">
        <f>_xll.EQNXTDZ($A$1,$B19,Z$1,$B$1)</f>
        <v>17.150700000000001</v>
      </c>
      <c r="AA19" s="100">
        <f>_xll.EQNXTDZ($A$1,$B19,AA$1,$B$1)</f>
        <v>13.8148</v>
      </c>
      <c r="AB19" s="100">
        <f>_xll.EQNXTDZ($A$1,$B19,AB$1,$B$1)</f>
        <v>9.5472000000000001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21.810253400000001</v>
      </c>
      <c r="D21" s="100">
        <f>_xll.EQNXTDZ($A$1,$B21,D$1,$B$1)</f>
        <v>27.688374</v>
      </c>
      <c r="E21" s="100">
        <f>_xll.EQNXTDZ($A$1,$B21,E$1,$B$1)</f>
        <v>35.814611800000002</v>
      </c>
      <c r="F21" s="100">
        <f>_xll.EQNXTDZ($A$1,$B21,F$1,$B$1)</f>
        <v>56.500725099999997</v>
      </c>
      <c r="G21" s="100">
        <f>_xll.EQNXTDZ($A$1,$B21,G$1,$B$1)</f>
        <v>75.081271999999998</v>
      </c>
      <c r="H21" s="100">
        <f>_xll.EQNXTDZ($A$1,$B21,H$1,$B$1)</f>
        <v>109.865865</v>
      </c>
      <c r="I21" s="100">
        <f>_xll.EQNXTDZ($A$1,$B21,I$1,$B$1)</f>
        <v>150.53649279999999</v>
      </c>
      <c r="J21" s="100">
        <f>_xll.EQNXTDZ($A$1,$B21,J$1,$B$1)</f>
        <v>188.24180699999999</v>
      </c>
      <c r="K21" s="100">
        <f>_xll.EQNXTDZ($A$1,$B21,K$1,$B$1)</f>
        <v>214.87252240000001</v>
      </c>
      <c r="L21" s="100">
        <f>_xll.EQNXTDZ($A$1,$B21,L$1,$B$1)</f>
        <v>215.80368229999999</v>
      </c>
      <c r="M21" s="100">
        <f>_xll.EQNXTDZ($A$1,$B21,M$1,$B$1)</f>
        <v>283.7051783</v>
      </c>
      <c r="N21" s="100">
        <f>_xll.EQNXTDZ($A$1,$B21,N$1,$B$1)</f>
        <v>370.22921079999998</v>
      </c>
      <c r="O21" s="100">
        <f>_xll.EQNXTDZ($A$1,$B21,O$1,$B$1)</f>
        <v>432.45603820000002</v>
      </c>
      <c r="P21" s="100">
        <f>_xll.EQNXTDZ($A$1,$B21,P$1,$B$1)</f>
        <v>522.77080000000001</v>
      </c>
      <c r="Q21" s="100">
        <f>_xll.EQNXTDZ($A$1,$B21,Q$1,$B$1)</f>
        <v>517.0159056</v>
      </c>
      <c r="R21" s="100">
        <f>_xll.EQNXTDZ($A$1,$B21,R$1,$B$1)</f>
        <v>519.86410769999998</v>
      </c>
      <c r="S21" s="100">
        <f>_xll.EQNXTDZ($A$1,$B21,S$1,$B$1)</f>
        <v>521.40189090000001</v>
      </c>
      <c r="T21" s="100">
        <f>_xll.EQNXTDZ($A$1,$B21,T$1,$B$1)</f>
        <v>679.19878779999999</v>
      </c>
      <c r="U21" s="100">
        <f>_xll.EQNXTDZ($A$1,$B21,U$1,$B$1)</f>
        <v>751.49639850000005</v>
      </c>
      <c r="V21" s="100">
        <f>_xll.EQNXTDZ($A$1,$B21,V$1,$B$1)</f>
        <v>758.28699370000004</v>
      </c>
      <c r="W21" s="100">
        <f>_xll.EQNXTDZ($A$1,$B21,W$1,$B$1)</f>
        <v>943.51779999999997</v>
      </c>
      <c r="X21" s="100">
        <f>_xll.EQNXTDZ($A$1,$B21,X$1,$B$1)</f>
        <v>1700.2149999999999</v>
      </c>
      <c r="Y21" s="100">
        <f>_xll.EQNXTDZ($A$1,$B21,Y$1,$B$1)</f>
        <v>1746.2817</v>
      </c>
      <c r="Z21" s="100">
        <f>_xll.EQNXTDZ($A$1,$B21,Z$1,$B$1)</f>
        <v>1317.7792999999999</v>
      </c>
      <c r="AA21" s="100">
        <f>_xll.EQNXTDZ($A$1,$B21,AA$1,$B$1)</f>
        <v>1164.9338</v>
      </c>
      <c r="AB21" s="100">
        <f>_xll.EQNXTDZ($A$1,$B21,AB$1,$B$1)</f>
        <v>1044.2836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4.3198106999999997</v>
      </c>
      <c r="D22" s="100">
        <f>_xll.EQNXTDZ($A$1,$B22,D$1,$B$1)</f>
        <v>8.8859724</v>
      </c>
      <c r="E22" s="100">
        <f>_xll.EQNXTDZ($A$1,$B22,E$1,$B$1)</f>
        <v>9.2922031</v>
      </c>
      <c r="F22" s="100">
        <f>_xll.EQNXTDZ($A$1,$B22,F$1,$B$1)</f>
        <v>14.405268899999999</v>
      </c>
      <c r="G22" s="100">
        <f>_xll.EQNXTDZ($A$1,$B22,G$1,$B$1)</f>
        <v>12.645600699999999</v>
      </c>
      <c r="H22" s="100">
        <f>_xll.EQNXTDZ($A$1,$B22,H$1,$B$1)</f>
        <v>18.748114000000001</v>
      </c>
      <c r="I22" s="100">
        <f>_xll.EQNXTDZ($A$1,$B22,I$1,$B$1)</f>
        <v>24.968620099999999</v>
      </c>
      <c r="J22" s="100">
        <f>_xll.EQNXTDZ($A$1,$B22,J$1,$B$1)</f>
        <v>29.577711000000001</v>
      </c>
      <c r="K22" s="100">
        <f>_xll.EQNXTDZ($A$1,$B22,K$1,$B$1)</f>
        <v>36.814284000000001</v>
      </c>
      <c r="L22" s="100">
        <f>_xll.EQNXTDZ($A$1,$B22,L$1,$B$1)</f>
        <v>46.092146800000002</v>
      </c>
      <c r="M22" s="100">
        <f>_xll.EQNXTDZ($A$1,$B22,M$1,$B$1)</f>
        <v>63.064491599999997</v>
      </c>
      <c r="N22" s="100">
        <f>_xll.EQNXTDZ($A$1,$B22,N$1,$B$1)</f>
        <v>79.294353799999996</v>
      </c>
      <c r="O22" s="100">
        <f>_xll.EQNXTDZ($A$1,$B22,O$1,$B$1)</f>
        <v>79.339939700000002</v>
      </c>
      <c r="P22" s="100">
        <f>_xll.EQNXTDZ($A$1,$B22,P$1,$B$1)</f>
        <v>87.355499999999907</v>
      </c>
      <c r="Q22" s="100">
        <f>_xll.EQNXTDZ($A$1,$B22,Q$1,$B$1)</f>
        <v>101.75903030000001</v>
      </c>
      <c r="R22" s="100">
        <f>_xll.EQNXTDZ($A$1,$B22,R$1,$B$1)</f>
        <v>123.28103249999999</v>
      </c>
      <c r="S22" s="100">
        <f>_xll.EQNXTDZ($A$1,$B22,S$1,$B$1)</f>
        <v>149.0826893</v>
      </c>
      <c r="T22" s="100">
        <f>_xll.EQNXTDZ($A$1,$B22,T$1,$B$1)</f>
        <v>182.0348352</v>
      </c>
      <c r="U22" s="100">
        <f>_xll.EQNXTDZ($A$1,$B22,U$1,$B$1)</f>
        <v>191.5548732</v>
      </c>
      <c r="V22" s="100">
        <f>_xll.EQNXTDZ($A$1,$B22,V$1,$B$1)</f>
        <v>177.4848452</v>
      </c>
      <c r="W22" s="100">
        <f>_xll.EQNXTDZ($A$1,$B22,W$1,$B$1)</f>
        <v>367.93729999999999</v>
      </c>
      <c r="X22" s="100">
        <f>_xll.EQNXTDZ($A$1,$B22,X$1,$B$1)</f>
        <v>622.66859999999997</v>
      </c>
      <c r="Y22" s="100">
        <f>_xll.EQNXTDZ($A$1,$B22,Y$1,$B$1)</f>
        <v>609.11389999999994</v>
      </c>
      <c r="Z22" s="100">
        <f>_xll.EQNXTDZ($A$1,$B22,Z$1,$B$1)</f>
        <v>323.7337</v>
      </c>
      <c r="AA22" s="100">
        <f>_xll.EQNXTDZ($A$1,$B22,AA$1,$B$1)</f>
        <v>232.1506</v>
      </c>
      <c r="AB22" s="100">
        <f>_xll.EQNXTDZ($A$1,$B22,AB$1,$B$1)</f>
        <v>247.2611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0.31279479999999998</v>
      </c>
      <c r="D23" s="100">
        <f>_xll.EQNXTDZ($A$1,$B23,D$1,$B$1)</f>
        <v>0.1246212</v>
      </c>
      <c r="E23" s="100">
        <f>_xll.EQNXTDZ($A$1,$B23,E$1,$B$1)</f>
        <v>0.2072782</v>
      </c>
      <c r="F23" s="100">
        <f>_xll.EQNXTDZ($A$1,$B23,F$1,$B$1)</f>
        <v>1.0115367</v>
      </c>
      <c r="G23" s="100">
        <f>_xll.EQNXTDZ($A$1,$B23,G$1,$B$1)</f>
        <v>0.1706001</v>
      </c>
      <c r="H23" s="100">
        <f>_xll.EQNXTDZ($A$1,$B23,H$1,$B$1)</f>
        <v>0.72718499999999997</v>
      </c>
      <c r="I23" s="100">
        <f>_xll.EQNXTDZ($A$1,$B23,I$1,$B$1)</f>
        <v>0.85926130000000001</v>
      </c>
      <c r="J23" s="100">
        <f>_xll.EQNXTDZ($A$1,$B23,J$1,$B$1)</f>
        <v>1.1790966000000001</v>
      </c>
      <c r="K23" s="100">
        <f>_xll.EQNXTDZ($A$1,$B23,K$1,$B$1)</f>
        <v>2.8707921999999999</v>
      </c>
      <c r="L23" s="100">
        <f>_xll.EQNXTDZ($A$1,$B23,L$1,$B$1)</f>
        <v>1.8202640000000001</v>
      </c>
      <c r="M23" s="100">
        <f>_xll.EQNXTDZ($A$1,$B23,M$1,$B$1)</f>
        <v>1.7425622999999999</v>
      </c>
      <c r="N23" s="100">
        <f>_xll.EQNXTDZ($A$1,$B23,N$1,$B$1)</f>
        <v>4.2153492999999997</v>
      </c>
      <c r="O23" s="100">
        <f>_xll.EQNXTDZ($A$1,$B23,O$1,$B$1)</f>
        <v>4.5986551999999996</v>
      </c>
      <c r="P23" s="100">
        <f>_xll.EQNXTDZ($A$1,$B23,P$1,$B$1)</f>
        <v>6.2723000000000004</v>
      </c>
      <c r="Q23" s="100">
        <f>_xll.EQNXTDZ($A$1,$B23,Q$1,$B$1)</f>
        <v>4.2594674000000001</v>
      </c>
      <c r="R23" s="100">
        <f>_xll.EQNXTDZ($A$1,$B23,R$1,$B$1)</f>
        <v>6.2135470000000002</v>
      </c>
      <c r="S23" s="100">
        <f>_xll.EQNXTDZ($A$1,$B23,S$1,$B$1)</f>
        <v>8.5407600000000006</v>
      </c>
      <c r="T23" s="100">
        <f>_xll.EQNXTDZ($A$1,$B23,T$1,$B$1)</f>
        <v>11.532446500000001</v>
      </c>
      <c r="U23" s="100">
        <f>_xll.EQNXTDZ($A$1,$B23,U$1,$B$1)</f>
        <v>6.0802677999999997</v>
      </c>
      <c r="V23" s="100">
        <f>_xll.EQNXTDZ($A$1,$B23,V$1,$B$1)</f>
        <v>8.2763743999999999</v>
      </c>
      <c r="W23" s="100">
        <f>_xll.EQNXTDZ($A$1,$B23,W$1,$B$1)</f>
        <v>11.3614</v>
      </c>
      <c r="X23" s="100">
        <f>_xll.EQNXTDZ($A$1,$B23,X$1,$B$1)</f>
        <v>14.718500000000001</v>
      </c>
      <c r="Y23" s="100">
        <f>_xll.EQNXTDZ($A$1,$B23,Y$1,$B$1)</f>
        <v>15.2464</v>
      </c>
      <c r="Z23" s="100">
        <f>_xll.EQNXTDZ($A$1,$B23,Z$1,$B$1)</f>
        <v>29.637699999999999</v>
      </c>
      <c r="AA23" s="100">
        <f>_xll.EQNXTDZ($A$1,$B23,AA$1,$B$1)</f>
        <v>33.203200000000002</v>
      </c>
      <c r="AB23" s="100">
        <f>_xll.EQNXTDZ($A$1,$B23,AB$1,$B$1)</f>
        <v>28.021699999999999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4.6326055000000004</v>
      </c>
      <c r="D24" s="100">
        <f>_xll.EQNXTDZ($A$1,$B24,D$1,$B$1)</f>
        <v>9.0105936</v>
      </c>
      <c r="E24" s="100">
        <f>_xll.EQNXTDZ($A$1,$B24,E$1,$B$1)</f>
        <v>9.4994812999999994</v>
      </c>
      <c r="F24" s="100">
        <f>_xll.EQNXTDZ($A$1,$B24,F$1,$B$1)</f>
        <v>15.4168056</v>
      </c>
      <c r="G24" s="100">
        <f>_xll.EQNXTDZ($A$1,$B24,G$1,$B$1)</f>
        <v>12.816200800000001</v>
      </c>
      <c r="H24" s="100">
        <f>_xll.EQNXTDZ($A$1,$B24,H$1,$B$1)</f>
        <v>19.475299</v>
      </c>
      <c r="I24" s="100">
        <f>_xll.EQNXTDZ($A$1,$B24,I$1,$B$1)</f>
        <v>25.827881399999999</v>
      </c>
      <c r="J24" s="100">
        <f>_xll.EQNXTDZ($A$1,$B24,J$1,$B$1)</f>
        <v>30.756807599999998</v>
      </c>
      <c r="K24" s="100">
        <f>_xll.EQNXTDZ($A$1,$B24,K$1,$B$1)</f>
        <v>39.685076199999997</v>
      </c>
      <c r="L24" s="100">
        <f>_xll.EQNXTDZ($A$1,$B24,L$1,$B$1)</f>
        <v>47.912410800000004</v>
      </c>
      <c r="M24" s="100">
        <f>_xll.EQNXTDZ($A$1,$B24,M$1,$B$1)</f>
        <v>64.8070539</v>
      </c>
      <c r="N24" s="100">
        <f>_xll.EQNXTDZ($A$1,$B24,N$1,$B$1)</f>
        <v>83.509703099999996</v>
      </c>
      <c r="O24" s="100">
        <f>_xll.EQNXTDZ($A$1,$B24,O$1,$B$1)</f>
        <v>83.938594899999998</v>
      </c>
      <c r="P24" s="100">
        <f>_xll.EQNXTDZ($A$1,$B24,P$1,$B$1)</f>
        <v>93.627799999999993</v>
      </c>
      <c r="Q24" s="100">
        <f>_xll.EQNXTDZ($A$1,$B24,Q$1,$B$1)</f>
        <v>106.0184977</v>
      </c>
      <c r="R24" s="100">
        <f>_xll.EQNXTDZ($A$1,$B24,R$1,$B$1)</f>
        <v>129.49457949999999</v>
      </c>
      <c r="S24" s="100">
        <f>_xll.EQNXTDZ($A$1,$B24,S$1,$B$1)</f>
        <v>157.6234493</v>
      </c>
      <c r="T24" s="100">
        <f>_xll.EQNXTDZ($A$1,$B24,T$1,$B$1)</f>
        <v>193.5672817</v>
      </c>
      <c r="U24" s="100">
        <f>_xll.EQNXTDZ($A$1,$B24,U$1,$B$1)</f>
        <v>197.635141</v>
      </c>
      <c r="V24" s="100">
        <f>_xll.EQNXTDZ($A$1,$B24,V$1,$B$1)</f>
        <v>185.7612196</v>
      </c>
      <c r="W24" s="100">
        <f>_xll.EQNXTDZ($A$1,$B24,W$1,$B$1)</f>
        <v>379.2987</v>
      </c>
      <c r="X24" s="100">
        <f>_xll.EQNXTDZ($A$1,$B24,X$1,$B$1)</f>
        <v>637.38710000000003</v>
      </c>
      <c r="Y24" s="100">
        <f>_xll.EQNXTDZ($A$1,$B24,Y$1,$B$1)</f>
        <v>624.36030000000005</v>
      </c>
      <c r="Z24" s="100">
        <f>_xll.EQNXTDZ($A$1,$B24,Z$1,$B$1)</f>
        <v>353.37139999999999</v>
      </c>
      <c r="AA24" s="100">
        <f>_xll.EQNXTDZ($A$1,$B24,AA$1,$B$1)</f>
        <v>265.35379999999998</v>
      </c>
      <c r="AB24" s="100">
        <f>_xll.EQNXTDZ($A$1,$B24,AB$1,$B$1)</f>
        <v>275.28280000000001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2.2854675000000002</v>
      </c>
      <c r="D25" s="100">
        <f>_xll.EQNXTDZ($A$1,$B25,D$1,$B$1)</f>
        <v>2.0872356999999999</v>
      </c>
      <c r="E25" s="100">
        <f>_xll.EQNXTDZ($A$1,$B25,E$1,$B$1)</f>
        <v>1.6772028000000001</v>
      </c>
      <c r="F25" s="100">
        <f>_xll.EQNXTDZ($A$1,$B25,F$1,$B$1)</f>
        <v>2.3713869999999999</v>
      </c>
      <c r="G25" s="100">
        <f>_xll.EQNXTDZ($A$1,$B25,G$1,$B$1)</f>
        <v>2.7622551</v>
      </c>
      <c r="H25" s="100">
        <f>_xll.EQNXTDZ($A$1,$B25,H$1,$B$1)</f>
        <v>4.4185888999999996</v>
      </c>
      <c r="I25" s="100">
        <f>_xll.EQNXTDZ($A$1,$B25,I$1,$B$1)</f>
        <v>6.1798690000000001</v>
      </c>
      <c r="J25" s="100">
        <f>_xll.EQNXTDZ($A$1,$B25,J$1,$B$1)</f>
        <v>7.9178761</v>
      </c>
      <c r="K25" s="100">
        <f>_xll.EQNXTDZ($A$1,$B25,K$1,$B$1)</f>
        <v>10.1860471</v>
      </c>
      <c r="L25" s="100">
        <f>_xll.EQNXTDZ($A$1,$B25,L$1,$B$1)</f>
        <v>9.7058645000000006</v>
      </c>
      <c r="M25" s="100">
        <f>_xll.EQNXTDZ($A$1,$B25,M$1,$B$1)</f>
        <v>13.5582584</v>
      </c>
      <c r="N25" s="100">
        <f>_xll.EQNXTDZ($A$1,$B25,N$1,$B$1)</f>
        <v>21.205721799999999</v>
      </c>
      <c r="O25" s="100">
        <f>_xll.EQNXTDZ($A$1,$B25,O$1,$B$1)</f>
        <v>25.401219300000001</v>
      </c>
      <c r="P25" s="100">
        <f>_xll.EQNXTDZ($A$1,$B25,P$1,$B$1)</f>
        <v>31.510400000000001</v>
      </c>
      <c r="Q25" s="100">
        <f>_xll.EQNXTDZ($A$1,$B25,Q$1,$B$1)</f>
        <v>34.877582799999999</v>
      </c>
      <c r="R25" s="100">
        <f>_xll.EQNXTDZ($A$1,$B25,R$1,$B$1)</f>
        <v>22.153754500000002</v>
      </c>
      <c r="S25" s="100">
        <f>_xll.EQNXTDZ($A$1,$B25,S$1,$B$1)</f>
        <v>12.9365124</v>
      </c>
      <c r="T25" s="100">
        <f>_xll.EQNXTDZ($A$1,$B25,T$1,$B$1)</f>
        <v>9.0400849999999995</v>
      </c>
      <c r="U25" s="100">
        <f>_xll.EQNXTDZ($A$1,$B25,U$1,$B$1)</f>
        <v>13.0258766</v>
      </c>
      <c r="V25" s="100">
        <f>_xll.EQNXTDZ($A$1,$B25,V$1,$B$1)</f>
        <v>23.034630499999999</v>
      </c>
      <c r="W25" s="100">
        <f>_xll.EQNXTDZ($A$1,$B25,W$1,$B$1)</f>
        <v>18.292300000000001</v>
      </c>
      <c r="X25" s="100">
        <f>_xll.EQNXTDZ($A$1,$B25,X$1,$B$1)</f>
        <v>17.100300000000001</v>
      </c>
      <c r="Y25" s="100">
        <f>_xll.EQNXTDZ($A$1,$B25,Y$1,$B$1)</f>
        <v>11.9717</v>
      </c>
      <c r="Z25" s="100">
        <f>_xll.EQNXTDZ($A$1,$B25,Z$1,$B$1)</f>
        <v>6.4423000000000004</v>
      </c>
      <c r="AA25" s="100">
        <f>_xll.EQNXTDZ($A$1,$B25,AA$1,$B$1)</f>
        <v>3.6981000000000002</v>
      </c>
      <c r="AB25" s="100">
        <f>_xll.EQNXTDZ($A$1,$B25,AB$1,$B$1)</f>
        <v>2.2778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2.3471380000000002</v>
      </c>
      <c r="D26" s="100">
        <f>_xll.EQNXTDZ($A$1,$B26,D$1,$B$1)</f>
        <v>6.9233579000000001</v>
      </c>
      <c r="E26" s="100">
        <f>_xll.EQNXTDZ($A$1,$B26,E$1,$B$1)</f>
        <v>7.8222785000000004</v>
      </c>
      <c r="F26" s="100">
        <f>_xll.EQNXTDZ($A$1,$B26,F$1,$B$1)</f>
        <v>13.0454186</v>
      </c>
      <c r="G26" s="100">
        <f>_xll.EQNXTDZ($A$1,$B26,G$1,$B$1)</f>
        <v>10.0539457</v>
      </c>
      <c r="H26" s="100">
        <f>_xll.EQNXTDZ($A$1,$B26,H$1,$B$1)</f>
        <v>15.0567101</v>
      </c>
      <c r="I26" s="100">
        <f>_xll.EQNXTDZ($A$1,$B26,I$1,$B$1)</f>
        <v>19.648012399999999</v>
      </c>
      <c r="J26" s="100">
        <f>_xll.EQNXTDZ($A$1,$B26,J$1,$B$1)</f>
        <v>22.838931500000001</v>
      </c>
      <c r="K26" s="100">
        <f>_xll.EQNXTDZ($A$1,$B26,K$1,$B$1)</f>
        <v>29.499029100000001</v>
      </c>
      <c r="L26" s="100">
        <f>_xll.EQNXTDZ($A$1,$B26,L$1,$B$1)</f>
        <v>38.206546299999999</v>
      </c>
      <c r="M26" s="100">
        <f>_xll.EQNXTDZ($A$1,$B26,M$1,$B$1)</f>
        <v>51.2487955</v>
      </c>
      <c r="N26" s="100">
        <f>_xll.EQNXTDZ($A$1,$B26,N$1,$B$1)</f>
        <v>62.303981299999997</v>
      </c>
      <c r="O26" s="100">
        <f>_xll.EQNXTDZ($A$1,$B26,O$1,$B$1)</f>
        <v>58.537375599999997</v>
      </c>
      <c r="P26" s="100">
        <f>_xll.EQNXTDZ($A$1,$B26,P$1,$B$1)</f>
        <v>62.117400000000004</v>
      </c>
      <c r="Q26" s="100">
        <f>_xll.EQNXTDZ($A$1,$B26,Q$1,$B$1)</f>
        <v>71.140914899999999</v>
      </c>
      <c r="R26" s="100">
        <f>_xll.EQNXTDZ($A$1,$B26,R$1,$B$1)</f>
        <v>107.340825</v>
      </c>
      <c r="S26" s="100">
        <f>_xll.EQNXTDZ($A$1,$B26,S$1,$B$1)</f>
        <v>144.68693690000001</v>
      </c>
      <c r="T26" s="100">
        <f>_xll.EQNXTDZ($A$1,$B26,T$1,$B$1)</f>
        <v>184.52719669999999</v>
      </c>
      <c r="U26" s="100">
        <f>_xll.EQNXTDZ($A$1,$B26,U$1,$B$1)</f>
        <v>184.6092644</v>
      </c>
      <c r="V26" s="100">
        <f>_xll.EQNXTDZ($A$1,$B26,V$1,$B$1)</f>
        <v>162.72658910000001</v>
      </c>
      <c r="W26" s="100">
        <f>_xll.EQNXTDZ($A$1,$B26,W$1,$B$1)</f>
        <v>361.00639999999999</v>
      </c>
      <c r="X26" s="100">
        <f>_xll.EQNXTDZ($A$1,$B26,X$1,$B$1)</f>
        <v>620.28679999999997</v>
      </c>
      <c r="Y26" s="100">
        <f>_xll.EQNXTDZ($A$1,$B26,Y$1,$B$1)</f>
        <v>612.3886</v>
      </c>
      <c r="Z26" s="100">
        <f>_xll.EQNXTDZ($A$1,$B26,Z$1,$B$1)</f>
        <v>346.92910000000001</v>
      </c>
      <c r="AA26" s="100">
        <f>_xll.EQNXTDZ($A$1,$B26,AA$1,$B$1)</f>
        <v>261.65570000000002</v>
      </c>
      <c r="AB26" s="100">
        <f>_xll.EQNXTDZ($A$1,$B26,AB$1,$B$1)</f>
        <v>273.005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1.1695918999999999</v>
      </c>
      <c r="D27" s="100">
        <f>_xll.EQNXTDZ($A$1,$B27,D$1,$B$1)</f>
        <v>1.2016112000000001</v>
      </c>
      <c r="E27" s="100">
        <f>_xll.EQNXTDZ($A$1,$B27,E$1,$B$1)</f>
        <v>1.5107849</v>
      </c>
      <c r="F27" s="100">
        <f>_xll.EQNXTDZ($A$1,$B27,F$1,$B$1)</f>
        <v>2.3293642000000001</v>
      </c>
      <c r="G27" s="100">
        <f>_xll.EQNXTDZ($A$1,$B27,G$1,$B$1)</f>
        <v>2.8293366999999998</v>
      </c>
      <c r="H27" s="100">
        <f>_xll.EQNXTDZ($A$1,$B27,H$1,$B$1)</f>
        <v>3.2621327</v>
      </c>
      <c r="I27" s="100">
        <f>_xll.EQNXTDZ($A$1,$B27,I$1,$B$1)</f>
        <v>3.7871950999999999</v>
      </c>
      <c r="J27" s="100">
        <f>_xll.EQNXTDZ($A$1,$B27,J$1,$B$1)</f>
        <v>4.4501645999999999</v>
      </c>
      <c r="K27" s="100">
        <f>_xll.EQNXTDZ($A$1,$B27,K$1,$B$1)</f>
        <v>4.8592373000000002</v>
      </c>
      <c r="L27" s="100">
        <f>_xll.EQNXTDZ($A$1,$B27,L$1,$B$1)</f>
        <v>6.8745602999999997</v>
      </c>
      <c r="M27" s="100">
        <f>_xll.EQNXTDZ($A$1,$B27,M$1,$B$1)</f>
        <v>8.2951923000000001</v>
      </c>
      <c r="N27" s="100">
        <f>_xll.EQNXTDZ($A$1,$B27,N$1,$B$1)</f>
        <v>10.375450499999999</v>
      </c>
      <c r="O27" s="100">
        <f>_xll.EQNXTDZ($A$1,$B27,O$1,$B$1)</f>
        <v>12.714903700000001</v>
      </c>
      <c r="P27" s="100">
        <f>_xll.EQNXTDZ($A$1,$B27,P$1,$B$1)</f>
        <v>16.4894</v>
      </c>
      <c r="Q27" s="100">
        <f>_xll.EQNXTDZ($A$1,$B27,Q$1,$B$1)</f>
        <v>20.0756911</v>
      </c>
      <c r="R27" s="100">
        <f>_xll.EQNXTDZ($A$1,$B27,R$1,$B$1)</f>
        <v>19.382180900000002</v>
      </c>
      <c r="S27" s="100">
        <f>_xll.EQNXTDZ($A$1,$B27,S$1,$B$1)</f>
        <v>19.711917199999998</v>
      </c>
      <c r="T27" s="100">
        <f>_xll.EQNXTDZ($A$1,$B27,T$1,$B$1)</f>
        <v>19.287928900000001</v>
      </c>
      <c r="U27" s="100">
        <f>_xll.EQNXTDZ($A$1,$B27,U$1,$B$1)</f>
        <v>19.553858900000002</v>
      </c>
      <c r="V27" s="100">
        <f>_xll.EQNXTDZ($A$1,$B27,V$1,$B$1)</f>
        <v>31.622983699999999</v>
      </c>
      <c r="W27" s="100">
        <f>_xll.EQNXTDZ($A$1,$B27,W$1,$B$1)</f>
        <v>34.411000000000001</v>
      </c>
      <c r="X27" s="100">
        <f>_xll.EQNXTDZ($A$1,$B27,X$1,$B$1)</f>
        <v>41.998600000000003</v>
      </c>
      <c r="Y27" s="100">
        <f>_xll.EQNXTDZ($A$1,$B27,Y$1,$B$1)</f>
        <v>45.573399999999999</v>
      </c>
      <c r="Z27" s="100">
        <f>_xll.EQNXTDZ($A$1,$B27,Z$1,$B$1)</f>
        <v>45.373600000000003</v>
      </c>
      <c r="AA27" s="100">
        <f>_xll.EQNXTDZ($A$1,$B27,AA$1,$B$1)</f>
        <v>48.436300000000003</v>
      </c>
      <c r="AB27" s="100">
        <f>_xll.EQNXTDZ($A$1,$B27,AB$1,$B$1)</f>
        <v>45.600999999999999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0.79116819999999999</v>
      </c>
      <c r="O29" s="100">
        <f>_xll.EQNXTDZ($A$1,$B29,O$1,$B$1)</f>
        <v>0.11878660000000001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0.72080849999999996</v>
      </c>
      <c r="T29" s="100">
        <f>_xll.EQNXTDZ($A$1,$B29,T$1,$B$1)</f>
        <v>0.59914120000000004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8.8999999999999996E-2</v>
      </c>
      <c r="D30" s="100">
        <f>_xll.EQNXTDZ($A$1,$B30,D$1,$B$1)</f>
        <v>1.9275180000000001</v>
      </c>
      <c r="E30" s="100">
        <f>_xll.EQNXTDZ($A$1,$B30,E$1,$B$1)</f>
        <v>2.1946857</v>
      </c>
      <c r="F30" s="100">
        <f>_xll.EQNXTDZ($A$1,$B30,F$1,$B$1)</f>
        <v>3.6011334000000002</v>
      </c>
      <c r="G30" s="100">
        <f>_xll.EQNXTDZ($A$1,$B30,G$1,$B$1)</f>
        <v>2.6415080999999998</v>
      </c>
      <c r="H30" s="100">
        <f>_xll.EQNXTDZ($A$1,$B30,H$1,$B$1)</f>
        <v>3.0096080000000001</v>
      </c>
      <c r="I30" s="100">
        <f>_xll.EQNXTDZ($A$1,$B30,I$1,$B$1)</f>
        <v>5.8238231999999996</v>
      </c>
      <c r="J30" s="100">
        <f>_xll.EQNXTDZ($A$1,$B30,J$1,$B$1)</f>
        <v>5.3985951999999999</v>
      </c>
      <c r="K30" s="100">
        <f>_xll.EQNXTDZ($A$1,$B30,K$1,$B$1)</f>
        <v>9.5771792999999992</v>
      </c>
      <c r="L30" s="100">
        <f>_xll.EQNXTDZ($A$1,$B30,L$1,$B$1)</f>
        <v>10.915006999999999</v>
      </c>
      <c r="M30" s="100">
        <f>_xll.EQNXTDZ($A$1,$B30,M$1,$B$1)</f>
        <v>16.364162</v>
      </c>
      <c r="N30" s="100">
        <f>_xll.EQNXTDZ($A$1,$B30,N$1,$B$1)</f>
        <v>17.079015900000002</v>
      </c>
      <c r="O30" s="100">
        <f>_xll.EQNXTDZ($A$1,$B30,O$1,$B$1)</f>
        <v>14.772457299999999</v>
      </c>
      <c r="P30" s="100">
        <f>_xll.EQNXTDZ($A$1,$B30,P$1,$B$1)</f>
        <v>12.1204</v>
      </c>
      <c r="Q30" s="100">
        <f>_xll.EQNXTDZ($A$1,$B30,Q$1,$B$1)</f>
        <v>17.867898199999999</v>
      </c>
      <c r="R30" s="100">
        <f>_xll.EQNXTDZ($A$1,$B30,R$1,$B$1)</f>
        <v>30.345223399999998</v>
      </c>
      <c r="S30" s="100">
        <f>_xll.EQNXTDZ($A$1,$B30,S$1,$B$1)</f>
        <v>43.344050799999998</v>
      </c>
      <c r="T30" s="100">
        <f>_xll.EQNXTDZ($A$1,$B30,T$1,$B$1)</f>
        <v>52.657404999999997</v>
      </c>
      <c r="U30" s="100">
        <f>_xll.EQNXTDZ($A$1,$B30,U$1,$B$1)</f>
        <v>47.966878199999996</v>
      </c>
      <c r="V30" s="100">
        <f>_xll.EQNXTDZ($A$1,$B30,V$1,$B$1)</f>
        <v>33.633335199999998</v>
      </c>
      <c r="W30" s="100">
        <f>_xll.EQNXTDZ($A$1,$B30,W$1,$B$1)</f>
        <v>83.099800000000002</v>
      </c>
      <c r="X30" s="100">
        <f>_xll.EQNXTDZ($A$1,$B30,X$1,$B$1)</f>
        <v>160.38749999999999</v>
      </c>
      <c r="Y30" s="100">
        <f>_xll.EQNXTDZ($A$1,$B30,Y$1,$B$1)</f>
        <v>161.13220000000001</v>
      </c>
      <c r="Z30" s="100">
        <f>_xll.EQNXTDZ($A$1,$B30,Z$1,$B$1)</f>
        <v>69.252499999999998</v>
      </c>
      <c r="AA30" s="100">
        <f>_xll.EQNXTDZ($A$1,$B30,AA$1,$B$1)</f>
        <v>54.628</v>
      </c>
      <c r="AB30" s="100">
        <f>_xll.EQNXTDZ($A$1,$B30,AB$1,$B$1)</f>
        <v>61.875700000000002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-1.8660000000000001E-4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1.074694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0.44448850000000001</v>
      </c>
      <c r="V32" s="100">
        <f>_xll.EQNXTDZ($A$1,$B32,V$1,$B$1)</f>
        <v>7.3272567000000004</v>
      </c>
      <c r="W32" s="100">
        <f>_xll.EQNXTDZ($A$1,$B32,W$1,$B$1)</f>
        <v>-5.3030999999999997</v>
      </c>
      <c r="X32" s="100">
        <f>_xll.EQNXTDZ($A$1,$B32,X$1,$B$1)</f>
        <v>-49.481900000000003</v>
      </c>
      <c r="Y32" s="100">
        <f>_xll.EQNXTDZ($A$1,$B32,Y$1,$B$1)</f>
        <v>-80.162999999999997</v>
      </c>
      <c r="Z32" s="100">
        <f>_xll.EQNXTDZ($A$1,$B32,Z$1,$B$1)</f>
        <v>-27.449400000000001</v>
      </c>
      <c r="AA32" s="100">
        <f>_xll.EQNXTDZ($A$1,$B32,AA$1,$B$1)</f>
        <v>-1.0704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1.0885461000000001</v>
      </c>
      <c r="D35" s="100">
        <f>_xll.EQNXTDZ($A$1,$B35,D$1,$B$1)</f>
        <v>3.7942287000000001</v>
      </c>
      <c r="E35" s="100">
        <f>_xll.EQNXTDZ($A$1,$B35,E$1,$B$1)</f>
        <v>4.1168079000000004</v>
      </c>
      <c r="F35" s="100">
        <f>_xll.EQNXTDZ($A$1,$B35,F$1,$B$1)</f>
        <v>7.1147343999999997</v>
      </c>
      <c r="G35" s="100">
        <f>_xll.EQNXTDZ($A$1,$B35,G$1,$B$1)</f>
        <v>4.5831008999999998</v>
      </c>
      <c r="H35" s="100">
        <f>_xll.EQNXTDZ($A$1,$B35,H$1,$B$1)</f>
        <v>8.7849693999999996</v>
      </c>
      <c r="I35" s="100">
        <f>_xll.EQNXTDZ($A$1,$B35,I$1,$B$1)</f>
        <v>10.036994099999999</v>
      </c>
      <c r="J35" s="100">
        <f>_xll.EQNXTDZ($A$1,$B35,J$1,$B$1)</f>
        <v>12.990171699999999</v>
      </c>
      <c r="K35" s="100">
        <f>_xll.EQNXTDZ($A$1,$B35,K$1,$B$1)</f>
        <v>15.0626125</v>
      </c>
      <c r="L35" s="100">
        <f>_xll.EQNXTDZ($A$1,$B35,L$1,$B$1)</f>
        <v>20.416979000000001</v>
      </c>
      <c r="M35" s="100">
        <f>_xll.EQNXTDZ($A$1,$B35,M$1,$B$1)</f>
        <v>26.5894412</v>
      </c>
      <c r="N35" s="100">
        <f>_xll.EQNXTDZ($A$1,$B35,N$1,$B$1)</f>
        <v>35.640683099999997</v>
      </c>
      <c r="O35" s="100">
        <f>_xll.EQNXTDZ($A$1,$B35,O$1,$B$1)</f>
        <v>31.168801200000001</v>
      </c>
      <c r="P35" s="100">
        <f>_xll.EQNXTDZ($A$1,$B35,P$1,$B$1)</f>
        <v>33.507599999999996</v>
      </c>
      <c r="Q35" s="100">
        <f>_xll.EQNXTDZ($A$1,$B35,Q$1,$B$1)</f>
        <v>34.2720196</v>
      </c>
      <c r="R35" s="100">
        <f>_xll.EQNXTDZ($A$1,$B35,R$1,$B$1)</f>
        <v>57.613420699999999</v>
      </c>
      <c r="S35" s="100">
        <f>_xll.EQNXTDZ($A$1,$B35,S$1,$B$1)</f>
        <v>82.351777400000003</v>
      </c>
      <c r="T35" s="100">
        <f>_xll.EQNXTDZ($A$1,$B35,T$1,$B$1)</f>
        <v>113.181004</v>
      </c>
      <c r="U35" s="100">
        <f>_xll.EQNXTDZ($A$1,$B35,U$1,$B$1)</f>
        <v>117.5330158</v>
      </c>
      <c r="V35" s="100">
        <f>_xll.EQNXTDZ($A$1,$B35,V$1,$B$1)</f>
        <v>104.79752689999999</v>
      </c>
      <c r="W35" s="100">
        <f>_xll.EQNXTDZ($A$1,$B35,W$1,$B$1)</f>
        <v>238.1925</v>
      </c>
      <c r="X35" s="100">
        <f>_xll.EQNXTDZ($A$1,$B35,X$1,$B$1)</f>
        <v>368.41879999999998</v>
      </c>
      <c r="Y35" s="100">
        <f>_xll.EQNXTDZ($A$1,$B35,Y$1,$B$1)</f>
        <v>325.52</v>
      </c>
      <c r="Z35" s="100">
        <f>_xll.EQNXTDZ($A$1,$B35,Z$1,$B$1)</f>
        <v>204.8536</v>
      </c>
      <c r="AA35" s="100">
        <f>_xll.EQNXTDZ($A$1,$B35,AA$1,$B$1)</f>
        <v>157.52099999999999</v>
      </c>
      <c r="AB35" s="100">
        <f>_xll.EQNXTDZ($A$1,$B35,AB$1,$B$1)</f>
        <v>165.5283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2.9838</v>
      </c>
      <c r="D41" s="55">
        <f>_xll.EQNXTDZ($A$1,$B41,D$1,$B$1)</f>
        <v>2.9838</v>
      </c>
      <c r="E41" s="55">
        <f>_xll.EQNXTDZ($A$1,$B41,E$1,$B$1)</f>
        <v>2.9866999999999999</v>
      </c>
      <c r="F41" s="55">
        <f>_xll.EQNXTDZ($A$1,$B41,F$1,$B$1)</f>
        <v>3.0001000000000002</v>
      </c>
      <c r="G41" s="55">
        <f>_xll.EQNXTDZ($A$1,$B41,G$1,$B$1)</f>
        <v>3.0001000000000002</v>
      </c>
      <c r="H41" s="55">
        <f>_xll.EQNXTDZ($A$1,$B41,H$1,$B$1)</f>
        <v>3.0001000000000002</v>
      </c>
      <c r="I41" s="55">
        <f>_xll.EQNXTDZ($A$1,$B41,I$1,$B$1)</f>
        <v>6.4802</v>
      </c>
      <c r="J41" s="55">
        <f>_xll.EQNXTDZ($A$1,$B41,J$1,$B$1)</f>
        <v>6.4802</v>
      </c>
      <c r="K41" s="55">
        <f>_xll.EQNXTDZ($A$1,$B41,K$1,$B$1)</f>
        <v>6.4802</v>
      </c>
      <c r="L41" s="55">
        <f>_xll.EQNXTDZ($A$1,$B41,L$1,$B$1)</f>
        <v>6.4802</v>
      </c>
      <c r="M41" s="55">
        <f>_xll.EQNXTDZ($A$1,$B41,M$1,$B$1)</f>
        <v>6.4802</v>
      </c>
      <c r="N41" s="55">
        <f>_xll.EQNXTDZ($A$1,$B41,N$1,$B$1)</f>
        <v>6.4802</v>
      </c>
      <c r="O41" s="55">
        <f>_xll.EQNXTDZ($A$1,$B41,O$1,$B$1)</f>
        <v>6.4802</v>
      </c>
      <c r="P41" s="55">
        <f>_xll.EQNXTDZ($A$1,$B41,P$1,$B$1)</f>
        <v>6.4802</v>
      </c>
      <c r="Q41" s="55">
        <f>_xll.EQNXTDZ($A$1,$B41,Q$1,$B$1)</f>
        <v>6.4802</v>
      </c>
      <c r="R41" s="55">
        <f>_xll.EQNXTDZ($A$1,$B41,R$1,$B$1)</f>
        <v>6.4802</v>
      </c>
      <c r="S41" s="55">
        <f>_xll.EQNXTDZ($A$1,$B41,S$1,$B$1)</f>
        <v>6.4802</v>
      </c>
      <c r="T41" s="55">
        <f>_xll.EQNXTDZ($A$1,$B41,T$1,$B$1)</f>
        <v>6.4802</v>
      </c>
      <c r="U41" s="55">
        <f>_xll.EQNXTDZ($A$1,$B41,U$1,$B$1)</f>
        <v>6.4802</v>
      </c>
      <c r="V41" s="55">
        <f>_xll.EQNXTDZ($A$1,$B41,V$1,$B$1)</f>
        <v>6.4802</v>
      </c>
      <c r="W41" s="55">
        <f>_xll.EQNXTDZ($A$1,$B41,W$1,$B$1)</f>
        <v>6.4802</v>
      </c>
      <c r="X41" s="55">
        <f>_xll.EQNXTDZ($A$1,$B41,X$1,$B$1)</f>
        <v>6.4802</v>
      </c>
      <c r="Y41" s="55">
        <f>_xll.EQNXTDZ($A$1,$B41,Y$1,$B$1)</f>
        <v>6.4802</v>
      </c>
      <c r="Z41" s="55">
        <f>_xll.EQNXTDZ($A$1,$B41,Z$1,$B$1)</f>
        <v>6.4802</v>
      </c>
      <c r="AA41" s="55">
        <f>_xll.EQNXTDZ($A$1,$B41,AA$1,$B$1)</f>
        <v>6.4802</v>
      </c>
      <c r="AB41" s="55">
        <f>_xll.EQNXTDZ($A$1,$B41,AB$1,$B$1)</f>
        <v>6.4802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0.30480000000000002</v>
      </c>
      <c r="H42" s="55">
        <f>_xll.EQNXTDZ($A$1,$B42,H$1,$B$1)</f>
        <v>0.30480000000000002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8.3546300000000002</v>
      </c>
      <c r="D43" s="55">
        <f>_xll.EQNXTDZ($A$1,$B43,D$1,$B$1)</f>
        <v>9.1170688999999996</v>
      </c>
      <c r="E43" s="55">
        <f>_xll.EQNXTDZ($A$1,$B43,E$1,$B$1)</f>
        <v>12.391534</v>
      </c>
      <c r="F43" s="55">
        <f>_xll.EQNXTDZ($A$1,$B43,F$1,$B$1)</f>
        <v>18.5555609</v>
      </c>
      <c r="G43" s="55">
        <f>_xll.EQNXTDZ($A$1,$B43,G$1,$B$1)</f>
        <v>22.1263398</v>
      </c>
      <c r="H43" s="55">
        <f>_xll.EQNXTDZ($A$1,$B43,H$1,$B$1)</f>
        <v>29.2008592</v>
      </c>
      <c r="I43" s="55">
        <f>_xll.EQNXTDZ($A$1,$B43,I$1,$B$1)</f>
        <v>37.689778199999999</v>
      </c>
      <c r="J43" s="55">
        <f>_xll.EQNXTDZ($A$1,$B43,J$1,$B$1)</f>
        <v>49.570689899999998</v>
      </c>
      <c r="K43" s="55">
        <f>_xll.EQNXTDZ($A$1,$B43,K$1,$B$1)</f>
        <v>63.153710400000001</v>
      </c>
      <c r="L43" s="55">
        <f>_xll.EQNXTDZ($A$1,$B43,L$1,$B$1)</f>
        <v>81.675311899999997</v>
      </c>
      <c r="M43" s="55">
        <f>_xll.EQNXTDZ($A$1,$B43,M$1,$B$1)</f>
        <v>105.997809</v>
      </c>
      <c r="N43" s="55">
        <f>_xll.EQNXTDZ($A$1,$B43,N$1,$B$1)</f>
        <v>138.62584709999999</v>
      </c>
      <c r="O43" s="55">
        <f>_xll.EQNXTDZ($A$1,$B43,O$1,$B$1)</f>
        <v>164.89910019999999</v>
      </c>
      <c r="P43" s="55">
        <f>_xll.EQNXTDZ($A$1,$B43,P$1,$B$1)</f>
        <v>194.64089999999999</v>
      </c>
      <c r="Q43" s="55">
        <f>_xll.EQNXTDZ($A$1,$B43,Q$1,$B$1)</f>
        <v>221.4329907</v>
      </c>
      <c r="R43" s="55">
        <f>_xll.EQNXTDZ($A$1,$B43,R$1,$B$1)</f>
        <v>271.7427113</v>
      </c>
      <c r="S43" s="55">
        <f>_xll.EQNXTDZ($A$1,$B43,S$1,$B$1)</f>
        <v>355.9818593</v>
      </c>
      <c r="T43" s="55">
        <f>_xll.EQNXTDZ($A$1,$B43,T$1,$B$1)</f>
        <v>460.58333329999999</v>
      </c>
      <c r="U43" s="55">
        <f>_xll.EQNXTDZ($A$1,$B43,U$1,$B$1)</f>
        <v>567.97690909999994</v>
      </c>
      <c r="V43" s="55">
        <f>_xll.EQNXTDZ($A$1,$B43,V$1,$B$1)</f>
        <v>651.66114760000005</v>
      </c>
      <c r="W43" s="55">
        <f>_xll.EQNXTDZ($A$1,$B43,W$1,$B$1)</f>
        <v>887.90959999999995</v>
      </c>
      <c r="X43" s="55">
        <f>_xll.EQNXTDZ($A$1,$B43,X$1,$B$1)</f>
        <v>1243.3680999999999</v>
      </c>
      <c r="Y43" s="55">
        <f>_xll.EQNXTDZ($A$1,$B43,Y$1,$B$1)</f>
        <v>1547.7541000000001</v>
      </c>
      <c r="Z43" s="55">
        <f>_xll.EQNXTDZ($A$1,$B43,Z$1,$B$1)</f>
        <v>1715.3779999999999</v>
      </c>
      <c r="AA43" s="55">
        <f>_xll.EQNXTDZ($A$1,$B43,AA$1,$B$1)</f>
        <v>1838.5779</v>
      </c>
      <c r="AB43" s="55">
        <f>_xll.EQNXTDZ($A$1,$B43,AB$1,$B$1)</f>
        <v>1778.4862000000001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11.338430000000001</v>
      </c>
      <c r="D44" s="55">
        <f>_xll.EQNXTDZ($A$1,$B44,D$1,$B$1)</f>
        <v>12.1008689</v>
      </c>
      <c r="E44" s="55">
        <f>_xll.EQNXTDZ($A$1,$B44,E$1,$B$1)</f>
        <v>15.378234000000001</v>
      </c>
      <c r="F44" s="55">
        <f>_xll.EQNXTDZ($A$1,$B44,F$1,$B$1)</f>
        <v>21.555660899999999</v>
      </c>
      <c r="G44" s="55">
        <f>_xll.EQNXTDZ($A$1,$B44,G$1,$B$1)</f>
        <v>25.4312398</v>
      </c>
      <c r="H44" s="55">
        <f>_xll.EQNXTDZ($A$1,$B44,H$1,$B$1)</f>
        <v>32.5057592</v>
      </c>
      <c r="I44" s="55">
        <f>_xll.EQNXTDZ($A$1,$B44,I$1,$B$1)</f>
        <v>44.169978200000003</v>
      </c>
      <c r="J44" s="55">
        <f>_xll.EQNXTDZ($A$1,$B44,J$1,$B$1)</f>
        <v>56.050889900000001</v>
      </c>
      <c r="K44" s="55">
        <f>_xll.EQNXTDZ($A$1,$B44,K$1,$B$1)</f>
        <v>69.633910400000005</v>
      </c>
      <c r="L44" s="55">
        <f>_xll.EQNXTDZ($A$1,$B44,L$1,$B$1)</f>
        <v>88.155511899999993</v>
      </c>
      <c r="M44" s="55">
        <f>_xll.EQNXTDZ($A$1,$B44,M$1,$B$1)</f>
        <v>112.478009</v>
      </c>
      <c r="N44" s="55">
        <f>_xll.EQNXTDZ($A$1,$B44,N$1,$B$1)</f>
        <v>145.10604710000001</v>
      </c>
      <c r="O44" s="55">
        <f>_xll.EQNXTDZ($A$1,$B44,O$1,$B$1)</f>
        <v>171.37930019999999</v>
      </c>
      <c r="P44" s="55">
        <f>_xll.EQNXTDZ($A$1,$B44,P$1,$B$1)</f>
        <v>201.12110000000001</v>
      </c>
      <c r="Q44" s="55">
        <f>_xll.EQNXTDZ($A$1,$B44,Q$1,$B$1)</f>
        <v>227.9131907</v>
      </c>
      <c r="R44" s="55">
        <f>_xll.EQNXTDZ($A$1,$B44,R$1,$B$1)</f>
        <v>278.22291130000002</v>
      </c>
      <c r="S44" s="55">
        <f>_xll.EQNXTDZ($A$1,$B44,S$1,$B$1)</f>
        <v>362.46205930000002</v>
      </c>
      <c r="T44" s="55">
        <f>_xll.EQNXTDZ($A$1,$B44,T$1,$B$1)</f>
        <v>467.06353330000002</v>
      </c>
      <c r="U44" s="55">
        <f>_xll.EQNXTDZ($A$1,$B44,U$1,$B$1)</f>
        <v>574.45710910000003</v>
      </c>
      <c r="V44" s="55">
        <f>_xll.EQNXTDZ($A$1,$B44,V$1,$B$1)</f>
        <v>658.14134760000002</v>
      </c>
      <c r="W44" s="55">
        <f>_xll.EQNXTDZ($A$1,$B44,W$1,$B$1)</f>
        <v>894.38980000000004</v>
      </c>
      <c r="X44" s="55">
        <f>_xll.EQNXTDZ($A$1,$B44,X$1,$B$1)</f>
        <v>1249.8483000000001</v>
      </c>
      <c r="Y44" s="55">
        <f>_xll.EQNXTDZ($A$1,$B44,Y$1,$B$1)</f>
        <v>1554.2343000000001</v>
      </c>
      <c r="Z44" s="55">
        <f>_xll.EQNXTDZ($A$1,$B44,Z$1,$B$1)</f>
        <v>1721.8581999999999</v>
      </c>
      <c r="AA44" s="55">
        <f>_xll.EQNXTDZ($A$1,$B44,AA$1,$B$1)</f>
        <v>1845.0581</v>
      </c>
      <c r="AB44" s="55">
        <f>_xll.EQNXTDZ($A$1,$B44,AB$1,$B$1)</f>
        <v>1784.9664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1.9853059</v>
      </c>
      <c r="R45" s="55">
        <f>_xll.EQNXTDZ($A$1,$B45,R$1,$B$1)</f>
        <v>1.9853059</v>
      </c>
      <c r="S45" s="55">
        <f>_xll.EQNXTDZ($A$1,$B45,S$1,$B$1)</f>
        <v>0</v>
      </c>
      <c r="T45" s="55">
        <f>_xll.EQNXTDZ($A$1,$B45,T$1,$B$1)</f>
        <v>18</v>
      </c>
      <c r="U45" s="55">
        <f>_xll.EQNXTDZ($A$1,$B45,U$1,$B$1)</f>
        <v>17.555511500000001</v>
      </c>
      <c r="V45" s="55">
        <f>_xll.EQNXTDZ($A$1,$B45,V$1,$B$1)</f>
        <v>10.228017100000001</v>
      </c>
      <c r="W45" s="55">
        <f>_xll.EQNXTDZ($A$1,$B45,W$1,$B$1)</f>
        <v>15.5311</v>
      </c>
      <c r="X45" s="55">
        <f>_xll.EQNXTDZ($A$1,$B45,X$1,$B$1)</f>
        <v>65.013099999999994</v>
      </c>
      <c r="Y45" s="55">
        <f>_xll.EQNXTDZ($A$1,$B45,Y$1,$B$1)</f>
        <v>143.92509999999999</v>
      </c>
      <c r="Z45" s="55">
        <f>_xll.EQNXTDZ($A$1,$B45,Z$1,$B$1)</f>
        <v>171.3836</v>
      </c>
      <c r="AA45" s="55">
        <f>_xll.EQNXTDZ($A$1,$B45,AA$1,$B$1)</f>
        <v>173.31469999999999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64.147614300000001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13.2206934</v>
      </c>
      <c r="D47" s="55">
        <f>_xll.EQNXTDZ($A$1,$B47,D$1,$B$1)</f>
        <v>11.5757361</v>
      </c>
      <c r="E47" s="55">
        <f>_xll.EQNXTDZ($A$1,$B47,E$1,$B$1)</f>
        <v>21.371320399999998</v>
      </c>
      <c r="F47" s="55">
        <f>_xll.EQNXTDZ($A$1,$B47,F$1,$B$1)</f>
        <v>31.5809152</v>
      </c>
      <c r="G47" s="55">
        <f>_xll.EQNXTDZ($A$1,$B47,G$1,$B$1)</f>
        <v>36.1602405</v>
      </c>
      <c r="H47" s="55">
        <f>_xll.EQNXTDZ($A$1,$B47,H$1,$B$1)</f>
        <v>53.541065600000003</v>
      </c>
      <c r="I47" s="55">
        <f>_xll.EQNXTDZ($A$1,$B47,I$1,$B$1)</f>
        <v>66.417642799999996</v>
      </c>
      <c r="J47" s="55">
        <f>_xll.EQNXTDZ($A$1,$B47,J$1,$B$1)</f>
        <v>83.414495299999999</v>
      </c>
      <c r="K47" s="55">
        <f>_xll.EQNXTDZ($A$1,$B47,K$1,$B$1)</f>
        <v>101.7856791</v>
      </c>
      <c r="L47" s="55">
        <f>_xll.EQNXTDZ($A$1,$B47,L$1,$B$1)</f>
        <v>99.687430800000001</v>
      </c>
      <c r="M47" s="55">
        <f>_xll.EQNXTDZ($A$1,$B47,M$1,$B$1)</f>
        <v>64.147614300000001</v>
      </c>
      <c r="N47" s="55">
        <f>_xll.EQNXTDZ($A$1,$B47,N$1,$B$1)</f>
        <v>86.147454800000006</v>
      </c>
      <c r="O47" s="55">
        <f>_xll.EQNXTDZ($A$1,$B47,O$1,$B$1)</f>
        <v>103.7245638</v>
      </c>
      <c r="P47" s="55">
        <f>_xll.EQNXTDZ($A$1,$B47,P$1,$B$1)</f>
        <v>83.371399999999994</v>
      </c>
      <c r="Q47" s="55">
        <f>_xll.EQNXTDZ($A$1,$B47,Q$1,$B$1)</f>
        <v>65.9779166</v>
      </c>
      <c r="R47" s="55">
        <f>_xll.EQNXTDZ($A$1,$B47,R$1,$B$1)</f>
        <v>35.950136700000002</v>
      </c>
      <c r="S47" s="55">
        <f>_xll.EQNXTDZ($A$1,$B47,S$1,$B$1)</f>
        <v>15.006645600000001</v>
      </c>
      <c r="T47" s="55">
        <f>_xll.EQNXTDZ($A$1,$B47,T$1,$B$1)</f>
        <v>40.680078600000002</v>
      </c>
      <c r="U47" s="55">
        <f>_xll.EQNXTDZ($A$1,$B47,U$1,$B$1)</f>
        <v>83.332008500000001</v>
      </c>
      <c r="V47" s="55">
        <f>_xll.EQNXTDZ($A$1,$B47,V$1,$B$1)</f>
        <v>115.9084476</v>
      </c>
      <c r="W47" s="55">
        <f>_xll.EQNXTDZ($A$1,$B47,W$1,$B$1)</f>
        <v>84.849000000000004</v>
      </c>
      <c r="X47" s="55">
        <f>_xll.EQNXTDZ($A$1,$B47,X$1,$B$1)</f>
        <v>57.574300000000001</v>
      </c>
      <c r="Y47" s="55">
        <f>_xll.EQNXTDZ($A$1,$B47,Y$1,$B$1)</f>
        <v>30.302499999999998</v>
      </c>
      <c r="Z47" s="55">
        <f>_xll.EQNXTDZ($A$1,$B47,Z$1,$B$1)</f>
        <v>10.6061</v>
      </c>
      <c r="AA47" s="55">
        <f>_xll.EQNXTDZ($A$1,$B47,AA$1,$B$1)</f>
        <v>1.5152000000000001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2.9953580999999998</v>
      </c>
      <c r="D48" s="55">
        <f>_xll.EQNXTDZ($A$1,$B48,D$1,$B$1)</f>
        <v>2.3263864000000001</v>
      </c>
      <c r="E48" s="55">
        <f>_xll.EQNXTDZ($A$1,$B48,E$1,$B$1)</f>
        <v>3.2937626</v>
      </c>
      <c r="F48" s="55">
        <f>_xll.EQNXTDZ($A$1,$B48,F$1,$B$1)</f>
        <v>3.0320483999999999</v>
      </c>
      <c r="G48" s="55">
        <f>_xll.EQNXTDZ($A$1,$B48,G$1,$B$1)</f>
        <v>5.2589774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5.5551000000000004</v>
      </c>
      <c r="Q48" s="55">
        <f>_xll.EQNXTDZ($A$1,$B48,Q$1,$B$1)</f>
        <v>8.8227103000000007</v>
      </c>
      <c r="R48" s="55">
        <f>_xll.EQNXTDZ($A$1,$B48,R$1,$B$1)</f>
        <v>10.4420786</v>
      </c>
      <c r="S48" s="55">
        <f>_xll.EQNXTDZ($A$1,$B48,S$1,$B$1)</f>
        <v>1.8083526000000001</v>
      </c>
      <c r="T48" s="55">
        <f>_xll.EQNXTDZ($A$1,$B48,T$1,$B$1)</f>
        <v>1.8083526000000001</v>
      </c>
      <c r="U48" s="55">
        <f>_xll.EQNXTDZ($A$1,$B48,U$1,$B$1)</f>
        <v>0</v>
      </c>
      <c r="V48" s="55">
        <f>_xll.EQNXTDZ($A$1,$B48,V$1,$B$1)</f>
        <v>4</v>
      </c>
      <c r="W48" s="55">
        <f>_xll.EQNXTDZ($A$1,$B48,W$1,$B$1)</f>
        <v>4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3.9040727999999998</v>
      </c>
      <c r="E49" s="55">
        <f>_xll.EQNXTDZ($A$1,$B49,E$1,$B$1)</f>
        <v>5.6061584</v>
      </c>
      <c r="F49" s="55">
        <f>_xll.EQNXTDZ($A$1,$B49,F$1,$B$1)</f>
        <v>7.8938382999999996</v>
      </c>
      <c r="G49" s="55">
        <f>_xll.EQNXTDZ($A$1,$B49,G$1,$B$1)</f>
        <v>8.8953471999999998</v>
      </c>
      <c r="H49" s="55">
        <f>_xll.EQNXTDZ($A$1,$B49,H$1,$B$1)</f>
        <v>9.6119544000000001</v>
      </c>
      <c r="I49" s="55">
        <f>_xll.EQNXTDZ($A$1,$B49,I$1,$B$1)</f>
        <v>11.778797600000001</v>
      </c>
      <c r="J49" s="55">
        <f>_xll.EQNXTDZ($A$1,$B49,J$1,$B$1)</f>
        <v>14.9073928</v>
      </c>
      <c r="K49" s="55">
        <f>_xll.EQNXTDZ($A$1,$B49,K$1,$B$1)</f>
        <v>21.234572100000001</v>
      </c>
      <c r="L49" s="55">
        <f>_xll.EQNXTDZ($A$1,$B49,L$1,$B$1)</f>
        <v>26.8495791</v>
      </c>
      <c r="M49" s="55">
        <f>_xll.EQNXTDZ($A$1,$B49,M$1,$B$1)</f>
        <v>33.659741099999998</v>
      </c>
      <c r="N49" s="55">
        <f>_xll.EQNXTDZ($A$1,$B49,N$1,$B$1)</f>
        <v>36.608756999999997</v>
      </c>
      <c r="O49" s="55">
        <f>_xll.EQNXTDZ($A$1,$B49,O$1,$B$1)</f>
        <v>39.821214300000001</v>
      </c>
      <c r="P49" s="55">
        <f>_xll.EQNXTDZ($A$1,$B49,P$1,$B$1)</f>
        <v>42.435099999999998</v>
      </c>
      <c r="Q49" s="55">
        <f>_xll.EQNXTDZ($A$1,$B49,Q$1,$B$1)</f>
        <v>45.126603199999998</v>
      </c>
      <c r="R49" s="55">
        <f>_xll.EQNXTDZ($A$1,$B49,R$1,$B$1)</f>
        <v>50.4718266</v>
      </c>
      <c r="S49" s="55">
        <f>_xll.EQNXTDZ($A$1,$B49,S$1,$B$1)</f>
        <v>50.815877399999998</v>
      </c>
      <c r="T49" s="55">
        <f>_xll.EQNXTDZ($A$1,$B49,T$1,$B$1)</f>
        <v>50.223282500000003</v>
      </c>
      <c r="U49" s="55">
        <f>_xll.EQNXTDZ($A$1,$B49,U$1,$B$1)</f>
        <v>45.750090299999997</v>
      </c>
      <c r="V49" s="55">
        <f>_xll.EQNXTDZ($A$1,$B49,V$1,$B$1)</f>
        <v>43.7291375</v>
      </c>
      <c r="W49" s="55">
        <f>_xll.EQNXTDZ($A$1,$B49,W$1,$B$1)</f>
        <v>47.243600000000001</v>
      </c>
      <c r="X49" s="55">
        <f>_xll.EQNXTDZ($A$1,$B49,X$1,$B$1)</f>
        <v>67.748999999999995</v>
      </c>
      <c r="Y49" s="55">
        <f>_xll.EQNXTDZ($A$1,$B49,Y$1,$B$1)</f>
        <v>81.211600000000004</v>
      </c>
      <c r="Z49" s="55">
        <f>_xll.EQNXTDZ($A$1,$B49,Z$1,$B$1)</f>
        <v>87.498199999999997</v>
      </c>
      <c r="AA49" s="55">
        <f>_xll.EQNXTDZ($A$1,$B49,AA$1,$B$1)</f>
        <v>98.380499999999998</v>
      </c>
      <c r="AB49" s="55">
        <f>_xll.EQNXTDZ($A$1,$B49,AB$1,$B$1)</f>
        <v>92.1584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3.3555000000000001</v>
      </c>
      <c r="Q50" s="55">
        <f>_xll.EQNXTDZ($A$1,$B50,Q$1,$B$1)</f>
        <v>0.84643139999999994</v>
      </c>
      <c r="R50" s="55">
        <f>_xll.EQNXTDZ($A$1,$B50,R$1,$B$1)</f>
        <v>2.5000000000000001E-2</v>
      </c>
      <c r="S50" s="55">
        <f>_xll.EQNXTDZ($A$1,$B50,S$1,$B$1)</f>
        <v>0.34250000000000003</v>
      </c>
      <c r="T50" s="55">
        <f>_xll.EQNXTDZ($A$1,$B50,T$1,$B$1)</f>
        <v>0.55248430000000004</v>
      </c>
      <c r="U50" s="55">
        <f>_xll.EQNXTDZ($A$1,$B50,U$1,$B$1)</f>
        <v>3.1935600000000002</v>
      </c>
      <c r="V50" s="55">
        <f>_xll.EQNXTDZ($A$1,$B50,V$1,$B$1)</f>
        <v>5.0024820999999999</v>
      </c>
      <c r="W50" s="55">
        <f>_xll.EQNXTDZ($A$1,$B50,W$1,$B$1)</f>
        <v>3.8416999999999999</v>
      </c>
      <c r="X50" s="55">
        <f>_xll.EQNXTDZ($A$1,$B50,X$1,$B$1)</f>
        <v>3.6907999999999999</v>
      </c>
      <c r="Y50" s="55">
        <f>_xll.EQNXTDZ($A$1,$B50,Y$1,$B$1)</f>
        <v>1.9718</v>
      </c>
      <c r="Z50" s="55">
        <f>_xll.EQNXTDZ($A$1,$B50,Z$1,$B$1)</f>
        <v>1.6631</v>
      </c>
      <c r="AA50" s="55">
        <f>_xll.EQNXTDZ($A$1,$B50,AA$1,$B$1)</f>
        <v>1.4366000000000001</v>
      </c>
      <c r="AB50" s="55">
        <f>_xll.EQNXTDZ($A$1,$B50,AB$1,$B$1)</f>
        <v>6.6561000000000003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0.64716260000000003</v>
      </c>
      <c r="N51" s="55">
        <f>_xll.EQNXTDZ($A$1,$B51,N$1,$B$1)</f>
        <v>3.6880997</v>
      </c>
      <c r="O51" s="55">
        <f>_xll.EQNXTDZ($A$1,$B51,O$1,$B$1)</f>
        <v>5.8545819999999997</v>
      </c>
      <c r="P51" s="55">
        <f>_xll.EQNXTDZ($A$1,$B51,P$1,$B$1)</f>
        <v>1.6859</v>
      </c>
      <c r="Q51" s="55">
        <f>_xll.EQNXTDZ($A$1,$B51,Q$1,$B$1)</f>
        <v>15.502913599999999</v>
      </c>
      <c r="R51" s="55">
        <f>_xll.EQNXTDZ($A$1,$B51,R$1,$B$1)</f>
        <v>12.0233448</v>
      </c>
      <c r="S51" s="55">
        <f>_xll.EQNXTDZ($A$1,$B51,S$1,$B$1)</f>
        <v>5.4861338000000002</v>
      </c>
      <c r="T51" s="55">
        <f>_xll.EQNXTDZ($A$1,$B51,T$1,$B$1)</f>
        <v>12.7867421</v>
      </c>
      <c r="U51" s="55">
        <f>_xll.EQNXTDZ($A$1,$B51,U$1,$B$1)</f>
        <v>13.175122399999999</v>
      </c>
      <c r="V51" s="55">
        <f>_xll.EQNXTDZ($A$1,$B51,V$1,$B$1)</f>
        <v>11.7541531</v>
      </c>
      <c r="W51" s="55">
        <f>_xll.EQNXTDZ($A$1,$B51,W$1,$B$1)</f>
        <v>17.668500000000002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0.65490000000000004</v>
      </c>
      <c r="Y52" s="55">
        <f>_xll.EQNXTDZ($A$1,$B52,Y$1,$B$1)</f>
        <v>1.8246</v>
      </c>
      <c r="Z52" s="55">
        <f>_xll.EQNXTDZ($A$1,$B52,Z$1,$B$1)</f>
        <v>4.4397000000000002</v>
      </c>
      <c r="AA52" s="55">
        <f>_xll.EQNXTDZ($A$1,$B52,AA$1,$B$1)</f>
        <v>2.665</v>
      </c>
      <c r="AB52" s="55">
        <f>_xll.EQNXTDZ($A$1,$B52,AB$1,$B$1)</f>
        <v>3.2256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16.216051499999999</v>
      </c>
      <c r="D53" s="55">
        <f>_xll.EQNXTDZ($A$1,$B53,D$1,$B$1)</f>
        <v>17.806195299999999</v>
      </c>
      <c r="E53" s="55">
        <f>_xll.EQNXTDZ($A$1,$B53,E$1,$B$1)</f>
        <v>30.271241400000001</v>
      </c>
      <c r="F53" s="55">
        <f>_xll.EQNXTDZ($A$1,$B53,F$1,$B$1)</f>
        <v>42.506801899999999</v>
      </c>
      <c r="G53" s="55">
        <f>_xll.EQNXTDZ($A$1,$B53,G$1,$B$1)</f>
        <v>50.314565100000003</v>
      </c>
      <c r="H53" s="55">
        <f>_xll.EQNXTDZ($A$1,$B53,H$1,$B$1)</f>
        <v>63.153019999999998</v>
      </c>
      <c r="I53" s="55">
        <f>_xll.EQNXTDZ($A$1,$B53,I$1,$B$1)</f>
        <v>78.1964404</v>
      </c>
      <c r="J53" s="55">
        <f>_xll.EQNXTDZ($A$1,$B53,J$1,$B$1)</f>
        <v>98.321888099999995</v>
      </c>
      <c r="K53" s="55">
        <f>_xll.EQNXTDZ($A$1,$B53,K$1,$B$1)</f>
        <v>123.0202512</v>
      </c>
      <c r="L53" s="55">
        <f>_xll.EQNXTDZ($A$1,$B53,L$1,$B$1)</f>
        <v>126.5370099</v>
      </c>
      <c r="M53" s="55">
        <f>_xll.EQNXTDZ($A$1,$B53,M$1,$B$1)</f>
        <v>98.454517999999993</v>
      </c>
      <c r="N53" s="55">
        <f>_xll.EQNXTDZ($A$1,$B53,N$1,$B$1)</f>
        <v>126.4443115</v>
      </c>
      <c r="O53" s="55">
        <f>_xll.EQNXTDZ($A$1,$B53,O$1,$B$1)</f>
        <v>149.4003601</v>
      </c>
      <c r="P53" s="55">
        <f>_xll.EQNXTDZ($A$1,$B53,P$1,$B$1)</f>
        <v>136.40299999999999</v>
      </c>
      <c r="Q53" s="55">
        <f>_xll.EQNXTDZ($A$1,$B53,Q$1,$B$1)</f>
        <v>136.2765751</v>
      </c>
      <c r="R53" s="55">
        <f>_xll.EQNXTDZ($A$1,$B53,R$1,$B$1)</f>
        <v>108.9123867</v>
      </c>
      <c r="S53" s="55">
        <f>_xll.EQNXTDZ($A$1,$B53,S$1,$B$1)</f>
        <v>73.459509400000002</v>
      </c>
      <c r="T53" s="55">
        <f>_xll.EQNXTDZ($A$1,$B53,T$1,$B$1)</f>
        <v>106.05094010000001</v>
      </c>
      <c r="U53" s="55">
        <f>_xll.EQNXTDZ($A$1,$B53,U$1,$B$1)</f>
        <v>145.45078119999999</v>
      </c>
      <c r="V53" s="55">
        <f>_xll.EQNXTDZ($A$1,$B53,V$1,$B$1)</f>
        <v>180.3942203</v>
      </c>
      <c r="W53" s="55">
        <f>_xll.EQNXTDZ($A$1,$B53,W$1,$B$1)</f>
        <v>157.6028</v>
      </c>
      <c r="X53" s="55">
        <f>_xll.EQNXTDZ($A$1,$B53,X$1,$B$1)</f>
        <v>129.66900000000001</v>
      </c>
      <c r="Y53" s="55">
        <f>_xll.EQNXTDZ($A$1,$B53,Y$1,$B$1)</f>
        <v>115.3105</v>
      </c>
      <c r="Z53" s="55">
        <f>_xll.EQNXTDZ($A$1,$B53,Z$1,$B$1)</f>
        <v>104.2071</v>
      </c>
      <c r="AA53" s="55">
        <f>_xll.EQNXTDZ($A$1,$B53,AA$1,$B$1)</f>
        <v>103.9973</v>
      </c>
      <c r="AB53" s="55">
        <f>_xll.EQNXTDZ($A$1,$B53,AB$1,$B$1)</f>
        <v>102.0401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2.1610390000000002</v>
      </c>
      <c r="D54" s="55">
        <f>_xll.EQNXTDZ($A$1,$B54,D$1,$B$1)</f>
        <v>4.6054418999999998</v>
      </c>
      <c r="E54" s="55">
        <f>_xll.EQNXTDZ($A$1,$B54,E$1,$B$1)</f>
        <v>3.6953743999999999</v>
      </c>
      <c r="F54" s="55">
        <f>_xll.EQNXTDZ($A$1,$B54,F$1,$B$1)</f>
        <v>9.1018372000000003</v>
      </c>
      <c r="G54" s="55">
        <f>_xll.EQNXTDZ($A$1,$B54,G$1,$B$1)</f>
        <v>14.837998000000001</v>
      </c>
      <c r="H54" s="55">
        <f>_xll.EQNXTDZ($A$1,$B54,H$1,$B$1)</f>
        <v>16.177962099999998</v>
      </c>
      <c r="I54" s="55">
        <f>_xll.EQNXTDZ($A$1,$B54,I$1,$B$1)</f>
        <v>21.024138799999999</v>
      </c>
      <c r="J54" s="55">
        <f>_xll.EQNXTDZ($A$1,$B54,J$1,$B$1)</f>
        <v>33.519081300000003</v>
      </c>
      <c r="K54" s="55">
        <f>_xll.EQNXTDZ($A$1,$B54,K$1,$B$1)</f>
        <v>23.246120600000001</v>
      </c>
      <c r="L54" s="55">
        <f>_xll.EQNXTDZ($A$1,$B54,L$1,$B$1)</f>
        <v>31.779258899999999</v>
      </c>
      <c r="M54" s="55">
        <f>_xll.EQNXTDZ($A$1,$B54,M$1,$B$1)</f>
        <v>33.453783199999997</v>
      </c>
      <c r="N54" s="55">
        <f>_xll.EQNXTDZ($A$1,$B54,N$1,$B$1)</f>
        <v>34.711083899999998</v>
      </c>
      <c r="O54" s="55">
        <f>_xll.EQNXTDZ($A$1,$B54,O$1,$B$1)</f>
        <v>35.506759700000003</v>
      </c>
      <c r="P54" s="55">
        <f>_xll.EQNXTDZ($A$1,$B54,P$1,$B$1)</f>
        <v>86.346000000000004</v>
      </c>
      <c r="Q54" s="55">
        <f>_xll.EQNXTDZ($A$1,$B54,Q$1,$B$1)</f>
        <v>47.550501099999998</v>
      </c>
      <c r="R54" s="55">
        <f>_xll.EQNXTDZ($A$1,$B54,R$1,$B$1)</f>
        <v>48.473997900000001</v>
      </c>
      <c r="S54" s="55">
        <f>_xll.EQNXTDZ($A$1,$B54,S$1,$B$1)</f>
        <v>51.471691900000003</v>
      </c>
      <c r="T54" s="55">
        <f>_xll.EQNXTDZ($A$1,$B54,T$1,$B$1)</f>
        <v>71.844287899999998</v>
      </c>
      <c r="U54" s="55">
        <f>_xll.EQNXTDZ($A$1,$B54,U$1,$B$1)</f>
        <v>85.050261599999999</v>
      </c>
      <c r="V54" s="55">
        <f>_xll.EQNXTDZ($A$1,$B54,V$1,$B$1)</f>
        <v>59.362182400000002</v>
      </c>
      <c r="W54" s="55">
        <f>_xll.EQNXTDZ($A$1,$B54,W$1,$B$1)</f>
        <v>76.796000000000006</v>
      </c>
      <c r="X54" s="55">
        <f>_xll.EQNXTDZ($A$1,$B54,X$1,$B$1)</f>
        <v>180.88149999999999</v>
      </c>
      <c r="Y54" s="55">
        <f>_xll.EQNXTDZ($A$1,$B54,Y$1,$B$1)</f>
        <v>62.104500000000002</v>
      </c>
      <c r="Z54" s="55">
        <f>_xll.EQNXTDZ($A$1,$B54,Z$1,$B$1)</f>
        <v>77.790899999999993</v>
      </c>
      <c r="AA54" s="55">
        <f>_xll.EQNXTDZ($A$1,$B54,AA$1,$B$1)</f>
        <v>69.115399999999994</v>
      </c>
      <c r="AB54" s="55">
        <f>_xll.EQNXTDZ($A$1,$B54,AB$1,$B$1)</f>
        <v>49.924799999999998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0.13945569999999999</v>
      </c>
      <c r="D55" s="55">
        <f>_xll.EQNXTDZ($A$1,$B55,D$1,$B$1)</f>
        <v>7.5809500000000002E-2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1.7900697999999999</v>
      </c>
      <c r="L55" s="55">
        <f>_xll.EQNXTDZ($A$1,$B55,L$1,$B$1)</f>
        <v>0.63089130000000004</v>
      </c>
      <c r="M55" s="55">
        <f>_xll.EQNXTDZ($A$1,$B55,M$1,$B$1)</f>
        <v>21.337110800000001</v>
      </c>
      <c r="N55" s="55">
        <f>_xll.EQNXTDZ($A$1,$B55,N$1,$B$1)</f>
        <v>25.7870679</v>
      </c>
      <c r="O55" s="55">
        <f>_xll.EQNXTDZ($A$1,$B55,O$1,$B$1)</f>
        <v>36.339477799999997</v>
      </c>
      <c r="P55" s="55">
        <f>_xll.EQNXTDZ($A$1,$B55,P$1,$B$1)</f>
        <v>42.673099999999998</v>
      </c>
      <c r="Q55" s="55">
        <f>_xll.EQNXTDZ($A$1,$B55,Q$1,$B$1)</f>
        <v>42.396769399999997</v>
      </c>
      <c r="R55" s="55">
        <f>_xll.EQNXTDZ($A$1,$B55,R$1,$B$1)</f>
        <v>33.175461499999997</v>
      </c>
      <c r="S55" s="55">
        <f>_xll.EQNXTDZ($A$1,$B55,S$1,$B$1)</f>
        <v>22.1445352</v>
      </c>
      <c r="T55" s="55">
        <f>_xll.EQNXTDZ($A$1,$B55,T$1,$B$1)</f>
        <v>9.9529338999999997</v>
      </c>
      <c r="U55" s="55">
        <f>_xll.EQNXTDZ($A$1,$B55,U$1,$B$1)</f>
        <v>37.552296599999998</v>
      </c>
      <c r="V55" s="55">
        <f>_xll.EQNXTDZ($A$1,$B55,V$1,$B$1)</f>
        <v>22.4454481</v>
      </c>
      <c r="W55" s="55">
        <f>_xll.EQNXTDZ($A$1,$B55,W$1,$B$1)</f>
        <v>33.695700000000002</v>
      </c>
      <c r="X55" s="55">
        <f>_xll.EQNXTDZ($A$1,$B55,X$1,$B$1)</f>
        <v>98.603899999999996</v>
      </c>
      <c r="Y55" s="55">
        <f>_xll.EQNXTDZ($A$1,$B55,Y$1,$B$1)</f>
        <v>81.264300000000006</v>
      </c>
      <c r="Z55" s="55">
        <f>_xll.EQNXTDZ($A$1,$B55,Z$1,$B$1)</f>
        <v>64.34</v>
      </c>
      <c r="AA55" s="55">
        <f>_xll.EQNXTDZ($A$1,$B55,AA$1,$B$1)</f>
        <v>58.656500000000001</v>
      </c>
      <c r="AB55" s="55">
        <f>_xll.EQNXTDZ($A$1,$B55,AB$1,$B$1)</f>
        <v>75.617099999999994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83.597550699999999</v>
      </c>
      <c r="N56" s="55">
        <f>_xll.EQNXTDZ($A$1,$B56,N$1,$B$1)</f>
        <v>111.0523958</v>
      </c>
      <c r="O56" s="55">
        <f>_xll.EQNXTDZ($A$1,$B56,O$1,$B$1)</f>
        <v>105.58053270000001</v>
      </c>
      <c r="P56" s="55">
        <f>_xll.EQNXTDZ($A$1,$B56,P$1,$B$1)</f>
        <v>139.46</v>
      </c>
      <c r="Q56" s="55">
        <f>_xll.EQNXTDZ($A$1,$B56,Q$1,$B$1)</f>
        <v>148.46099889999999</v>
      </c>
      <c r="R56" s="55">
        <f>_xll.EQNXTDZ($A$1,$B56,R$1,$B$1)</f>
        <v>101.1662419</v>
      </c>
      <c r="S56" s="55">
        <f>_xll.EQNXTDZ($A$1,$B56,S$1,$B$1)</f>
        <v>66.207444499999994</v>
      </c>
      <c r="T56" s="55">
        <f>_xll.EQNXTDZ($A$1,$B56,T$1,$B$1)</f>
        <v>99.680900100000002</v>
      </c>
      <c r="U56" s="55">
        <f>_xll.EQNXTDZ($A$1,$B56,U$1,$B$1)</f>
        <v>107.4057311</v>
      </c>
      <c r="V56" s="55">
        <f>_xll.EQNXTDZ($A$1,$B56,V$1,$B$1)</f>
        <v>121.4762054</v>
      </c>
      <c r="W56" s="55">
        <f>_xll.EQNXTDZ($A$1,$B56,W$1,$B$1)</f>
        <v>10.9452</v>
      </c>
      <c r="X56" s="55">
        <f>_xll.EQNXTDZ($A$1,$B56,X$1,$B$1)</f>
        <v>15.7912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0.42969410000000002</v>
      </c>
      <c r="D57" s="55">
        <f>_xll.EQNXTDZ($A$1,$B57,D$1,$B$1)</f>
        <v>1.0623407</v>
      </c>
      <c r="E57" s="55">
        <f>_xll.EQNXTDZ($A$1,$B57,E$1,$B$1)</f>
        <v>1.3453822</v>
      </c>
      <c r="F57" s="55">
        <f>_xll.EQNXTDZ($A$1,$B57,F$1,$B$1)</f>
        <v>2.3394213000000001</v>
      </c>
      <c r="G57" s="55">
        <f>_xll.EQNXTDZ($A$1,$B57,G$1,$B$1)</f>
        <v>2.6857077999999999</v>
      </c>
      <c r="H57" s="55">
        <f>_xll.EQNXTDZ($A$1,$B57,H$1,$B$1)</f>
        <v>4.0245547999999998</v>
      </c>
      <c r="I57" s="55">
        <f>_xll.EQNXTDZ($A$1,$B57,I$1,$B$1)</f>
        <v>4.7719842999999997</v>
      </c>
      <c r="J57" s="55">
        <f>_xll.EQNXTDZ($A$1,$B57,J$1,$B$1)</f>
        <v>3.4356762999999999</v>
      </c>
      <c r="K57" s="55">
        <f>_xll.EQNXTDZ($A$1,$B57,K$1,$B$1)</f>
        <v>4.8300777000000004</v>
      </c>
      <c r="L57" s="55">
        <f>_xll.EQNXTDZ($A$1,$B57,L$1,$B$1)</f>
        <v>7.1953778000000002</v>
      </c>
      <c r="M57" s="55">
        <f>_xll.EQNXTDZ($A$1,$B57,M$1,$B$1)</f>
        <v>15.9789315</v>
      </c>
      <c r="N57" s="55">
        <f>_xll.EQNXTDZ($A$1,$B57,N$1,$B$1)</f>
        <v>22.557049200000002</v>
      </c>
      <c r="O57" s="55">
        <f>_xll.EQNXTDZ($A$1,$B57,O$1,$B$1)</f>
        <v>21.1424424</v>
      </c>
      <c r="P57" s="55">
        <f>_xll.EQNXTDZ($A$1,$B57,P$1,$B$1)</f>
        <v>14.233000000000001</v>
      </c>
      <c r="Q57" s="55">
        <f>_xll.EQNXTDZ($A$1,$B57,Q$1,$B$1)</f>
        <v>17.9644215</v>
      </c>
      <c r="R57" s="55">
        <f>_xll.EQNXTDZ($A$1,$B57,R$1,$B$1)</f>
        <v>32.799599999999998</v>
      </c>
      <c r="S57" s="55">
        <f>_xll.EQNXTDZ($A$1,$B57,S$1,$B$1)</f>
        <v>59.269799300000003</v>
      </c>
      <c r="T57" s="55">
        <f>_xll.EQNXTDZ($A$1,$B57,T$1,$B$1)</f>
        <v>75.251515299999994</v>
      </c>
      <c r="U57" s="55">
        <f>_xll.EQNXTDZ($A$1,$B57,U$1,$B$1)</f>
        <v>78.417024900000001</v>
      </c>
      <c r="V57" s="55">
        <f>_xll.EQNXTDZ($A$1,$B57,V$1,$B$1)</f>
        <v>61.0550809</v>
      </c>
      <c r="W57" s="55">
        <f>_xll.EQNXTDZ($A$1,$B57,W$1,$B$1)</f>
        <v>121.3687</v>
      </c>
      <c r="X57" s="55">
        <f>_xll.EQNXTDZ($A$1,$B57,X$1,$B$1)</f>
        <v>5.4537000000000004</v>
      </c>
      <c r="Y57" s="55">
        <f>_xll.EQNXTDZ($A$1,$B57,Y$1,$B$1)</f>
        <v>5.9690000000000003</v>
      </c>
      <c r="Z57" s="55">
        <f>_xll.EQNXTDZ($A$1,$B57,Z$1,$B$1)</f>
        <v>6.5731000000000002</v>
      </c>
      <c r="AA57" s="55">
        <f>_xll.EQNXTDZ($A$1,$B57,AA$1,$B$1)</f>
        <v>1.9171</v>
      </c>
      <c r="AB57" s="55">
        <f>_xll.EQNXTDZ($A$1,$B57,AB$1,$B$1)</f>
        <v>11.1183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2.7301888000000001</v>
      </c>
      <c r="D59" s="55">
        <f>_xll.EQNXTDZ($A$1,$B59,D$1,$B$1)</f>
        <v>5.7435920999999999</v>
      </c>
      <c r="E59" s="55">
        <f>_xll.EQNXTDZ($A$1,$B59,E$1,$B$1)</f>
        <v>5.0407565999999999</v>
      </c>
      <c r="F59" s="55">
        <f>_xll.EQNXTDZ($A$1,$B59,F$1,$B$1)</f>
        <v>11.4412585</v>
      </c>
      <c r="G59" s="55">
        <f>_xll.EQNXTDZ($A$1,$B59,G$1,$B$1)</f>
        <v>17.523705799999998</v>
      </c>
      <c r="H59" s="55">
        <f>_xll.EQNXTDZ($A$1,$B59,H$1,$B$1)</f>
        <v>20.202516899999999</v>
      </c>
      <c r="I59" s="55">
        <f>_xll.EQNXTDZ($A$1,$B59,I$1,$B$1)</f>
        <v>25.796123099999999</v>
      </c>
      <c r="J59" s="55">
        <f>_xll.EQNXTDZ($A$1,$B59,J$1,$B$1)</f>
        <v>36.954757600000001</v>
      </c>
      <c r="K59" s="55">
        <f>_xll.EQNXTDZ($A$1,$B59,K$1,$B$1)</f>
        <v>29.866268099999999</v>
      </c>
      <c r="L59" s="55">
        <f>_xll.EQNXTDZ($A$1,$B59,L$1,$B$1)</f>
        <v>39.605528</v>
      </c>
      <c r="M59" s="55">
        <f>_xll.EQNXTDZ($A$1,$B59,M$1,$B$1)</f>
        <v>154.3673762</v>
      </c>
      <c r="N59" s="55">
        <f>_xll.EQNXTDZ($A$1,$B59,N$1,$B$1)</f>
        <v>194.10759680000001</v>
      </c>
      <c r="O59" s="55">
        <f>_xll.EQNXTDZ($A$1,$B59,O$1,$B$1)</f>
        <v>198.56921259999999</v>
      </c>
      <c r="P59" s="55">
        <f>_xll.EQNXTDZ($A$1,$B59,P$1,$B$1)</f>
        <v>282.71210000000002</v>
      </c>
      <c r="Q59" s="55">
        <f>_xll.EQNXTDZ($A$1,$B59,Q$1,$B$1)</f>
        <v>256.37269090000001</v>
      </c>
      <c r="R59" s="55">
        <f>_xll.EQNXTDZ($A$1,$B59,R$1,$B$1)</f>
        <v>215.6153013</v>
      </c>
      <c r="S59" s="55">
        <f>_xll.EQNXTDZ($A$1,$B59,S$1,$B$1)</f>
        <v>199.0934709</v>
      </c>
      <c r="T59" s="55">
        <f>_xll.EQNXTDZ($A$1,$B59,T$1,$B$1)</f>
        <v>256.72963720000001</v>
      </c>
      <c r="U59" s="55">
        <f>_xll.EQNXTDZ($A$1,$B59,U$1,$B$1)</f>
        <v>308.4253142</v>
      </c>
      <c r="V59" s="55">
        <f>_xll.EQNXTDZ($A$1,$B59,V$1,$B$1)</f>
        <v>264.33891679999999</v>
      </c>
      <c r="W59" s="55">
        <f>_xll.EQNXTDZ($A$1,$B59,W$1,$B$1)</f>
        <v>242.8056</v>
      </c>
      <c r="X59" s="55">
        <f>_xll.EQNXTDZ($A$1,$B59,X$1,$B$1)</f>
        <v>300.7303</v>
      </c>
      <c r="Y59" s="55">
        <f>_xll.EQNXTDZ($A$1,$B59,Y$1,$B$1)</f>
        <v>149.33779999999999</v>
      </c>
      <c r="Z59" s="55">
        <f>_xll.EQNXTDZ($A$1,$B59,Z$1,$B$1)</f>
        <v>148.70400000000001</v>
      </c>
      <c r="AA59" s="55">
        <f>_xll.EQNXTDZ($A$1,$B59,AA$1,$B$1)</f>
        <v>129.68899999999999</v>
      </c>
      <c r="AB59" s="55">
        <f>_xll.EQNXTDZ($A$1,$B59,AB$1,$B$1)</f>
        <v>136.6602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30.284670299999998</v>
      </c>
      <c r="D60" s="55">
        <f>_xll.EQNXTDZ($A$1,$B60,D$1,$B$1)</f>
        <v>35.650656300000001</v>
      </c>
      <c r="E60" s="55">
        <f>_xll.EQNXTDZ($A$1,$B60,E$1,$B$1)</f>
        <v>50.690232000000002</v>
      </c>
      <c r="F60" s="55">
        <f>_xll.EQNXTDZ($A$1,$B60,F$1,$B$1)</f>
        <v>75.503721299999995</v>
      </c>
      <c r="G60" s="55">
        <f>_xll.EQNXTDZ($A$1,$B60,G$1,$B$1)</f>
        <v>93.269510699999998</v>
      </c>
      <c r="H60" s="55">
        <f>_xll.EQNXTDZ($A$1,$B60,H$1,$B$1)</f>
        <v>115.8612961</v>
      </c>
      <c r="I60" s="55">
        <f>_xll.EQNXTDZ($A$1,$B60,I$1,$B$1)</f>
        <v>148.16254169999999</v>
      </c>
      <c r="J60" s="55">
        <f>_xll.EQNXTDZ($A$1,$B60,J$1,$B$1)</f>
        <v>191.3275356</v>
      </c>
      <c r="K60" s="55">
        <f>_xll.EQNXTDZ($A$1,$B60,K$1,$B$1)</f>
        <v>222.52042969999999</v>
      </c>
      <c r="L60" s="55">
        <f>_xll.EQNXTDZ($A$1,$B60,L$1,$B$1)</f>
        <v>254.2980498</v>
      </c>
      <c r="M60" s="55">
        <f>_xll.EQNXTDZ($A$1,$B60,M$1,$B$1)</f>
        <v>365.29990320000002</v>
      </c>
      <c r="N60" s="55">
        <f>_xll.EQNXTDZ($A$1,$B60,N$1,$B$1)</f>
        <v>465.65795539999999</v>
      </c>
      <c r="O60" s="55">
        <f>_xll.EQNXTDZ($A$1,$B60,O$1,$B$1)</f>
        <v>519.34887289999995</v>
      </c>
      <c r="P60" s="55">
        <f>_xll.EQNXTDZ($A$1,$B60,P$1,$B$1)</f>
        <v>620.23620000000005</v>
      </c>
      <c r="Q60" s="55">
        <f>_xll.EQNXTDZ($A$1,$B60,Q$1,$B$1)</f>
        <v>622.54776260000006</v>
      </c>
      <c r="R60" s="55">
        <f>_xll.EQNXTDZ($A$1,$B60,R$1,$B$1)</f>
        <v>604.73590520000005</v>
      </c>
      <c r="S60" s="55">
        <f>_xll.EQNXTDZ($A$1,$B60,S$1,$B$1)</f>
        <v>635.01503960000002</v>
      </c>
      <c r="T60" s="55">
        <f>_xll.EQNXTDZ($A$1,$B60,T$1,$B$1)</f>
        <v>847.84411060000002</v>
      </c>
      <c r="U60" s="55">
        <f>_xll.EQNXTDZ($A$1,$B60,U$1,$B$1)</f>
        <v>1045.8887159999999</v>
      </c>
      <c r="V60" s="55">
        <f>_xll.EQNXTDZ($A$1,$B60,V$1,$B$1)</f>
        <v>1113.1025018</v>
      </c>
      <c r="W60" s="55">
        <f>_xll.EQNXTDZ($A$1,$B60,W$1,$B$1)</f>
        <v>1310.3293000000001</v>
      </c>
      <c r="X60" s="55">
        <f>_xll.EQNXTDZ($A$1,$B60,X$1,$B$1)</f>
        <v>1745.2607</v>
      </c>
      <c r="Y60" s="55">
        <f>_xll.EQNXTDZ($A$1,$B60,Y$1,$B$1)</f>
        <v>1962.8077000000001</v>
      </c>
      <c r="Z60" s="55">
        <f>_xll.EQNXTDZ($A$1,$B60,Z$1,$B$1)</f>
        <v>2146.1529</v>
      </c>
      <c r="AA60" s="55">
        <f>_xll.EQNXTDZ($A$1,$B60,AA$1,$B$1)</f>
        <v>2252.0590999999999</v>
      </c>
      <c r="AB60" s="55">
        <f>_xll.EQNXTDZ($A$1,$B60,AB$1,$B$1)</f>
        <v>2023.6667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23.1167449</v>
      </c>
      <c r="D62" s="55">
        <f>_xll.EQNXTDZ($A$1,$B62,D$1,$B$1)</f>
        <v>26.002201400000001</v>
      </c>
      <c r="E62" s="55">
        <f>_xll.EQNXTDZ($A$1,$B62,E$1,$B$1)</f>
        <v>40.6940381</v>
      </c>
      <c r="F62" s="55">
        <f>_xll.EQNXTDZ($A$1,$B62,F$1,$B$1)</f>
        <v>55.831750399999997</v>
      </c>
      <c r="G62" s="55">
        <f>_xll.EQNXTDZ($A$1,$B62,G$1,$B$1)</f>
        <v>64.112323799999999</v>
      </c>
      <c r="H62" s="55">
        <f>_xll.EQNXTDZ($A$1,$B62,H$1,$B$1)</f>
        <v>75.3511989</v>
      </c>
      <c r="I62" s="55">
        <f>_xll.EQNXTDZ($A$1,$B62,I$1,$B$1)</f>
        <v>82.610227899999998</v>
      </c>
      <c r="J62" s="55">
        <f>_xll.EQNXTDZ($A$1,$B62,J$1,$B$1)</f>
        <v>98.268885999999995</v>
      </c>
      <c r="K62" s="55">
        <f>_xll.EQNXTDZ($A$1,$B62,K$1,$B$1)</f>
        <v>109.4825336</v>
      </c>
      <c r="L62" s="55">
        <f>_xll.EQNXTDZ($A$1,$B62,L$1,$B$1)</f>
        <v>159.6217523</v>
      </c>
      <c r="M62" s="55">
        <f>_xll.EQNXTDZ($A$1,$B62,M$1,$B$1)</f>
        <v>207.1622581</v>
      </c>
      <c r="N62" s="55">
        <f>_xll.EQNXTDZ($A$1,$B62,N$1,$B$1)</f>
        <v>253.22717019999999</v>
      </c>
      <c r="O62" s="55">
        <f>_xll.EQNXTDZ($A$1,$B62,O$1,$B$1)</f>
        <v>303.99353409999998</v>
      </c>
      <c r="P62" s="55">
        <f>_xll.EQNXTDZ($A$1,$B62,P$1,$B$1)</f>
        <v>415.84690000000001</v>
      </c>
      <c r="Q62" s="55">
        <f>_xll.EQNXTDZ($A$1,$B62,Q$1,$B$1)</f>
        <v>448.42306300000001</v>
      </c>
      <c r="R62" s="55">
        <f>_xll.EQNXTDZ($A$1,$B62,R$1,$B$1)</f>
        <v>468.9108592</v>
      </c>
      <c r="S62" s="55">
        <f>_xll.EQNXTDZ($A$1,$B62,S$1,$B$1)</f>
        <v>461.74301229999998</v>
      </c>
      <c r="T62" s="55">
        <f>_xll.EQNXTDZ($A$1,$B62,T$1,$B$1)</f>
        <v>479.10073039999997</v>
      </c>
      <c r="U62" s="55">
        <f>_xll.EQNXTDZ($A$1,$B62,U$1,$B$1)</f>
        <v>501.88369340000003</v>
      </c>
      <c r="V62" s="55">
        <f>_xll.EQNXTDZ($A$1,$B62,V$1,$B$1)</f>
        <v>786.39623170000004</v>
      </c>
      <c r="W62" s="55">
        <f>_xll.EQNXTDZ($A$1,$B62,W$1,$B$1)</f>
        <v>789.57209999999998</v>
      </c>
      <c r="X62" s="55">
        <f>_xll.EQNXTDZ($A$1,$B62,X$1,$B$1)</f>
        <v>961.80769999999995</v>
      </c>
      <c r="Y62" s="55">
        <f>_xll.EQNXTDZ($A$1,$B62,Y$1,$B$1)</f>
        <v>1095.8032000000001</v>
      </c>
      <c r="Z62" s="55">
        <f>_xll.EQNXTDZ($A$1,$B62,Z$1,$B$1)</f>
        <v>1254.5155</v>
      </c>
      <c r="AA62" s="55">
        <f>_xll.EQNXTDZ($A$1,$B62,AA$1,$B$1)</f>
        <v>1408.9176</v>
      </c>
      <c r="AB62" s="55">
        <f>_xll.EQNXTDZ($A$1,$B62,AB$1,$B$1)</f>
        <v>1265.9652000000001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6.7231024000000001</v>
      </c>
      <c r="D63" s="55">
        <f>_xll.EQNXTDZ($A$1,$B63,D$1,$B$1)</f>
        <v>7.9247135999999996</v>
      </c>
      <c r="E63" s="55">
        <f>_xll.EQNXTDZ($A$1,$B63,E$1,$B$1)</f>
        <v>9.3806948999999999</v>
      </c>
      <c r="F63" s="55">
        <f>_xll.EQNXTDZ($A$1,$B63,F$1,$B$1)</f>
        <v>12.9549013</v>
      </c>
      <c r="G63" s="55">
        <f>_xll.EQNXTDZ($A$1,$B63,G$1,$B$1)</f>
        <v>15.711427199999999</v>
      </c>
      <c r="H63" s="55">
        <f>_xll.EQNXTDZ($A$1,$B63,H$1,$B$1)</f>
        <v>18.923605800000001</v>
      </c>
      <c r="I63" s="55">
        <f>_xll.EQNXTDZ($A$1,$B63,I$1,$B$1)</f>
        <v>22.694224699999999</v>
      </c>
      <c r="J63" s="55">
        <f>_xll.EQNXTDZ($A$1,$B63,J$1,$B$1)</f>
        <v>27.1443893</v>
      </c>
      <c r="K63" s="55">
        <f>_xll.EQNXTDZ($A$1,$B63,K$1,$B$1)</f>
        <v>32.003626599999997</v>
      </c>
      <c r="L63" s="55">
        <f>_xll.EQNXTDZ($A$1,$B63,L$1,$B$1)</f>
        <v>38.878186900000003</v>
      </c>
      <c r="M63" s="55">
        <f>_xll.EQNXTDZ($A$1,$B63,M$1,$B$1)</f>
        <v>47.099207900000003</v>
      </c>
      <c r="N63" s="55">
        <f>_xll.EQNXTDZ($A$1,$B63,N$1,$B$1)</f>
        <v>57.231545500000003</v>
      </c>
      <c r="O63" s="55">
        <f>_xll.EQNXTDZ($A$1,$B63,O$1,$B$1)</f>
        <v>69.608715900000007</v>
      </c>
      <c r="P63" s="55">
        <f>_xll.EQNXTDZ($A$1,$B63,P$1,$B$1)</f>
        <v>90.461200000000005</v>
      </c>
      <c r="Q63" s="55">
        <f>_xll.EQNXTDZ($A$1,$B63,Q$1,$B$1)</f>
        <v>107.3180047</v>
      </c>
      <c r="R63" s="55">
        <f>_xll.EQNXTDZ($A$1,$B63,R$1,$B$1)</f>
        <v>128.09585580000001</v>
      </c>
      <c r="S63" s="55">
        <f>_xll.EQNXTDZ($A$1,$B63,S$1,$B$1)</f>
        <v>136.26292169999999</v>
      </c>
      <c r="T63" s="55">
        <f>_xll.EQNXTDZ($A$1,$B63,T$1,$B$1)</f>
        <v>163.04302910000001</v>
      </c>
      <c r="U63" s="55">
        <f>_xll.EQNXTDZ($A$1,$B63,U$1,$B$1)</f>
        <v>182.13745349999999</v>
      </c>
      <c r="V63" s="55">
        <f>_xll.EQNXTDZ($A$1,$B63,V$1,$B$1)</f>
        <v>213.39525420000001</v>
      </c>
      <c r="W63" s="55">
        <f>_xll.EQNXTDZ($A$1,$B63,W$1,$B$1)</f>
        <v>246.65539999999999</v>
      </c>
      <c r="X63" s="55">
        <f>_xll.EQNXTDZ($A$1,$B63,X$1,$B$1)</f>
        <v>285.65940000000001</v>
      </c>
      <c r="Y63" s="55">
        <f>_xll.EQNXTDZ($A$1,$B63,Y$1,$B$1)</f>
        <v>320.52069999999998</v>
      </c>
      <c r="Z63" s="55">
        <f>_xll.EQNXTDZ($A$1,$B63,Z$1,$B$1)</f>
        <v>363.45119999999997</v>
      </c>
      <c r="AA63" s="55">
        <f>_xll.EQNXTDZ($A$1,$B63,AA$1,$B$1)</f>
        <v>410.44170000000003</v>
      </c>
      <c r="AB63" s="55">
        <f>_xll.EQNXTDZ($A$1,$B63,AB$1,$B$1)</f>
        <v>387.51220000000001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16.393642499999999</v>
      </c>
      <c r="D65" s="55">
        <f>_xll.EQNXTDZ($A$1,$B65,D$1,$B$1)</f>
        <v>18.0774878</v>
      </c>
      <c r="E65" s="55">
        <f>_xll.EQNXTDZ($A$1,$B65,E$1,$B$1)</f>
        <v>31.313343199999998</v>
      </c>
      <c r="F65" s="55">
        <f>_xll.EQNXTDZ($A$1,$B65,F$1,$B$1)</f>
        <v>42.876849100000001</v>
      </c>
      <c r="G65" s="55">
        <f>_xll.EQNXTDZ($A$1,$B65,G$1,$B$1)</f>
        <v>48.400896600000003</v>
      </c>
      <c r="H65" s="55">
        <f>_xll.EQNXTDZ($A$1,$B65,H$1,$B$1)</f>
        <v>56.427593100000003</v>
      </c>
      <c r="I65" s="55">
        <f>_xll.EQNXTDZ($A$1,$B65,I$1,$B$1)</f>
        <v>59.916003199999999</v>
      </c>
      <c r="J65" s="55">
        <f>_xll.EQNXTDZ($A$1,$B65,J$1,$B$1)</f>
        <v>71.124496699999995</v>
      </c>
      <c r="K65" s="55">
        <f>_xll.EQNXTDZ($A$1,$B65,K$1,$B$1)</f>
        <v>77.478907000000007</v>
      </c>
      <c r="L65" s="55">
        <f>_xll.EQNXTDZ($A$1,$B65,L$1,$B$1)</f>
        <v>120.74356539999999</v>
      </c>
      <c r="M65" s="55">
        <f>_xll.EQNXTDZ($A$1,$B65,M$1,$B$1)</f>
        <v>160.06305019999999</v>
      </c>
      <c r="N65" s="55">
        <f>_xll.EQNXTDZ($A$1,$B65,N$1,$B$1)</f>
        <v>195.99562470000001</v>
      </c>
      <c r="O65" s="55">
        <f>_xll.EQNXTDZ($A$1,$B65,O$1,$B$1)</f>
        <v>234.38481820000001</v>
      </c>
      <c r="P65" s="55">
        <f>_xll.EQNXTDZ($A$1,$B65,P$1,$B$1)</f>
        <v>325.38569999999999</v>
      </c>
      <c r="Q65" s="55">
        <f>_xll.EQNXTDZ($A$1,$B65,Q$1,$B$1)</f>
        <v>341.1050583</v>
      </c>
      <c r="R65" s="55">
        <f>_xll.EQNXTDZ($A$1,$B65,R$1,$B$1)</f>
        <v>340.81500340000002</v>
      </c>
      <c r="S65" s="55">
        <f>_xll.EQNXTDZ($A$1,$B65,S$1,$B$1)</f>
        <v>325.48009059999998</v>
      </c>
      <c r="T65" s="55">
        <f>_xll.EQNXTDZ($A$1,$B65,T$1,$B$1)</f>
        <v>316.05770130000002</v>
      </c>
      <c r="U65" s="55">
        <f>_xll.EQNXTDZ($A$1,$B65,U$1,$B$1)</f>
        <v>319.74623989999998</v>
      </c>
      <c r="V65" s="55">
        <f>_xll.EQNXTDZ($A$1,$B65,V$1,$B$1)</f>
        <v>573.00097749999998</v>
      </c>
      <c r="W65" s="55">
        <f>_xll.EQNXTDZ($A$1,$B65,W$1,$B$1)</f>
        <v>542.91669999999999</v>
      </c>
      <c r="X65" s="55">
        <f>_xll.EQNXTDZ($A$1,$B65,X$1,$B$1)</f>
        <v>676.14829999999995</v>
      </c>
      <c r="Y65" s="55">
        <f>_xll.EQNXTDZ($A$1,$B65,Y$1,$B$1)</f>
        <v>775.28250000000003</v>
      </c>
      <c r="Z65" s="55">
        <f>_xll.EQNXTDZ($A$1,$B65,Z$1,$B$1)</f>
        <v>891.0643</v>
      </c>
      <c r="AA65" s="55">
        <f>_xll.EQNXTDZ($A$1,$B65,AA$1,$B$1)</f>
        <v>998.47590000000002</v>
      </c>
      <c r="AB65" s="55">
        <f>_xll.EQNXTDZ($A$1,$B65,AB$1,$B$1)</f>
        <v>878.45299999999997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5.7112999999999999E-3</v>
      </c>
      <c r="D67" s="55">
        <f>_xll.EQNXTDZ($A$1,$B67,D$1,$B$1)</f>
        <v>2.9525032000000002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0.38868979999999997</v>
      </c>
      <c r="I67" s="55">
        <f>_xll.EQNXTDZ($A$1,$B67,I$1,$B$1)</f>
        <v>0</v>
      </c>
      <c r="J67" s="55">
        <f>_xll.EQNXTDZ($A$1,$B67,J$1,$B$1)</f>
        <v>5.6979835000000003</v>
      </c>
      <c r="K67" s="55">
        <f>_xll.EQNXTDZ($A$1,$B67,K$1,$B$1)</f>
        <v>35.729158200000001</v>
      </c>
      <c r="L67" s="55">
        <f>_xll.EQNXTDZ($A$1,$B67,L$1,$B$1)</f>
        <v>2.3585617999999999</v>
      </c>
      <c r="M67" s="55">
        <f>_xll.EQNXTDZ($A$1,$B67,M$1,$B$1)</f>
        <v>11.8386759</v>
      </c>
      <c r="N67" s="55">
        <f>_xll.EQNXTDZ($A$1,$B67,N$1,$B$1)</f>
        <v>24.665779100000002</v>
      </c>
      <c r="O67" s="55">
        <f>_xll.EQNXTDZ($A$1,$B67,O$1,$B$1)</f>
        <v>62.922728999999997</v>
      </c>
      <c r="P67" s="55">
        <f>_xll.EQNXTDZ($A$1,$B67,P$1,$B$1)</f>
        <v>8.1179000000000006</v>
      </c>
      <c r="Q67" s="55">
        <f>_xll.EQNXTDZ($A$1,$B67,Q$1,$B$1)</f>
        <v>3.3208814000000002</v>
      </c>
      <c r="R67" s="55">
        <f>_xll.EQNXTDZ($A$1,$B67,R$1,$B$1)</f>
        <v>16.261209300000001</v>
      </c>
      <c r="S67" s="55">
        <f>_xll.EQNXTDZ($A$1,$B67,S$1,$B$1)</f>
        <v>25.083374299999999</v>
      </c>
      <c r="T67" s="55">
        <f>_xll.EQNXTDZ($A$1,$B67,T$1,$B$1)</f>
        <v>123.12967570000001</v>
      </c>
      <c r="U67" s="55">
        <f>_xll.EQNXTDZ($A$1,$B67,U$1,$B$1)</f>
        <v>269.460014</v>
      </c>
      <c r="V67" s="55">
        <f>_xll.EQNXTDZ($A$1,$B67,V$1,$B$1)</f>
        <v>46.266736600000002</v>
      </c>
      <c r="W67" s="55">
        <f>_xll.EQNXTDZ($A$1,$B67,W$1,$B$1)</f>
        <v>173.2757</v>
      </c>
      <c r="X67" s="55">
        <f>_xll.EQNXTDZ($A$1,$B67,X$1,$B$1)</f>
        <v>140.9358</v>
      </c>
      <c r="Y67" s="55">
        <f>_xll.EQNXTDZ($A$1,$B67,Y$1,$B$1)</f>
        <v>113.2295</v>
      </c>
      <c r="Z67" s="55">
        <f>_xll.EQNXTDZ($A$1,$B67,Z$1,$B$1)</f>
        <v>202.59399999999999</v>
      </c>
      <c r="AA67" s="55">
        <f>_xll.EQNXTDZ($A$1,$B67,AA$1,$B$1)</f>
        <v>234.3296</v>
      </c>
      <c r="AB67" s="55">
        <f>_xll.EQNXTDZ($A$1,$B67,AB$1,$B$1)</f>
        <v>202.77510000000001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1.9158999999999999</v>
      </c>
      <c r="AA68" s="55">
        <f>_xll.EQNXTDZ($A$1,$B68,AA$1,$B$1)</f>
        <v>3.1699000000000002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5.0182000000000002</v>
      </c>
      <c r="Y70" s="55">
        <f>_xll.EQNXTDZ($A$1,$B70,Y$1,$B$1)</f>
        <v>5.2203999999999997</v>
      </c>
      <c r="Z70" s="55">
        <f>_xll.EQNXTDZ($A$1,$B70,Z$1,$B$1)</f>
        <v>5.0149999999999997</v>
      </c>
      <c r="AA70" s="55">
        <f>_xll.EQNXTDZ($A$1,$B70,AA$1,$B$1)</f>
        <v>4.8089000000000004</v>
      </c>
      <c r="AB70" s="55">
        <f>_xll.EQNXTDZ($A$1,$B70,AB$1,$B$1)</f>
        <v>4.6026999999999996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9.0197000000000003E-3</v>
      </c>
      <c r="D71" s="55">
        <f>_xll.EQNXTDZ($A$1,$B71,D$1,$B$1)</f>
        <v>9.0197000000000003E-3</v>
      </c>
      <c r="E71" s="55">
        <f>_xll.EQNXTDZ($A$1,$B71,E$1,$B$1)</f>
        <v>8.1539700000000007E-2</v>
      </c>
      <c r="F71" s="55">
        <f>_xll.EQNXTDZ($A$1,$B71,F$1,$B$1)</f>
        <v>2.9619699999999999E-2</v>
      </c>
      <c r="G71" s="55">
        <f>_xll.EQNXTDZ($A$1,$B71,G$1,$B$1)</f>
        <v>2.71197E-2</v>
      </c>
      <c r="H71" s="55">
        <f>_xll.EQNXTDZ($A$1,$B71,H$1,$B$1)</f>
        <v>2.71197E-2</v>
      </c>
      <c r="I71" s="55">
        <f>_xll.EQNXTDZ($A$1,$B71,I$1,$B$1)</f>
        <v>0.32711970000000001</v>
      </c>
      <c r="J71" s="55">
        <f>_xll.EQNXTDZ($A$1,$B71,J$1,$B$1)</f>
        <v>0.62711969999999995</v>
      </c>
      <c r="K71" s="55">
        <f>_xll.EQNXTDZ($A$1,$B71,K$1,$B$1)</f>
        <v>3.5971196999999999</v>
      </c>
      <c r="L71" s="55">
        <f>_xll.EQNXTDZ($A$1,$B71,L$1,$B$1)</f>
        <v>3.7050000000000001</v>
      </c>
      <c r="M71" s="55">
        <f>_xll.EQNXTDZ($A$1,$B71,M$1,$B$1)</f>
        <v>4.0149999999999997</v>
      </c>
      <c r="N71" s="55">
        <f>_xll.EQNXTDZ($A$1,$B71,N$1,$B$1)</f>
        <v>4.0149999999999997</v>
      </c>
      <c r="O71" s="55">
        <f>_xll.EQNXTDZ($A$1,$B71,O$1,$B$1)</f>
        <v>1.4999999999999999E-2</v>
      </c>
      <c r="P71" s="55">
        <f>_xll.EQNXTDZ($A$1,$B71,P$1,$B$1)</f>
        <v>1.4999999999999999E-2</v>
      </c>
      <c r="Q71" s="55">
        <f>_xll.EQNXTDZ($A$1,$B71,Q$1,$B$1)</f>
        <v>1.4999999999999999E-2</v>
      </c>
      <c r="R71" s="55">
        <f>_xll.EQNXTDZ($A$1,$B71,R$1,$B$1)</f>
        <v>1.4999999999999999E-2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1E-3</v>
      </c>
      <c r="Y71" s="55">
        <f>_xll.EQNXTDZ($A$1,$B71,Y$1,$B$1)</f>
        <v>1E-3</v>
      </c>
      <c r="Z71" s="55">
        <f>_xll.EQNXTDZ($A$1,$B71,Z$1,$B$1)</f>
        <v>1E-3</v>
      </c>
      <c r="AA71" s="55">
        <f>_xll.EQNXTDZ($A$1,$B71,AA$1,$B$1)</f>
        <v>1E-3</v>
      </c>
      <c r="AB71" s="55">
        <f>_xll.EQNXTDZ($A$1,$B71,AB$1,$B$1)</f>
        <v>66.001000000000005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0.72180049999999996</v>
      </c>
      <c r="N72" s="55">
        <f>_xll.EQNXTDZ($A$1,$B72,N$1,$B$1)</f>
        <v>1.0459681000000001</v>
      </c>
      <c r="O72" s="55">
        <f>_xll.EQNXTDZ($A$1,$B72,O$1,$B$1)</f>
        <v>2.0522504000000001</v>
      </c>
      <c r="P72" s="55">
        <f>_xll.EQNXTDZ($A$1,$B72,P$1,$B$1)</f>
        <v>2.2759</v>
      </c>
      <c r="Q72" s="55">
        <f>_xll.EQNXTDZ($A$1,$B72,Q$1,$B$1)</f>
        <v>2.3107698999999999</v>
      </c>
      <c r="R72" s="55">
        <f>_xll.EQNXTDZ($A$1,$B72,R$1,$B$1)</f>
        <v>2.3191297999999998</v>
      </c>
      <c r="S72" s="55">
        <f>_xll.EQNXTDZ($A$1,$B72,S$1,$B$1)</f>
        <v>4.8910977999999998</v>
      </c>
      <c r="T72" s="55">
        <f>_xll.EQNXTDZ($A$1,$B72,T$1,$B$1)</f>
        <v>46.3185547</v>
      </c>
      <c r="U72" s="55">
        <f>_xll.EQNXTDZ($A$1,$B72,U$1,$B$1)</f>
        <v>5.7825354999999998</v>
      </c>
      <c r="V72" s="55">
        <f>_xll.EQNXTDZ($A$1,$B72,V$1,$B$1)</f>
        <v>31.841571800000001</v>
      </c>
      <c r="W72" s="55">
        <f>_xll.EQNXTDZ($A$1,$B72,W$1,$B$1)</f>
        <v>15.747</v>
      </c>
      <c r="X72" s="55">
        <f>_xll.EQNXTDZ($A$1,$B72,X$1,$B$1)</f>
        <v>15.2616</v>
      </c>
      <c r="Y72" s="55">
        <f>_xll.EQNXTDZ($A$1,$B72,Y$1,$B$1)</f>
        <v>34.938899999999997</v>
      </c>
      <c r="Z72" s="55">
        <f>_xll.EQNXTDZ($A$1,$B72,Z$1,$B$1)</f>
        <v>47.5137</v>
      </c>
      <c r="AA72" s="55">
        <f>_xll.EQNXTDZ($A$1,$B72,AA$1,$B$1)</f>
        <v>68.932500000000005</v>
      </c>
      <c r="AB72" s="55">
        <f>_xll.EQNXTDZ($A$1,$B72,AB$1,$B$1)</f>
        <v>56.828000000000003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7.0773181999999997</v>
      </c>
      <c r="U73" s="55">
        <f>_xll.EQNXTDZ($A$1,$B73,U$1,$B$1)</f>
        <v>0.95804820000000002</v>
      </c>
      <c r="V73" s="55">
        <f>_xll.EQNXTDZ($A$1,$B73,V$1,$B$1)</f>
        <v>0.94860900000000004</v>
      </c>
      <c r="W73" s="55">
        <f>_xll.EQNXTDZ($A$1,$B73,W$1,$B$1)</f>
        <v>0.97899999999999998</v>
      </c>
      <c r="X73" s="55">
        <f>_xll.EQNXTDZ($A$1,$B73,X$1,$B$1)</f>
        <v>0.80210000000000004</v>
      </c>
      <c r="Y73" s="55">
        <f>_xll.EQNXTDZ($A$1,$B73,Y$1,$B$1)</f>
        <v>1.714</v>
      </c>
      <c r="Z73" s="55">
        <f>_xll.EQNXTDZ($A$1,$B73,Z$1,$B$1)</f>
        <v>1.0673999999999999</v>
      </c>
      <c r="AA73" s="55">
        <f>_xll.EQNXTDZ($A$1,$B73,AA$1,$B$1)</f>
        <v>1.4342999999999999</v>
      </c>
      <c r="AB73" s="55">
        <f>_xll.EQNXTDZ($A$1,$B73,AB$1,$B$1)</f>
        <v>10.9076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16.4083735</v>
      </c>
      <c r="D74" s="55">
        <f>_xll.EQNXTDZ($A$1,$B74,D$1,$B$1)</f>
        <v>21.039010699999999</v>
      </c>
      <c r="E74" s="55">
        <f>_xll.EQNXTDZ($A$1,$B74,E$1,$B$1)</f>
        <v>31.394882899999999</v>
      </c>
      <c r="F74" s="55">
        <f>_xll.EQNXTDZ($A$1,$B74,F$1,$B$1)</f>
        <v>42.906468799999999</v>
      </c>
      <c r="G74" s="55">
        <f>_xll.EQNXTDZ($A$1,$B74,G$1,$B$1)</f>
        <v>48.428016300000003</v>
      </c>
      <c r="H74" s="55">
        <f>_xll.EQNXTDZ($A$1,$B74,H$1,$B$1)</f>
        <v>56.843402599999997</v>
      </c>
      <c r="I74" s="55">
        <f>_xll.EQNXTDZ($A$1,$B74,I$1,$B$1)</f>
        <v>60.243122900000003</v>
      </c>
      <c r="J74" s="55">
        <f>_xll.EQNXTDZ($A$1,$B74,J$1,$B$1)</f>
        <v>77.449599899999996</v>
      </c>
      <c r="K74" s="55">
        <f>_xll.EQNXTDZ($A$1,$B74,K$1,$B$1)</f>
        <v>116.8051849</v>
      </c>
      <c r="L74" s="55">
        <f>_xll.EQNXTDZ($A$1,$B74,L$1,$B$1)</f>
        <v>126.8071272</v>
      </c>
      <c r="M74" s="55">
        <f>_xll.EQNXTDZ($A$1,$B74,M$1,$B$1)</f>
        <v>176.63852660000001</v>
      </c>
      <c r="N74" s="55">
        <f>_xll.EQNXTDZ($A$1,$B74,N$1,$B$1)</f>
        <v>225.72237190000001</v>
      </c>
      <c r="O74" s="55">
        <f>_xll.EQNXTDZ($A$1,$B74,O$1,$B$1)</f>
        <v>299.37479760000002</v>
      </c>
      <c r="P74" s="55">
        <f>_xll.EQNXTDZ($A$1,$B74,P$1,$B$1)</f>
        <v>335.79450000000003</v>
      </c>
      <c r="Q74" s="55">
        <f>_xll.EQNXTDZ($A$1,$B74,Q$1,$B$1)</f>
        <v>346.75170960000003</v>
      </c>
      <c r="R74" s="55">
        <f>_xll.EQNXTDZ($A$1,$B74,R$1,$B$1)</f>
        <v>359.41034250000001</v>
      </c>
      <c r="S74" s="55">
        <f>_xll.EQNXTDZ($A$1,$B74,S$1,$B$1)</f>
        <v>355.4545627</v>
      </c>
      <c r="T74" s="55">
        <f>_xll.EQNXTDZ($A$1,$B74,T$1,$B$1)</f>
        <v>492.5832499</v>
      </c>
      <c r="U74" s="55">
        <f>_xll.EQNXTDZ($A$1,$B74,U$1,$B$1)</f>
        <v>595.94683759999998</v>
      </c>
      <c r="V74" s="55">
        <f>_xll.EQNXTDZ($A$1,$B74,V$1,$B$1)</f>
        <v>652.05789489999995</v>
      </c>
      <c r="W74" s="55">
        <f>_xll.EQNXTDZ($A$1,$B74,W$1,$B$1)</f>
        <v>732.91840000000002</v>
      </c>
      <c r="X74" s="55">
        <f>_xll.EQNXTDZ($A$1,$B74,X$1,$B$1)</f>
        <v>838.16700000000003</v>
      </c>
      <c r="Y74" s="55">
        <f>_xll.EQNXTDZ($A$1,$B74,Y$1,$B$1)</f>
        <v>930.38630000000001</v>
      </c>
      <c r="Z74" s="55">
        <f>_xll.EQNXTDZ($A$1,$B74,Z$1,$B$1)</f>
        <v>1149.1713</v>
      </c>
      <c r="AA74" s="55">
        <f>_xll.EQNXTDZ($A$1,$B74,AA$1,$B$1)</f>
        <v>1311.1521</v>
      </c>
      <c r="AB74" s="55">
        <f>_xll.EQNXTDZ($A$1,$B74,AB$1,$B$1)</f>
        <v>1219.5673999999999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3.84</v>
      </c>
      <c r="N75" s="55">
        <f>_xll.EQNXTDZ($A$1,$B75,N$1,$B$1)</f>
        <v>3.84</v>
      </c>
      <c r="O75" s="55">
        <f>_xll.EQNXTDZ($A$1,$B75,O$1,$B$1)</f>
        <v>19.940000000000001</v>
      </c>
      <c r="P75" s="55">
        <f>_xll.EQNXTDZ($A$1,$B75,P$1,$B$1)</f>
        <v>19.940000000000001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1.4999999999999999E-2</v>
      </c>
      <c r="T75" s="55">
        <f>_xll.EQNXTDZ($A$1,$B75,T$1,$B$1)</f>
        <v>5.0000000000000001E-3</v>
      </c>
      <c r="U75" s="55">
        <f>_xll.EQNXTDZ($A$1,$B75,U$1,$B$1)</f>
        <v>5.0000000000000001E-4</v>
      </c>
      <c r="V75" s="55">
        <f>_xll.EQNXTDZ($A$1,$B75,V$1,$B$1)</f>
        <v>47.500999999999998</v>
      </c>
      <c r="W75" s="55">
        <f>_xll.EQNXTDZ($A$1,$B75,W$1,$B$1)</f>
        <v>1E-3</v>
      </c>
      <c r="X75" s="55">
        <f>_xll.EQNXTDZ($A$1,$B75,X$1,$B$1)</f>
        <v>0</v>
      </c>
      <c r="Y75" s="55">
        <f>_xll.EQNXTDZ($A$1,$B75,Y$1,$B$1)</f>
        <v>72.653400000000005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5.4381674000000002</v>
      </c>
      <c r="D76" s="55">
        <f>_xll.EQNXTDZ($A$1,$B76,D$1,$B$1)</f>
        <v>3.6640366000000002</v>
      </c>
      <c r="E76" s="55">
        <f>_xll.EQNXTDZ($A$1,$B76,E$1,$B$1)</f>
        <v>4.9819468999999996</v>
      </c>
      <c r="F76" s="55">
        <f>_xll.EQNXTDZ($A$1,$B76,F$1,$B$1)</f>
        <v>9.6274440999999999</v>
      </c>
      <c r="G76" s="55">
        <f>_xll.EQNXTDZ($A$1,$B76,G$1,$B$1)</f>
        <v>15.6876923</v>
      </c>
      <c r="H76" s="55">
        <f>_xll.EQNXTDZ($A$1,$B76,H$1,$B$1)</f>
        <v>22.549534399999999</v>
      </c>
      <c r="I76" s="55">
        <f>_xll.EQNXTDZ($A$1,$B76,I$1,$B$1)</f>
        <v>32.129319000000002</v>
      </c>
      <c r="J76" s="55">
        <f>_xll.EQNXTDZ($A$1,$B76,J$1,$B$1)</f>
        <v>33.413207300000003</v>
      </c>
      <c r="K76" s="55">
        <f>_xll.EQNXTDZ($A$1,$B76,K$1,$B$1)</f>
        <v>33.0993298</v>
      </c>
      <c r="L76" s="55">
        <f>_xll.EQNXTDZ($A$1,$B76,L$1,$B$1)</f>
        <v>31.998890599999999</v>
      </c>
      <c r="M76" s="55">
        <f>_xll.EQNXTDZ($A$1,$B76,M$1,$B$1)</f>
        <v>70.597571299999998</v>
      </c>
      <c r="N76" s="55">
        <f>_xll.EQNXTDZ($A$1,$B76,N$1,$B$1)</f>
        <v>107.4044938</v>
      </c>
      <c r="O76" s="55">
        <f>_xll.EQNXTDZ($A$1,$B76,O$1,$B$1)</f>
        <v>56.752040899999997</v>
      </c>
      <c r="P76" s="55">
        <f>_xll.EQNXTDZ($A$1,$B76,P$1,$B$1)</f>
        <v>90.635000000000005</v>
      </c>
      <c r="Q76" s="55">
        <f>_xll.EQNXTDZ($A$1,$B76,Q$1,$B$1)</f>
        <v>112.3770854</v>
      </c>
      <c r="R76" s="55">
        <f>_xll.EQNXTDZ($A$1,$B76,R$1,$B$1)</f>
        <v>78.031317200000004</v>
      </c>
      <c r="S76" s="55">
        <f>_xll.EQNXTDZ($A$1,$B76,S$1,$B$1)</f>
        <v>98.980848499999993</v>
      </c>
      <c r="T76" s="55">
        <f>_xll.EQNXTDZ($A$1,$B76,T$1,$B$1)</f>
        <v>89.097088200000002</v>
      </c>
      <c r="U76" s="55">
        <f>_xll.EQNXTDZ($A$1,$B76,U$1,$B$1)</f>
        <v>163.15217279999999</v>
      </c>
      <c r="V76" s="55">
        <f>_xll.EQNXTDZ($A$1,$B76,V$1,$B$1)</f>
        <v>108.806032</v>
      </c>
      <c r="W76" s="55">
        <f>_xll.EQNXTDZ($A$1,$B76,W$1,$B$1)</f>
        <v>109.938</v>
      </c>
      <c r="X76" s="55">
        <f>_xll.EQNXTDZ($A$1,$B76,X$1,$B$1)</f>
        <v>222.35830000000001</v>
      </c>
      <c r="Y76" s="55">
        <f>_xll.EQNXTDZ($A$1,$B76,Y$1,$B$1)</f>
        <v>302.81389999999999</v>
      </c>
      <c r="Z76" s="55">
        <f>_xll.EQNXTDZ($A$1,$B76,Z$1,$B$1)</f>
        <v>286.89920000000001</v>
      </c>
      <c r="AA76" s="55">
        <f>_xll.EQNXTDZ($A$1,$B76,AA$1,$B$1)</f>
        <v>273.78410000000002</v>
      </c>
      <c r="AB76" s="55">
        <f>_xll.EQNXTDZ($A$1,$B76,AB$1,$B$1)</f>
        <v>215.79570000000001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6.2209969999999997</v>
      </c>
      <c r="D77" s="55">
        <f>_xll.EQNXTDZ($A$1,$B77,D$1,$B$1)</f>
        <v>7.9660397999999999</v>
      </c>
      <c r="E77" s="55">
        <f>_xll.EQNXTDZ($A$1,$B77,E$1,$B$1)</f>
        <v>9.7541963000000003</v>
      </c>
      <c r="F77" s="55">
        <f>_xll.EQNXTDZ($A$1,$B77,F$1,$B$1)</f>
        <v>16.872012999999999</v>
      </c>
      <c r="G77" s="55">
        <f>_xll.EQNXTDZ($A$1,$B77,G$1,$B$1)</f>
        <v>22.247884800000001</v>
      </c>
      <c r="H77" s="55">
        <f>_xll.EQNXTDZ($A$1,$B77,H$1,$B$1)</f>
        <v>28.989991100000001</v>
      </c>
      <c r="I77" s="55">
        <f>_xll.EQNXTDZ($A$1,$B77,I$1,$B$1)</f>
        <v>40.229750099999997</v>
      </c>
      <c r="J77" s="55">
        <f>_xll.EQNXTDZ($A$1,$B77,J$1,$B$1)</f>
        <v>59.432740799999998</v>
      </c>
      <c r="K77" s="55">
        <f>_xll.EQNXTDZ($A$1,$B77,K$1,$B$1)</f>
        <v>58.509526700000002</v>
      </c>
      <c r="L77" s="55">
        <f>_xll.EQNXTDZ($A$1,$B77,L$1,$B$1)</f>
        <v>66.731023699999994</v>
      </c>
      <c r="M77" s="55">
        <f>_xll.EQNXTDZ($A$1,$B77,M$1,$B$1)</f>
        <v>73.749868699999993</v>
      </c>
      <c r="N77" s="55">
        <f>_xll.EQNXTDZ($A$1,$B77,N$1,$B$1)</f>
        <v>82.137056099999995</v>
      </c>
      <c r="O77" s="55">
        <f>_xll.EQNXTDZ($A$1,$B77,O$1,$B$1)</f>
        <v>103.7134616</v>
      </c>
      <c r="P77" s="55">
        <f>_xll.EQNXTDZ($A$1,$B77,P$1,$B$1)</f>
        <v>131.52610000000001</v>
      </c>
      <c r="Q77" s="55">
        <f>_xll.EQNXTDZ($A$1,$B77,Q$1,$B$1)</f>
        <v>119.36597260000001</v>
      </c>
      <c r="R77" s="55">
        <f>_xll.EQNXTDZ($A$1,$B77,R$1,$B$1)</f>
        <v>124.34280320000001</v>
      </c>
      <c r="S77" s="55">
        <f>_xll.EQNXTDZ($A$1,$B77,S$1,$B$1)</f>
        <v>124.2877714</v>
      </c>
      <c r="T77" s="55">
        <f>_xll.EQNXTDZ($A$1,$B77,T$1,$B$1)</f>
        <v>172.6778334</v>
      </c>
      <c r="U77" s="55">
        <f>_xll.EQNXTDZ($A$1,$B77,U$1,$B$1)</f>
        <v>167.2183771</v>
      </c>
      <c r="V77" s="55">
        <f>_xll.EQNXTDZ($A$1,$B77,V$1,$B$1)</f>
        <v>207.43863619999999</v>
      </c>
      <c r="W77" s="55">
        <f>_xll.EQNXTDZ($A$1,$B77,W$1,$B$1)</f>
        <v>305.65820000000002</v>
      </c>
      <c r="X77" s="55">
        <f>_xll.EQNXTDZ($A$1,$B77,X$1,$B$1)</f>
        <v>588.14599999999996</v>
      </c>
      <c r="Y77" s="55">
        <f>_xll.EQNXTDZ($A$1,$B77,Y$1,$B$1)</f>
        <v>377.80369999999999</v>
      </c>
      <c r="Z77" s="55">
        <f>_xll.EQNXTDZ($A$1,$B77,Z$1,$B$1)</f>
        <v>319.39890000000003</v>
      </c>
      <c r="AA77" s="55">
        <f>_xll.EQNXTDZ($A$1,$B77,AA$1,$B$1)</f>
        <v>275.27350000000001</v>
      </c>
      <c r="AB77" s="55">
        <f>_xll.EQNXTDZ($A$1,$B77,AB$1,$B$1)</f>
        <v>296.14060000000001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0.2432831</v>
      </c>
      <c r="D78" s="55">
        <f>_xll.EQNXTDZ($A$1,$B78,D$1,$B$1)</f>
        <v>0.90228629999999999</v>
      </c>
      <c r="E78" s="55">
        <f>_xll.EQNXTDZ($A$1,$B78,E$1,$B$1)</f>
        <v>0.95535309999999996</v>
      </c>
      <c r="F78" s="55">
        <f>_xll.EQNXTDZ($A$1,$B78,F$1,$B$1)</f>
        <v>2.9303042000000001</v>
      </c>
      <c r="G78" s="55">
        <f>_xll.EQNXTDZ($A$1,$B78,G$1,$B$1)</f>
        <v>2.0929612</v>
      </c>
      <c r="H78" s="55">
        <f>_xll.EQNXTDZ($A$1,$B78,H$1,$B$1)</f>
        <v>2.071682</v>
      </c>
      <c r="I78" s="55">
        <f>_xll.EQNXTDZ($A$1,$B78,I$1,$B$1)</f>
        <v>4.3942854000000002</v>
      </c>
      <c r="J78" s="55">
        <f>_xll.EQNXTDZ($A$1,$B78,J$1,$B$1)</f>
        <v>5.5134170999999998</v>
      </c>
      <c r="K78" s="55">
        <f>_xll.EQNXTDZ($A$1,$B78,K$1,$B$1)</f>
        <v>2.3692622000000001</v>
      </c>
      <c r="L78" s="55">
        <f>_xll.EQNXTDZ($A$1,$B78,L$1,$B$1)</f>
        <v>3.6211019000000002</v>
      </c>
      <c r="M78" s="55">
        <f>_xll.EQNXTDZ($A$1,$B78,M$1,$B$1)</f>
        <v>9.0308962000000008</v>
      </c>
      <c r="N78" s="55">
        <f>_xll.EQNXTDZ($A$1,$B78,N$1,$B$1)</f>
        <v>4.4786988000000001</v>
      </c>
      <c r="O78" s="55">
        <f>_xll.EQNXTDZ($A$1,$B78,O$1,$B$1)</f>
        <v>2.6775595999999999</v>
      </c>
      <c r="P78" s="55">
        <f>_xll.EQNXTDZ($A$1,$B78,P$1,$B$1)</f>
        <v>9.7451000000000008</v>
      </c>
      <c r="Q78" s="55">
        <f>_xll.EQNXTDZ($A$1,$B78,Q$1,$B$1)</f>
        <v>6.9966793000000003</v>
      </c>
      <c r="R78" s="55">
        <f>_xll.EQNXTDZ($A$1,$B78,R$1,$B$1)</f>
        <v>8.5682243000000007</v>
      </c>
      <c r="S78" s="55">
        <f>_xll.EQNXTDZ($A$1,$B78,S$1,$B$1)</f>
        <v>3.4901320999999998</v>
      </c>
      <c r="T78" s="55">
        <f>_xll.EQNXTDZ($A$1,$B78,T$1,$B$1)</f>
        <v>24.164261199999999</v>
      </c>
      <c r="U78" s="55">
        <f>_xll.EQNXTDZ($A$1,$B78,U$1,$B$1)</f>
        <v>20.3987953</v>
      </c>
      <c r="V78" s="55">
        <f>_xll.EQNXTDZ($A$1,$B78,V$1,$B$1)</f>
        <v>8.8110917000000004</v>
      </c>
      <c r="W78" s="55">
        <f>_xll.EQNXTDZ($A$1,$B78,W$1,$B$1)</f>
        <v>19.6432</v>
      </c>
      <c r="X78" s="55">
        <f>_xll.EQNXTDZ($A$1,$B78,X$1,$B$1)</f>
        <v>51.559100000000001</v>
      </c>
      <c r="Y78" s="55">
        <f>_xll.EQNXTDZ($A$1,$B78,Y$1,$B$1)</f>
        <v>235.92140000000001</v>
      </c>
      <c r="Z78" s="55">
        <f>_xll.EQNXTDZ($A$1,$B78,Z$1,$B$1)</f>
        <v>339.79250000000002</v>
      </c>
      <c r="AA78" s="55">
        <f>_xll.EQNXTDZ($A$1,$B78,AA$1,$B$1)</f>
        <v>353.53339999999997</v>
      </c>
      <c r="AB78" s="55">
        <f>_xll.EQNXTDZ($A$1,$B78,AB$1,$B$1)</f>
        <v>270.93439999999998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6.9180000000000005E-2</v>
      </c>
      <c r="D79" s="55">
        <f>_xll.EQNXTDZ($A$1,$B79,D$1,$B$1)</f>
        <v>7.0940000000000003E-2</v>
      </c>
      <c r="E79" s="55">
        <f>_xll.EQNXTDZ($A$1,$B79,E$1,$B$1)</f>
        <v>0.19148000000000001</v>
      </c>
      <c r="F79" s="55">
        <f>_xll.EQNXTDZ($A$1,$B79,F$1,$B$1)</f>
        <v>0.28293200000000002</v>
      </c>
      <c r="G79" s="55">
        <f>_xll.EQNXTDZ($A$1,$B79,G$1,$B$1)</f>
        <v>0.29893199999999998</v>
      </c>
      <c r="H79" s="55">
        <f>_xll.EQNXTDZ($A$1,$B79,H$1,$B$1)</f>
        <v>0.30422199999999999</v>
      </c>
      <c r="I79" s="55">
        <f>_xll.EQNXTDZ($A$1,$B79,I$1,$B$1)</f>
        <v>0.311722</v>
      </c>
      <c r="J79" s="55">
        <f>_xll.EQNXTDZ($A$1,$B79,J$1,$B$1)</f>
        <v>0.32462200000000002</v>
      </c>
      <c r="K79" s="55">
        <f>_xll.EQNXTDZ($A$1,$B79,K$1,$B$1)</f>
        <v>0.59109800000000001</v>
      </c>
      <c r="L79" s="55">
        <f>_xll.EQNXTDZ($A$1,$B79,L$1,$B$1)</f>
        <v>0.85870299999999999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3.2336705000000001</v>
      </c>
      <c r="P79" s="55">
        <f>_xll.EQNXTDZ($A$1,$B79,P$1,$B$1)</f>
        <v>9.3300999999999998</v>
      </c>
      <c r="Q79" s="55">
        <f>_xll.EQNXTDZ($A$1,$B79,Q$1,$B$1)</f>
        <v>13.254094500000001</v>
      </c>
      <c r="R79" s="55">
        <f>_xll.EQNXTDZ($A$1,$B79,R$1,$B$1)</f>
        <v>4.1071368000000001</v>
      </c>
      <c r="S79" s="55">
        <f>_xll.EQNXTDZ($A$1,$B79,S$1,$B$1)</f>
        <v>3.5887669999999998</v>
      </c>
      <c r="T79" s="55">
        <f>_xll.EQNXTDZ($A$1,$B79,T$1,$B$1)</f>
        <v>1.4310856000000001</v>
      </c>
      <c r="U79" s="55">
        <f>_xll.EQNXTDZ($A$1,$B79,U$1,$B$1)</f>
        <v>1.9115424000000001</v>
      </c>
      <c r="V79" s="55">
        <f>_xll.EQNXTDZ($A$1,$B79,V$1,$B$1)</f>
        <v>2.9232505</v>
      </c>
      <c r="W79" s="55">
        <f>_xll.EQNXTDZ($A$1,$B79,W$1,$B$1)</f>
        <v>4.1199000000000003</v>
      </c>
      <c r="X79" s="55">
        <f>_xll.EQNXTDZ($A$1,$B79,X$1,$B$1)</f>
        <v>2.9169</v>
      </c>
      <c r="Y79" s="55">
        <f>_xll.EQNXTDZ($A$1,$B79,Y$1,$B$1)</f>
        <v>18.032800000000002</v>
      </c>
      <c r="Z79" s="55">
        <f>_xll.EQNXTDZ($A$1,$B79,Z$1,$B$1)</f>
        <v>27.2562</v>
      </c>
      <c r="AA79" s="55">
        <f>_xll.EQNXTDZ($A$1,$B79,AA$1,$B$1)</f>
        <v>24.206299999999999</v>
      </c>
      <c r="AB79" s="55">
        <f>_xll.EQNXTDZ($A$1,$B79,AB$1,$B$1)</f>
        <v>9.5846999999999998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1.6478668000000001</v>
      </c>
      <c r="D80" s="55">
        <f>_xll.EQNXTDZ($A$1,$B80,D$1,$B$1)</f>
        <v>2.0083429000000002</v>
      </c>
      <c r="E80" s="55">
        <f>_xll.EQNXTDZ($A$1,$B80,E$1,$B$1)</f>
        <v>3.4123728</v>
      </c>
      <c r="F80" s="55">
        <f>_xll.EQNXTDZ($A$1,$B80,F$1,$B$1)</f>
        <v>2.8845592</v>
      </c>
      <c r="G80" s="55">
        <f>_xll.EQNXTDZ($A$1,$B80,G$1,$B$1)</f>
        <v>4.5140241000000003</v>
      </c>
      <c r="H80" s="55">
        <f>_xll.EQNXTDZ($A$1,$B80,H$1,$B$1)</f>
        <v>5.1024640000000003</v>
      </c>
      <c r="I80" s="55">
        <f>_xll.EQNXTDZ($A$1,$B80,I$1,$B$1)</f>
        <v>10.189314100000001</v>
      </c>
      <c r="J80" s="55">
        <f>_xll.EQNXTDZ($A$1,$B80,J$1,$B$1)</f>
        <v>14.7596591</v>
      </c>
      <c r="K80" s="55">
        <f>_xll.EQNXTDZ($A$1,$B80,K$1,$B$1)</f>
        <v>10.9417776</v>
      </c>
      <c r="L80" s="55">
        <f>_xll.EQNXTDZ($A$1,$B80,L$1,$B$1)</f>
        <v>24.281203399999999</v>
      </c>
      <c r="M80" s="55">
        <f>_xll.EQNXTDZ($A$1,$B80,M$1,$B$1)</f>
        <v>31.443040400000001</v>
      </c>
      <c r="N80" s="55">
        <f>_xll.EQNXTDZ($A$1,$B80,N$1,$B$1)</f>
        <v>42.0753348</v>
      </c>
      <c r="O80" s="55">
        <f>_xll.EQNXTDZ($A$1,$B80,O$1,$B$1)</f>
        <v>33.657342700000001</v>
      </c>
      <c r="P80" s="55">
        <f>_xll.EQNXTDZ($A$1,$B80,P$1,$B$1)</f>
        <v>23.2654</v>
      </c>
      <c r="Q80" s="55">
        <f>_xll.EQNXTDZ($A$1,$B80,Q$1,$B$1)</f>
        <v>23.802221200000002</v>
      </c>
      <c r="R80" s="55">
        <f>_xll.EQNXTDZ($A$1,$B80,R$1,$B$1)</f>
        <v>30.2760812</v>
      </c>
      <c r="S80" s="55">
        <f>_xll.EQNXTDZ($A$1,$B80,S$1,$B$1)</f>
        <v>49.197957899999999</v>
      </c>
      <c r="T80" s="55">
        <f>_xll.EQNXTDZ($A$1,$B80,T$1,$B$1)</f>
        <v>67.348450099999994</v>
      </c>
      <c r="U80" s="55">
        <f>_xll.EQNXTDZ($A$1,$B80,U$1,$B$1)</f>
        <v>96.723288600000004</v>
      </c>
      <c r="V80" s="55">
        <f>_xll.EQNXTDZ($A$1,$B80,V$1,$B$1)</f>
        <v>85.129458700000001</v>
      </c>
      <c r="W80" s="55">
        <f>_xll.EQNXTDZ($A$1,$B80,W$1,$B$1)</f>
        <v>137.7243</v>
      </c>
      <c r="X80" s="55">
        <f>_xll.EQNXTDZ($A$1,$B80,X$1,$B$1)</f>
        <v>42.113399999999999</v>
      </c>
      <c r="Y80" s="55">
        <f>_xll.EQNXTDZ($A$1,$B80,Y$1,$B$1)</f>
        <v>25.196200000000001</v>
      </c>
      <c r="Z80" s="55">
        <f>_xll.EQNXTDZ($A$1,$B80,Z$1,$B$1)</f>
        <v>23.634799999999998</v>
      </c>
      <c r="AA80" s="55">
        <f>_xll.EQNXTDZ($A$1,$B80,AA$1,$B$1)</f>
        <v>14.1097</v>
      </c>
      <c r="AB80" s="55">
        <f>_xll.EQNXTDZ($A$1,$B80,AB$1,$B$1)</f>
        <v>11.6439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13.619494299999999</v>
      </c>
      <c r="D82" s="55">
        <f>_xll.EQNXTDZ($A$1,$B82,D$1,$B$1)</f>
        <v>14.611645599999999</v>
      </c>
      <c r="E82" s="55">
        <f>_xll.EQNXTDZ($A$1,$B82,E$1,$B$1)</f>
        <v>19.295349099999999</v>
      </c>
      <c r="F82" s="55">
        <f>_xll.EQNXTDZ($A$1,$B82,F$1,$B$1)</f>
        <v>32.597252500000003</v>
      </c>
      <c r="G82" s="55">
        <f>_xll.EQNXTDZ($A$1,$B82,G$1,$B$1)</f>
        <v>44.841494400000002</v>
      </c>
      <c r="H82" s="55">
        <f>_xll.EQNXTDZ($A$1,$B82,H$1,$B$1)</f>
        <v>59.0178935</v>
      </c>
      <c r="I82" s="55">
        <f>_xll.EQNXTDZ($A$1,$B82,I$1,$B$1)</f>
        <v>87.254390599999994</v>
      </c>
      <c r="J82" s="55">
        <f>_xll.EQNXTDZ($A$1,$B82,J$1,$B$1)</f>
        <v>113.4436463</v>
      </c>
      <c r="K82" s="55">
        <f>_xll.EQNXTDZ($A$1,$B82,K$1,$B$1)</f>
        <v>105.51099429999999</v>
      </c>
      <c r="L82" s="55">
        <f>_xll.EQNXTDZ($A$1,$B82,L$1,$B$1)</f>
        <v>127.4909226</v>
      </c>
      <c r="M82" s="55">
        <f>_xll.EQNXTDZ($A$1,$B82,M$1,$B$1)</f>
        <v>188.66137660000001</v>
      </c>
      <c r="N82" s="55">
        <f>_xll.EQNXTDZ($A$1,$B82,N$1,$B$1)</f>
        <v>239.93558350000001</v>
      </c>
      <c r="O82" s="55">
        <f>_xll.EQNXTDZ($A$1,$B82,O$1,$B$1)</f>
        <v>219.97407530000001</v>
      </c>
      <c r="P82" s="55">
        <f>_xll.EQNXTDZ($A$1,$B82,P$1,$B$1)</f>
        <v>284.44170000000003</v>
      </c>
      <c r="Q82" s="55">
        <f>_xll.EQNXTDZ($A$1,$B82,Q$1,$B$1)</f>
        <v>275.79605299999997</v>
      </c>
      <c r="R82" s="55">
        <f>_xll.EQNXTDZ($A$1,$B82,R$1,$B$1)</f>
        <v>245.32556270000001</v>
      </c>
      <c r="S82" s="55">
        <f>_xll.EQNXTDZ($A$1,$B82,S$1,$B$1)</f>
        <v>279.56047690000003</v>
      </c>
      <c r="T82" s="55">
        <f>_xll.EQNXTDZ($A$1,$B82,T$1,$B$1)</f>
        <v>354.72371850000002</v>
      </c>
      <c r="U82" s="55">
        <f>_xll.EQNXTDZ($A$1,$B82,U$1,$B$1)</f>
        <v>449.40467619999998</v>
      </c>
      <c r="V82" s="55">
        <f>_xll.EQNXTDZ($A$1,$B82,V$1,$B$1)</f>
        <v>460.60946910000001</v>
      </c>
      <c r="W82" s="55">
        <f>_xll.EQNXTDZ($A$1,$B82,W$1,$B$1)</f>
        <v>577.08460000000002</v>
      </c>
      <c r="X82" s="55">
        <f>_xll.EQNXTDZ($A$1,$B82,X$1,$B$1)</f>
        <v>907.09370000000001</v>
      </c>
      <c r="Y82" s="55">
        <f>_xll.EQNXTDZ($A$1,$B82,Y$1,$B$1)</f>
        <v>1032.4213999999999</v>
      </c>
      <c r="Z82" s="55">
        <f>_xll.EQNXTDZ($A$1,$B82,Z$1,$B$1)</f>
        <v>996.98159999999996</v>
      </c>
      <c r="AA82" s="55">
        <f>_xll.EQNXTDZ($A$1,$B82,AA$1,$B$1)</f>
        <v>940.90700000000004</v>
      </c>
      <c r="AB82" s="55">
        <f>_xll.EQNXTDZ($A$1,$B82,AB$1,$B$1)</f>
        <v>804.09929999999997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0.25680249999999999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0.66502819999999996</v>
      </c>
      <c r="J83" s="55">
        <f>_xll.EQNXTDZ($A$1,$B83,J$1,$B$1)</f>
        <v>0.43428939999999999</v>
      </c>
      <c r="K83" s="55">
        <f>_xll.EQNXTDZ($A$1,$B83,K$1,$B$1)</f>
        <v>0.2042505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0.53714220000000001</v>
      </c>
      <c r="U83" s="55">
        <f>_xll.EQNXTDZ($A$1,$B83,U$1,$B$1)</f>
        <v>0.53720219999999996</v>
      </c>
      <c r="V83" s="55">
        <f>_xll.EQNXTDZ($A$1,$B83,V$1,$B$1)</f>
        <v>0.43513780000000002</v>
      </c>
      <c r="W83" s="55">
        <f>_xll.EQNXTDZ($A$1,$B83,W$1,$B$1)</f>
        <v>0.32629999999999998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30.284670299999998</v>
      </c>
      <c r="D84" s="55">
        <f>_xll.EQNXTDZ($A$1,$B84,D$1,$B$1)</f>
        <v>35.650656300000001</v>
      </c>
      <c r="E84" s="55">
        <f>_xll.EQNXTDZ($A$1,$B84,E$1,$B$1)</f>
        <v>50.690232000000002</v>
      </c>
      <c r="F84" s="55">
        <f>_xll.EQNXTDZ($A$1,$B84,F$1,$B$1)</f>
        <v>75.503721299999995</v>
      </c>
      <c r="G84" s="55">
        <f>_xll.EQNXTDZ($A$1,$B84,G$1,$B$1)</f>
        <v>93.269510699999998</v>
      </c>
      <c r="H84" s="55">
        <f>_xll.EQNXTDZ($A$1,$B84,H$1,$B$1)</f>
        <v>115.8612961</v>
      </c>
      <c r="I84" s="55">
        <f>_xll.EQNXTDZ($A$1,$B84,I$1,$B$1)</f>
        <v>148.16254169999999</v>
      </c>
      <c r="J84" s="55">
        <f>_xll.EQNXTDZ($A$1,$B84,J$1,$B$1)</f>
        <v>191.3275356</v>
      </c>
      <c r="K84" s="55">
        <f>_xll.EQNXTDZ($A$1,$B84,K$1,$B$1)</f>
        <v>222.52042969999999</v>
      </c>
      <c r="L84" s="55">
        <f>_xll.EQNXTDZ($A$1,$B84,L$1,$B$1)</f>
        <v>254.2980498</v>
      </c>
      <c r="M84" s="55">
        <f>_xll.EQNXTDZ($A$1,$B84,M$1,$B$1)</f>
        <v>365.29990320000002</v>
      </c>
      <c r="N84" s="55">
        <f>_xll.EQNXTDZ($A$1,$B84,N$1,$B$1)</f>
        <v>465.65795539999999</v>
      </c>
      <c r="O84" s="55">
        <f>_xll.EQNXTDZ($A$1,$B84,O$1,$B$1)</f>
        <v>519.34887289999995</v>
      </c>
      <c r="P84" s="55">
        <f>_xll.EQNXTDZ($A$1,$B84,P$1,$B$1)</f>
        <v>620.23620000000005</v>
      </c>
      <c r="Q84" s="55">
        <f>_xll.EQNXTDZ($A$1,$B84,Q$1,$B$1)</f>
        <v>622.54776260000006</v>
      </c>
      <c r="R84" s="55">
        <f>_xll.EQNXTDZ($A$1,$B84,R$1,$B$1)</f>
        <v>604.73590520000005</v>
      </c>
      <c r="S84" s="55">
        <f>_xll.EQNXTDZ($A$1,$B84,S$1,$B$1)</f>
        <v>635.01503960000002</v>
      </c>
      <c r="T84" s="55">
        <f>_xll.EQNXTDZ($A$1,$B84,T$1,$B$1)</f>
        <v>847.84411060000002</v>
      </c>
      <c r="U84" s="55">
        <f>_xll.EQNXTDZ($A$1,$B84,U$1,$B$1)</f>
        <v>1045.8887159999999</v>
      </c>
      <c r="V84" s="55">
        <f>_xll.EQNXTDZ($A$1,$B84,V$1,$B$1)</f>
        <v>1113.1025018</v>
      </c>
      <c r="W84" s="55">
        <f>_xll.EQNXTDZ($A$1,$B84,W$1,$B$1)</f>
        <v>1310.3293000000001</v>
      </c>
      <c r="X84" s="55">
        <f>_xll.EQNXTDZ($A$1,$B84,X$1,$B$1)</f>
        <v>1745.2607</v>
      </c>
      <c r="Y84" s="55">
        <f>_xll.EQNXTDZ($A$1,$B84,Y$1,$B$1)</f>
        <v>1962.8077000000001</v>
      </c>
      <c r="Z84" s="55">
        <f>_xll.EQNXTDZ($A$1,$B84,Z$1,$B$1)</f>
        <v>2146.1529</v>
      </c>
      <c r="AA84" s="55">
        <f>_xll.EQNXTDZ($A$1,$B84,AA$1,$B$1)</f>
        <v>2252.0590999999999</v>
      </c>
      <c r="AB84" s="55">
        <f>_xll.EQNXTDZ($A$1,$B84,AB$1,$B$1)</f>
        <v>2023.6667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1.9699999999999999E-2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2</v>
      </c>
      <c r="O85" s="55">
        <f>_xll.EQNXTDZ($A$1,$B85,O$1,$B$1)</f>
        <v>3.63</v>
      </c>
      <c r="P85" s="55">
        <f>_xll.EQNXTDZ($A$1,$B85,P$1,$B$1)</f>
        <v>0</v>
      </c>
      <c r="Q85" s="55">
        <f>_xll.EQNXTDZ($A$1,$B85,Q$1,$B$1)</f>
        <v>0.54930000000000001</v>
      </c>
      <c r="R85" s="55">
        <f>_xll.EQNXTDZ($A$1,$B85,R$1,$B$1)</f>
        <v>3.6507000000000001</v>
      </c>
      <c r="S85" s="55">
        <f>_xll.EQNXTDZ($A$1,$B85,S$1,$B$1)</f>
        <v>2.1137999999999999</v>
      </c>
      <c r="T85" s="55">
        <f>_xll.EQNXTDZ($A$1,$B85,T$1,$B$1)</f>
        <v>2.1137999999999999</v>
      </c>
      <c r="U85" s="55">
        <f>_xll.EQNXTDZ($A$1,$B85,U$1,$B$1)</f>
        <v>1.9985999999999999</v>
      </c>
      <c r="V85" s="55">
        <f>_xll.EQNXTDZ($A$1,$B85,V$1,$B$1)</f>
        <v>1.9985999999999999</v>
      </c>
      <c r="W85" s="55">
        <f>_xll.EQNXTDZ($A$1,$B85,W$1,$B$1)</f>
        <v>2.0914000000000001</v>
      </c>
      <c r="X85" s="55">
        <f>_xll.EQNXTDZ($A$1,$B85,X$1,$B$1)</f>
        <v>2.9708999999999999</v>
      </c>
      <c r="Y85" s="55">
        <f>_xll.EQNXTDZ($A$1,$B85,Y$1,$B$1)</f>
        <v>6.1519000000000004</v>
      </c>
      <c r="Z85" s="55">
        <f>_xll.EQNXTDZ($A$1,$B85,Z$1,$B$1)</f>
        <v>9.7848000000000006</v>
      </c>
      <c r="AA85" s="55">
        <f>_xll.EQNXTDZ($A$1,$B85,AA$1,$B$1)</f>
        <v>12.892899999999999</v>
      </c>
      <c r="AB85" s="55">
        <f>_xll.EQNXTDZ($A$1,$B85,AB$1,$B$1)</f>
        <v>12.256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1.1536941999999999</v>
      </c>
      <c r="G86" s="55">
        <f>_xll.EQNXTDZ($A$1,$B86,G$1,$B$1)</f>
        <v>1.1536941999999999</v>
      </c>
      <c r="H86" s="55">
        <f>_xll.EQNXTDZ($A$1,$B86,H$1,$B$1)</f>
        <v>0.92295539999999998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17.111799999999999</v>
      </c>
      <c r="N88" s="55">
        <f>_xll.EQNXTDZ($A$1,$B88,N$1,$B$1)</f>
        <v>18.611799999999999</v>
      </c>
      <c r="O88" s="55">
        <f>_xll.EQNXTDZ($A$1,$B88,O$1,$B$1)</f>
        <v>30.765201000000001</v>
      </c>
      <c r="P88" s="55">
        <f>_xll.EQNXTDZ($A$1,$B88,P$1,$B$1)</f>
        <v>33.232599999999998</v>
      </c>
      <c r="Q88" s="55">
        <f>_xll.EQNXTDZ($A$1,$B88,Q$1,$B$1)</f>
        <v>32.5910571</v>
      </c>
      <c r="R88" s="55">
        <f>_xll.EQNXTDZ($A$1,$B88,R$1,$B$1)</f>
        <v>10.270019</v>
      </c>
      <c r="S88" s="55">
        <f>_xll.EQNXTDZ($A$1,$B88,S$1,$B$1)</f>
        <v>8.0469332999999992</v>
      </c>
      <c r="T88" s="55">
        <f>_xll.EQNXTDZ($A$1,$B88,T$1,$B$1)</f>
        <v>7.2135999999999996</v>
      </c>
      <c r="U88" s="55">
        <f>_xll.EQNXTDZ($A$1,$B88,U$1,$B$1)</f>
        <v>36.665832899999998</v>
      </c>
      <c r="V88" s="55">
        <f>_xll.EQNXTDZ($A$1,$B88,V$1,$B$1)</f>
        <v>18.181060599999999</v>
      </c>
      <c r="W88" s="55">
        <f>_xll.EQNXTDZ($A$1,$B88,W$1,$B$1)</f>
        <v>27.271799999999999</v>
      </c>
      <c r="X88" s="55">
        <f>_xll.EQNXTDZ($A$1,$B88,X$1,$B$1)</f>
        <v>27.271799999999999</v>
      </c>
      <c r="Y88" s="55">
        <f>_xll.EQNXTDZ($A$1,$B88,Y$1,$B$1)</f>
        <v>27.271799999999999</v>
      </c>
      <c r="Z88" s="55">
        <f>_xll.EQNXTDZ($A$1,$B88,Z$1,$B$1)</f>
        <v>9.0908999999999995</v>
      </c>
      <c r="AA88" s="55">
        <f>_xll.EQNXTDZ($A$1,$B88,AA$1,$B$1)</f>
        <v>9.0908999999999995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14.8646382</v>
      </c>
      <c r="S89" s="55">
        <f>_xll.EQNXTDZ($A$1,$B89,S$1,$B$1)</f>
        <v>13.855</v>
      </c>
      <c r="T89" s="55">
        <f>_xll.EQNXTDZ($A$1,$B89,T$1,$B$1)</f>
        <v>2.4637492000000001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8.9999999999999998E-4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1.1536941999999999</v>
      </c>
      <c r="G91" s="55">
        <f>_xll.EQNXTDZ($A$1,$B91,G$1,$B$1)</f>
        <v>1.1536941999999999</v>
      </c>
      <c r="H91" s="55">
        <f>_xll.EQNXTDZ($A$1,$B91,H$1,$B$1)</f>
        <v>0.92295539999999998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1.9699999999999999E-2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2</v>
      </c>
      <c r="O93" s="55">
        <f>_xll.EQNXTDZ($A$1,$B93,O$1,$B$1)</f>
        <v>3.63</v>
      </c>
      <c r="P93" s="55">
        <f>_xll.EQNXTDZ($A$1,$B93,P$1,$B$1)</f>
        <v>0</v>
      </c>
      <c r="Q93" s="55">
        <f>_xll.EQNXTDZ($A$1,$B93,Q$1,$B$1)</f>
        <v>0.54930000000000001</v>
      </c>
      <c r="R93" s="55">
        <f>_xll.EQNXTDZ($A$1,$B93,R$1,$B$1)</f>
        <v>3.6507000000000001</v>
      </c>
      <c r="S93" s="55">
        <f>_xll.EQNXTDZ($A$1,$B93,S$1,$B$1)</f>
        <v>2.1137999999999999</v>
      </c>
      <c r="T93" s="55">
        <f>_xll.EQNXTDZ($A$1,$B93,T$1,$B$1)</f>
        <v>2.1137999999999999</v>
      </c>
      <c r="U93" s="55">
        <f>_xll.EQNXTDZ($A$1,$B93,U$1,$B$1)</f>
        <v>1.9985999999999999</v>
      </c>
      <c r="V93" s="55">
        <f>_xll.EQNXTDZ($A$1,$B93,V$1,$B$1)</f>
        <v>1.9985999999999999</v>
      </c>
      <c r="W93" s="55">
        <f>_xll.EQNXTDZ($A$1,$B93,W$1,$B$1)</f>
        <v>2.0914000000000001</v>
      </c>
      <c r="X93" s="55">
        <f>_xll.EQNXTDZ($A$1,$B93,X$1,$B$1)</f>
        <v>2.9708999999999999</v>
      </c>
      <c r="Y93" s="55">
        <f>_xll.EQNXTDZ($A$1,$B93,Y$1,$B$1)</f>
        <v>6.1519000000000004</v>
      </c>
      <c r="Z93" s="55">
        <f>_xll.EQNXTDZ($A$1,$B93,Z$1,$B$1)</f>
        <v>9.7848000000000006</v>
      </c>
      <c r="AA93" s="55">
        <f>_xll.EQNXTDZ($A$1,$B93,AA$1,$B$1)</f>
        <v>12.892899999999999</v>
      </c>
      <c r="AB93" s="55">
        <f>_xll.EQNXTDZ($A$1,$B93,AB$1,$B$1)</f>
        <v>12.256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2.9838</v>
      </c>
      <c r="D104" s="55">
        <f>_xll.EQNXTDZ($A$1,$B104,D$1,$B$1)</f>
        <v>2.9838</v>
      </c>
      <c r="E104" s="55">
        <f>_xll.EQNXTDZ($A$1,$B104,E$1,$B$1)</f>
        <v>2.9866999999999999</v>
      </c>
      <c r="F104" s="55">
        <f>_xll.EQNXTDZ($A$1,$B104,F$1,$B$1)</f>
        <v>3.0001000000000002</v>
      </c>
      <c r="G104" s="55">
        <f>_xll.EQNXTDZ($A$1,$B104,G$1,$B$1)</f>
        <v>3.0001000000000002</v>
      </c>
      <c r="H104" s="55">
        <f>_xll.EQNXTDZ($A$1,$B104,H$1,$B$1)</f>
        <v>3.0001000000000002</v>
      </c>
      <c r="I104" s="55">
        <f>_xll.EQNXTDZ($A$1,$B104,I$1,$B$1)</f>
        <v>6.4802</v>
      </c>
      <c r="J104" s="55">
        <f>_xll.EQNXTDZ($A$1,$B104,J$1,$B$1)</f>
        <v>6.4802</v>
      </c>
      <c r="K104" s="55">
        <f>_xll.EQNXTDZ($A$1,$B104,K$1,$B$1)</f>
        <v>6.4802</v>
      </c>
      <c r="L104" s="55">
        <f>_xll.EQNXTDZ($A$1,$B104,L$1,$B$1)</f>
        <v>6.4802</v>
      </c>
      <c r="M104" s="55">
        <f>_xll.EQNXTDZ($A$1,$B104,M$1,$B$1)</f>
        <v>6.4802</v>
      </c>
      <c r="N104" s="55">
        <f>_xll.EQNXTDZ($A$1,$B104,N$1,$B$1)</f>
        <v>6.4802</v>
      </c>
      <c r="O104" s="55">
        <f>_xll.EQNXTDZ($A$1,$B104,O$1,$B$1)</f>
        <v>6.4802</v>
      </c>
      <c r="P104" s="55">
        <f>_xll.EQNXTDZ($A$1,$B104,P$1,$B$1)</f>
        <v>6.4802</v>
      </c>
      <c r="Q104" s="55">
        <f>_xll.EQNXTDZ($A$1,$B104,Q$1,$B$1)</f>
        <v>6.4802</v>
      </c>
      <c r="R104" s="55">
        <f>_xll.EQNXTDZ($A$1,$B104,R$1,$B$1)</f>
        <v>6.4802</v>
      </c>
      <c r="S104" s="55">
        <f>_xll.EQNXTDZ($A$1,$B104,S$1,$B$1)</f>
        <v>6.4802</v>
      </c>
      <c r="T104" s="55">
        <f>_xll.EQNXTDZ($A$1,$B104,T$1,$B$1)</f>
        <v>6.4802</v>
      </c>
      <c r="U104" s="55">
        <f>_xll.EQNXTDZ($A$1,$B104,U$1,$B$1)</f>
        <v>6.4802</v>
      </c>
      <c r="V104" s="55">
        <f>_xll.EQNXTDZ($A$1,$B104,V$1,$B$1)</f>
        <v>6.4802</v>
      </c>
      <c r="W104" s="55">
        <f>_xll.EQNXTDZ($A$1,$B104,W$1,$B$1)</f>
        <v>6.4802</v>
      </c>
      <c r="X104" s="55">
        <f>_xll.EQNXTDZ($A$1,$B104,X$1,$B$1)</f>
        <v>6.4802</v>
      </c>
      <c r="Y104" s="55">
        <f>_xll.EQNXTDZ($A$1,$B104,Y$1,$B$1)</f>
        <v>6.4802</v>
      </c>
      <c r="Z104" s="55">
        <f>_xll.EQNXTDZ($A$1,$B104,Z$1,$B$1)</f>
        <v>6.4802</v>
      </c>
      <c r="AA104" s="55">
        <f>_xll.EQNXTDZ($A$1,$B104,AA$1,$B$1)</f>
        <v>6.4802</v>
      </c>
      <c r="AB104" s="55">
        <f>_xll.EQNXTDZ($A$1,$B104,AB$1,$B$1)</f>
        <v>6.4802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2.8</v>
      </c>
      <c r="F106" s="55">
        <f>_xll.EQNXTDZ($A$1,$B106,F$1,$B$1)</f>
        <v>11.67</v>
      </c>
      <c r="G106" s="55">
        <f>_xll.EQNXTDZ($A$1,$B106,G$1,$B$1)</f>
        <v>33.024999999999999</v>
      </c>
      <c r="H106" s="55">
        <f>_xll.EQNXTDZ($A$1,$B106,H$1,$B$1)</f>
        <v>21.71</v>
      </c>
      <c r="I106" s="55">
        <f>_xll.EQNXTDZ($A$1,$B106,I$1,$B$1)</f>
        <v>26.22</v>
      </c>
      <c r="J106" s="55">
        <f>_xll.EQNXTDZ($A$1,$B106,J$1,$B$1)</f>
        <v>22</v>
      </c>
      <c r="K106" s="55">
        <f>_xll.EQNXTDZ($A$1,$B106,K$1,$B$1)</f>
        <v>11.82</v>
      </c>
      <c r="L106" s="55">
        <f>_xll.EQNXTDZ($A$1,$B106,L$1,$B$1)</f>
        <v>30.47</v>
      </c>
      <c r="M106" s="55">
        <f>_xll.EQNXTDZ($A$1,$B106,M$1,$B$1)</f>
        <v>44.45</v>
      </c>
      <c r="N106" s="55">
        <f>_xll.EQNXTDZ($A$1,$B106,N$1,$B$1)</f>
        <v>36.950000000000003</v>
      </c>
      <c r="O106" s="55">
        <f>_xll.EQNXTDZ($A$1,$B106,O$1,$B$1)</f>
        <v>35.200000000000003</v>
      </c>
      <c r="P106" s="55">
        <f>_xll.EQNXTDZ($A$1,$B106,P$1,$B$1)</f>
        <v>39.950000000000003</v>
      </c>
      <c r="Q106" s="55">
        <f>_xll.EQNXTDZ($A$1,$B106,Q$1,$B$1)</f>
        <v>81.05</v>
      </c>
      <c r="R106" s="55">
        <f>_xll.EQNXTDZ($A$1,$B106,R$1,$B$1)</f>
        <v>178.5</v>
      </c>
      <c r="S106" s="55">
        <f>_xll.EQNXTDZ($A$1,$B106,S$1,$B$1)</f>
        <v>379.6</v>
      </c>
      <c r="T106" s="55">
        <f>_xll.EQNXTDZ($A$1,$B106,T$1,$B$1)</f>
        <v>562.75</v>
      </c>
      <c r="U106" s="55">
        <f>_xll.EQNXTDZ($A$1,$B106,U$1,$B$1)</f>
        <v>489.1</v>
      </c>
      <c r="V106" s="55">
        <f>_xll.EQNXTDZ($A$1,$B106,V$1,$B$1)</f>
        <v>250.95</v>
      </c>
      <c r="W106" s="55">
        <f>_xll.EQNXTDZ($A$1,$B106,W$1,$B$1)</f>
        <v>1762.85</v>
      </c>
      <c r="X106" s="55">
        <f>_xll.EQNXTDZ($A$1,$B106,X$1,$B$1)</f>
        <v>2902.15</v>
      </c>
      <c r="Y106" s="55">
        <f>_xll.EQNXTDZ($A$1,$B106,Y$1,$B$1)</f>
        <v>1942.65</v>
      </c>
      <c r="Z106" s="55">
        <f>_xll.EQNXTDZ($A$1,$B106,Z$1,$B$1)</f>
        <v>2043.9</v>
      </c>
      <c r="AA106" s="55">
        <f>_xll.EQNXTDZ($A$1,$B106,AA$1,$B$1)</f>
        <v>1207.25</v>
      </c>
      <c r="AB106" s="55">
        <f>_xll.EQNXTDZ($A$1,$B106,AB$1,$B$1)</f>
        <v>977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4.9749999999999996</v>
      </c>
      <c r="F107" s="55">
        <f>_xll.EQNXTDZ($A$1,$B107,F$1,$B$1)</f>
        <v>15.49</v>
      </c>
      <c r="G107" s="55">
        <f>_xll.EQNXTDZ($A$1,$B107,G$1,$B$1)</f>
        <v>39.1</v>
      </c>
      <c r="H107" s="55">
        <f>_xll.EQNXTDZ($A$1,$B107,H$1,$B$1)</f>
        <v>52.49</v>
      </c>
      <c r="I107" s="55">
        <f>_xll.EQNXTDZ($A$1,$B107,I$1,$B$1)</f>
        <v>42.5</v>
      </c>
      <c r="J107" s="55">
        <f>_xll.EQNXTDZ($A$1,$B107,J$1,$B$1)</f>
        <v>47.4</v>
      </c>
      <c r="K107" s="55">
        <f>_xll.EQNXTDZ($A$1,$B107,K$1,$B$1)</f>
        <v>27.4</v>
      </c>
      <c r="L107" s="55">
        <f>_xll.EQNXTDZ($A$1,$B107,L$1,$B$1)</f>
        <v>39</v>
      </c>
      <c r="M107" s="55">
        <f>_xll.EQNXTDZ($A$1,$B107,M$1,$B$1)</f>
        <v>57.6</v>
      </c>
      <c r="N107" s="55">
        <f>_xll.EQNXTDZ($A$1,$B107,N$1,$B$1)</f>
        <v>54.65</v>
      </c>
      <c r="O107" s="55">
        <f>_xll.EQNXTDZ($A$1,$B107,O$1,$B$1)</f>
        <v>66.7</v>
      </c>
      <c r="P107" s="55">
        <f>_xll.EQNXTDZ($A$1,$B107,P$1,$B$1)</f>
        <v>54.8</v>
      </c>
      <c r="Q107" s="55">
        <f>_xll.EQNXTDZ($A$1,$B107,Q$1,$B$1)</f>
        <v>99</v>
      </c>
      <c r="R107" s="55">
        <f>_xll.EQNXTDZ($A$1,$B107,R$1,$B$1)</f>
        <v>184.9</v>
      </c>
      <c r="S107" s="55">
        <f>_xll.EQNXTDZ($A$1,$B107,S$1,$B$1)</f>
        <v>400</v>
      </c>
      <c r="T107" s="55">
        <f>_xll.EQNXTDZ($A$1,$B107,T$1,$B$1)</f>
        <v>781</v>
      </c>
      <c r="U107" s="55">
        <f>_xll.EQNXTDZ($A$1,$B107,U$1,$B$1)</f>
        <v>727.05</v>
      </c>
      <c r="V107" s="55">
        <f>_xll.EQNXTDZ($A$1,$B107,V$1,$B$1)</f>
        <v>539</v>
      </c>
      <c r="W107" s="55">
        <f>_xll.EQNXTDZ($A$1,$B107,W$1,$B$1)</f>
        <v>1905.7</v>
      </c>
      <c r="X107" s="55">
        <f>_xll.EQNXTDZ($A$1,$B107,X$1,$B$1)</f>
        <v>5220</v>
      </c>
      <c r="Y107" s="55">
        <f>_xll.EQNXTDZ($A$1,$B107,Y$1,$B$1)</f>
        <v>3841.85</v>
      </c>
      <c r="Z107" s="55">
        <f>_xll.EQNXTDZ($A$1,$B107,Z$1,$B$1)</f>
        <v>2736.35</v>
      </c>
      <c r="AA107" s="55">
        <f>_xll.EQNXTDZ($A$1,$B107,AA$1,$B$1)</f>
        <v>2550.15</v>
      </c>
      <c r="AB107" s="55">
        <f>_xll.EQNXTDZ($A$1,$B107,AB$1,$B$1)</f>
        <v>1946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1.8</v>
      </c>
      <c r="F108" s="55">
        <f>_xll.EQNXTDZ($A$1,$B108,F$1,$B$1)</f>
        <v>2.41</v>
      </c>
      <c r="G108" s="55">
        <f>_xll.EQNXTDZ($A$1,$B108,G$1,$B$1)</f>
        <v>8</v>
      </c>
      <c r="H108" s="55">
        <f>_xll.EQNXTDZ($A$1,$B108,H$1,$B$1)</f>
        <v>17</v>
      </c>
      <c r="I108" s="55">
        <f>_xll.EQNXTDZ($A$1,$B108,I$1,$B$1)</f>
        <v>15.5</v>
      </c>
      <c r="J108" s="55">
        <f>_xll.EQNXTDZ($A$1,$B108,J$1,$B$1)</f>
        <v>18.3</v>
      </c>
      <c r="K108" s="55">
        <f>_xll.EQNXTDZ($A$1,$B108,K$1,$B$1)</f>
        <v>10.199999999999999</v>
      </c>
      <c r="L108" s="55">
        <f>_xll.EQNXTDZ($A$1,$B108,L$1,$B$1)</f>
        <v>12.2</v>
      </c>
      <c r="M108" s="55">
        <f>_xll.EQNXTDZ($A$1,$B108,M$1,$B$1)</f>
        <v>27.44</v>
      </c>
      <c r="N108" s="55">
        <f>_xll.EQNXTDZ($A$1,$B108,N$1,$B$1)</f>
        <v>31.05</v>
      </c>
      <c r="O108" s="55">
        <f>_xll.EQNXTDZ($A$1,$B108,O$1,$B$1)</f>
        <v>34.85</v>
      </c>
      <c r="P108" s="55">
        <f>_xll.EQNXTDZ($A$1,$B108,P$1,$B$1)</f>
        <v>28.4</v>
      </c>
      <c r="Q108" s="55">
        <f>_xll.EQNXTDZ($A$1,$B108,Q$1,$B$1)</f>
        <v>39.5</v>
      </c>
      <c r="R108" s="55">
        <f>_xll.EQNXTDZ($A$1,$B108,R$1,$B$1)</f>
        <v>80.75</v>
      </c>
      <c r="S108" s="55">
        <f>_xll.EQNXTDZ($A$1,$B108,S$1,$B$1)</f>
        <v>173.1</v>
      </c>
      <c r="T108" s="55">
        <f>_xll.EQNXTDZ($A$1,$B108,T$1,$B$1)</f>
        <v>271.10000000000002</v>
      </c>
      <c r="U108" s="55">
        <f>_xll.EQNXTDZ($A$1,$B108,U$1,$B$1)</f>
        <v>368.5</v>
      </c>
      <c r="V108" s="55">
        <f>_xll.EQNXTDZ($A$1,$B108,V$1,$B$1)</f>
        <v>204.1</v>
      </c>
      <c r="W108" s="55">
        <f>_xll.EQNXTDZ($A$1,$B108,W$1,$B$1)</f>
        <v>241.5</v>
      </c>
      <c r="X108" s="55">
        <f>_xll.EQNXTDZ($A$1,$B108,X$1,$B$1)</f>
        <v>1723.95</v>
      </c>
      <c r="Y108" s="55">
        <f>_xll.EQNXTDZ($A$1,$B108,Y$1,$B$1)</f>
        <v>1925.05</v>
      </c>
      <c r="Z108" s="55">
        <f>_xll.EQNXTDZ($A$1,$B108,Z$1,$B$1)</f>
        <v>1872.9</v>
      </c>
      <c r="AA108" s="55">
        <f>_xll.EQNXTDZ($A$1,$B108,AA$1,$B$1)</f>
        <v>1170.75</v>
      </c>
      <c r="AB108" s="55">
        <f>_xll.EQNXTDZ($A$1,$B108,AB$1,$B$1)</f>
        <v>905.15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8.3627599999999997</v>
      </c>
      <c r="F109" s="55">
        <f>_xll.EQNXTDZ($A$1,$B109,F$1,$B$1)</f>
        <v>35.011167</v>
      </c>
      <c r="G109" s="55">
        <f>_xll.EQNXTDZ($A$1,$B109,G$1,$B$1)</f>
        <v>99.078302500000007</v>
      </c>
      <c r="H109" s="55">
        <f>_xll.EQNXTDZ($A$1,$B109,H$1,$B$1)</f>
        <v>65.132171</v>
      </c>
      <c r="I109" s="55">
        <f>_xll.EQNXTDZ($A$1,$B109,I$1,$B$1)</f>
        <v>84.955421999999999</v>
      </c>
      <c r="J109" s="55">
        <f>_xll.EQNXTDZ($A$1,$B109,J$1,$B$1)</f>
        <v>71.282200000000003</v>
      </c>
      <c r="K109" s="55">
        <f>_xll.EQNXTDZ($A$1,$B109,K$1,$B$1)</f>
        <v>38.297981999999998</v>
      </c>
      <c r="L109" s="55">
        <f>_xll.EQNXTDZ($A$1,$B109,L$1,$B$1)</f>
        <v>98.725847000000002</v>
      </c>
      <c r="M109" s="55">
        <f>_xll.EQNXTDZ($A$1,$B109,M$1,$B$1)</f>
        <v>144.022445</v>
      </c>
      <c r="N109" s="55">
        <f>_xll.EQNXTDZ($A$1,$B109,N$1,$B$1)</f>
        <v>119.721695</v>
      </c>
      <c r="O109" s="55">
        <f>_xll.EQNXTDZ($A$1,$B109,O$1,$B$1)</f>
        <v>114.05152</v>
      </c>
      <c r="P109" s="55">
        <f>_xll.EQNXTDZ($A$1,$B109,P$1,$B$1)</f>
        <v>129.44199499999999</v>
      </c>
      <c r="Q109" s="55">
        <f>_xll.EQNXTDZ($A$1,$B109,Q$1,$B$1)</f>
        <v>262.61010499999998</v>
      </c>
      <c r="R109" s="55">
        <f>_xll.EQNXTDZ($A$1,$B109,R$1,$B$1)</f>
        <v>578.35784999999998</v>
      </c>
      <c r="S109" s="55">
        <f>_xll.EQNXTDZ($A$1,$B109,S$1,$B$1)</f>
        <v>1229.9419600000001</v>
      </c>
      <c r="T109" s="55">
        <f>_xll.EQNXTDZ($A$1,$B109,T$1,$B$1)</f>
        <v>1823.3662750000001</v>
      </c>
      <c r="U109" s="55">
        <f>_xll.EQNXTDZ($A$1,$B109,U$1,$B$1)</f>
        <v>1584.7329099999999</v>
      </c>
      <c r="V109" s="55">
        <f>_xll.EQNXTDZ($A$1,$B109,V$1,$B$1)</f>
        <v>813.10309500000005</v>
      </c>
      <c r="W109" s="55">
        <f>_xll.EQNXTDZ($A$1,$B109,W$1,$B$1)</f>
        <v>5711.8102849999996</v>
      </c>
      <c r="X109" s="55">
        <f>_xll.EQNXTDZ($A$1,$B109,X$1,$B$1)</f>
        <v>9403.2562149999994</v>
      </c>
      <c r="Y109" s="55">
        <f>_xll.EQNXTDZ($A$1,$B109,Y$1,$B$1)</f>
        <v>6294.3802649999998</v>
      </c>
      <c r="Z109" s="55">
        <f>_xll.EQNXTDZ($A$1,$B109,Z$1,$B$1)</f>
        <v>6622.4403899999998</v>
      </c>
      <c r="AA109" s="55">
        <f>_xll.EQNXTDZ($A$1,$B109,AA$1,$B$1)</f>
        <v>3911.610725</v>
      </c>
      <c r="AB109" s="55">
        <f>_xll.EQNXTDZ($A$1,$B109,AB$1,$B$1)</f>
        <v>3165.5776999999998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</v>
      </c>
      <c r="D110" s="55">
        <f>_xll.EQNXTDZ($A$1,$B110,D$1,$B$1)</f>
        <v>0.2</v>
      </c>
      <c r="E110" s="55">
        <f>_xll.EQNXTDZ($A$1,$B110,E$1,$B$1)</f>
        <v>0.25</v>
      </c>
      <c r="F110" s="55">
        <f>_xll.EQNXTDZ($A$1,$B110,F$1,$B$1)</f>
        <v>0.3</v>
      </c>
      <c r="G110" s="55">
        <f>_xll.EQNXTDZ($A$1,$B110,G$1,$B$1)</f>
        <v>0.3</v>
      </c>
      <c r="H110" s="55">
        <f>_xll.EQNXTDZ($A$1,$B110,H$1,$B$1)</f>
        <v>0.5</v>
      </c>
      <c r="I110" s="55">
        <f>_xll.EQNXTDZ($A$1,$B110,I$1,$B$1)</f>
        <v>0.3</v>
      </c>
      <c r="J110" s="55">
        <f>_xll.EQNXTDZ($A$1,$B110,J$1,$B$1)</f>
        <v>0.3</v>
      </c>
      <c r="K110" s="55">
        <f>_xll.EQNXTDZ($A$1,$B110,K$1,$B$1)</f>
        <v>0.4</v>
      </c>
      <c r="L110" s="55">
        <f>_xll.EQNXTDZ($A$1,$B110,L$1,$B$1)</f>
        <v>0.5</v>
      </c>
      <c r="M110" s="55">
        <f>_xll.EQNXTDZ($A$1,$B110,M$1,$B$1)</f>
        <v>0.6</v>
      </c>
      <c r="N110" s="55">
        <f>_xll.EQNXTDZ($A$1,$B110,N$1,$B$1)</f>
        <v>0.8</v>
      </c>
      <c r="O110" s="55">
        <f>_xll.EQNXTDZ($A$1,$B110,O$1,$B$1)</f>
        <v>1.3</v>
      </c>
      <c r="P110" s="55">
        <f>_xll.EQNXTDZ($A$1,$B110,P$1,$B$1)</f>
        <v>1</v>
      </c>
      <c r="Q110" s="55">
        <f>_xll.EQNXTDZ($A$1,$B110,Q$1,$B$1)</f>
        <v>1.2</v>
      </c>
      <c r="R110" s="55">
        <f>_xll.EQNXTDZ($A$1,$B110,R$1,$B$1)</f>
        <v>2</v>
      </c>
      <c r="S110" s="55">
        <f>_xll.EQNXTDZ($A$1,$B110,S$1,$B$1)</f>
        <v>2.2000000000000002</v>
      </c>
      <c r="T110" s="55">
        <f>_xll.EQNXTDZ($A$1,$B110,T$1,$B$1)</f>
        <v>2.6</v>
      </c>
      <c r="U110" s="55">
        <f>_xll.EQNXTDZ($A$1,$B110,U$1,$B$1)</f>
        <v>2.8</v>
      </c>
      <c r="V110" s="55">
        <f>_xll.EQNXTDZ($A$1,$B110,V$1,$B$1)</f>
        <v>3.2</v>
      </c>
      <c r="W110" s="55">
        <f>_xll.EQNXTDZ($A$1,$B110,W$1,$B$1)</f>
        <v>4</v>
      </c>
      <c r="X110" s="55">
        <f>_xll.EQNXTDZ($A$1,$B110,X$1,$B$1)</f>
        <v>6</v>
      </c>
      <c r="Y110" s="55">
        <f>_xll.EQNXTDZ($A$1,$B110,Y$1,$B$1)</f>
        <v>10</v>
      </c>
      <c r="Z110" s="55">
        <f>_xll.EQNXTDZ($A$1,$B110,Z$1,$B$1)</f>
        <v>11</v>
      </c>
      <c r="AA110" s="55">
        <f>_xll.EQNXTDZ($A$1,$B110,AA$1,$B$1)</f>
        <v>11</v>
      </c>
      <c r="AB110" s="55">
        <f>_xll.EQNXTDZ($A$1,$B110,AB$1,$B$1)</f>
        <v>11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44.44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42.72</v>
      </c>
      <c r="G112" s="56">
        <f>_xll.EQNXTDZ($A$1,$B112,G$5)</f>
        <v>49.75</v>
      </c>
      <c r="H112" s="56">
        <f>_xll.EQNXTDZ($A$1,$B112,H$5)</f>
        <v>50.5</v>
      </c>
      <c r="I112" s="56">
        <f>_xll.EQNXTDZ($A$1,$B112,I$5)</f>
        <v>53.03</v>
      </c>
      <c r="J112" s="56">
        <f>_xll.EQNXTDZ($A$1,$B112,J$5)</f>
        <v>53.91</v>
      </c>
      <c r="K112" s="56">
        <f>_xll.EQNXTDZ($A$1,$B112,K$5)</f>
        <v>55.27</v>
      </c>
      <c r="L112" s="56">
        <f>_xll.EQNXTDZ($A$1,$B112,L$5)</f>
        <v>54.64</v>
      </c>
      <c r="M112" s="56">
        <f>_xll.EQNXTDZ($A$1,$B112,M$5)</f>
        <v>53.88</v>
      </c>
      <c r="N112" s="56">
        <f>_xll.EQNXTDZ($A$1,$B112,N$5)</f>
        <v>53.67</v>
      </c>
      <c r="O112" s="56">
        <f>_xll.EQNXTDZ($A$1,$B112,O$5)</f>
        <v>53.93</v>
      </c>
      <c r="P112" s="56">
        <f>_xll.EQNXTDZ($A$1,$B112,P$5)</f>
        <v>54.34</v>
      </c>
      <c r="Q112" s="56">
        <f>_xll.EQNXTDZ($A$1,$B112,Q$5)</f>
        <v>54.39</v>
      </c>
      <c r="R112" s="56">
        <f>_xll.EQNXTDZ($A$1,$B112,R$5)</f>
        <v>54.42</v>
      </c>
      <c r="S112" s="56">
        <f>_xll.EQNXTDZ($A$1,$B112,S$5)</f>
        <v>54.46</v>
      </c>
      <c r="T112" s="56">
        <f>_xll.EQNXTDZ($A$1,$B112,T$5)</f>
        <v>54.55</v>
      </c>
      <c r="U112" s="56">
        <f>_xll.EQNXTDZ($A$1,$B112,U$5)</f>
        <v>53.38</v>
      </c>
      <c r="V112" s="56">
        <f>_xll.EQNXTDZ($A$1,$B112,V$5)</f>
        <v>53.67</v>
      </c>
      <c r="W112" s="56">
        <f>_xll.EQNXTDZ($A$1,$B112,W$5)</f>
        <v>53.7</v>
      </c>
      <c r="X112" s="56">
        <f>_xll.EQNXTDZ($A$1,$B112,X$5)</f>
        <v>53.7</v>
      </c>
      <c r="Y112" s="56">
        <f>_xll.EQNXTDZ($A$1,$B112,Y$5)</f>
        <v>53.7</v>
      </c>
      <c r="Z112" s="56">
        <f>_xll.EQNXTDZ($A$1,$B112,Z$5)</f>
        <v>53.7</v>
      </c>
      <c r="AA112" s="56">
        <f>_xll.EQNXTDZ($A$1,$B112,AA$5)</f>
        <v>54.62</v>
      </c>
      <c r="AB112" s="56">
        <f>_xll.EQNXTDZ($A$1,$B112,AB$5)</f>
        <v>54.59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35.92</v>
      </c>
      <c r="L113" s="56">
        <f>_xll.EQNXTDZ($A$1,$B113,L$5)</f>
        <v>36.33</v>
      </c>
      <c r="M113" s="56">
        <f>_xll.EQNXTDZ($A$1,$B113,M$5)</f>
        <v>38.56</v>
      </c>
      <c r="N113" s="56">
        <f>_xll.EQNXTDZ($A$1,$B113,N$5)</f>
        <v>38.71</v>
      </c>
      <c r="O113" s="56">
        <f>_xll.EQNXTDZ($A$1,$B113,O$5)</f>
        <v>38.53</v>
      </c>
      <c r="P113" s="56">
        <f>_xll.EQNXTDZ($A$1,$B113,P$5)</f>
        <v>38.24</v>
      </c>
      <c r="Q113" s="56">
        <f>_xll.EQNXTDZ($A$1,$B113,Q$5)</f>
        <v>38.200000000000003</v>
      </c>
      <c r="R113" s="56">
        <f>_xll.EQNXTDZ($A$1,$B113,R$5)</f>
        <v>25.8</v>
      </c>
      <c r="S113" s="56">
        <f>_xll.EQNXTDZ($A$1,$B113,S$5)</f>
        <v>1.93</v>
      </c>
      <c r="T113" s="56">
        <f>_xll.EQNXTDZ($A$1,$B113,T$5)</f>
        <v>1.92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17.670000000000002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130999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36.5</v>
      </c>
      <c r="D6" cm="1">
        <f t="array" ref="D6">_xll.EQNXTDZ($A$1,$B6,D$1)</f>
        <v>38.950000000000003</v>
      </c>
      <c r="E6" cm="1">
        <f t="array" ref="E6">_xll.EQNXTDZ($A$1,$B6,E$1)</f>
        <v>42.35</v>
      </c>
      <c r="F6" cm="1">
        <f t="array" ref="F6">_xll.EQNXTDZ($A$1,$B6,F$1)</f>
        <v>44.5</v>
      </c>
      <c r="G6" cm="1">
        <f t="array" ref="G6">_xll.EQNXTDZ($A$1,$B6,G$1)</f>
        <v>60</v>
      </c>
      <c r="H6" cm="1">
        <f t="array" ref="H6">_xll.EQNXTDZ($A$1,$B6,H$1)</f>
        <v>54</v>
      </c>
      <c r="I6" cm="1">
        <f t="array" ref="I6">_xll.EQNXTDZ($A$1,$B6,I$1)</f>
        <v>54.8</v>
      </c>
      <c r="J6" cm="1">
        <f t="array" ref="J6">_xll.EQNXTDZ($A$1,$B6,J$1)</f>
        <v>55.2</v>
      </c>
      <c r="K6" cm="1">
        <f t="array" ref="K6">_xll.EQNXTDZ($A$1,$B6,K$1)</f>
        <v>47.4</v>
      </c>
      <c r="L6" cm="1">
        <f t="array" ref="L6">_xll.EQNXTDZ($A$1,$B6,L$1)</f>
        <v>40.799999999999997</v>
      </c>
      <c r="M6" cm="1">
        <f t="array" ref="M6">_xll.EQNXTDZ($A$1,$B6,M$1)</f>
        <v>36.049999999999997</v>
      </c>
      <c r="N6" cm="1">
        <f t="array" ref="N6">_xll.EQNXTDZ($A$1,$B6,N$1)</f>
        <v>37.5</v>
      </c>
      <c r="O6" cm="1">
        <f t="array" ref="O6">_xll.EQNXTDZ($A$1,$B6,O$1)</f>
        <v>34</v>
      </c>
      <c r="P6" cm="1">
        <f t="array" ref="P6">_xll.EQNXTDZ($A$1,$B6,P$1)</f>
        <v>33.75</v>
      </c>
      <c r="Q6" cm="1">
        <f t="array" ref="Q6">_xll.EQNXTDZ($A$1,$B6,Q$1)</f>
        <v>30.9</v>
      </c>
      <c r="R6" cm="1">
        <f t="array" ref="R6">_xll.EQNXTDZ($A$1,$B6,R$1)</f>
        <v>38.25</v>
      </c>
      <c r="S6" cm="1">
        <f t="array" ref="S6">_xll.EQNXTDZ($A$1,$B6,S$1)</f>
        <v>32</v>
      </c>
      <c r="T6" cm="1">
        <f t="array" ref="T6">_xll.EQNXTDZ($A$1,$B6,T$1)</f>
        <v>37.5</v>
      </c>
      <c r="U6" cm="1">
        <f t="array" ref="U6">_xll.EQNXTDZ($A$1,$B6,U$1)</f>
        <v>47.4</v>
      </c>
      <c r="V6" cm="1">
        <f t="array" ref="V6">_xll.EQNXTDZ($A$1,$B6,V$1)</f>
        <v>49.7</v>
      </c>
      <c r="W6" cm="1">
        <f t="array" ref="W6">_xll.EQNXTDZ($A$1,$B6,W$1)</f>
        <v>39.950000000000003</v>
      </c>
      <c r="X6" cm="1">
        <f t="array" ref="X6">_xll.EQNXTDZ($A$1,$B6,X$1)</f>
        <v>36.9</v>
      </c>
      <c r="Y6" cm="1">
        <f t="array" ref="Y6">_xll.EQNXTDZ($A$1,$B6,Y$1)</f>
        <v>40</v>
      </c>
      <c r="Z6" cm="1">
        <f t="array" ref="Z6">_xll.EQNXTDZ($A$1,$B6,Z$1)</f>
        <v>41.7</v>
      </c>
      <c r="AA6" cm="1">
        <f t="array" ref="AA6">_xll.EQNXTDZ($A$1,$B6,AA$1)</f>
        <v>53</v>
      </c>
      <c r="AB6" cm="1">
        <f t="array" ref="AB6">_xll.EQNXTDZ($A$1,$B6,AB$1)</f>
        <v>62.7</v>
      </c>
      <c r="AC6" cm="1">
        <f t="array" ref="AC6">_xll.EQNXTDZ($A$1,$B6,AC$1)</f>
        <v>68</v>
      </c>
      <c r="AD6" cm="1">
        <f t="array" ref="AD6">_xll.EQNXTDZ($A$1,$B6,AD$1)</f>
        <v>93.7</v>
      </c>
      <c r="AE6" cm="1">
        <f t="array" ref="AE6">_xll.EQNXTDZ($A$1,$B6,AE$1)</f>
        <v>82</v>
      </c>
      <c r="AF6" cm="1">
        <f t="array" ref="AF6">_xll.EQNXTDZ($A$1,$B6,AF$1)</f>
        <v>80.55</v>
      </c>
      <c r="AG6" cm="1">
        <f t="array" ref="AG6">_xll.EQNXTDZ($A$1,$B6,AG$1)</f>
        <v>72.05</v>
      </c>
      <c r="AH6" cm="1">
        <f t="array" ref="AH6">_xll.EQNXTDZ($A$1,$B6,AH$1)</f>
        <v>71.55</v>
      </c>
      <c r="AI6" cm="1">
        <f t="array" ref="AI6">_xll.EQNXTDZ($A$1,$B6,AI$1)</f>
        <v>78.150000000000006</v>
      </c>
      <c r="AJ6" cm="1">
        <f t="array" ref="AJ6">_xll.EQNXTDZ($A$1,$B6,AJ$1)</f>
        <v>77</v>
      </c>
      <c r="AK6" cm="1">
        <f t="array" ref="AK6">_xll.EQNXTDZ($A$1,$B6,AK$1)</f>
        <v>81.5</v>
      </c>
      <c r="AL6" cm="1">
        <f t="array" ref="AL6">_xll.EQNXTDZ($A$1,$B6,AL$1)</f>
        <v>102.4</v>
      </c>
      <c r="AM6" cm="1">
        <f t="array" ref="AM6">_xll.EQNXTDZ($A$1,$B6,AM$1)</f>
        <v>112.5</v>
      </c>
      <c r="AN6" cm="1">
        <f t="array" ref="AN6">_xll.EQNXTDZ($A$1,$B6,AN$1)</f>
        <v>115.1</v>
      </c>
      <c r="AO6" cm="1">
        <f t="array" ref="AO6">_xll.EQNXTDZ($A$1,$B6,AO$1)</f>
        <v>127.05</v>
      </c>
      <c r="AP6" cm="1">
        <f t="array" ref="AP6">_xll.EQNXTDZ($A$1,$B6,AP$1)</f>
        <v>126</v>
      </c>
      <c r="AQ6" cm="1">
        <f t="array" ref="AQ6">_xll.EQNXTDZ($A$1,$B6,AQ$1)</f>
        <v>129</v>
      </c>
      <c r="AR6" cm="1">
        <f t="array" ref="AR6">_xll.EQNXTDZ($A$1,$B6,AR$1)</f>
        <v>136.9</v>
      </c>
      <c r="AS6" cm="1">
        <f t="array" ref="AS6">_xll.EQNXTDZ($A$1,$B6,AS$1)</f>
        <v>133</v>
      </c>
      <c r="AT6" cm="1">
        <f t="array" ref="AT6">_xll.EQNXTDZ($A$1,$B6,AT$1)</f>
        <v>164.5</v>
      </c>
      <c r="AU6" cm="1">
        <f t="array" ref="AU6">_xll.EQNXTDZ($A$1,$B6,AU$1)</f>
        <v>150</v>
      </c>
      <c r="AV6" cm="1">
        <f t="array" ref="AV6">_xll.EQNXTDZ($A$1,$B6,AV$1)</f>
        <v>127.15</v>
      </c>
      <c r="AW6" cm="1">
        <f t="array" ref="AW6">_xll.EQNXTDZ($A$1,$B6,AW$1)</f>
        <v>175.65</v>
      </c>
      <c r="AX6" cm="1">
        <f t="array" ref="AX6">_xll.EQNXTDZ($A$1,$B6,AX$1)</f>
        <v>201.05</v>
      </c>
      <c r="AY6" cm="1">
        <f t="array" ref="AY6">_xll.EQNXTDZ($A$1,$B6,AY$1)</f>
        <v>219</v>
      </c>
      <c r="AZ6" cm="1">
        <f t="array" ref="AZ6">_xll.EQNXTDZ($A$1,$B6,AZ$1)</f>
        <v>278</v>
      </c>
      <c r="BA6" cm="1">
        <f t="array" ref="BA6">_xll.EQNXTDZ($A$1,$B6,BA$1)</f>
        <v>310</v>
      </c>
      <c r="BB6" cm="1">
        <f t="array" ref="BB6">_xll.EQNXTDZ($A$1,$B6,BB$1)</f>
        <v>287</v>
      </c>
      <c r="BC6" cm="1">
        <f t="array" ref="BC6">_xll.EQNXTDZ($A$1,$B6,BC$1)</f>
        <v>297.45</v>
      </c>
      <c r="BD6" cm="1">
        <f t="array" ref="BD6">_xll.EQNXTDZ($A$1,$B6,BD$1)</f>
        <v>349.9</v>
      </c>
      <c r="BE6" cm="1">
        <f t="array" ref="BE6">_xll.EQNXTDZ($A$1,$B6,BE$1)</f>
        <v>318</v>
      </c>
      <c r="BF6" cm="1">
        <f t="array" ref="BF6">_xll.EQNXTDZ($A$1,$B6,BF$1)</f>
        <v>314.8</v>
      </c>
      <c r="BG6" cm="1">
        <f t="array" ref="BG6">_xll.EQNXTDZ($A$1,$B6,BG$1)</f>
        <v>358.95</v>
      </c>
      <c r="BH6" cm="1">
        <f t="array" ref="BH6">_xll.EQNXTDZ($A$1,$B6,BH$1)</f>
        <v>331.3</v>
      </c>
      <c r="BI6" cm="1">
        <f t="array" ref="BI6">_xll.EQNXTDZ($A$1,$B6,BI$1)</f>
        <v>377</v>
      </c>
      <c r="BJ6" cm="1">
        <f t="array" ref="BJ6">_xll.EQNXTDZ($A$1,$B6,BJ$1)</f>
        <v>390</v>
      </c>
      <c r="BK6" cm="1">
        <f t="array" ref="BK6">_xll.EQNXTDZ($A$1,$B6,BK$1)</f>
        <v>362.8</v>
      </c>
      <c r="BL6" cm="1">
        <f t="array" ref="BL6">_xll.EQNXTDZ($A$1,$B6,BL$1)</f>
        <v>333.4</v>
      </c>
      <c r="BM6" cm="1">
        <f t="array" ref="BM6">_xll.EQNXTDZ($A$1,$B6,BM$1)</f>
        <v>336</v>
      </c>
      <c r="BN6" cm="1">
        <f t="array" ref="BN6">_xll.EQNXTDZ($A$1,$B6,BN$1)</f>
        <v>323.8</v>
      </c>
      <c r="BO6" cm="1">
        <f t="array" ref="BO6">_xll.EQNXTDZ($A$1,$B6,BO$1)</f>
        <v>339.25</v>
      </c>
      <c r="BP6" cm="1">
        <f t="array" ref="BP6">_xll.EQNXTDZ($A$1,$B6,BP$1)</f>
        <v>523.70000000000005</v>
      </c>
      <c r="BQ6" cm="1">
        <f t="array" ref="BQ6">_xll.EQNXTDZ($A$1,$B6,BQ$1)</f>
        <v>620.6</v>
      </c>
      <c r="BR6" cm="1">
        <f t="array" ref="BR6">_xll.EQNXTDZ($A$1,$B6,BR$1)</f>
        <v>640.1</v>
      </c>
      <c r="BS6" cm="1">
        <f t="array" ref="BS6">_xll.EQNXTDZ($A$1,$B6,BS$1)</f>
        <v>656.2</v>
      </c>
      <c r="BT6" cm="1">
        <f t="array" ref="BT6">_xll.EQNXTDZ($A$1,$B6,BT$1)</f>
        <v>642.25</v>
      </c>
      <c r="BU6" cm="1">
        <f t="array" ref="BU6">_xll.EQNXTDZ($A$1,$B6,BU$1)</f>
        <v>563.5</v>
      </c>
      <c r="BV6" cm="1">
        <f t="array" ref="BV6">_xll.EQNXTDZ($A$1,$B6,BV$1)</f>
        <v>711.8</v>
      </c>
      <c r="BW6" cm="1">
        <f t="array" ref="BW6">_xll.EQNXTDZ($A$1,$B6,BW$1)</f>
        <v>597</v>
      </c>
      <c r="BX6" cm="1">
        <f t="array" ref="BX6">_xll.EQNXTDZ($A$1,$B6,BX$1)</f>
        <v>551.35</v>
      </c>
      <c r="BY6" cm="1">
        <f t="array" ref="BY6">_xll.EQNXTDZ($A$1,$B6,BY$1)</f>
        <v>583.75</v>
      </c>
      <c r="BZ6" cm="1">
        <f t="array" ref="BZ6">_xll.EQNXTDZ($A$1,$B6,BZ$1)</f>
        <v>588.70000000000005</v>
      </c>
      <c r="CA6" cm="1">
        <f t="array" ref="CA6">_xll.EQNXTDZ($A$1,$B6,CA$1)</f>
        <v>460</v>
      </c>
      <c r="CB6" cm="1">
        <f t="array" ref="CB6">_xll.EQNXTDZ($A$1,$B6,CB$1)</f>
        <v>447</v>
      </c>
      <c r="CC6" cm="1">
        <f t="array" ref="CC6">_xll.EQNXTDZ($A$1,$B6,CC$1)</f>
        <v>455.15</v>
      </c>
      <c r="CD6" cm="1">
        <f t="array" ref="CD6">_xll.EQNXTDZ($A$1,$B6,CD$1)</f>
        <v>460.75</v>
      </c>
      <c r="CE6" cm="1">
        <f t="array" ref="CE6">_xll.EQNXTDZ($A$1,$B6,CE$1)</f>
        <v>419</v>
      </c>
      <c r="CF6" cm="1">
        <f t="array" ref="CF6">_xll.EQNXTDZ($A$1,$B6,CF$1)</f>
        <v>402</v>
      </c>
      <c r="CG6" cm="1">
        <f t="array" ref="CG6">_xll.EQNXTDZ($A$1,$B6,CG$1)</f>
        <v>497.05</v>
      </c>
      <c r="CH6" cm="1">
        <f t="array" ref="CH6">_xll.EQNXTDZ($A$1,$B6,CH$1)</f>
        <v>435.1</v>
      </c>
      <c r="CI6" cm="1">
        <f t="array" ref="CI6">_xll.EQNXTDZ($A$1,$B6,CI$1)</f>
        <v>401.95</v>
      </c>
      <c r="CJ6" cm="1">
        <f t="array" ref="CJ6">_xll.EQNXTDZ($A$1,$B6,CJ$1)</f>
        <v>382</v>
      </c>
      <c r="CK6" cm="1">
        <f t="array" ref="CK6">_xll.EQNXTDZ($A$1,$B6,CK$1)</f>
        <v>228.5</v>
      </c>
      <c r="CL6" cm="1">
        <f t="array" ref="CL6">_xll.EQNXTDZ($A$1,$B6,CL$1)</f>
        <v>251</v>
      </c>
      <c r="CM6" cm="1">
        <f t="array" ref="CM6">_xll.EQNXTDZ($A$1,$B6,CM$1)</f>
        <v>337</v>
      </c>
      <c r="CN6" cm="1">
        <f t="array" ref="CN6">_xll.EQNXTDZ($A$1,$B6,CN$1)</f>
        <v>323</v>
      </c>
      <c r="CO6" cm="1">
        <f t="array" ref="CO6">_xll.EQNXTDZ($A$1,$B6,CO$1)</f>
        <v>367.65</v>
      </c>
      <c r="CP6" cm="1">
        <f t="array" ref="CP6">_xll.EQNXTDZ($A$1,$B6,CP$1)</f>
        <v>404.7</v>
      </c>
      <c r="CQ6" cm="1">
        <f t="array" ref="CQ6">_xll.EQNXTDZ($A$1,$B6,CQ$1)</f>
        <v>390</v>
      </c>
      <c r="CR6" cm="1">
        <f t="array" ref="CR6">_xll.EQNXTDZ($A$1,$B6,CR$1)</f>
        <v>412.25</v>
      </c>
      <c r="CS6" cm="1">
        <f t="array" ref="CS6">_xll.EQNXTDZ($A$1,$B6,CS$1)</f>
        <v>255</v>
      </c>
      <c r="CT6" cm="1">
        <f t="array" ref="CT6">_xll.EQNXTDZ($A$1,$B6,CT$1)</f>
        <v>392.25</v>
      </c>
      <c r="CU6" cm="1">
        <f t="array" ref="CU6">_xll.EQNXTDZ($A$1,$B6,CU$1)</f>
        <v>407.35</v>
      </c>
      <c r="CV6" cm="1">
        <f t="array" ref="CV6">_xll.EQNXTDZ($A$1,$B6,CV$1)</f>
        <v>495</v>
      </c>
      <c r="CW6" cm="1">
        <f t="array" ref="CW6">_xll.EQNXTDZ($A$1,$B6,CW$1)</f>
        <v>570.45000000000005</v>
      </c>
      <c r="CX6" cm="1">
        <f t="array" ref="CX6">_xll.EQNXTDZ($A$1,$B6,CX$1)</f>
        <v>792</v>
      </c>
      <c r="CY6" cm="1">
        <f t="array" ref="CY6">_xll.EQNXTDZ($A$1,$B6,CY$1)</f>
        <v>816.45</v>
      </c>
      <c r="CZ6" cm="1">
        <f t="array" ref="CZ6">_xll.EQNXTDZ($A$1,$B6,CZ$1)</f>
        <v>834</v>
      </c>
      <c r="DA6" cm="1">
        <f t="array" ref="DA6">_xll.EQNXTDZ($A$1,$B6,DA$1)</f>
        <v>1009.4</v>
      </c>
      <c r="DB6" cm="1">
        <f t="array" ref="DB6">_xll.EQNXTDZ($A$1,$B6,DB$1)</f>
        <v>929</v>
      </c>
      <c r="DC6" cm="1">
        <f t="array" ref="DC6">_xll.EQNXTDZ($A$1,$B6,DC$1)</f>
        <v>1125</v>
      </c>
      <c r="DD6" cm="1">
        <f t="array" ref="DD6">_xll.EQNXTDZ($A$1,$B6,DD$1)</f>
        <v>1648.65</v>
      </c>
      <c r="DE6" cm="1">
        <f t="array" ref="DE6">_xll.EQNXTDZ($A$1,$B6,DE$1)</f>
        <v>1779</v>
      </c>
      <c r="DF6" cm="1">
        <f t="array" ref="DF6">_xll.EQNXTDZ($A$1,$B6,DF$1)</f>
        <v>2595</v>
      </c>
      <c r="DG6" cm="1">
        <f t="array" ref="DG6">_xll.EQNXTDZ($A$1,$B6,DG$1)</f>
        <v>2814.05</v>
      </c>
      <c r="DH6" cm="1">
        <f t="array" ref="DH6">_xll.EQNXTDZ($A$1,$B6,DH$1)</f>
        <v>2695</v>
      </c>
      <c r="DI6" cm="1">
        <f t="array" ref="DI6">_xll.EQNXTDZ($A$1,$B6,DI$1)</f>
        <v>3292.6</v>
      </c>
      <c r="DJ6" cm="1">
        <f t="array" ref="DJ6">_xll.EQNXTDZ($A$1,$B6,DJ$1)</f>
        <v>4066</v>
      </c>
      <c r="DK6" cm="1">
        <f t="array" ref="DK6">_xll.EQNXTDZ($A$1,$B6,DK$1)</f>
        <v>4500</v>
      </c>
      <c r="DL6" cm="1">
        <f t="array" ref="DL6">_xll.EQNXTDZ($A$1,$B6,DL$1)</f>
        <v>3390</v>
      </c>
      <c r="DM6" cm="1">
        <f t="array" ref="DM6">_xll.EQNXTDZ($A$1,$B6,DM$1)</f>
        <v>3010</v>
      </c>
      <c r="DN6" cm="1">
        <f t="array" ref="DN6">_xll.EQNXTDZ($A$1,$B6,DN$1)</f>
        <v>3479.7</v>
      </c>
      <c r="DO6" cm="1">
        <f t="array" ref="DO6">_xll.EQNXTDZ($A$1,$B6,DO$1)</f>
        <v>3282</v>
      </c>
      <c r="DP6" cm="1">
        <f t="array" ref="DP6">_xll.EQNXTDZ($A$1,$B6,DP$1)</f>
        <v>2836</v>
      </c>
      <c r="DQ6" cm="1">
        <f t="array" ref="DQ6">_xll.EQNXTDZ($A$1,$B6,DQ$1)</f>
        <v>2915</v>
      </c>
      <c r="DR6" cm="1">
        <f t="array" ref="DR6">_xll.EQNXTDZ($A$1,$B6,DR$1)</f>
        <v>3180</v>
      </c>
      <c r="DS6" cm="1">
        <f t="array" ref="DS6">_xll.EQNXTDZ($A$1,$B6,DS$1)</f>
        <v>3250</v>
      </c>
      <c r="DT6" cm="1">
        <f t="array" ref="DT6">_xll.EQNXTDZ($A$1,$B6,DT$1)</f>
        <v>2860</v>
      </c>
      <c r="DU6" cm="1">
        <f t="array" ref="DU6">_xll.EQNXTDZ($A$1,$B6,DU$1)</f>
        <v>3420.1</v>
      </c>
      <c r="DV6" cm="1">
        <f t="array" ref="DV6">_xll.EQNXTDZ($A$1,$B6,DV$1)</f>
        <v>3450</v>
      </c>
      <c r="DW6" cm="1">
        <f t="array" ref="DW6">_xll.EQNXTDZ($A$1,$B6,DW$1)</f>
        <v>3183.9</v>
      </c>
      <c r="DX6" cm="1">
        <f t="array" ref="DX6">_xll.EQNXTDZ($A$1,$B6,DX$1)</f>
        <v>3036.4</v>
      </c>
      <c r="DY6" cm="1">
        <f t="array" ref="DY6">_xll.EQNXTDZ($A$1,$B6,DY$1)</f>
        <v>3045.95</v>
      </c>
      <c r="DZ6" cm="1">
        <f t="array" ref="DZ6">_xll.EQNXTDZ($A$1,$B6,DZ$1)</f>
        <v>2729.85</v>
      </c>
      <c r="EA6" cm="1">
        <f t="array" ref="EA6">_xll.EQNXTDZ($A$1,$B6,EA$1)</f>
        <v>2399</v>
      </c>
      <c r="EB6" cm="1">
        <f t="array" ref="EB6">_xll.EQNXTDZ($A$1,$B6,EB$1)</f>
        <v>2202</v>
      </c>
      <c r="EC6" cm="1">
        <f t="array" ref="EC6">_xll.EQNXTDZ($A$1,$B6,EC$1)</f>
        <v>1943.5</v>
      </c>
      <c r="ED6" cm="1">
        <f t="array" ref="ED6">_xll.EQNXTDZ($A$1,$B6,ED$1)</f>
        <v>2121.75</v>
      </c>
      <c r="EE6" cm="1">
        <f t="array" ref="EE6">_xll.EQNXTDZ($A$1,$B6,EE$1)</f>
        <v>2114.5</v>
      </c>
      <c r="EF6" cm="1">
        <f t="array" ref="EF6">_xll.EQNXTDZ($A$1,$B6,EF$1)</f>
        <v>2329</v>
      </c>
      <c r="EG6" cm="1">
        <f t="array" ref="EG6">_xll.EQNXTDZ($A$1,$B6,EG$1)</f>
        <v>2207.8000000000002</v>
      </c>
      <c r="EH6" cm="1">
        <f t="array" ref="EH6">_xll.EQNXTDZ($A$1,$B6,EH$1)</f>
        <v>2242.15</v>
      </c>
      <c r="EI6" cm="1">
        <f t="array" ref="EI6">_xll.EQNXTDZ($A$1,$B6,EI$1)</f>
        <v>2185.4499999999998</v>
      </c>
      <c r="EJ6" cm="1">
        <f t="array" ref="EJ6">_xll.EQNXTDZ($A$1,$B6,EJ$1)</f>
        <v>2049.9499999999998</v>
      </c>
      <c r="EK6" cm="1">
        <f t="array" ref="EK6">_xll.EQNXTDZ($A$1,$B6,EK$1)</f>
        <v>2030</v>
      </c>
      <c r="EL6" cm="1">
        <f t="array" ref="EL6">_xll.EQNXTDZ($A$1,$B6,EL$1)</f>
        <v>2675</v>
      </c>
      <c r="EM6" cm="1">
        <f t="array" ref="EM6">_xll.EQNXTDZ($A$1,$B6,EM$1)</f>
        <v>2399</v>
      </c>
      <c r="EN6" cm="1">
        <f t="array" ref="EN6">_xll.EQNXTDZ($A$1,$B6,EN$1)</f>
        <v>2194</v>
      </c>
      <c r="EO6" cm="1">
        <f t="array" ref="EO6">_xll.EQNXTDZ($A$1,$B6,EO$1)</f>
        <v>2050</v>
      </c>
      <c r="EP6" cm="1">
        <f t="array" ref="EP6">_xll.EQNXTDZ($A$1,$B6,EP$1)</f>
        <v>2193.9</v>
      </c>
      <c r="EQ6" cm="1">
        <f t="array" ref="EQ6">_xll.EQNXTDZ($A$1,$B6,EQ$1)</f>
        <v>2139</v>
      </c>
      <c r="ER6" cm="1">
        <f t="array" ref="ER6">_xll.EQNXTDZ($A$1,$B6,ER$1)</f>
        <v>2300</v>
      </c>
      <c r="ES6" cm="1">
        <f t="array" ref="ES6">_xll.EQNXTDZ($A$1,$B6,ES$1)</f>
        <v>2511.25</v>
      </c>
      <c r="ET6" cm="1">
        <f t="array" ref="ET6">_xll.EQNXTDZ($A$1,$B6,ET$1)</f>
        <v>2245.1999999999998</v>
      </c>
      <c r="EU6" cm="1">
        <f t="array" ref="EU6">_xll.EQNXTDZ($A$1,$B6,EU$1)</f>
        <v>2291.5500000000002</v>
      </c>
      <c r="EV6" cm="1">
        <f t="array" ref="EV6">_xll.EQNXTDZ($A$1,$B6,EV$1)</f>
        <v>2132.9</v>
      </c>
      <c r="EW6" cm="1">
        <f t="array" ref="EW6">_xll.EQNXTDZ($A$1,$B6,EW$1)</f>
        <v>2051</v>
      </c>
      <c r="EX6" cm="1">
        <f t="array" ref="EX6">_xll.EQNXTDZ($A$1,$B6,EX$1)</f>
        <v>1786.75</v>
      </c>
      <c r="EY6" cm="1">
        <f t="array" ref="EY6">_xll.EQNXTDZ($A$1,$B6,EY$1)</f>
        <v>1732.45</v>
      </c>
      <c r="EZ6" cm="1">
        <f t="array" ref="EZ6">_xll.EQNXTDZ($A$1,$B6,EZ$1)</f>
        <v>1297.05</v>
      </c>
      <c r="FA6" cm="1">
        <f t="array" ref="FA6">_xll.EQNXTDZ($A$1,$B6,FA$1)</f>
        <v>1224.6500000000001</v>
      </c>
      <c r="FB6" cm="1">
        <f t="array" ref="FB6">_xll.EQNXTDZ($A$1,$B6,FB$1)</f>
        <v>1274.5999999999999</v>
      </c>
      <c r="FC6" cm="1">
        <f t="array" ref="FC6">_xll.EQNXTDZ($A$1,$B6,FC$1)</f>
        <v>1452.7</v>
      </c>
      <c r="FD6" cm="1">
        <f t="array" ref="FD6">_xll.EQNXTDZ($A$1,$B6,FD$1)</f>
        <v>1838.1</v>
      </c>
      <c r="FE6" cm="1">
        <f t="array" ref="FE6">_xll.EQNXTDZ($A$1,$B6,FE$1)</f>
        <v>1768.4</v>
      </c>
      <c r="FF6" cm="1">
        <f t="array" ref="FF6">_xll.EQNXTDZ($A$1,$B6,FF$1)</f>
        <v>1464.2</v>
      </c>
      <c r="FG6" cm="1">
        <f t="array" ref="FG6">_xll.EQNXTDZ($A$1,$B6,FG$1)</f>
        <v>1410</v>
      </c>
      <c r="FH6" cm="1">
        <f t="array" ref="FH6">_xll.EQNXTDZ($A$1,$B6,FH$1)</f>
        <v>1410.1</v>
      </c>
      <c r="FI6" cm="1">
        <f t="array" ref="FI6">_xll.EQNXTDZ($A$1,$B6,FI$1)</f>
        <v>1161.8</v>
      </c>
      <c r="FJ6" cm="1">
        <f t="array" ref="FJ6">_xll.EQNXTDZ($A$1,$B6,FJ$1)</f>
        <v>1118.8</v>
      </c>
      <c r="FK6" cm="1">
        <f t="array" ref="FK6">_xll.EQNXTDZ($A$1,$B6,FK$1)</f>
        <v>1128.7</v>
      </c>
      <c r="FL6" cm="1">
        <f t="array" ref="FL6">_xll.EQNXTDZ($A$1,$B6,FL$1)</f>
        <v>1038.3</v>
      </c>
      <c r="FM6" cm="1">
        <f t="array" ref="FM6">_xll.EQNXTDZ($A$1,$B6,FM$1)</f>
        <v>1011.2</v>
      </c>
      <c r="FN6" cm="1">
        <f t="array" ref="FN6">_xll.EQNXTDZ($A$1,$B6,FN$1)</f>
        <v>1360</v>
      </c>
      <c r="FO6" cm="1">
        <f t="array" ref="FO6">_xll.EQNXTDZ($A$1,$B6,FO$1)</f>
        <v>1775.6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38.299999999999997</v>
      </c>
      <c r="D7" s="116" cm="1">
        <f t="array" ref="D7">_xll.EQNXTDZ($A$1,$B7,D$1)</f>
        <v>44</v>
      </c>
      <c r="E7" s="116" cm="1">
        <f t="array" ref="E7">_xll.EQNXTDZ($A$1,$B7,E$1)</f>
        <v>48.9</v>
      </c>
      <c r="F7" s="116" cm="1">
        <f t="array" ref="F7">_xll.EQNXTDZ($A$1,$B7,F$1)</f>
        <v>60</v>
      </c>
      <c r="G7" s="116" cm="1">
        <f t="array" ref="G7">_xll.EQNXTDZ($A$1,$B7,G$1)</f>
        <v>66.849999999999994</v>
      </c>
      <c r="H7" s="116" cm="1">
        <f t="array" ref="H7">_xll.EQNXTDZ($A$1,$B7,H$1)</f>
        <v>59.1</v>
      </c>
      <c r="I7" s="116" cm="1">
        <f t="array" ref="I7">_xll.EQNXTDZ($A$1,$B7,I$1)</f>
        <v>59.7</v>
      </c>
      <c r="J7" s="116" cm="1">
        <f t="array" ref="J7">_xll.EQNXTDZ($A$1,$B7,J$1)</f>
        <v>56.75</v>
      </c>
      <c r="K7" s="116" cm="1">
        <f t="array" ref="K7">_xll.EQNXTDZ($A$1,$B7,K$1)</f>
        <v>48.4</v>
      </c>
      <c r="L7" s="116" cm="1">
        <f t="array" ref="L7">_xll.EQNXTDZ($A$1,$B7,L$1)</f>
        <v>42</v>
      </c>
      <c r="M7" s="116" cm="1">
        <f t="array" ref="M7">_xll.EQNXTDZ($A$1,$B7,M$1)</f>
        <v>41.75</v>
      </c>
      <c r="N7" s="116" cm="1">
        <f t="array" ref="N7">_xll.EQNXTDZ($A$1,$B7,N$1)</f>
        <v>39.700000000000003</v>
      </c>
      <c r="O7" s="116" cm="1">
        <f t="array" ref="O7">_xll.EQNXTDZ($A$1,$B7,O$1)</f>
        <v>40.049999999999997</v>
      </c>
      <c r="P7" s="116" cm="1">
        <f t="array" ref="P7">_xll.EQNXTDZ($A$1,$B7,P$1)</f>
        <v>35.65</v>
      </c>
      <c r="Q7" s="116" cm="1">
        <f t="array" ref="Q7">_xll.EQNXTDZ($A$1,$B7,Q$1)</f>
        <v>35.4</v>
      </c>
      <c r="R7" s="116" cm="1">
        <f t="array" ref="R7">_xll.EQNXTDZ($A$1,$B7,R$1)</f>
        <v>41</v>
      </c>
      <c r="S7" s="116" cm="1">
        <f t="array" ref="S7">_xll.EQNXTDZ($A$1,$B7,S$1)</f>
        <v>38.1</v>
      </c>
      <c r="T7" s="116" cm="1">
        <f t="array" ref="T7">_xll.EQNXTDZ($A$1,$B7,T$1)</f>
        <v>44.5</v>
      </c>
      <c r="U7" s="116" cm="1">
        <f t="array" ref="U7">_xll.EQNXTDZ($A$1,$B7,U$1)</f>
        <v>54.8</v>
      </c>
      <c r="V7" s="116" cm="1">
        <f t="array" ref="V7">_xll.EQNXTDZ($A$1,$B7,V$1)</f>
        <v>54.45</v>
      </c>
      <c r="W7" s="116" cm="1">
        <f t="array" ref="W7">_xll.EQNXTDZ($A$1,$B7,W$1)</f>
        <v>40.25</v>
      </c>
      <c r="X7" s="116" cm="1">
        <f t="array" ref="X7">_xll.EQNXTDZ($A$1,$B7,X$1)</f>
        <v>44</v>
      </c>
      <c r="Y7" s="116" cm="1">
        <f t="array" ref="Y7">_xll.EQNXTDZ($A$1,$B7,Y$1)</f>
        <v>44.65</v>
      </c>
      <c r="Z7" s="116" cm="1">
        <f t="array" ref="Z7">_xll.EQNXTDZ($A$1,$B7,Z$1)</f>
        <v>53</v>
      </c>
      <c r="AA7" s="116" cm="1">
        <f t="array" ref="AA7">_xll.EQNXTDZ($A$1,$B7,AA$1)</f>
        <v>65.95</v>
      </c>
      <c r="AB7" s="116" cm="1">
        <f t="array" ref="AB7">_xll.EQNXTDZ($A$1,$B7,AB$1)</f>
        <v>82.9</v>
      </c>
      <c r="AC7" s="116" cm="1">
        <f t="array" ref="AC7">_xll.EQNXTDZ($A$1,$B7,AC$1)</f>
        <v>93.9</v>
      </c>
      <c r="AD7" s="116" cm="1">
        <f t="array" ref="AD7">_xll.EQNXTDZ($A$1,$B7,AD$1)</f>
        <v>99.25</v>
      </c>
      <c r="AE7" s="116" cm="1">
        <f t="array" ref="AE7">_xll.EQNXTDZ($A$1,$B7,AE$1)</f>
        <v>87.8</v>
      </c>
      <c r="AF7" s="116" cm="1">
        <f t="array" ref="AF7">_xll.EQNXTDZ($A$1,$B7,AF$1)</f>
        <v>82</v>
      </c>
      <c r="AG7" s="116" cm="1">
        <f t="array" ref="AG7">_xll.EQNXTDZ($A$1,$B7,AG$1)</f>
        <v>78</v>
      </c>
      <c r="AH7" s="116" cm="1">
        <f t="array" ref="AH7">_xll.EQNXTDZ($A$1,$B7,AH$1)</f>
        <v>82.5</v>
      </c>
      <c r="AI7" s="116" cm="1">
        <f t="array" ref="AI7">_xll.EQNXTDZ($A$1,$B7,AI$1)</f>
        <v>84</v>
      </c>
      <c r="AJ7" s="116" cm="1">
        <f t="array" ref="AJ7">_xll.EQNXTDZ($A$1,$B7,AJ$1)</f>
        <v>89.55</v>
      </c>
      <c r="AK7" s="116" cm="1">
        <f t="array" ref="AK7">_xll.EQNXTDZ($A$1,$B7,AK$1)</f>
        <v>129</v>
      </c>
      <c r="AL7" s="116" cm="1">
        <f t="array" ref="AL7">_xll.EQNXTDZ($A$1,$B7,AL$1)</f>
        <v>125</v>
      </c>
      <c r="AM7" s="116" cm="1">
        <f t="array" ref="AM7">_xll.EQNXTDZ($A$1,$B7,AM$1)</f>
        <v>119.25</v>
      </c>
      <c r="AN7" s="116" cm="1">
        <f t="array" ref="AN7">_xll.EQNXTDZ($A$1,$B7,AN$1)</f>
        <v>144</v>
      </c>
      <c r="AO7" s="116" cm="1">
        <f t="array" ref="AO7">_xll.EQNXTDZ($A$1,$B7,AO$1)</f>
        <v>164</v>
      </c>
      <c r="AP7" s="116" cm="1">
        <f t="array" ref="AP7">_xll.EQNXTDZ($A$1,$B7,AP$1)</f>
        <v>136</v>
      </c>
      <c r="AQ7" s="116" cm="1">
        <f t="array" ref="AQ7">_xll.EQNXTDZ($A$1,$B7,AQ$1)</f>
        <v>150.94999999999999</v>
      </c>
      <c r="AR7" s="116" cm="1">
        <f t="array" ref="AR7">_xll.EQNXTDZ($A$1,$B7,AR$1)</f>
        <v>143.75</v>
      </c>
      <c r="AS7" s="116" cm="1">
        <f t="array" ref="AS7">_xll.EQNXTDZ($A$1,$B7,AS$1)</f>
        <v>168</v>
      </c>
      <c r="AT7" s="116" cm="1">
        <f t="array" ref="AT7">_xll.EQNXTDZ($A$1,$B7,AT$1)</f>
        <v>165.9</v>
      </c>
      <c r="AU7" s="116" cm="1">
        <f t="array" ref="AU7">_xll.EQNXTDZ($A$1,$B7,AU$1)</f>
        <v>166.2</v>
      </c>
      <c r="AV7" s="116" cm="1">
        <f t="array" ref="AV7">_xll.EQNXTDZ($A$1,$B7,AV$1)</f>
        <v>184.8</v>
      </c>
      <c r="AW7" s="116" cm="1">
        <f t="array" ref="AW7">_xll.EQNXTDZ($A$1,$B7,AW$1)</f>
        <v>210</v>
      </c>
      <c r="AX7" s="116" cm="1">
        <f t="array" ref="AX7">_xll.EQNXTDZ($A$1,$B7,AX$1)</f>
        <v>239.8</v>
      </c>
      <c r="AY7" s="116" cm="1">
        <f t="array" ref="AY7">_xll.EQNXTDZ($A$1,$B7,AY$1)</f>
        <v>282.5</v>
      </c>
      <c r="AZ7" s="116" cm="1">
        <f t="array" ref="AZ7">_xll.EQNXTDZ($A$1,$B7,AZ$1)</f>
        <v>296.5</v>
      </c>
      <c r="BA7" s="116" cm="1">
        <f t="array" ref="BA7">_xll.EQNXTDZ($A$1,$B7,BA$1)</f>
        <v>314</v>
      </c>
      <c r="BB7" s="116" cm="1">
        <f t="array" ref="BB7">_xll.EQNXTDZ($A$1,$B7,BB$1)</f>
        <v>328.8</v>
      </c>
      <c r="BC7" s="116" cm="1">
        <f t="array" ref="BC7">_xll.EQNXTDZ($A$1,$B7,BC$1)</f>
        <v>374.9</v>
      </c>
      <c r="BD7" s="116" cm="1">
        <f t="array" ref="BD7">_xll.EQNXTDZ($A$1,$B7,BD$1)</f>
        <v>380.05</v>
      </c>
      <c r="BE7" s="116" cm="1">
        <f t="array" ref="BE7">_xll.EQNXTDZ($A$1,$B7,BE$1)</f>
        <v>344.5</v>
      </c>
      <c r="BF7" s="116" cm="1">
        <f t="array" ref="BF7">_xll.EQNXTDZ($A$1,$B7,BF$1)</f>
        <v>369</v>
      </c>
      <c r="BG7" s="116" cm="1">
        <f t="array" ref="BG7">_xll.EQNXTDZ($A$1,$B7,BG$1)</f>
        <v>379.6</v>
      </c>
      <c r="BH7" s="116" cm="1">
        <f t="array" ref="BH7">_xll.EQNXTDZ($A$1,$B7,BH$1)</f>
        <v>401.8</v>
      </c>
      <c r="BI7" s="116" cm="1">
        <f t="array" ref="BI7">_xll.EQNXTDZ($A$1,$B7,BI$1)</f>
        <v>399.5</v>
      </c>
      <c r="BJ7" s="116" cm="1">
        <f t="array" ref="BJ7">_xll.EQNXTDZ($A$1,$B7,BJ$1)</f>
        <v>399.8</v>
      </c>
      <c r="BK7" s="116" cm="1">
        <f t="array" ref="BK7">_xll.EQNXTDZ($A$1,$B7,BK$1)</f>
        <v>364</v>
      </c>
      <c r="BL7" s="116" cm="1">
        <f t="array" ref="BL7">_xll.EQNXTDZ($A$1,$B7,BL$1)</f>
        <v>382.25</v>
      </c>
      <c r="BM7" s="116" cm="1">
        <f t="array" ref="BM7">_xll.EQNXTDZ($A$1,$B7,BM$1)</f>
        <v>336</v>
      </c>
      <c r="BN7" s="116" cm="1">
        <f t="array" ref="BN7">_xll.EQNXTDZ($A$1,$B7,BN$1)</f>
        <v>391.95</v>
      </c>
      <c r="BO7" s="116" cm="1">
        <f t="array" ref="BO7">_xll.EQNXTDZ($A$1,$B7,BO$1)</f>
        <v>530.25</v>
      </c>
      <c r="BP7" s="116" cm="1">
        <f t="array" ref="BP7">_xll.EQNXTDZ($A$1,$B7,BP$1)</f>
        <v>667.7</v>
      </c>
      <c r="BQ7" s="116" cm="1">
        <f t="array" ref="BQ7">_xll.EQNXTDZ($A$1,$B7,BQ$1)</f>
        <v>675</v>
      </c>
      <c r="BR7" s="116" cm="1">
        <f t="array" ref="BR7">_xll.EQNXTDZ($A$1,$B7,BR$1)</f>
        <v>782</v>
      </c>
      <c r="BS7" s="116" cm="1">
        <f t="array" ref="BS7">_xll.EQNXTDZ($A$1,$B7,BS$1)</f>
        <v>698</v>
      </c>
      <c r="BT7" s="116" cm="1">
        <f t="array" ref="BT7">_xll.EQNXTDZ($A$1,$B7,BT$1)</f>
        <v>655.15</v>
      </c>
      <c r="BU7" s="116" cm="1">
        <f t="array" ref="BU7">_xll.EQNXTDZ($A$1,$B7,BU$1)</f>
        <v>730</v>
      </c>
      <c r="BV7" s="116" cm="1">
        <f t="array" ref="BV7">_xll.EQNXTDZ($A$1,$B7,BV$1)</f>
        <v>718.85</v>
      </c>
      <c r="BW7" s="116" cm="1">
        <f t="array" ref="BW7">_xll.EQNXTDZ($A$1,$B7,BW$1)</f>
        <v>632.75</v>
      </c>
      <c r="BX7" s="116" cm="1">
        <f t="array" ref="BX7">_xll.EQNXTDZ($A$1,$B7,BX$1)</f>
        <v>596.5</v>
      </c>
      <c r="BY7" s="116" cm="1">
        <f t="array" ref="BY7">_xll.EQNXTDZ($A$1,$B7,BY$1)</f>
        <v>603</v>
      </c>
      <c r="BZ7" s="116" cm="1">
        <f t="array" ref="BZ7">_xll.EQNXTDZ($A$1,$B7,BZ$1)</f>
        <v>591</v>
      </c>
      <c r="CA7" s="116" cm="1">
        <f t="array" ref="CA7">_xll.EQNXTDZ($A$1,$B7,CA$1)</f>
        <v>518.35</v>
      </c>
      <c r="CB7" s="116" cm="1">
        <f t="array" ref="CB7">_xll.EQNXTDZ($A$1,$B7,CB$1)</f>
        <v>516</v>
      </c>
      <c r="CC7" s="116" cm="1">
        <f t="array" ref="CC7">_xll.EQNXTDZ($A$1,$B7,CC$1)</f>
        <v>475</v>
      </c>
      <c r="CD7" s="116" cm="1">
        <f t="array" ref="CD7">_xll.EQNXTDZ($A$1,$B7,CD$1)</f>
        <v>509</v>
      </c>
      <c r="CE7" s="116" cm="1">
        <f t="array" ref="CE7">_xll.EQNXTDZ($A$1,$B7,CE$1)</f>
        <v>426.75</v>
      </c>
      <c r="CF7" s="116" cm="1">
        <f t="array" ref="CF7">_xll.EQNXTDZ($A$1,$B7,CF$1)</f>
        <v>509.45</v>
      </c>
      <c r="CG7" s="116" cm="1">
        <f t="array" ref="CG7">_xll.EQNXTDZ($A$1,$B7,CG$1)</f>
        <v>537.6</v>
      </c>
      <c r="CH7" s="116" cm="1">
        <f t="array" ref="CH7">_xll.EQNXTDZ($A$1,$B7,CH$1)</f>
        <v>447.8</v>
      </c>
      <c r="CI7" s="116" cm="1">
        <f t="array" ref="CI7">_xll.EQNXTDZ($A$1,$B7,CI$1)</f>
        <v>406.9</v>
      </c>
      <c r="CJ7" s="116" cm="1">
        <f t="array" ref="CJ7">_xll.EQNXTDZ($A$1,$B7,CJ$1)</f>
        <v>382</v>
      </c>
      <c r="CK7" s="116" cm="1">
        <f t="array" ref="CK7">_xll.EQNXTDZ($A$1,$B7,CK$1)</f>
        <v>274.7</v>
      </c>
      <c r="CL7" s="116" cm="1">
        <f t="array" ref="CL7">_xll.EQNXTDZ($A$1,$B7,CL$1)</f>
        <v>361.7</v>
      </c>
      <c r="CM7" s="116" cm="1">
        <f t="array" ref="CM7">_xll.EQNXTDZ($A$1,$B7,CM$1)</f>
        <v>349</v>
      </c>
      <c r="CN7" s="116" cm="1">
        <f t="array" ref="CN7">_xll.EQNXTDZ($A$1,$B7,CN$1)</f>
        <v>392.7</v>
      </c>
      <c r="CO7" s="116" cm="1">
        <f t="array" ref="CO7">_xll.EQNXTDZ($A$1,$B7,CO$1)</f>
        <v>416.7</v>
      </c>
      <c r="CP7" s="116" cm="1">
        <f t="array" ref="CP7">_xll.EQNXTDZ($A$1,$B7,CP$1)</f>
        <v>489.2</v>
      </c>
      <c r="CQ7" s="116" cm="1">
        <f t="array" ref="CQ7">_xll.EQNXTDZ($A$1,$B7,CQ$1)</f>
        <v>477</v>
      </c>
      <c r="CR7" s="116" cm="1">
        <f t="array" ref="CR7">_xll.EQNXTDZ($A$1,$B7,CR$1)</f>
        <v>424</v>
      </c>
      <c r="CS7" s="116" cm="1">
        <f t="array" ref="CS7">_xll.EQNXTDZ($A$1,$B7,CS$1)</f>
        <v>482.7</v>
      </c>
      <c r="CT7" s="116" cm="1">
        <f t="array" ref="CT7">_xll.EQNXTDZ($A$1,$B7,CT$1)</f>
        <v>428.7</v>
      </c>
      <c r="CU7" s="116" cm="1">
        <f t="array" ref="CU7">_xll.EQNXTDZ($A$1,$B7,CU$1)</f>
        <v>543.70000000000005</v>
      </c>
      <c r="CV7" s="116" cm="1">
        <f t="array" ref="CV7">_xll.EQNXTDZ($A$1,$B7,CV$1)</f>
        <v>647</v>
      </c>
      <c r="CW7" s="116" cm="1">
        <f t="array" ref="CW7">_xll.EQNXTDZ($A$1,$B7,CW$1)</f>
        <v>994.8</v>
      </c>
      <c r="CX7" s="116" cm="1">
        <f t="array" ref="CX7">_xll.EQNXTDZ($A$1,$B7,CX$1)</f>
        <v>914</v>
      </c>
      <c r="CY7" s="116" cm="1">
        <f t="array" ref="CY7">_xll.EQNXTDZ($A$1,$B7,CY$1)</f>
        <v>887</v>
      </c>
      <c r="CZ7" s="116" cm="1">
        <f t="array" ref="CZ7">_xll.EQNXTDZ($A$1,$B7,CZ$1)</f>
        <v>1054.55</v>
      </c>
      <c r="DA7" s="116" cm="1">
        <f t="array" ref="DA7">_xll.EQNXTDZ($A$1,$B7,DA$1)</f>
        <v>1035</v>
      </c>
      <c r="DB7" s="116" cm="1">
        <f t="array" ref="DB7">_xll.EQNXTDZ($A$1,$B7,DB$1)</f>
        <v>1315</v>
      </c>
      <c r="DC7" s="116" cm="1">
        <f t="array" ref="DC7">_xll.EQNXTDZ($A$1,$B7,DC$1)</f>
        <v>1754</v>
      </c>
      <c r="DD7" s="116" cm="1">
        <f t="array" ref="DD7">_xll.EQNXTDZ($A$1,$B7,DD$1)</f>
        <v>1905.55</v>
      </c>
      <c r="DE7" s="116" cm="1">
        <f t="array" ref="DE7">_xll.EQNXTDZ($A$1,$B7,DE$1)</f>
        <v>2673.7</v>
      </c>
      <c r="DF7" s="116" cm="1">
        <f t="array" ref="DF7">_xll.EQNXTDZ($A$1,$B7,DF$1)</f>
        <v>2957.8</v>
      </c>
      <c r="DG7" s="116" cm="1">
        <f t="array" ref="DG7">_xll.EQNXTDZ($A$1,$B7,DG$1)</f>
        <v>2828.2</v>
      </c>
      <c r="DH7" s="116" cm="1">
        <f t="array" ref="DH7">_xll.EQNXTDZ($A$1,$B7,DH$1)</f>
        <v>3441</v>
      </c>
      <c r="DI7" s="116" cm="1">
        <f t="array" ref="DI7">_xll.EQNXTDZ($A$1,$B7,DI$1)</f>
        <v>4094.8</v>
      </c>
      <c r="DJ7" s="116" cm="1">
        <f t="array" ref="DJ7">_xll.EQNXTDZ($A$1,$B7,DJ$1)</f>
        <v>5223.55</v>
      </c>
      <c r="DK7" s="116" cm="1">
        <f t="array" ref="DK7">_xll.EQNXTDZ($A$1,$B7,DK$1)</f>
        <v>4805</v>
      </c>
      <c r="DL7" s="116" cm="1">
        <f t="array" ref="DL7">_xll.EQNXTDZ($A$1,$B7,DL$1)</f>
        <v>3500</v>
      </c>
      <c r="DM7" s="116" cm="1">
        <f t="array" ref="DM7">_xll.EQNXTDZ($A$1,$B7,DM$1)</f>
        <v>3435</v>
      </c>
      <c r="DN7" s="116" cm="1">
        <f t="array" ref="DN7">_xll.EQNXTDZ($A$1,$B7,DN$1)</f>
        <v>3935</v>
      </c>
      <c r="DO7" s="116" cm="1">
        <f t="array" ref="DO7">_xll.EQNXTDZ($A$1,$B7,DO$1)</f>
        <v>3714.75</v>
      </c>
      <c r="DP7" s="116" cm="1">
        <f t="array" ref="DP7">_xll.EQNXTDZ($A$1,$B7,DP$1)</f>
        <v>3164.2</v>
      </c>
      <c r="DQ7" s="116" cm="1">
        <f t="array" ref="DQ7">_xll.EQNXTDZ($A$1,$B7,DQ$1)</f>
        <v>3504</v>
      </c>
      <c r="DR7" s="116" cm="1">
        <f t="array" ref="DR7">_xll.EQNXTDZ($A$1,$B7,DR$1)</f>
        <v>3276.95</v>
      </c>
      <c r="DS7" s="116" cm="1">
        <f t="array" ref="DS7">_xll.EQNXTDZ($A$1,$B7,DS$1)</f>
        <v>3457</v>
      </c>
      <c r="DT7" s="116" cm="1">
        <f t="array" ref="DT7">_xll.EQNXTDZ($A$1,$B7,DT$1)</f>
        <v>3449.55</v>
      </c>
      <c r="DU7" s="116" cm="1">
        <f t="array" ref="DU7">_xll.EQNXTDZ($A$1,$B7,DU$1)</f>
        <v>3824.8</v>
      </c>
      <c r="DV7" s="116" cm="1">
        <f t="array" ref="DV7">_xll.EQNXTDZ($A$1,$B7,DV$1)</f>
        <v>3844</v>
      </c>
      <c r="DW7" s="116" cm="1">
        <f t="array" ref="DW7">_xll.EQNXTDZ($A$1,$B7,DW$1)</f>
        <v>3265</v>
      </c>
      <c r="DX7" s="116" cm="1">
        <f t="array" ref="DX7">_xll.EQNXTDZ($A$1,$B7,DX$1)</f>
        <v>3114.9</v>
      </c>
      <c r="DY7" s="116" cm="1">
        <f t="array" ref="DY7">_xll.EQNXTDZ($A$1,$B7,DY$1)</f>
        <v>3125</v>
      </c>
      <c r="DZ7" s="116" cm="1">
        <f t="array" ref="DZ7">_xll.EQNXTDZ($A$1,$B7,DZ$1)</f>
        <v>2729.85</v>
      </c>
      <c r="EA7" s="116" cm="1">
        <f t="array" ref="EA7">_xll.EQNXTDZ($A$1,$B7,EA$1)</f>
        <v>2435</v>
      </c>
      <c r="EB7" s="116" cm="1">
        <f t="array" ref="EB7">_xll.EQNXTDZ($A$1,$B7,EB$1)</f>
        <v>2288</v>
      </c>
      <c r="EC7" s="116" cm="1">
        <f t="array" ref="EC7">_xll.EQNXTDZ($A$1,$B7,EC$1)</f>
        <v>2546.9499999999998</v>
      </c>
      <c r="ED7" s="116" cm="1">
        <f t="array" ref="ED7">_xll.EQNXTDZ($A$1,$B7,ED$1)</f>
        <v>2450</v>
      </c>
      <c r="EE7" s="116" cm="1">
        <f t="array" ref="EE7">_xll.EQNXTDZ($A$1,$B7,EE$1)</f>
        <v>2458.9</v>
      </c>
      <c r="EF7" s="116" cm="1">
        <f t="array" ref="EF7">_xll.EQNXTDZ($A$1,$B7,EF$1)</f>
        <v>2350</v>
      </c>
      <c r="EG7" s="116" cm="1">
        <f t="array" ref="EG7">_xll.EQNXTDZ($A$1,$B7,EG$1)</f>
        <v>2356.65</v>
      </c>
      <c r="EH7" s="116" cm="1">
        <f t="array" ref="EH7">_xll.EQNXTDZ($A$1,$B7,EH$1)</f>
        <v>2324</v>
      </c>
      <c r="EI7" s="116" cm="1">
        <f t="array" ref="EI7">_xll.EQNXTDZ($A$1,$B7,EI$1)</f>
        <v>2250</v>
      </c>
      <c r="EJ7" s="116" cm="1">
        <f t="array" ref="EJ7">_xll.EQNXTDZ($A$1,$B7,EJ$1)</f>
        <v>2110</v>
      </c>
      <c r="EK7" s="116" cm="1">
        <f t="array" ref="EK7">_xll.EQNXTDZ($A$1,$B7,EK$1)</f>
        <v>2725</v>
      </c>
      <c r="EL7" s="116" cm="1">
        <f t="array" ref="EL7">_xll.EQNXTDZ($A$1,$B7,EL$1)</f>
        <v>2735</v>
      </c>
      <c r="EM7" s="116" cm="1">
        <f t="array" ref="EM7">_xll.EQNXTDZ($A$1,$B7,EM$1)</f>
        <v>2440.4499999999998</v>
      </c>
      <c r="EN7" s="116" cm="1">
        <f t="array" ref="EN7">_xll.EQNXTDZ($A$1,$B7,EN$1)</f>
        <v>2431.9499999999998</v>
      </c>
      <c r="EO7" s="116" cm="1">
        <f t="array" ref="EO7">_xll.EQNXTDZ($A$1,$B7,EO$1)</f>
        <v>2327.75</v>
      </c>
      <c r="EP7" s="116" cm="1">
        <f t="array" ref="EP7">_xll.EQNXTDZ($A$1,$B7,EP$1)</f>
        <v>2424</v>
      </c>
      <c r="EQ7" s="116" cm="1">
        <f t="array" ref="EQ7">_xll.EQNXTDZ($A$1,$B7,EQ$1)</f>
        <v>2507</v>
      </c>
      <c r="ER7" s="116" cm="1">
        <f t="array" ref="ER7">_xll.EQNXTDZ($A$1,$B7,ER$1)</f>
        <v>2534</v>
      </c>
      <c r="ES7" s="116" cm="1">
        <f t="array" ref="ES7">_xll.EQNXTDZ($A$1,$B7,ES$1)</f>
        <v>2549.75</v>
      </c>
      <c r="ET7" s="116" cm="1">
        <f t="array" ref="ET7">_xll.EQNXTDZ($A$1,$B7,ET$1)</f>
        <v>2433</v>
      </c>
      <c r="EU7" s="116" cm="1">
        <f t="array" ref="EU7">_xll.EQNXTDZ($A$1,$B7,EU$1)</f>
        <v>2374</v>
      </c>
      <c r="EV7" s="116" cm="1">
        <f t="array" ref="EV7">_xll.EQNXTDZ($A$1,$B7,EV$1)</f>
        <v>2169</v>
      </c>
      <c r="EW7" s="116" cm="1">
        <f t="array" ref="EW7">_xll.EQNXTDZ($A$1,$B7,EW$1)</f>
        <v>2119.9</v>
      </c>
      <c r="EX7" s="116" cm="1">
        <f t="array" ref="EX7">_xll.EQNXTDZ($A$1,$B7,EX$1)</f>
        <v>1980</v>
      </c>
      <c r="EY7" s="116" cm="1">
        <f t="array" ref="EY7">_xll.EQNXTDZ($A$1,$B7,EY$1)</f>
        <v>1792.15</v>
      </c>
      <c r="EZ7" s="116" cm="1">
        <f t="array" ref="EZ7">_xll.EQNXTDZ($A$1,$B7,EZ$1)</f>
        <v>1397.3</v>
      </c>
      <c r="FA7" s="116" cm="1">
        <f t="array" ref="FA7">_xll.EQNXTDZ($A$1,$B7,FA$1)</f>
        <v>1380</v>
      </c>
      <c r="FB7" s="116" cm="1">
        <f t="array" ref="FB7">_xll.EQNXTDZ($A$1,$B7,FB$1)</f>
        <v>1502</v>
      </c>
      <c r="FC7" s="116" cm="1">
        <f t="array" ref="FC7">_xll.EQNXTDZ($A$1,$B7,FC$1)</f>
        <v>1858</v>
      </c>
      <c r="FD7" s="116" cm="1">
        <f t="array" ref="FD7">_xll.EQNXTDZ($A$1,$B7,FD$1)</f>
        <v>1945</v>
      </c>
      <c r="FE7" s="116" cm="1">
        <f t="array" ref="FE7">_xll.EQNXTDZ($A$1,$B7,FE$1)</f>
        <v>1788.8</v>
      </c>
      <c r="FF7" s="116" cm="1">
        <f t="array" ref="FF7">_xll.EQNXTDZ($A$1,$B7,FF$1)</f>
        <v>1560</v>
      </c>
      <c r="FG7" s="116" cm="1">
        <f t="array" ref="FG7">_xll.EQNXTDZ($A$1,$B7,FG$1)</f>
        <v>1440</v>
      </c>
      <c r="FH7" s="116" cm="1">
        <f t="array" ref="FH7">_xll.EQNXTDZ($A$1,$B7,FH$1)</f>
        <v>1457.9</v>
      </c>
      <c r="FI7" s="116" cm="1">
        <f t="array" ref="FI7">_xll.EQNXTDZ($A$1,$B7,FI$1)</f>
        <v>1166.2</v>
      </c>
      <c r="FJ7" s="116" cm="1">
        <f t="array" ref="FJ7">_xll.EQNXTDZ($A$1,$B7,FJ$1)</f>
        <v>1333.1</v>
      </c>
      <c r="FK7" s="116" cm="1">
        <f t="array" ref="FK7">_xll.EQNXTDZ($A$1,$B7,FK$1)</f>
        <v>1182.9000000000001</v>
      </c>
      <c r="FL7" s="116" cm="1">
        <f t="array" ref="FL7">_xll.EQNXTDZ($A$1,$B7,FL$1)</f>
        <v>1095</v>
      </c>
      <c r="FM7" s="116" cm="1">
        <f t="array" ref="FM7">_xll.EQNXTDZ($A$1,$B7,FM$1)</f>
        <v>1347</v>
      </c>
      <c r="FN7" s="116" cm="1">
        <f t="array" ref="FN7">_xll.EQNXTDZ($A$1,$B7,FN$1)</f>
        <v>1956</v>
      </c>
      <c r="FO7" s="116" cm="1">
        <f t="array" ref="FO7">_xll.EQNXTDZ($A$1,$B7,FO$1)</f>
        <v>2262.5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60</v>
      </c>
      <c r="HQ7" s="116">
        <f>+MAX(G7:I7)</f>
        <v>66.849999999999994</v>
      </c>
      <c r="HR7" s="116">
        <f>+MAX(J7:L7)</f>
        <v>56.75</v>
      </c>
      <c r="HS7" s="116">
        <f>+MAX(M7:O7)</f>
        <v>41.75</v>
      </c>
      <c r="HT7" s="116">
        <f>+MAX(P7:R7)</f>
        <v>41</v>
      </c>
      <c r="HU7" s="116">
        <f>+MAX(S7:U7)</f>
        <v>54.8</v>
      </c>
      <c r="HV7" s="116">
        <f>+MAX(V7:X7)</f>
        <v>54.45</v>
      </c>
      <c r="HW7" s="116">
        <f>+MAX(Y7:AA7)</f>
        <v>65.95</v>
      </c>
      <c r="HX7" s="116">
        <f>+MAX(AB7:AD7)</f>
        <v>99.25</v>
      </c>
      <c r="HY7" s="116">
        <f>+MAX(AE7:AG7)</f>
        <v>87.8</v>
      </c>
      <c r="HZ7" s="116">
        <f>+MAX(AH7:AJ7)</f>
        <v>89.55</v>
      </c>
      <c r="IA7" s="116">
        <f>+MAX(AK7:AM7)</f>
        <v>129</v>
      </c>
      <c r="IB7" s="116">
        <f>+MAX(AN7:AP7)</f>
        <v>164</v>
      </c>
      <c r="IC7" s="116">
        <f>+MAX(AQ7:AS7)</f>
        <v>168</v>
      </c>
      <c r="ID7" s="116">
        <f>+MAX(AT7:AV7)</f>
        <v>184.8</v>
      </c>
      <c r="IE7" s="116">
        <f>+MAX(AW7:AY7)</f>
        <v>282.5</v>
      </c>
      <c r="IF7" s="116">
        <f>+MAX(AZ7:BB7)</f>
        <v>328.8</v>
      </c>
      <c r="IG7" s="116">
        <f>+MAX(BC7:BE7)</f>
        <v>380.05</v>
      </c>
      <c r="IH7" s="116">
        <f>+MAX(BF7:BH7)</f>
        <v>401.8</v>
      </c>
      <c r="II7" s="116">
        <f>+MAX(BI7:BK7)</f>
        <v>399.8</v>
      </c>
      <c r="IJ7" s="116">
        <f>+MAX(BL7:BN7)</f>
        <v>391.95</v>
      </c>
      <c r="IK7" s="116">
        <f>+MAX(BO7:BQ7)</f>
        <v>675</v>
      </c>
      <c r="IL7" s="116">
        <f>+MAX(BR7:BT7)</f>
        <v>782</v>
      </c>
      <c r="IM7" s="116">
        <f>+MAX(BU7:BW7)</f>
        <v>730</v>
      </c>
      <c r="IN7" s="116">
        <f>+MAX(BX7:BZ7)</f>
        <v>603</v>
      </c>
      <c r="IO7" s="116">
        <f>+MAX(CA7:CC7)</f>
        <v>518.35</v>
      </c>
      <c r="IP7" s="116">
        <f>+MAX(CD7:CF7)</f>
        <v>509.45</v>
      </c>
      <c r="IQ7" s="116">
        <f>+MAX(CG7:CI7)</f>
        <v>537.6</v>
      </c>
      <c r="IR7" s="116">
        <f>+MAX(CJ7:CL7)</f>
        <v>382</v>
      </c>
      <c r="IS7" s="116">
        <f>+MAX(CM7:CO7)</f>
        <v>416.7</v>
      </c>
      <c r="IT7" s="116">
        <f>+MAX(CP7:CR7)</f>
        <v>489.2</v>
      </c>
      <c r="IU7" s="116">
        <f>+MAX(CS7:CU7)</f>
        <v>543.70000000000005</v>
      </c>
      <c r="IV7" s="116">
        <f>+MAX(CV7:CX7)</f>
        <v>994.8</v>
      </c>
      <c r="IW7" s="116">
        <f>+MAX(CY7:DA7)</f>
        <v>1054.55</v>
      </c>
      <c r="IX7" s="116">
        <f>+MAX(DB7:DD7)</f>
        <v>1905.55</v>
      </c>
      <c r="IY7" s="116">
        <f>+MAX(DE7:DG7)</f>
        <v>2957.8</v>
      </c>
      <c r="IZ7" s="116">
        <f>+MAX(DH7:DJ7)</f>
        <v>5223.55</v>
      </c>
      <c r="JA7" s="116">
        <f>+MAX(DK7:DM7)</f>
        <v>4805</v>
      </c>
      <c r="JB7" s="116">
        <f>+MAX(DN7:DP7)</f>
        <v>3935</v>
      </c>
      <c r="JC7" s="116">
        <f>+MAX(DQ7:DS7)</f>
        <v>3504</v>
      </c>
      <c r="JD7" s="116">
        <f>+MAX(DT7:DV7)</f>
        <v>3844</v>
      </c>
      <c r="JE7" s="116">
        <f>+MAX(DW7:DY7)</f>
        <v>3265</v>
      </c>
      <c r="JF7" s="116">
        <f>+MAX(DZ7:EB7)</f>
        <v>2729.85</v>
      </c>
      <c r="JG7" s="116">
        <f>+MAX(EC7:EE7)</f>
        <v>2546.9499999999998</v>
      </c>
      <c r="JH7" s="116">
        <f>+MAX(EF7:EH7)</f>
        <v>2356.65</v>
      </c>
      <c r="JI7" s="116">
        <f>+MAX(EI7:EK7)</f>
        <v>2725</v>
      </c>
      <c r="JJ7" s="116">
        <f>+MAX(EL7:EN7)</f>
        <v>2735</v>
      </c>
      <c r="JK7" s="116">
        <f>MAX(EO7:EQ7)</f>
        <v>2507</v>
      </c>
      <c r="JL7" s="116">
        <f>MAX(ER7:ET7)</f>
        <v>2549.75</v>
      </c>
      <c r="JM7" s="116">
        <f>MAX(EU7:EW7)</f>
        <v>2374</v>
      </c>
      <c r="JN7" s="116">
        <f>MAX(EX7:EZ7)</f>
        <v>1980</v>
      </c>
      <c r="JO7" s="116">
        <f>MAX(FA7:FC7)</f>
        <v>1858</v>
      </c>
      <c r="JP7" s="116">
        <f>MAX(FD7:FF7)</f>
        <v>1945</v>
      </c>
      <c r="JQ7" s="116">
        <f>MAX(FG7:FI7)</f>
        <v>1457.9</v>
      </c>
      <c r="JR7" s="116">
        <f>MAX(FJ7:FL7)</f>
        <v>1333.1</v>
      </c>
      <c r="JS7" s="116">
        <f>MAX(FM7:FO7)</f>
        <v>2262.5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35</v>
      </c>
      <c r="D8" s="116" cm="1">
        <f t="array" ref="D8">_xll.EQNXTDZ($A$1,$B8,D$1)</f>
        <v>38.5</v>
      </c>
      <c r="E8" s="116" cm="1">
        <f t="array" ref="E8">_xll.EQNXTDZ($A$1,$B8,E$1)</f>
        <v>38</v>
      </c>
      <c r="F8" s="116" cm="1">
        <f t="array" ref="F8">_xll.EQNXTDZ($A$1,$B8,F$1)</f>
        <v>43.9</v>
      </c>
      <c r="G8" s="116" cm="1">
        <f t="array" ref="G8">_xll.EQNXTDZ($A$1,$B8,G$1)</f>
        <v>48.65</v>
      </c>
      <c r="H8" s="116" cm="1">
        <f t="array" ref="H8">_xll.EQNXTDZ($A$1,$B8,H$1)</f>
        <v>49.25</v>
      </c>
      <c r="I8" s="116" cm="1">
        <f t="array" ref="I8">_xll.EQNXTDZ($A$1,$B8,I$1)</f>
        <v>52</v>
      </c>
      <c r="J8" s="116" cm="1">
        <f t="array" ref="J8">_xll.EQNXTDZ($A$1,$B8,J$1)</f>
        <v>45.7</v>
      </c>
      <c r="K8" s="116" cm="1">
        <f t="array" ref="K8">_xll.EQNXTDZ($A$1,$B8,K$1)</f>
        <v>39.1</v>
      </c>
      <c r="L8" s="116" cm="1">
        <f t="array" ref="L8">_xll.EQNXTDZ($A$1,$B8,L$1)</f>
        <v>34.1</v>
      </c>
      <c r="M8" s="116" cm="1">
        <f t="array" ref="M8">_xll.EQNXTDZ($A$1,$B8,M$1)</f>
        <v>35.200000000000003</v>
      </c>
      <c r="N8" s="116" cm="1">
        <f t="array" ref="N8">_xll.EQNXTDZ($A$1,$B8,N$1)</f>
        <v>34.5</v>
      </c>
      <c r="O8" s="116" cm="1">
        <f t="array" ref="O8">_xll.EQNXTDZ($A$1,$B8,O$1)</f>
        <v>30.6</v>
      </c>
      <c r="P8" s="116" cm="1">
        <f t="array" ref="P8">_xll.EQNXTDZ($A$1,$B8,P$1)</f>
        <v>28.15</v>
      </c>
      <c r="Q8" s="116" cm="1">
        <f t="array" ref="Q8">_xll.EQNXTDZ($A$1,$B8,Q$1)</f>
        <v>28.05</v>
      </c>
      <c r="R8" s="116" cm="1">
        <f t="array" ref="R8">_xll.EQNXTDZ($A$1,$B8,R$1)</f>
        <v>31.1</v>
      </c>
      <c r="S8" s="116" cm="1">
        <f t="array" ref="S8">_xll.EQNXTDZ($A$1,$B8,S$1)</f>
        <v>31</v>
      </c>
      <c r="T8" s="116" cm="1">
        <f t="array" ref="T8">_xll.EQNXTDZ($A$1,$B8,T$1)</f>
        <v>35.1</v>
      </c>
      <c r="U8" s="116" cm="1">
        <f t="array" ref="U8">_xll.EQNXTDZ($A$1,$B8,U$1)</f>
        <v>45</v>
      </c>
      <c r="V8" s="116" cm="1">
        <f t="array" ref="V8">_xll.EQNXTDZ($A$1,$B8,V$1)</f>
        <v>37.1</v>
      </c>
      <c r="W8" s="116" cm="1">
        <f t="array" ref="W8">_xll.EQNXTDZ($A$1,$B8,W$1)</f>
        <v>33.799999999999997</v>
      </c>
      <c r="X8" s="116" cm="1">
        <f t="array" ref="X8">_xll.EQNXTDZ($A$1,$B8,X$1)</f>
        <v>35.75</v>
      </c>
      <c r="Y8" s="116" cm="1">
        <f t="array" ref="Y8">_xll.EQNXTDZ($A$1,$B8,Y$1)</f>
        <v>39.75</v>
      </c>
      <c r="Z8" s="116" cm="1">
        <f t="array" ref="Z8">_xll.EQNXTDZ($A$1,$B8,Z$1)</f>
        <v>40.4</v>
      </c>
      <c r="AA8" s="116" cm="1">
        <f t="array" ref="AA8">_xll.EQNXTDZ($A$1,$B8,AA$1)</f>
        <v>50</v>
      </c>
      <c r="AB8" s="116" cm="1">
        <f t="array" ref="AB8">_xll.EQNXTDZ($A$1,$B8,AB$1)</f>
        <v>60.6</v>
      </c>
      <c r="AC8" s="116" cm="1">
        <f t="array" ref="AC8">_xll.EQNXTDZ($A$1,$B8,AC$1)</f>
        <v>67.400000000000006</v>
      </c>
      <c r="AD8" s="116" cm="1">
        <f t="array" ref="AD8">_xll.EQNXTDZ($A$1,$B8,AD$1)</f>
        <v>73.8</v>
      </c>
      <c r="AE8" s="116" cm="1">
        <f t="array" ref="AE8">_xll.EQNXTDZ($A$1,$B8,AE$1)</f>
        <v>75.099999999999994</v>
      </c>
      <c r="AF8" s="116" cm="1">
        <f t="array" ref="AF8">_xll.EQNXTDZ($A$1,$B8,AF$1)</f>
        <v>70.099999999999994</v>
      </c>
      <c r="AG8" s="116" cm="1">
        <f t="array" ref="AG8">_xll.EQNXTDZ($A$1,$B8,AG$1)</f>
        <v>66.7</v>
      </c>
      <c r="AH8" s="116" cm="1">
        <f t="array" ref="AH8">_xll.EQNXTDZ($A$1,$B8,AH$1)</f>
        <v>68.7</v>
      </c>
      <c r="AI8" s="116" cm="1">
        <f t="array" ref="AI8">_xll.EQNXTDZ($A$1,$B8,AI$1)</f>
        <v>72.75</v>
      </c>
      <c r="AJ8" s="116" cm="1">
        <f t="array" ref="AJ8">_xll.EQNXTDZ($A$1,$B8,AJ$1)</f>
        <v>75.400000000000006</v>
      </c>
      <c r="AK8" s="116" cm="1">
        <f t="array" ref="AK8">_xll.EQNXTDZ($A$1,$B8,AK$1)</f>
        <v>81</v>
      </c>
      <c r="AL8" s="116" cm="1">
        <f t="array" ref="AL8">_xll.EQNXTDZ($A$1,$B8,AL$1)</f>
        <v>93.55</v>
      </c>
      <c r="AM8" s="116" cm="1">
        <f t="array" ref="AM8">_xll.EQNXTDZ($A$1,$B8,AM$1)</f>
        <v>109.3</v>
      </c>
      <c r="AN8" s="116" cm="1">
        <f t="array" ref="AN8">_xll.EQNXTDZ($A$1,$B8,AN$1)</f>
        <v>103.9</v>
      </c>
      <c r="AO8" s="116" cm="1">
        <f t="array" ref="AO8">_xll.EQNXTDZ($A$1,$B8,AO$1)</f>
        <v>109.95</v>
      </c>
      <c r="AP8" s="116" cm="1">
        <f t="array" ref="AP8">_xll.EQNXTDZ($A$1,$B8,AP$1)</f>
        <v>110.65</v>
      </c>
      <c r="AQ8" s="116" cm="1">
        <f t="array" ref="AQ8">_xll.EQNXTDZ($A$1,$B8,AQ$1)</f>
        <v>126</v>
      </c>
      <c r="AR8" s="116" cm="1">
        <f t="array" ref="AR8">_xll.EQNXTDZ($A$1,$B8,AR$1)</f>
        <v>121</v>
      </c>
      <c r="AS8" s="116" cm="1">
        <f t="array" ref="AS8">_xll.EQNXTDZ($A$1,$B8,AS$1)</f>
        <v>125.75</v>
      </c>
      <c r="AT8" s="116" cm="1">
        <f t="array" ref="AT8">_xll.EQNXTDZ($A$1,$B8,AT$1)</f>
        <v>123</v>
      </c>
      <c r="AU8" s="116" cm="1">
        <f t="array" ref="AU8">_xll.EQNXTDZ($A$1,$B8,AU$1)</f>
        <v>114</v>
      </c>
      <c r="AV8" s="116" cm="1">
        <f t="array" ref="AV8">_xll.EQNXTDZ($A$1,$B8,AV$1)</f>
        <v>127.1</v>
      </c>
      <c r="AW8" s="116" cm="1">
        <f t="array" ref="AW8">_xll.EQNXTDZ($A$1,$B8,AW$1)</f>
        <v>174</v>
      </c>
      <c r="AX8" s="116" cm="1">
        <f t="array" ref="AX8">_xll.EQNXTDZ($A$1,$B8,AX$1)</f>
        <v>195.1</v>
      </c>
      <c r="AY8" s="116" cm="1">
        <f t="array" ref="AY8">_xll.EQNXTDZ($A$1,$B8,AY$1)</f>
        <v>215.8</v>
      </c>
      <c r="AZ8" s="116" cm="1">
        <f t="array" ref="AZ8">_xll.EQNXTDZ($A$1,$B8,AZ$1)</f>
        <v>249.75</v>
      </c>
      <c r="BA8" s="116" cm="1">
        <f t="array" ref="BA8">_xll.EQNXTDZ($A$1,$B8,BA$1)</f>
        <v>286</v>
      </c>
      <c r="BB8" s="116" cm="1">
        <f t="array" ref="BB8">_xll.EQNXTDZ($A$1,$B8,BB$1)</f>
        <v>266</v>
      </c>
      <c r="BC8" s="116" cm="1">
        <f t="array" ref="BC8">_xll.EQNXTDZ($A$1,$B8,BC$1)</f>
        <v>297.45</v>
      </c>
      <c r="BD8" s="116" cm="1">
        <f t="array" ref="BD8">_xll.EQNXTDZ($A$1,$B8,BD$1)</f>
        <v>273.10000000000002</v>
      </c>
      <c r="BE8" s="116" cm="1">
        <f t="array" ref="BE8">_xll.EQNXTDZ($A$1,$B8,BE$1)</f>
        <v>297.2</v>
      </c>
      <c r="BF8" s="116" cm="1">
        <f t="array" ref="BF8">_xll.EQNXTDZ($A$1,$B8,BF$1)</f>
        <v>314.8</v>
      </c>
      <c r="BG8" s="116" cm="1">
        <f t="array" ref="BG8">_xll.EQNXTDZ($A$1,$B8,BG$1)</f>
        <v>329</v>
      </c>
      <c r="BH8" s="116" cm="1">
        <f t="array" ref="BH8">_xll.EQNXTDZ($A$1,$B8,BH$1)</f>
        <v>328.3</v>
      </c>
      <c r="BI8" s="116" cm="1">
        <f t="array" ref="BI8">_xll.EQNXTDZ($A$1,$B8,BI$1)</f>
        <v>357</v>
      </c>
      <c r="BJ8" s="116" cm="1">
        <f t="array" ref="BJ8">_xll.EQNXTDZ($A$1,$B8,BJ$1)</f>
        <v>343.95</v>
      </c>
      <c r="BK8" s="116" cm="1">
        <f t="array" ref="BK8">_xll.EQNXTDZ($A$1,$B8,BK$1)</f>
        <v>325</v>
      </c>
      <c r="BL8" s="116" cm="1">
        <f t="array" ref="BL8">_xll.EQNXTDZ($A$1,$B8,BL$1)</f>
        <v>313</v>
      </c>
      <c r="BM8" s="116" cm="1">
        <f t="array" ref="BM8">_xll.EQNXTDZ($A$1,$B8,BM$1)</f>
        <v>294</v>
      </c>
      <c r="BN8" s="116" cm="1">
        <f t="array" ref="BN8">_xll.EQNXTDZ($A$1,$B8,BN$1)</f>
        <v>323.8</v>
      </c>
      <c r="BO8" s="116" cm="1">
        <f t="array" ref="BO8">_xll.EQNXTDZ($A$1,$B8,BO$1)</f>
        <v>333.3</v>
      </c>
      <c r="BP8" s="116" cm="1">
        <f t="array" ref="BP8">_xll.EQNXTDZ($A$1,$B8,BP$1)</f>
        <v>496.1</v>
      </c>
      <c r="BQ8" s="116" cm="1">
        <f t="array" ref="BQ8">_xll.EQNXTDZ($A$1,$B8,BQ$1)</f>
        <v>586</v>
      </c>
      <c r="BR8" s="116" cm="1">
        <f t="array" ref="BR8">_xll.EQNXTDZ($A$1,$B8,BR$1)</f>
        <v>606</v>
      </c>
      <c r="BS8" s="116" cm="1">
        <f t="array" ref="BS8">_xll.EQNXTDZ($A$1,$B8,BS$1)</f>
        <v>550</v>
      </c>
      <c r="BT8" s="116" cm="1">
        <f t="array" ref="BT8">_xll.EQNXTDZ($A$1,$B8,BT$1)</f>
        <v>556.65</v>
      </c>
      <c r="BU8" s="116" cm="1">
        <f t="array" ref="BU8">_xll.EQNXTDZ($A$1,$B8,BU$1)</f>
        <v>563.5</v>
      </c>
      <c r="BV8" s="116" cm="1">
        <f t="array" ref="BV8">_xll.EQNXTDZ($A$1,$B8,BV$1)</f>
        <v>566.79999999999995</v>
      </c>
      <c r="BW8" s="116" cm="1">
        <f t="array" ref="BW8">_xll.EQNXTDZ($A$1,$B8,BW$1)</f>
        <v>506.85</v>
      </c>
      <c r="BX8" s="116" cm="1">
        <f t="array" ref="BX8">_xll.EQNXTDZ($A$1,$B8,BX$1)</f>
        <v>475</v>
      </c>
      <c r="BY8" s="116" cm="1">
        <f t="array" ref="BY8">_xll.EQNXTDZ($A$1,$B8,BY$1)</f>
        <v>535</v>
      </c>
      <c r="BZ8" s="116" cm="1">
        <f t="array" ref="BZ8">_xll.EQNXTDZ($A$1,$B8,BZ$1)</f>
        <v>456.75</v>
      </c>
      <c r="CA8" s="116" cm="1">
        <f t="array" ref="CA8">_xll.EQNXTDZ($A$1,$B8,CA$1)</f>
        <v>410</v>
      </c>
      <c r="CB8" s="116" cm="1">
        <f t="array" ref="CB8">_xll.EQNXTDZ($A$1,$B8,CB$1)</f>
        <v>429.35</v>
      </c>
      <c r="CC8" s="116" cm="1">
        <f t="array" ref="CC8">_xll.EQNXTDZ($A$1,$B8,CC$1)</f>
        <v>421.95</v>
      </c>
      <c r="CD8" s="116" cm="1">
        <f t="array" ref="CD8">_xll.EQNXTDZ($A$1,$B8,CD$1)</f>
        <v>415</v>
      </c>
      <c r="CE8" s="116" cm="1">
        <f t="array" ref="CE8">_xll.EQNXTDZ($A$1,$B8,CE$1)</f>
        <v>366.1</v>
      </c>
      <c r="CF8" s="116" cm="1">
        <f t="array" ref="CF8">_xll.EQNXTDZ($A$1,$B8,CF$1)</f>
        <v>402</v>
      </c>
      <c r="CG8" s="116" cm="1">
        <f t="array" ref="CG8">_xll.EQNXTDZ($A$1,$B8,CG$1)</f>
        <v>430.35</v>
      </c>
      <c r="CH8" s="116" cm="1">
        <f t="array" ref="CH8">_xll.EQNXTDZ($A$1,$B8,CH$1)</f>
        <v>392.5</v>
      </c>
      <c r="CI8" s="116" cm="1">
        <f t="array" ref="CI8">_xll.EQNXTDZ($A$1,$B8,CI$1)</f>
        <v>365.15</v>
      </c>
      <c r="CJ8" s="116" cm="1">
        <f t="array" ref="CJ8">_xll.EQNXTDZ($A$1,$B8,CJ$1)</f>
        <v>225</v>
      </c>
      <c r="CK8" s="116" cm="1">
        <f t="array" ref="CK8">_xll.EQNXTDZ($A$1,$B8,CK$1)</f>
        <v>211.25</v>
      </c>
      <c r="CL8" s="116" cm="1">
        <f t="array" ref="CL8">_xll.EQNXTDZ($A$1,$B8,CL$1)</f>
        <v>240.35</v>
      </c>
      <c r="CM8" s="116" cm="1">
        <f t="array" ref="CM8">_xll.EQNXTDZ($A$1,$B8,CM$1)</f>
        <v>300</v>
      </c>
      <c r="CN8" s="116" cm="1">
        <f t="array" ref="CN8">_xll.EQNXTDZ($A$1,$B8,CN$1)</f>
        <v>318</v>
      </c>
      <c r="CO8" s="116" cm="1">
        <f t="array" ref="CO8">_xll.EQNXTDZ($A$1,$B8,CO$1)</f>
        <v>321</v>
      </c>
      <c r="CP8" s="116" cm="1">
        <f t="array" ref="CP8">_xll.EQNXTDZ($A$1,$B8,CP$1)</f>
        <v>381</v>
      </c>
      <c r="CQ8" s="116" cm="1">
        <f t="array" ref="CQ8">_xll.EQNXTDZ($A$1,$B8,CQ$1)</f>
        <v>380.1</v>
      </c>
      <c r="CR8" s="116" cm="1">
        <f t="array" ref="CR8">_xll.EQNXTDZ($A$1,$B8,CR$1)</f>
        <v>200</v>
      </c>
      <c r="CS8" s="116" cm="1">
        <f t="array" ref="CS8">_xll.EQNXTDZ($A$1,$B8,CS$1)</f>
        <v>241.3</v>
      </c>
      <c r="CT8" s="116" cm="1">
        <f t="array" ref="CT8">_xll.EQNXTDZ($A$1,$B8,CT$1)</f>
        <v>356.2</v>
      </c>
      <c r="CU8" s="116" cm="1">
        <f t="array" ref="CU8">_xll.EQNXTDZ($A$1,$B8,CU$1)</f>
        <v>389.05</v>
      </c>
      <c r="CV8" s="116" cm="1">
        <f t="array" ref="CV8">_xll.EQNXTDZ($A$1,$B8,CV$1)</f>
        <v>495</v>
      </c>
      <c r="CW8" s="116" cm="1">
        <f t="array" ref="CW8">_xll.EQNXTDZ($A$1,$B8,CW$1)</f>
        <v>566.45000000000005</v>
      </c>
      <c r="CX8" s="116" cm="1">
        <f t="array" ref="CX8">_xll.EQNXTDZ($A$1,$B8,CX$1)</f>
        <v>741.65</v>
      </c>
      <c r="CY8" s="116" cm="1">
        <f t="array" ref="CY8">_xll.EQNXTDZ($A$1,$B8,CY$1)</f>
        <v>795</v>
      </c>
      <c r="CZ8" s="116" cm="1">
        <f t="array" ref="CZ8">_xll.EQNXTDZ($A$1,$B8,CZ$1)</f>
        <v>800</v>
      </c>
      <c r="DA8" s="116" cm="1">
        <f t="array" ref="DA8">_xll.EQNXTDZ($A$1,$B8,DA$1)</f>
        <v>850</v>
      </c>
      <c r="DB8" s="116" cm="1">
        <f t="array" ref="DB8">_xll.EQNXTDZ($A$1,$B8,DB$1)</f>
        <v>927.05</v>
      </c>
      <c r="DC8" s="116" cm="1">
        <f t="array" ref="DC8">_xll.EQNXTDZ($A$1,$B8,DC$1)</f>
        <v>1122.05</v>
      </c>
      <c r="DD8" s="116" cm="1">
        <f t="array" ref="DD8">_xll.EQNXTDZ($A$1,$B8,DD$1)</f>
        <v>1555</v>
      </c>
      <c r="DE8" s="116" cm="1">
        <f t="array" ref="DE8">_xll.EQNXTDZ($A$1,$B8,DE$1)</f>
        <v>1725.05</v>
      </c>
      <c r="DF8" s="116" cm="1">
        <f t="array" ref="DF8">_xll.EQNXTDZ($A$1,$B8,DF$1)</f>
        <v>2307.1</v>
      </c>
      <c r="DG8" s="116" cm="1">
        <f t="array" ref="DG8">_xll.EQNXTDZ($A$1,$B8,DG$1)</f>
        <v>2451.6999999999998</v>
      </c>
      <c r="DH8" s="116" cm="1">
        <f t="array" ref="DH8">_xll.EQNXTDZ($A$1,$B8,DH$1)</f>
        <v>2670</v>
      </c>
      <c r="DI8" s="116" cm="1">
        <f t="array" ref="DI8">_xll.EQNXTDZ($A$1,$B8,DI$1)</f>
        <v>3169.7</v>
      </c>
      <c r="DJ8" s="116" cm="1">
        <f t="array" ref="DJ8">_xll.EQNXTDZ($A$1,$B8,DJ$1)</f>
        <v>4001.3</v>
      </c>
      <c r="DK8" s="116" cm="1">
        <f t="array" ref="DK8">_xll.EQNXTDZ($A$1,$B8,DK$1)</f>
        <v>3399</v>
      </c>
      <c r="DL8" s="116" cm="1">
        <f t="array" ref="DL8">_xll.EQNXTDZ($A$1,$B8,DL$1)</f>
        <v>2885.2</v>
      </c>
      <c r="DM8" s="116" cm="1">
        <f t="array" ref="DM8">_xll.EQNXTDZ($A$1,$B8,DM$1)</f>
        <v>2936</v>
      </c>
      <c r="DN8" s="116" cm="1">
        <f t="array" ref="DN8">_xll.EQNXTDZ($A$1,$B8,DN$1)</f>
        <v>3012.15</v>
      </c>
      <c r="DO8" s="116" cm="1">
        <f t="array" ref="DO8">_xll.EQNXTDZ($A$1,$B8,DO$1)</f>
        <v>2696.65</v>
      </c>
      <c r="DP8" s="116" cm="1">
        <f t="array" ref="DP8">_xll.EQNXTDZ($A$1,$B8,DP$1)</f>
        <v>2692.75</v>
      </c>
      <c r="DQ8" s="116" cm="1">
        <f t="array" ref="DQ8">_xll.EQNXTDZ($A$1,$B8,DQ$1)</f>
        <v>2905</v>
      </c>
      <c r="DR8" s="116" cm="1">
        <f t="array" ref="DR8">_xll.EQNXTDZ($A$1,$B8,DR$1)</f>
        <v>2700</v>
      </c>
      <c r="DS8" s="116" cm="1">
        <f t="array" ref="DS8">_xll.EQNXTDZ($A$1,$B8,DS$1)</f>
        <v>2716</v>
      </c>
      <c r="DT8" s="116" cm="1">
        <f t="array" ref="DT8">_xll.EQNXTDZ($A$1,$B8,DT$1)</f>
        <v>2831.7</v>
      </c>
      <c r="DU8" s="116" cm="1">
        <f t="array" ref="DU8">_xll.EQNXTDZ($A$1,$B8,DU$1)</f>
        <v>3366.6</v>
      </c>
      <c r="DV8" s="116" cm="1">
        <f t="array" ref="DV8">_xll.EQNXTDZ($A$1,$B8,DV$1)</f>
        <v>3113.9</v>
      </c>
      <c r="DW8" s="116" cm="1">
        <f t="array" ref="DW8">_xll.EQNXTDZ($A$1,$B8,DW$1)</f>
        <v>2951</v>
      </c>
      <c r="DX8" s="116" cm="1">
        <f t="array" ref="DX8">_xll.EQNXTDZ($A$1,$B8,DX$1)</f>
        <v>2871.5</v>
      </c>
      <c r="DY8" s="116" cm="1">
        <f t="array" ref="DY8">_xll.EQNXTDZ($A$1,$B8,DY$1)</f>
        <v>2593.75</v>
      </c>
      <c r="DZ8" s="116" cm="1">
        <f t="array" ref="DZ8">_xll.EQNXTDZ($A$1,$B8,DZ$1)</f>
        <v>2250</v>
      </c>
      <c r="EA8" s="116" cm="1">
        <f t="array" ref="EA8">_xll.EQNXTDZ($A$1,$B8,EA$1)</f>
        <v>2125</v>
      </c>
      <c r="EB8" s="116" cm="1">
        <f t="array" ref="EB8">_xll.EQNXTDZ($A$1,$B8,EB$1)</f>
        <v>1932.1</v>
      </c>
      <c r="EC8" s="116" cm="1">
        <f t="array" ref="EC8">_xll.EQNXTDZ($A$1,$B8,EC$1)</f>
        <v>1943.5</v>
      </c>
      <c r="ED8" s="116" cm="1">
        <f t="array" ref="ED8">_xll.EQNXTDZ($A$1,$B8,ED$1)</f>
        <v>1880</v>
      </c>
      <c r="EE8" s="116" cm="1">
        <f t="array" ref="EE8">_xll.EQNXTDZ($A$1,$B8,EE$1)</f>
        <v>2106.25</v>
      </c>
      <c r="EF8" s="116" cm="1">
        <f t="array" ref="EF8">_xll.EQNXTDZ($A$1,$B8,EF$1)</f>
        <v>2150</v>
      </c>
      <c r="EG8" s="116" cm="1">
        <f t="array" ref="EG8">_xll.EQNXTDZ($A$1,$B8,EG$1)</f>
        <v>2002.25</v>
      </c>
      <c r="EH8" s="116" cm="1">
        <f t="array" ref="EH8">_xll.EQNXTDZ($A$1,$B8,EH$1)</f>
        <v>2170</v>
      </c>
      <c r="EI8" s="116" cm="1">
        <f t="array" ref="EI8">_xll.EQNXTDZ($A$1,$B8,EI$1)</f>
        <v>2008.65</v>
      </c>
      <c r="EJ8" s="116" cm="1">
        <f t="array" ref="EJ8">_xll.EQNXTDZ($A$1,$B8,EJ$1)</f>
        <v>2000</v>
      </c>
      <c r="EK8" s="116" cm="1">
        <f t="array" ref="EK8">_xll.EQNXTDZ($A$1,$B8,EK$1)</f>
        <v>2008.6</v>
      </c>
      <c r="EL8" s="116" cm="1">
        <f t="array" ref="EL8">_xll.EQNXTDZ($A$1,$B8,EL$1)</f>
        <v>2279</v>
      </c>
      <c r="EM8" s="116" cm="1">
        <f t="array" ref="EM8">_xll.EQNXTDZ($A$1,$B8,EM$1)</f>
        <v>2132.4</v>
      </c>
      <c r="EN8" s="116" cm="1">
        <f t="array" ref="EN8">_xll.EQNXTDZ($A$1,$B8,EN$1)</f>
        <v>2009.2</v>
      </c>
      <c r="EO8" s="116" cm="1">
        <f t="array" ref="EO8">_xll.EQNXTDZ($A$1,$B8,EO$1)</f>
        <v>2049</v>
      </c>
      <c r="EP8" s="116" cm="1">
        <f t="array" ref="EP8">_xll.EQNXTDZ($A$1,$B8,EP$1)</f>
        <v>2070.3000000000002</v>
      </c>
      <c r="EQ8" s="116" cm="1">
        <f t="array" ref="EQ8">_xll.EQNXTDZ($A$1,$B8,EQ$1)</f>
        <v>1960</v>
      </c>
      <c r="ER8" s="116" cm="1">
        <f t="array" ref="ER8">_xll.EQNXTDZ($A$1,$B8,ER$1)</f>
        <v>2173.4</v>
      </c>
      <c r="ES8" s="116" cm="1">
        <f t="array" ref="ES8">_xll.EQNXTDZ($A$1,$B8,ES$1)</f>
        <v>2089.25</v>
      </c>
      <c r="ET8" s="116" cm="1">
        <f t="array" ref="ET8">_xll.EQNXTDZ($A$1,$B8,ET$1)</f>
        <v>2181</v>
      </c>
      <c r="EU8" s="116" cm="1">
        <f t="array" ref="EU8">_xll.EQNXTDZ($A$1,$B8,EU$1)</f>
        <v>2000.5</v>
      </c>
      <c r="EV8" s="116" cm="1">
        <f t="array" ref="EV8">_xll.EQNXTDZ($A$1,$B8,EV$1)</f>
        <v>1950.05</v>
      </c>
      <c r="EW8" s="116" cm="1">
        <f t="array" ref="EW8">_xll.EQNXTDZ($A$1,$B8,EW$1)</f>
        <v>1711.4</v>
      </c>
      <c r="EX8" s="116" cm="1">
        <f t="array" ref="EX8">_xll.EQNXTDZ($A$1,$B8,EX$1)</f>
        <v>1557</v>
      </c>
      <c r="EY8" s="116" cm="1">
        <f t="array" ref="EY8">_xll.EQNXTDZ($A$1,$B8,EY$1)</f>
        <v>1279.25</v>
      </c>
      <c r="EZ8" s="116" cm="1">
        <f t="array" ref="EZ8">_xll.EQNXTDZ($A$1,$B8,EZ$1)</f>
        <v>1171</v>
      </c>
      <c r="FA8" s="116" cm="1">
        <f t="array" ref="FA8">_xll.EQNXTDZ($A$1,$B8,FA$1)</f>
        <v>1127.55</v>
      </c>
      <c r="FB8" s="116" cm="1">
        <f t="array" ref="FB8">_xll.EQNXTDZ($A$1,$B8,FB$1)</f>
        <v>1192.3</v>
      </c>
      <c r="FC8" s="116" cm="1">
        <f t="array" ref="FC8">_xll.EQNXTDZ($A$1,$B8,FC$1)</f>
        <v>1372.1</v>
      </c>
      <c r="FD8" s="116" cm="1">
        <f t="array" ref="FD8">_xll.EQNXTDZ($A$1,$B8,FD$1)</f>
        <v>1653.9</v>
      </c>
      <c r="FE8" s="116" cm="1">
        <f t="array" ref="FE8">_xll.EQNXTDZ($A$1,$B8,FE$1)</f>
        <v>1450</v>
      </c>
      <c r="FF8" s="116" cm="1">
        <f t="array" ref="FF8">_xll.EQNXTDZ($A$1,$B8,FF$1)</f>
        <v>1383.5</v>
      </c>
      <c r="FG8" s="116" cm="1">
        <f t="array" ref="FG8">_xll.EQNXTDZ($A$1,$B8,FG$1)</f>
        <v>1325.1</v>
      </c>
      <c r="FH8" s="116" cm="1">
        <f t="array" ref="FH8">_xll.EQNXTDZ($A$1,$B8,FH$1)</f>
        <v>1083.5</v>
      </c>
      <c r="FI8" s="116" cm="1">
        <f t="array" ref="FI8">_xll.EQNXTDZ($A$1,$B8,FI$1)</f>
        <v>1079</v>
      </c>
      <c r="FJ8" s="116" cm="1">
        <f t="array" ref="FJ8">_xll.EQNXTDZ($A$1,$B8,FJ$1)</f>
        <v>1065.5999999999999</v>
      </c>
      <c r="FK8" s="116" cm="1">
        <f t="array" ref="FK8">_xll.EQNXTDZ($A$1,$B8,FK$1)</f>
        <v>1060.0999999999999</v>
      </c>
      <c r="FL8" s="116" cm="1">
        <f t="array" ref="FL8">_xll.EQNXTDZ($A$1,$B8,FL$1)</f>
        <v>968.1</v>
      </c>
      <c r="FM8" s="116" cm="1">
        <f t="array" ref="FM8">_xll.EQNXTDZ($A$1,$B8,FM$1)</f>
        <v>988.5</v>
      </c>
      <c r="FN8" s="116" cm="1">
        <f t="array" ref="FN8">_xll.EQNXTDZ($A$1,$B8,FN$1)</f>
        <v>1318.3</v>
      </c>
      <c r="FO8" s="116" cm="1">
        <f t="array" ref="FO8">_xll.EQNXTDZ($A$1,$B8,FO$1)</f>
        <v>1700.6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38</v>
      </c>
      <c r="HQ8" s="116">
        <f>+MIN(G8:I8)</f>
        <v>48.65</v>
      </c>
      <c r="HR8" s="116">
        <f>+MIN(J8:L8)</f>
        <v>34.1</v>
      </c>
      <c r="HS8" s="116">
        <f>+MIN(M8:O8)</f>
        <v>30.6</v>
      </c>
      <c r="HT8" s="116">
        <f>+MIN(P8:R8)</f>
        <v>28.05</v>
      </c>
      <c r="HU8" s="116">
        <f>+MIN(S8:U8)</f>
        <v>31</v>
      </c>
      <c r="HV8" s="116">
        <f>+MIN(V8:X8)</f>
        <v>33.799999999999997</v>
      </c>
      <c r="HW8" s="116">
        <f>+MIN(Y8:AA8)</f>
        <v>39.75</v>
      </c>
      <c r="HX8" s="116">
        <f>+MIN(AB8:AD8)</f>
        <v>60.6</v>
      </c>
      <c r="HY8" s="116">
        <f>+MIN(AE8:AG8)</f>
        <v>66.7</v>
      </c>
      <c r="HZ8" s="116">
        <f>+MIN(AH8:AJ8)</f>
        <v>68.7</v>
      </c>
      <c r="IA8" s="116">
        <f>+MIN(AK8:AM8)</f>
        <v>81</v>
      </c>
      <c r="IB8" s="116">
        <f>+MIN(AN8:AP8)</f>
        <v>103.9</v>
      </c>
      <c r="IC8" s="116">
        <f>+MIN(AQ8:AS8)</f>
        <v>121</v>
      </c>
      <c r="ID8" s="116">
        <f>+MIN(AT8:AV8)</f>
        <v>114</v>
      </c>
      <c r="IE8" s="116">
        <f>+MIN(AW8:AY8)</f>
        <v>174</v>
      </c>
      <c r="IF8" s="116">
        <f>+MIN(AZ8:BB8)</f>
        <v>249.75</v>
      </c>
      <c r="IG8" s="116">
        <f>+MIN(BC8:BE8)</f>
        <v>273.10000000000002</v>
      </c>
      <c r="IH8" s="116">
        <f>+MIN(BF8:BH8)</f>
        <v>314.8</v>
      </c>
      <c r="II8" s="116">
        <f>+MIN(BI8:BK8)</f>
        <v>325</v>
      </c>
      <c r="IJ8" s="116">
        <f>+MIN(BL8:BN8)</f>
        <v>294</v>
      </c>
      <c r="IK8" s="116">
        <f>+MIN(BO8:BQ8)</f>
        <v>333.3</v>
      </c>
      <c r="IL8" s="116">
        <f>+MIN(BR8:BT8)</f>
        <v>550</v>
      </c>
      <c r="IM8" s="116">
        <f>+MIN(BU8:BW8)</f>
        <v>506.85</v>
      </c>
      <c r="IN8" s="116">
        <f>+MIN(BX8:BZ8)</f>
        <v>456.75</v>
      </c>
      <c r="IO8" s="116">
        <f>+MIN(CA8:CC8)</f>
        <v>410</v>
      </c>
      <c r="IP8" s="116">
        <f>+MIN(CD8:CF8)</f>
        <v>366.1</v>
      </c>
      <c r="IQ8" s="116">
        <f>+MIN(CG8:CI8)</f>
        <v>365.15</v>
      </c>
      <c r="IR8" s="116">
        <f>+MIN(CJ8:CL8)</f>
        <v>211.25</v>
      </c>
      <c r="IS8" s="116">
        <f>+MIN(CM8:CO8)</f>
        <v>300</v>
      </c>
      <c r="IT8" s="116">
        <f>+MIN(CP8:CR8)</f>
        <v>200</v>
      </c>
      <c r="IU8" s="116">
        <f>+MIN(CS8:CU8)</f>
        <v>241.3</v>
      </c>
      <c r="IV8" s="116">
        <f>+MIN(CV8:CX8)</f>
        <v>495</v>
      </c>
      <c r="IW8" s="116">
        <f>+MIN(CY8:DA8)</f>
        <v>795</v>
      </c>
      <c r="IX8" s="116">
        <f>+MIN(DB8:DD8)</f>
        <v>927.05</v>
      </c>
      <c r="IY8" s="116">
        <f>+MIN(DE8:DG8)</f>
        <v>1725.05</v>
      </c>
      <c r="IZ8" s="116">
        <f>+MIN(DH8:DJ8)</f>
        <v>2670</v>
      </c>
      <c r="JA8" s="116">
        <f>+MIN(DK8:DM8)</f>
        <v>2885.2</v>
      </c>
      <c r="JB8" s="116">
        <f>+MIN(DN8:DP8)</f>
        <v>2692.75</v>
      </c>
      <c r="JC8" s="116">
        <f>+MIN(DQ8:DS8)</f>
        <v>2700</v>
      </c>
      <c r="JD8" s="116">
        <f>+MIN(DT8:DV8)</f>
        <v>2831.7</v>
      </c>
      <c r="JE8" s="116">
        <f>+MIN(DW8:DY8)</f>
        <v>2593.75</v>
      </c>
      <c r="JF8" s="116">
        <f>+MIN(DZ8:EB8)</f>
        <v>1932.1</v>
      </c>
      <c r="JG8" s="116">
        <f>+MIN(EC8:EE8)</f>
        <v>1880</v>
      </c>
      <c r="JH8" s="116">
        <f>+MIN(EF8:EH8)</f>
        <v>2002.25</v>
      </c>
      <c r="JI8" s="116">
        <f>+MIN(EI8:EK8)</f>
        <v>2000</v>
      </c>
      <c r="JJ8" s="116">
        <f>+MIN(EL8:EN8)</f>
        <v>2009.2</v>
      </c>
      <c r="JK8" s="116">
        <f>MIN(EO8:EQ8)</f>
        <v>1960</v>
      </c>
      <c r="JL8" s="116">
        <f>MIN(ER8:ET8)</f>
        <v>2089.25</v>
      </c>
      <c r="JM8" s="116">
        <f>MIN(EU8:EW8)</f>
        <v>1711.4</v>
      </c>
      <c r="JN8" s="116">
        <f>MIN(EX8:EZ8)</f>
        <v>1171</v>
      </c>
      <c r="JO8" s="116">
        <f>MIN(FA8:FC8)</f>
        <v>1127.55</v>
      </c>
      <c r="JP8" s="116">
        <f>MIN(FD8:FF8)</f>
        <v>1383.5</v>
      </c>
      <c r="JQ8" s="116">
        <f>MIN(FG8:FI8)</f>
        <v>1079</v>
      </c>
      <c r="JR8" s="116">
        <f>MIN(FJ8:FL8)</f>
        <v>968.1</v>
      </c>
      <c r="JS8" s="116">
        <f>MIN(FM8:FO8)</f>
        <v>988.5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37.85</v>
      </c>
      <c r="D9" s="116" cm="1">
        <f t="array" ref="D9">_xll.EQNXTDZ($A$1,$B9,D$1)</f>
        <v>41.9</v>
      </c>
      <c r="E9" s="116" cm="1">
        <f t="array" ref="E9">_xll.EQNXTDZ($A$1,$B9,E$1)</f>
        <v>44.95</v>
      </c>
      <c r="F9" s="116" cm="1">
        <f t="array" ref="F9">_xll.EQNXTDZ($A$1,$B9,F$1)</f>
        <v>59.05</v>
      </c>
      <c r="G9" s="116" cm="1">
        <f t="array" ref="G9">_xll.EQNXTDZ($A$1,$B9,G$1)</f>
        <v>54.2</v>
      </c>
      <c r="H9" s="116" cm="1">
        <f t="array" ref="H9">_xll.EQNXTDZ($A$1,$B9,H$1)</f>
        <v>53.2</v>
      </c>
      <c r="I9" s="116" cm="1">
        <f t="array" ref="I9">_xll.EQNXTDZ($A$1,$B9,I$1)</f>
        <v>54.05</v>
      </c>
      <c r="J9" s="116" cm="1">
        <f t="array" ref="J9">_xll.EQNXTDZ($A$1,$B9,J$1)</f>
        <v>47.75</v>
      </c>
      <c r="K9" s="116" cm="1">
        <f t="array" ref="K9">_xll.EQNXTDZ($A$1,$B9,K$1)</f>
        <v>40.6</v>
      </c>
      <c r="L9" s="116" cm="1">
        <f t="array" ref="L9">_xll.EQNXTDZ($A$1,$B9,L$1)</f>
        <v>35</v>
      </c>
      <c r="M9" s="116" cm="1">
        <f t="array" ref="M9">_xll.EQNXTDZ($A$1,$B9,M$1)</f>
        <v>37.9</v>
      </c>
      <c r="N9" s="116" cm="1">
        <f t="array" ref="N9">_xll.EQNXTDZ($A$1,$B9,N$1)</f>
        <v>34.700000000000003</v>
      </c>
      <c r="O9" s="116" cm="1">
        <f t="array" ref="O9">_xll.EQNXTDZ($A$1,$B9,O$1)</f>
        <v>33.25</v>
      </c>
      <c r="P9" s="116" cm="1">
        <f t="array" ref="P9">_xll.EQNXTDZ($A$1,$B9,P$1)</f>
        <v>29.95</v>
      </c>
      <c r="Q9" s="116" cm="1">
        <f t="array" ref="Q9">_xll.EQNXTDZ($A$1,$B9,Q$1)</f>
        <v>31.9</v>
      </c>
      <c r="R9" s="116" cm="1">
        <f t="array" ref="R9">_xll.EQNXTDZ($A$1,$B9,R$1)</f>
        <v>32.450000000000003</v>
      </c>
      <c r="S9" s="116" cm="1">
        <f t="array" ref="S9">_xll.EQNXTDZ($A$1,$B9,S$1)</f>
        <v>36.200000000000003</v>
      </c>
      <c r="T9" s="116" cm="1">
        <f t="array" ref="T9">_xll.EQNXTDZ($A$1,$B9,T$1)</f>
        <v>41.4</v>
      </c>
      <c r="U9" s="116" cm="1">
        <f t="array" ref="U9">_xll.EQNXTDZ($A$1,$B9,U$1)</f>
        <v>49.7</v>
      </c>
      <c r="V9" s="116" cm="1">
        <f t="array" ref="V9">_xll.EQNXTDZ($A$1,$B9,V$1)</f>
        <v>40.15</v>
      </c>
      <c r="W9" s="116" cm="1">
        <f t="array" ref="W9">_xll.EQNXTDZ($A$1,$B9,W$1)</f>
        <v>36.9</v>
      </c>
      <c r="X9" s="116" cm="1">
        <f t="array" ref="X9">_xll.EQNXTDZ($A$1,$B9,X$1)</f>
        <v>40.25</v>
      </c>
      <c r="Y9" s="116" cm="1">
        <f t="array" ref="Y9">_xll.EQNXTDZ($A$1,$B9,Y$1)</f>
        <v>42</v>
      </c>
      <c r="Z9" s="116" cm="1">
        <f t="array" ref="Z9">_xll.EQNXTDZ($A$1,$B9,Z$1)</f>
        <v>49.35</v>
      </c>
      <c r="AA9" s="116" cm="1">
        <f t="array" ref="AA9">_xll.EQNXTDZ($A$1,$B9,AA$1)</f>
        <v>60.85</v>
      </c>
      <c r="AB9" s="116" cm="1">
        <f t="array" ref="AB9">_xll.EQNXTDZ($A$1,$B9,AB$1)</f>
        <v>68.45</v>
      </c>
      <c r="AC9" s="116" cm="1">
        <f t="array" ref="AC9">_xll.EQNXTDZ($A$1,$B9,AC$1)</f>
        <v>89.7</v>
      </c>
      <c r="AD9" s="116" cm="1">
        <f t="array" ref="AD9">_xll.EQNXTDZ($A$1,$B9,AD$1)</f>
        <v>79</v>
      </c>
      <c r="AE9" s="116" cm="1">
        <f t="array" ref="AE9">_xll.EQNXTDZ($A$1,$B9,AE$1)</f>
        <v>80.849999999999994</v>
      </c>
      <c r="AF9" s="116" cm="1">
        <f t="array" ref="AF9">_xll.EQNXTDZ($A$1,$B9,AF$1)</f>
        <v>73.2</v>
      </c>
      <c r="AG9" s="116" cm="1">
        <f t="array" ref="AG9">_xll.EQNXTDZ($A$1,$B9,AG$1)</f>
        <v>70.900000000000006</v>
      </c>
      <c r="AH9" s="116" cm="1">
        <f t="array" ref="AH9">_xll.EQNXTDZ($A$1,$B9,AH$1)</f>
        <v>78.05</v>
      </c>
      <c r="AI9" s="116" cm="1">
        <f t="array" ref="AI9">_xll.EQNXTDZ($A$1,$B9,AI$1)</f>
        <v>78.2</v>
      </c>
      <c r="AJ9" s="116" cm="1">
        <f t="array" ref="AJ9">_xll.EQNXTDZ($A$1,$B9,AJ$1)</f>
        <v>82</v>
      </c>
      <c r="AK9" s="116" cm="1">
        <f t="array" ref="AK9">_xll.EQNXTDZ($A$1,$B9,AK$1)</f>
        <v>102.4</v>
      </c>
      <c r="AL9" s="116" cm="1">
        <f t="array" ref="AL9">_xll.EQNXTDZ($A$1,$B9,AL$1)</f>
        <v>112.15</v>
      </c>
      <c r="AM9" s="116" cm="1">
        <f t="array" ref="AM9">_xll.EQNXTDZ($A$1,$B9,AM$1)</f>
        <v>115.9</v>
      </c>
      <c r="AN9" s="116" cm="1">
        <f t="array" ref="AN9">_xll.EQNXTDZ($A$1,$B9,AN$1)</f>
        <v>127.15</v>
      </c>
      <c r="AO9" s="116" cm="1">
        <f t="array" ref="AO9">_xll.EQNXTDZ($A$1,$B9,AO$1)</f>
        <v>128.94999999999999</v>
      </c>
      <c r="AP9" s="116" cm="1">
        <f t="array" ref="AP9">_xll.EQNXTDZ($A$1,$B9,AP$1)</f>
        <v>126.35</v>
      </c>
      <c r="AQ9" s="116" cm="1">
        <f t="array" ref="AQ9">_xll.EQNXTDZ($A$1,$B9,AQ$1)</f>
        <v>130.65</v>
      </c>
      <c r="AR9" s="116" cm="1">
        <f t="array" ref="AR9">_xll.EQNXTDZ($A$1,$B9,AR$1)</f>
        <v>132.55000000000001</v>
      </c>
      <c r="AS9" s="116" cm="1">
        <f t="array" ref="AS9">_xll.EQNXTDZ($A$1,$B9,AS$1)</f>
        <v>163.85</v>
      </c>
      <c r="AT9" s="116" cm="1">
        <f t="array" ref="AT9">_xll.EQNXTDZ($A$1,$B9,AT$1)</f>
        <v>139.65</v>
      </c>
      <c r="AU9" s="116" cm="1">
        <f t="array" ref="AU9">_xll.EQNXTDZ($A$1,$B9,AU$1)</f>
        <v>127.85</v>
      </c>
      <c r="AV9" s="116" cm="1">
        <f t="array" ref="AV9">_xll.EQNXTDZ($A$1,$B9,AV$1)</f>
        <v>178.1</v>
      </c>
      <c r="AW9" s="116" cm="1">
        <f t="array" ref="AW9">_xll.EQNXTDZ($A$1,$B9,AW$1)</f>
        <v>202.6</v>
      </c>
      <c r="AX9" s="116" cm="1">
        <f t="array" ref="AX9">_xll.EQNXTDZ($A$1,$B9,AX$1)</f>
        <v>215.35</v>
      </c>
      <c r="AY9" s="116" cm="1">
        <f t="array" ref="AY9">_xll.EQNXTDZ($A$1,$B9,AY$1)</f>
        <v>277.7</v>
      </c>
      <c r="AZ9" s="116" cm="1">
        <f t="array" ref="AZ9">_xll.EQNXTDZ($A$1,$B9,AZ$1)</f>
        <v>294.39999999999998</v>
      </c>
      <c r="BA9" s="116" cm="1">
        <f t="array" ref="BA9">_xll.EQNXTDZ($A$1,$B9,BA$1)</f>
        <v>287.64999999999998</v>
      </c>
      <c r="BB9" s="116" cm="1">
        <f t="array" ref="BB9">_xll.EQNXTDZ($A$1,$B9,BB$1)</f>
        <v>297.45</v>
      </c>
      <c r="BC9" s="116" cm="1">
        <f t="array" ref="BC9">_xll.EQNXTDZ($A$1,$B9,BC$1)</f>
        <v>339</v>
      </c>
      <c r="BD9" s="116" cm="1">
        <f t="array" ref="BD9">_xll.EQNXTDZ($A$1,$B9,BD$1)</f>
        <v>316.7</v>
      </c>
      <c r="BE9" s="116" cm="1">
        <f t="array" ref="BE9">_xll.EQNXTDZ($A$1,$B9,BE$1)</f>
        <v>321.14999999999998</v>
      </c>
      <c r="BF9" s="116" cm="1">
        <f t="array" ref="BF9">_xll.EQNXTDZ($A$1,$B9,BF$1)</f>
        <v>348.55</v>
      </c>
      <c r="BG9" s="116" cm="1">
        <f t="array" ref="BG9">_xll.EQNXTDZ($A$1,$B9,BG$1)</f>
        <v>331.2</v>
      </c>
      <c r="BH9" s="116" cm="1">
        <f t="array" ref="BH9">_xll.EQNXTDZ($A$1,$B9,BH$1)</f>
        <v>378.95</v>
      </c>
      <c r="BI9" s="116" cm="1">
        <f t="array" ref="BI9">_xll.EQNXTDZ($A$1,$B9,BI$1)</f>
        <v>387.35</v>
      </c>
      <c r="BJ9" s="116" cm="1">
        <f t="array" ref="BJ9">_xll.EQNXTDZ($A$1,$B9,BJ$1)</f>
        <v>355.5</v>
      </c>
      <c r="BK9" s="116" cm="1">
        <f t="array" ref="BK9">_xll.EQNXTDZ($A$1,$B9,BK$1)</f>
        <v>337.25</v>
      </c>
      <c r="BL9" s="116" cm="1">
        <f t="array" ref="BL9">_xll.EQNXTDZ($A$1,$B9,BL$1)</f>
        <v>330.8</v>
      </c>
      <c r="BM9" s="116" cm="1">
        <f t="array" ref="BM9">_xll.EQNXTDZ($A$1,$B9,BM$1)</f>
        <v>324.3</v>
      </c>
      <c r="BN9" s="116" cm="1">
        <f t="array" ref="BN9">_xll.EQNXTDZ($A$1,$B9,BN$1)</f>
        <v>339.25</v>
      </c>
      <c r="BO9" s="116" cm="1">
        <f t="array" ref="BO9">_xll.EQNXTDZ($A$1,$B9,BO$1)</f>
        <v>518.85</v>
      </c>
      <c r="BP9" s="116" cm="1">
        <f t="array" ref="BP9">_xll.EQNXTDZ($A$1,$B9,BP$1)</f>
        <v>617.15</v>
      </c>
      <c r="BQ9" s="116" cm="1">
        <f t="array" ref="BQ9">_xll.EQNXTDZ($A$1,$B9,BQ$1)</f>
        <v>637.35</v>
      </c>
      <c r="BR9" s="116" cm="1">
        <f t="array" ref="BR9">_xll.EQNXTDZ($A$1,$B9,BR$1)</f>
        <v>656.65</v>
      </c>
      <c r="BS9" s="116" cm="1">
        <f t="array" ref="BS9">_xll.EQNXTDZ($A$1,$B9,BS$1)</f>
        <v>642.35</v>
      </c>
      <c r="BT9" s="116" cm="1">
        <f t="array" ref="BT9">_xll.EQNXTDZ($A$1,$B9,BT$1)</f>
        <v>561.04999999999995</v>
      </c>
      <c r="BU9" s="116" cm="1">
        <f t="array" ref="BU9">_xll.EQNXTDZ($A$1,$B9,BU$1)</f>
        <v>713.6</v>
      </c>
      <c r="BV9" s="116" cm="1">
        <f t="array" ref="BV9">_xll.EQNXTDZ($A$1,$B9,BV$1)</f>
        <v>595.35</v>
      </c>
      <c r="BW9" s="116" cm="1">
        <f t="array" ref="BW9">_xll.EQNXTDZ($A$1,$B9,BW$1)</f>
        <v>551</v>
      </c>
      <c r="BX9" s="116" cm="1">
        <f t="array" ref="BX9">_xll.EQNXTDZ($A$1,$B9,BX$1)</f>
        <v>583.65</v>
      </c>
      <c r="BY9" s="116" cm="1">
        <f t="array" ref="BY9">_xll.EQNXTDZ($A$1,$B9,BY$1)</f>
        <v>584</v>
      </c>
      <c r="BZ9" s="116" cm="1">
        <f t="array" ref="BZ9">_xll.EQNXTDZ($A$1,$B9,BZ$1)</f>
        <v>469</v>
      </c>
      <c r="CA9" s="116" cm="1">
        <f t="array" ref="CA9">_xll.EQNXTDZ($A$1,$B9,CA$1)</f>
        <v>453.95</v>
      </c>
      <c r="CB9" s="116" cm="1">
        <f t="array" ref="CB9">_xll.EQNXTDZ($A$1,$B9,CB$1)</f>
        <v>461.05</v>
      </c>
      <c r="CC9" s="116" cm="1">
        <f t="array" ref="CC9">_xll.EQNXTDZ($A$1,$B9,CC$1)</f>
        <v>457.45</v>
      </c>
      <c r="CD9" s="116" cm="1">
        <f t="array" ref="CD9">_xll.EQNXTDZ($A$1,$B9,CD$1)</f>
        <v>419.85</v>
      </c>
      <c r="CE9" s="116" cm="1">
        <f t="array" ref="CE9">_xll.EQNXTDZ($A$1,$B9,CE$1)</f>
        <v>405.35</v>
      </c>
      <c r="CF9" s="116" cm="1">
        <f t="array" ref="CF9">_xll.EQNXTDZ($A$1,$B9,CF$1)</f>
        <v>495.7</v>
      </c>
      <c r="CG9" s="116" cm="1">
        <f t="array" ref="CG9">_xll.EQNXTDZ($A$1,$B9,CG$1)</f>
        <v>437</v>
      </c>
      <c r="CH9" s="116" cm="1">
        <f t="array" ref="CH9">_xll.EQNXTDZ($A$1,$B9,CH$1)</f>
        <v>404.6</v>
      </c>
      <c r="CI9" s="116" cm="1">
        <f t="array" ref="CI9">_xll.EQNXTDZ($A$1,$B9,CI$1)</f>
        <v>378.4</v>
      </c>
      <c r="CJ9" s="116" cm="1">
        <f t="array" ref="CJ9">_xll.EQNXTDZ($A$1,$B9,CJ$1)</f>
        <v>234.65</v>
      </c>
      <c r="CK9" s="116" cm="1">
        <f t="array" ref="CK9">_xll.EQNXTDZ($A$1,$B9,CK$1)</f>
        <v>251.65</v>
      </c>
      <c r="CL9" s="116" cm="1">
        <f t="array" ref="CL9">_xll.EQNXTDZ($A$1,$B9,CL$1)</f>
        <v>331.85</v>
      </c>
      <c r="CM9" s="116" cm="1">
        <f t="array" ref="CM9">_xll.EQNXTDZ($A$1,$B9,CM$1)</f>
        <v>323.95</v>
      </c>
      <c r="CN9" s="116" cm="1">
        <f t="array" ref="CN9">_xll.EQNXTDZ($A$1,$B9,CN$1)</f>
        <v>364.65</v>
      </c>
      <c r="CO9" s="116" cm="1">
        <f t="array" ref="CO9">_xll.EQNXTDZ($A$1,$B9,CO$1)</f>
        <v>399.3</v>
      </c>
      <c r="CP9" s="116" cm="1">
        <f t="array" ref="CP9">_xll.EQNXTDZ($A$1,$B9,CP$1)</f>
        <v>387.3</v>
      </c>
      <c r="CQ9" s="116" cm="1">
        <f t="array" ref="CQ9">_xll.EQNXTDZ($A$1,$B9,CQ$1)</f>
        <v>408.9</v>
      </c>
      <c r="CR9" s="116" cm="1">
        <f t="array" ref="CR9">_xll.EQNXTDZ($A$1,$B9,CR$1)</f>
        <v>251.6</v>
      </c>
      <c r="CS9" s="116" cm="1">
        <f t="array" ref="CS9">_xll.EQNXTDZ($A$1,$B9,CS$1)</f>
        <v>409.9</v>
      </c>
      <c r="CT9" s="116" cm="1">
        <f t="array" ref="CT9">_xll.EQNXTDZ($A$1,$B9,CT$1)</f>
        <v>403.35</v>
      </c>
      <c r="CU9" s="116" cm="1">
        <f t="array" ref="CU9">_xll.EQNXTDZ($A$1,$B9,CU$1)</f>
        <v>493.4</v>
      </c>
      <c r="CV9" s="116" cm="1">
        <f t="array" ref="CV9">_xll.EQNXTDZ($A$1,$B9,CV$1)</f>
        <v>570.45000000000005</v>
      </c>
      <c r="CW9" s="116" cm="1">
        <f t="array" ref="CW9">_xll.EQNXTDZ($A$1,$B9,CW$1)</f>
        <v>791.6</v>
      </c>
      <c r="CX9" s="116" cm="1">
        <f t="array" ref="CX9">_xll.EQNXTDZ($A$1,$B9,CX$1)</f>
        <v>807.4</v>
      </c>
      <c r="CY9" s="116" cm="1">
        <f t="array" ref="CY9">_xll.EQNXTDZ($A$1,$B9,CY$1)</f>
        <v>842.95</v>
      </c>
      <c r="CZ9" s="116" cm="1">
        <f t="array" ref="CZ9">_xll.EQNXTDZ($A$1,$B9,CZ$1)</f>
        <v>1001.95</v>
      </c>
      <c r="DA9" s="116" cm="1">
        <f t="array" ref="DA9">_xll.EQNXTDZ($A$1,$B9,DA$1)</f>
        <v>926.4</v>
      </c>
      <c r="DB9" s="116" cm="1">
        <f t="array" ref="DB9">_xll.EQNXTDZ($A$1,$B9,DB$1)</f>
        <v>1124.4000000000001</v>
      </c>
      <c r="DC9" s="116" cm="1">
        <f t="array" ref="DC9">_xll.EQNXTDZ($A$1,$B9,DC$1)</f>
        <v>1629.15</v>
      </c>
      <c r="DD9" s="116" cm="1">
        <f t="array" ref="DD9">_xll.EQNXTDZ($A$1,$B9,DD$1)</f>
        <v>1759.3</v>
      </c>
      <c r="DE9" s="116" cm="1">
        <f t="array" ref="DE9">_xll.EQNXTDZ($A$1,$B9,DE$1)</f>
        <v>2590.0500000000002</v>
      </c>
      <c r="DF9" s="116" cm="1">
        <f t="array" ref="DF9">_xll.EQNXTDZ($A$1,$B9,DF$1)</f>
        <v>2807.65</v>
      </c>
      <c r="DG9" s="116" cm="1">
        <f t="array" ref="DG9">_xll.EQNXTDZ($A$1,$B9,DG$1)</f>
        <v>2673.8</v>
      </c>
      <c r="DH9" s="116" cm="1">
        <f t="array" ref="DH9">_xll.EQNXTDZ($A$1,$B9,DH$1)</f>
        <v>3266.75</v>
      </c>
      <c r="DI9" s="116" cm="1">
        <f t="array" ref="DI9">_xll.EQNXTDZ($A$1,$B9,DI$1)</f>
        <v>4040.15</v>
      </c>
      <c r="DJ9" s="116" cm="1">
        <f t="array" ref="DJ9">_xll.EQNXTDZ($A$1,$B9,DJ$1)</f>
        <v>4517.3999999999996</v>
      </c>
      <c r="DK9" s="116" cm="1">
        <f t="array" ref="DK9">_xll.EQNXTDZ($A$1,$B9,DK$1)</f>
        <v>3459.9</v>
      </c>
      <c r="DL9" s="116" cm="1">
        <f t="array" ref="DL9">_xll.EQNXTDZ($A$1,$B9,DL$1)</f>
        <v>2997.25</v>
      </c>
      <c r="DM9" s="116" cm="1">
        <f t="array" ref="DM9">_xll.EQNXTDZ($A$1,$B9,DM$1)</f>
        <v>3409.8</v>
      </c>
      <c r="DN9" s="116" cm="1">
        <f t="array" ref="DN9">_xll.EQNXTDZ($A$1,$B9,DN$1)</f>
        <v>3255.05</v>
      </c>
      <c r="DO9" s="116" cm="1">
        <f t="array" ref="DO9">_xll.EQNXTDZ($A$1,$B9,DO$1)</f>
        <v>2856.45</v>
      </c>
      <c r="DP9" s="116" cm="1">
        <f t="array" ref="DP9">_xll.EQNXTDZ($A$1,$B9,DP$1)</f>
        <v>2905.5</v>
      </c>
      <c r="DQ9" s="116" cm="1">
        <f t="array" ref="DQ9">_xll.EQNXTDZ($A$1,$B9,DQ$1)</f>
        <v>3231.65</v>
      </c>
      <c r="DR9" s="116" cm="1">
        <f t="array" ref="DR9">_xll.EQNXTDZ($A$1,$B9,DR$1)</f>
        <v>3214</v>
      </c>
      <c r="DS9" s="116" cm="1">
        <f t="array" ref="DS9">_xll.EQNXTDZ($A$1,$B9,DS$1)</f>
        <v>2867.3</v>
      </c>
      <c r="DT9" s="116" cm="1">
        <f t="array" ref="DT9">_xll.EQNXTDZ($A$1,$B9,DT$1)</f>
        <v>3401</v>
      </c>
      <c r="DU9" s="116" cm="1">
        <f t="array" ref="DU9">_xll.EQNXTDZ($A$1,$B9,DU$1)</f>
        <v>3465</v>
      </c>
      <c r="DV9" s="116" cm="1">
        <f t="array" ref="DV9">_xll.EQNXTDZ($A$1,$B9,DV$1)</f>
        <v>3167.5</v>
      </c>
      <c r="DW9" s="116" cm="1">
        <f t="array" ref="DW9">_xll.EQNXTDZ($A$1,$B9,DW$1)</f>
        <v>3025</v>
      </c>
      <c r="DX9" s="116" cm="1">
        <f t="array" ref="DX9">_xll.EQNXTDZ($A$1,$B9,DX$1)</f>
        <v>3044.8</v>
      </c>
      <c r="DY9" s="116" cm="1">
        <f t="array" ref="DY9">_xll.EQNXTDZ($A$1,$B9,DY$1)</f>
        <v>2708.8</v>
      </c>
      <c r="DZ9" s="116" cm="1">
        <f t="array" ref="DZ9">_xll.EQNXTDZ($A$1,$B9,DZ$1)</f>
        <v>2386</v>
      </c>
      <c r="EA9" s="116" cm="1">
        <f t="array" ref="EA9">_xll.EQNXTDZ($A$1,$B9,EA$1)</f>
        <v>2198.6</v>
      </c>
      <c r="EB9" s="116" cm="1">
        <f t="array" ref="EB9">_xll.EQNXTDZ($A$1,$B9,EB$1)</f>
        <v>1943.3</v>
      </c>
      <c r="EC9" s="116" cm="1">
        <f t="array" ref="EC9">_xll.EQNXTDZ($A$1,$B9,EC$1)</f>
        <v>2100.3000000000002</v>
      </c>
      <c r="ED9" s="116" cm="1">
        <f t="array" ref="ED9">_xll.EQNXTDZ($A$1,$B9,ED$1)</f>
        <v>2104.9499999999998</v>
      </c>
      <c r="EE9" s="116" cm="1">
        <f t="array" ref="EE9">_xll.EQNXTDZ($A$1,$B9,EE$1)</f>
        <v>2316.5500000000002</v>
      </c>
      <c r="EF9" s="116" cm="1">
        <f t="array" ref="EF9">_xll.EQNXTDZ($A$1,$B9,EF$1)</f>
        <v>2188.0500000000002</v>
      </c>
      <c r="EG9" s="116" cm="1">
        <f t="array" ref="EG9">_xll.EQNXTDZ($A$1,$B9,EG$1)</f>
        <v>2248</v>
      </c>
      <c r="EH9" s="116" cm="1">
        <f t="array" ref="EH9">_xll.EQNXTDZ($A$1,$B9,EH$1)</f>
        <v>2174.25</v>
      </c>
      <c r="EI9" s="116" cm="1">
        <f t="array" ref="EI9">_xll.EQNXTDZ($A$1,$B9,EI$1)</f>
        <v>2045.65</v>
      </c>
      <c r="EJ9" s="116" cm="1">
        <f t="array" ref="EJ9">_xll.EQNXTDZ($A$1,$B9,EJ$1)</f>
        <v>2016.8</v>
      </c>
      <c r="EK9" s="116" cm="1">
        <f t="array" ref="EK9">_xll.EQNXTDZ($A$1,$B9,EK$1)</f>
        <v>2668.5</v>
      </c>
      <c r="EL9" s="116" cm="1">
        <f t="array" ref="EL9">_xll.EQNXTDZ($A$1,$B9,EL$1)</f>
        <v>2438.6999999999998</v>
      </c>
      <c r="EM9" s="116" cm="1">
        <f t="array" ref="EM9">_xll.EQNXTDZ($A$1,$B9,EM$1)</f>
        <v>2173.75</v>
      </c>
      <c r="EN9" s="116" cm="1">
        <f t="array" ref="EN9">_xll.EQNXTDZ($A$1,$B9,EN$1)</f>
        <v>2045.25</v>
      </c>
      <c r="EO9" s="116" cm="1">
        <f t="array" ref="EO9">_xll.EQNXTDZ($A$1,$B9,EO$1)</f>
        <v>2192.35</v>
      </c>
      <c r="EP9" s="116" cm="1">
        <f t="array" ref="EP9">_xll.EQNXTDZ($A$1,$B9,EP$1)</f>
        <v>2093.25</v>
      </c>
      <c r="EQ9" s="116" cm="1">
        <f t="array" ref="EQ9">_xll.EQNXTDZ($A$1,$B9,EQ$1)</f>
        <v>2289.5500000000002</v>
      </c>
      <c r="ER9" s="116" cm="1">
        <f t="array" ref="ER9">_xll.EQNXTDZ($A$1,$B9,ER$1)</f>
        <v>2499.75</v>
      </c>
      <c r="ES9" s="116" cm="1">
        <f t="array" ref="ES9">_xll.EQNXTDZ($A$1,$B9,ES$1)</f>
        <v>2224.35</v>
      </c>
      <c r="ET9" s="116" cm="1">
        <f t="array" ref="ET9">_xll.EQNXTDZ($A$1,$B9,ET$1)</f>
        <v>2287.0500000000002</v>
      </c>
      <c r="EU9" s="116" cm="1">
        <f t="array" ref="EU9">_xll.EQNXTDZ($A$1,$B9,EU$1)</f>
        <v>2129.3000000000002</v>
      </c>
      <c r="EV9" s="116" cm="1">
        <f t="array" ref="EV9">_xll.EQNXTDZ($A$1,$B9,EV$1)</f>
        <v>2064.35</v>
      </c>
      <c r="EW9" s="116" cm="1">
        <f t="array" ref="EW9">_xll.EQNXTDZ($A$1,$B9,EW$1)</f>
        <v>1786.7</v>
      </c>
      <c r="EX9" s="116" cm="1">
        <f t="array" ref="EX9">_xll.EQNXTDZ($A$1,$B9,EX$1)</f>
        <v>1719.7</v>
      </c>
      <c r="EY9" s="116" cm="1">
        <f t="array" ref="EY9">_xll.EQNXTDZ($A$1,$B9,EY$1)</f>
        <v>1293.3499999999999</v>
      </c>
      <c r="EZ9" s="116" cm="1">
        <f t="array" ref="EZ9">_xll.EQNXTDZ($A$1,$B9,EZ$1)</f>
        <v>1207.1500000000001</v>
      </c>
      <c r="FA9" s="116" cm="1">
        <f t="array" ref="FA9">_xll.EQNXTDZ($A$1,$B9,FA$1)</f>
        <v>1263.5999999999999</v>
      </c>
      <c r="FB9" s="116" cm="1">
        <f t="array" ref="FB9">_xll.EQNXTDZ($A$1,$B9,FB$1)</f>
        <v>1450.7</v>
      </c>
      <c r="FC9" s="116" cm="1">
        <f t="array" ref="FC9">_xll.EQNXTDZ($A$1,$B9,FC$1)</f>
        <v>1841.6</v>
      </c>
      <c r="FD9" s="116" cm="1">
        <f t="array" ref="FD9">_xll.EQNXTDZ($A$1,$B9,FD$1)</f>
        <v>1768.4</v>
      </c>
      <c r="FE9" s="116" cm="1">
        <f t="array" ref="FE9">_xll.EQNXTDZ($A$1,$B9,FE$1)</f>
        <v>1457</v>
      </c>
      <c r="FF9" s="116" cm="1">
        <f t="array" ref="FF9">_xll.EQNXTDZ($A$1,$B9,FF$1)</f>
        <v>1389.2</v>
      </c>
      <c r="FG9" s="116" cm="1">
        <f t="array" ref="FG9">_xll.EQNXTDZ($A$1,$B9,FG$1)</f>
        <v>1409.1</v>
      </c>
      <c r="FH9" s="116" cm="1">
        <f t="array" ref="FH9">_xll.EQNXTDZ($A$1,$B9,FH$1)</f>
        <v>1152.8</v>
      </c>
      <c r="FI9" s="116" cm="1">
        <f t="array" ref="FI9">_xll.EQNXTDZ($A$1,$B9,FI$1)</f>
        <v>1121</v>
      </c>
      <c r="FJ9" s="116" cm="1">
        <f t="array" ref="FJ9">_xll.EQNXTDZ($A$1,$B9,FJ$1)</f>
        <v>1117</v>
      </c>
      <c r="FK9" s="116" cm="1">
        <f t="array" ref="FK9">_xll.EQNXTDZ($A$1,$B9,FK$1)</f>
        <v>1087.4000000000001</v>
      </c>
      <c r="FL9" s="116" cm="1">
        <f t="array" ref="FL9">_xll.EQNXTDZ($A$1,$B9,FL$1)</f>
        <v>977.2</v>
      </c>
      <c r="FM9" s="116" cm="1">
        <f t="array" ref="FM9">_xll.EQNXTDZ($A$1,$B9,FM$1)</f>
        <v>1333.65</v>
      </c>
      <c r="FN9" s="116" cm="1">
        <f t="array" ref="FN9">_xll.EQNXTDZ($A$1,$B9,FN$1)</f>
        <v>1775.6</v>
      </c>
      <c r="FO9" s="116" cm="1">
        <f t="array" ref="FO9">_xll.EQNXTDZ($A$1,$B9,FO$1)</f>
        <v>2076.5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59.05</v>
      </c>
      <c r="HQ9" s="116">
        <f>+I9</f>
        <v>54.05</v>
      </c>
      <c r="HR9" s="116">
        <f>+L9</f>
        <v>35</v>
      </c>
      <c r="HS9" s="116">
        <f>+O9</f>
        <v>33.25</v>
      </c>
      <c r="HT9" s="116">
        <f>+R9</f>
        <v>32.450000000000003</v>
      </c>
      <c r="HU9" s="116">
        <f>+U9</f>
        <v>49.7</v>
      </c>
      <c r="HV9" s="116">
        <f>+X9</f>
        <v>40.25</v>
      </c>
      <c r="HW9" s="116">
        <f>+AA9</f>
        <v>60.85</v>
      </c>
      <c r="HX9" s="116">
        <f>+AD9</f>
        <v>79</v>
      </c>
      <c r="HY9" s="116">
        <f>+AG9</f>
        <v>70.900000000000006</v>
      </c>
      <c r="HZ9" s="116">
        <f>+AJ9</f>
        <v>82</v>
      </c>
      <c r="IA9" s="116">
        <f>+AM9</f>
        <v>115.9</v>
      </c>
      <c r="IB9" s="116">
        <f>+AP9</f>
        <v>126.35</v>
      </c>
      <c r="IC9" s="116">
        <f>+AS9</f>
        <v>163.85</v>
      </c>
      <c r="ID9" s="116">
        <f>+AV9</f>
        <v>178.1</v>
      </c>
      <c r="IE9" s="116">
        <f>+AY9</f>
        <v>277.7</v>
      </c>
      <c r="IF9" s="116">
        <f>+BB9</f>
        <v>297.45</v>
      </c>
      <c r="IG9" s="116">
        <f>+BE9</f>
        <v>321.14999999999998</v>
      </c>
      <c r="IH9" s="116">
        <f>+BH9</f>
        <v>378.95</v>
      </c>
      <c r="II9" s="116">
        <f>+BK9</f>
        <v>337.25</v>
      </c>
      <c r="IJ9" s="116">
        <f>+BN9</f>
        <v>339.25</v>
      </c>
      <c r="IK9" s="116">
        <f>+BQ9</f>
        <v>637.35</v>
      </c>
      <c r="IL9" s="116">
        <f>+BT9</f>
        <v>561.04999999999995</v>
      </c>
      <c r="IM9" s="116">
        <f>+BW9</f>
        <v>551</v>
      </c>
      <c r="IN9" s="116">
        <f>+BZ9</f>
        <v>469</v>
      </c>
      <c r="IO9" s="116">
        <f>+CC9</f>
        <v>457.45</v>
      </c>
      <c r="IP9" s="116">
        <f>+CF9</f>
        <v>495.7</v>
      </c>
      <c r="IQ9" s="116">
        <f>+CI9</f>
        <v>378.4</v>
      </c>
      <c r="IR9" s="116">
        <f>+CL9</f>
        <v>331.85</v>
      </c>
      <c r="IS9" s="116">
        <f>+CO9</f>
        <v>399.3</v>
      </c>
      <c r="IT9" s="116">
        <f>+CR9</f>
        <v>251.6</v>
      </c>
      <c r="IU9" s="116">
        <f>+CU9</f>
        <v>493.4</v>
      </c>
      <c r="IV9" s="116">
        <f>+CX9</f>
        <v>807.4</v>
      </c>
      <c r="IW9" s="116">
        <f>+DA9</f>
        <v>926.4</v>
      </c>
      <c r="IX9" s="116">
        <f>+DD9</f>
        <v>1759.3</v>
      </c>
      <c r="IY9" s="116">
        <f>+DG9</f>
        <v>2673.8</v>
      </c>
      <c r="IZ9" s="116">
        <f>+DJ9</f>
        <v>4517.3999999999996</v>
      </c>
      <c r="JA9" s="116">
        <f>+DM9</f>
        <v>3409.8</v>
      </c>
      <c r="JB9" s="116">
        <f>+DP9</f>
        <v>2905.5</v>
      </c>
      <c r="JC9" s="116">
        <f>+DS9</f>
        <v>2867.3</v>
      </c>
      <c r="JD9" s="116">
        <f>+DV9</f>
        <v>3167.5</v>
      </c>
      <c r="JE9" s="116">
        <f>+DY9</f>
        <v>2708.8</v>
      </c>
      <c r="JF9" s="116">
        <f>+EB9</f>
        <v>1943.3</v>
      </c>
      <c r="JG9" s="116">
        <f>+EE9</f>
        <v>2316.5500000000002</v>
      </c>
      <c r="JH9" s="116">
        <f>+EH9</f>
        <v>2174.25</v>
      </c>
      <c r="JI9" s="116">
        <f>+EK9</f>
        <v>2668.5</v>
      </c>
      <c r="JJ9" s="116">
        <f>+EN9</f>
        <v>2045.25</v>
      </c>
      <c r="JK9" s="116">
        <f>EQ9</f>
        <v>2289.5500000000002</v>
      </c>
      <c r="JL9" s="116">
        <f>ET9</f>
        <v>2287.0500000000002</v>
      </c>
      <c r="JM9" s="116">
        <f>EW9</f>
        <v>1786.7</v>
      </c>
      <c r="JN9" s="116">
        <f>EZ9</f>
        <v>1207.1500000000001</v>
      </c>
      <c r="JO9" s="116">
        <f>FC9</f>
        <v>1841.6</v>
      </c>
      <c r="JP9" s="116">
        <f>FF9</f>
        <v>1389.2</v>
      </c>
      <c r="JQ9" s="116">
        <f>FI9</f>
        <v>1121</v>
      </c>
      <c r="JR9" s="116">
        <f>FL9</f>
        <v>977.2</v>
      </c>
      <c r="JS9" s="116">
        <f>FO9</f>
        <v>2076.5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</v>
      </c>
      <c r="D13" cm="1">
        <f t="array" ref="D13">_xll.EQNXTDZ($A$1,$B13,D$1)</f>
        <v>38.950000000000003</v>
      </c>
      <c r="E13" cm="1">
        <f t="array" ref="E13">_xll.EQNXTDZ($A$1,$B13,E$1)</f>
        <v>41.7</v>
      </c>
      <c r="F13" cm="1">
        <f t="array" ref="F13">_xll.EQNXTDZ($A$1,$B13,F$1)</f>
        <v>45.5</v>
      </c>
      <c r="G13" cm="1">
        <f t="array" ref="G13">_xll.EQNXTDZ($A$1,$B13,G$1)</f>
        <v>59.45</v>
      </c>
      <c r="H13" cm="1">
        <f t="array" ref="H13">_xll.EQNXTDZ($A$1,$B13,H$1)</f>
        <v>54.4</v>
      </c>
      <c r="I13" cm="1">
        <f t="array" ref="I13">_xll.EQNXTDZ($A$1,$B13,I$1)</f>
        <v>55.1</v>
      </c>
      <c r="J13" cm="1">
        <f t="array" ref="J13">_xll.EQNXTDZ($A$1,$B13,J$1)</f>
        <v>55</v>
      </c>
      <c r="K13" cm="1">
        <f t="array" ref="K13">_xll.EQNXTDZ($A$1,$B13,K$1)</f>
        <v>47</v>
      </c>
      <c r="L13" cm="1">
        <f t="array" ref="L13">_xll.EQNXTDZ($A$1,$B13,L$1)</f>
        <v>41.9</v>
      </c>
      <c r="M13" cm="1">
        <f t="array" ref="M13">_xll.EQNXTDZ($A$1,$B13,M$1)</f>
        <v>34.35</v>
      </c>
      <c r="N13" cm="1">
        <f t="array" ref="N13">_xll.EQNXTDZ($A$1,$B13,N$1)</f>
        <v>37.5</v>
      </c>
      <c r="O13" cm="1">
        <f t="array" ref="O13">_xll.EQNXTDZ($A$1,$B13,O$1)</f>
        <v>35.5</v>
      </c>
      <c r="P13" cm="1">
        <f t="array" ref="P13">_xll.EQNXTDZ($A$1,$B13,P$1)</f>
        <v>34</v>
      </c>
      <c r="Q13" cm="1">
        <f t="array" ref="Q13">_xll.EQNXTDZ($A$1,$B13,Q$1)</f>
        <v>31.05</v>
      </c>
      <c r="R13" cm="1">
        <f t="array" ref="R13">_xll.EQNXTDZ($A$1,$B13,R$1)</f>
        <v>34</v>
      </c>
      <c r="S13" cm="1">
        <f t="array" ref="S13">_xll.EQNXTDZ($A$1,$B13,S$1)</f>
        <v>32.950000000000003</v>
      </c>
      <c r="T13" cm="1">
        <f t="array" ref="T13">_xll.EQNXTDZ($A$1,$B13,T$1)</f>
        <v>37</v>
      </c>
      <c r="U13" cm="1">
        <f t="array" ref="U13">_xll.EQNXTDZ($A$1,$B13,U$1)</f>
        <v>45</v>
      </c>
      <c r="V13" cm="1">
        <f t="array" ref="V13">_xll.EQNXTDZ($A$1,$B13,V$1)</f>
        <v>49.5</v>
      </c>
      <c r="W13" cm="1">
        <f t="array" ref="W13">_xll.EQNXTDZ($A$1,$B13,W$1)</f>
        <v>39.549999999999997</v>
      </c>
      <c r="X13" cm="1">
        <f t="array" ref="X13">_xll.EQNXTDZ($A$1,$B13,X$1)</f>
        <v>37.15</v>
      </c>
      <c r="Y13" cm="1">
        <f t="array" ref="Y13">_xll.EQNXTDZ($A$1,$B13,Y$1)</f>
        <v>41</v>
      </c>
      <c r="Z13" cm="1">
        <f t="array" ref="Z13">_xll.EQNXTDZ($A$1,$B13,Z$1)</f>
        <v>41.35</v>
      </c>
      <c r="AA13" cm="1">
        <f t="array" ref="AA13">_xll.EQNXTDZ($A$1,$B13,AA$1)</f>
        <v>52</v>
      </c>
      <c r="AB13" cm="1">
        <f t="array" ref="AB13">_xll.EQNXTDZ($A$1,$B13,AB$1)</f>
        <v>62</v>
      </c>
      <c r="AC13" cm="1">
        <f t="array" ref="AC13">_xll.EQNXTDZ($A$1,$B13,AC$1)</f>
        <v>68</v>
      </c>
      <c r="AD13" cm="1">
        <f t="array" ref="AD13">_xll.EQNXTDZ($A$1,$B13,AD$1)</f>
        <v>90.95</v>
      </c>
      <c r="AE13" cm="1">
        <f t="array" ref="AE13">_xll.EQNXTDZ($A$1,$B13,AE$1)</f>
        <v>79.25</v>
      </c>
      <c r="AF13" cm="1">
        <f t="array" ref="AF13">_xll.EQNXTDZ($A$1,$B13,AF$1)</f>
        <v>81.099999999999994</v>
      </c>
      <c r="AG13" cm="1">
        <f t="array" ref="AG13">_xll.EQNXTDZ($A$1,$B13,AG$1)</f>
        <v>71.900000000000006</v>
      </c>
      <c r="AH13" cm="1">
        <f t="array" ref="AH13">_xll.EQNXTDZ($A$1,$B13,AH$1)</f>
        <v>71.7</v>
      </c>
      <c r="AI13" cm="1">
        <f t="array" ref="AI13">_xll.EQNXTDZ($A$1,$B13,AI$1)</f>
        <v>79.95</v>
      </c>
      <c r="AJ13" cm="1">
        <f t="array" ref="AJ13">_xll.EQNXTDZ($A$1,$B13,AJ$1)</f>
        <v>78.849999999999994</v>
      </c>
      <c r="AK13" cm="1">
        <f t="array" ref="AK13">_xll.EQNXTDZ($A$1,$B13,AK$1)</f>
        <v>80.75</v>
      </c>
      <c r="AL13" cm="1">
        <f t="array" ref="AL13">_xll.EQNXTDZ($A$1,$B13,AL$1)</f>
        <v>102.7</v>
      </c>
      <c r="AM13" cm="1">
        <f t="array" ref="AM13">_xll.EQNXTDZ($A$1,$B13,AM$1)</f>
        <v>111.5</v>
      </c>
      <c r="AN13" cm="1">
        <f t="array" ref="AN13">_xll.EQNXTDZ($A$1,$B13,AN$1)</f>
        <v>116.4</v>
      </c>
      <c r="AO13" cm="1">
        <f t="array" ref="AO13">_xll.EQNXTDZ($A$1,$B13,AO$1)</f>
        <v>127.5</v>
      </c>
      <c r="AP13" cm="1">
        <f t="array" ref="AP13">_xll.EQNXTDZ($A$1,$B13,AP$1)</f>
        <v>126.2</v>
      </c>
      <c r="AQ13" cm="1">
        <f t="array" ref="AQ13">_xll.EQNXTDZ($A$1,$B13,AQ$1)</f>
        <v>129.19999999999999</v>
      </c>
      <c r="AR13" cm="1">
        <f t="array" ref="AR13">_xll.EQNXTDZ($A$1,$B13,AR$1)</f>
        <v>132</v>
      </c>
      <c r="AS13" cm="1">
        <f t="array" ref="AS13">_xll.EQNXTDZ($A$1,$B13,AS$1)</f>
        <v>135</v>
      </c>
      <c r="AT13" cm="1">
        <f t="array" ref="AT13">_xll.EQNXTDZ($A$1,$B13,AT$1)</f>
        <v>164.5</v>
      </c>
      <c r="AU13" cm="1">
        <f t="array" ref="AU13">_xll.EQNXTDZ($A$1,$B13,AU$1)</f>
        <v>148.5</v>
      </c>
      <c r="AV13" cm="1">
        <f t="array" ref="AV13">_xll.EQNXTDZ($A$1,$B13,AV$1)</f>
        <v>128</v>
      </c>
      <c r="AW13" cm="1">
        <f t="array" ref="AW13">_xll.EQNXTDZ($A$1,$B13,AW$1)</f>
        <v>176.1</v>
      </c>
      <c r="AX13" cm="1">
        <f t="array" ref="AX13">_xll.EQNXTDZ($A$1,$B13,AX$1)</f>
        <v>201</v>
      </c>
      <c r="AY13" cm="1">
        <f t="array" ref="AY13">_xll.EQNXTDZ($A$1,$B13,AY$1)</f>
        <v>219.95</v>
      </c>
      <c r="AZ13" cm="1">
        <f t="array" ref="AZ13">_xll.EQNXTDZ($A$1,$B13,AZ$1)</f>
        <v>280.95</v>
      </c>
      <c r="BA13" cm="1">
        <f t="array" ref="BA13">_xll.EQNXTDZ($A$1,$B13,BA$1)</f>
        <v>305</v>
      </c>
      <c r="BB13" cm="1">
        <f t="array" ref="BB13">_xll.EQNXTDZ($A$1,$B13,BB$1)</f>
        <v>288.95</v>
      </c>
      <c r="BC13" cm="1">
        <f t="array" ref="BC13">_xll.EQNXTDZ($A$1,$B13,BC$1)</f>
        <v>300</v>
      </c>
      <c r="BD13" cm="1">
        <f t="array" ref="BD13">_xll.EQNXTDZ($A$1,$B13,BD$1)</f>
        <v>339.2</v>
      </c>
      <c r="BE13" cm="1">
        <f t="array" ref="BE13">_xll.EQNXTDZ($A$1,$B13,BE$1)</f>
        <v>316</v>
      </c>
      <c r="BF13" cm="1">
        <f t="array" ref="BF13">_xll.EQNXTDZ($A$1,$B13,BF$1)</f>
        <v>318</v>
      </c>
      <c r="BG13" cm="1">
        <f t="array" ref="BG13">_xll.EQNXTDZ($A$1,$B13,BG$1)</f>
        <v>350</v>
      </c>
      <c r="BH13" cm="1">
        <f t="array" ref="BH13">_xll.EQNXTDZ($A$1,$B13,BH$1)</f>
        <v>335</v>
      </c>
      <c r="BI13" cm="1">
        <f t="array" ref="BI13">_xll.EQNXTDZ($A$1,$B13,BI$1)</f>
        <v>378.6</v>
      </c>
      <c r="BJ13" cm="1">
        <f t="array" ref="BJ13">_xll.EQNXTDZ($A$1,$B13,BJ$1)</f>
        <v>388</v>
      </c>
      <c r="BK13" cm="1">
        <f t="array" ref="BK13">_xll.EQNXTDZ($A$1,$B13,BK$1)</f>
        <v>357.4</v>
      </c>
      <c r="BL13" cm="1">
        <f t="array" ref="BL13">_xll.EQNXTDZ($A$1,$B13,BL$1)</f>
        <v>335.75</v>
      </c>
      <c r="BM13" cm="1">
        <f t="array" ref="BM13">_xll.EQNXTDZ($A$1,$B13,BM$1)</f>
        <v>331</v>
      </c>
      <c r="BN13" cm="1">
        <f t="array" ref="BN13">_xll.EQNXTDZ($A$1,$B13,BN$1)</f>
        <v>320.7</v>
      </c>
      <c r="BO13" cm="1">
        <f t="array" ref="BO13">_xll.EQNXTDZ($A$1,$B13,BO$1)</f>
        <v>346</v>
      </c>
      <c r="BP13" cm="1">
        <f t="array" ref="BP13">_xll.EQNXTDZ($A$1,$B13,BP$1)</f>
        <v>523.9</v>
      </c>
      <c r="BQ13" cm="1">
        <f t="array" ref="BQ13">_xll.EQNXTDZ($A$1,$B13,BQ$1)</f>
        <v>619.25</v>
      </c>
      <c r="BR13" cm="1">
        <f t="array" ref="BR13">_xll.EQNXTDZ($A$1,$B13,BR$1)</f>
        <v>636.85</v>
      </c>
      <c r="BS13" cm="1">
        <f t="array" ref="BS13">_xll.EQNXTDZ($A$1,$B13,BS$1)</f>
        <v>652.75</v>
      </c>
      <c r="BT13" cm="1">
        <f t="array" ref="BT13">_xll.EQNXTDZ($A$1,$B13,BT$1)</f>
        <v>644</v>
      </c>
      <c r="BU13" cm="1">
        <f t="array" ref="BU13">_xll.EQNXTDZ($A$1,$B13,BU$1)</f>
        <v>569.5</v>
      </c>
      <c r="BV13" cm="1">
        <f t="array" ref="BV13">_xll.EQNXTDZ($A$1,$B13,BV$1)</f>
        <v>720</v>
      </c>
      <c r="BW13" cm="1">
        <f t="array" ref="BW13">_xll.EQNXTDZ($A$1,$B13,BW$1)</f>
        <v>596.20000000000005</v>
      </c>
      <c r="BX13" cm="1">
        <f t="array" ref="BX13">_xll.EQNXTDZ($A$1,$B13,BX$1)</f>
        <v>550</v>
      </c>
      <c r="BY13" cm="1">
        <f t="array" ref="BY13">_xll.EQNXTDZ($A$1,$B13,BY$1)</f>
        <v>586.95000000000005</v>
      </c>
      <c r="BZ13" cm="1">
        <f t="array" ref="BZ13">_xll.EQNXTDZ($A$1,$B13,BZ$1)</f>
        <v>588.85</v>
      </c>
      <c r="CA13" cm="1">
        <f t="array" ref="CA13">_xll.EQNXTDZ($A$1,$B13,CA$1)</f>
        <v>509</v>
      </c>
      <c r="CB13" cm="1">
        <f t="array" ref="CB13">_xll.EQNXTDZ($A$1,$B13,CB$1)</f>
        <v>450</v>
      </c>
      <c r="CC13" cm="1">
        <f t="array" ref="CC13">_xll.EQNXTDZ($A$1,$B13,CC$1)</f>
        <v>461.95</v>
      </c>
      <c r="CD13" cm="1">
        <f t="array" ref="CD13">_xll.EQNXTDZ($A$1,$B13,CD$1)</f>
        <v>464</v>
      </c>
      <c r="CE13" cm="1">
        <f t="array" ref="CE13">_xll.EQNXTDZ($A$1,$B13,CE$1)</f>
        <v>415</v>
      </c>
      <c r="CF13" cm="1">
        <f t="array" ref="CF13">_xll.EQNXTDZ($A$1,$B13,CF$1)</f>
        <v>410.3</v>
      </c>
      <c r="CG13" cm="1">
        <f t="array" ref="CG13">_xll.EQNXTDZ($A$1,$B13,CG$1)</f>
        <v>500</v>
      </c>
      <c r="CH13" cm="1">
        <f t="array" ref="CH13">_xll.EQNXTDZ($A$1,$B13,CH$1)</f>
        <v>435.75</v>
      </c>
      <c r="CI13" cm="1">
        <f t="array" ref="CI13">_xll.EQNXTDZ($A$1,$B13,CI$1)</f>
        <v>396.9</v>
      </c>
      <c r="CJ13" cm="1">
        <f t="array" ref="CJ13">_xll.EQNXTDZ($A$1,$B13,CJ$1)</f>
        <v>382.55</v>
      </c>
      <c r="CK13" cm="1">
        <f t="array" ref="CK13">_xll.EQNXTDZ($A$1,$B13,CK$1)</f>
        <v>238.5</v>
      </c>
      <c r="CL13" cm="1">
        <f t="array" ref="CL13">_xll.EQNXTDZ($A$1,$B13,CL$1)</f>
        <v>258</v>
      </c>
      <c r="CM13" cm="1">
        <f t="array" ref="CM13">_xll.EQNXTDZ($A$1,$B13,CM$1)</f>
        <v>337</v>
      </c>
      <c r="CN13" cm="1">
        <f t="array" ref="CN13">_xll.EQNXTDZ($A$1,$B13,CN$1)</f>
        <v>325</v>
      </c>
      <c r="CO13" cm="1">
        <f t="array" ref="CO13">_xll.EQNXTDZ($A$1,$B13,CO$1)</f>
        <v>360</v>
      </c>
      <c r="CP13" cm="1">
        <f t="array" ref="CP13">_xll.EQNXTDZ($A$1,$B13,CP$1)</f>
        <v>399.95</v>
      </c>
      <c r="CQ13" cm="1">
        <f t="array" ref="CQ13">_xll.EQNXTDZ($A$1,$B13,CQ$1)</f>
        <v>409.9</v>
      </c>
      <c r="CR13" cm="1">
        <f t="array" ref="CR13">_xll.EQNXTDZ($A$1,$B13,CR$1)</f>
        <v>413.65</v>
      </c>
      <c r="CS13" cm="1">
        <f t="array" ref="CS13">_xll.EQNXTDZ($A$1,$B13,CS$1)</f>
        <v>250</v>
      </c>
      <c r="CT13" cm="1">
        <f t="array" ref="CT13">_xll.EQNXTDZ($A$1,$B13,CT$1)</f>
        <v>406</v>
      </c>
      <c r="CU13" cm="1">
        <f t="array" ref="CU13">_xll.EQNXTDZ($A$1,$B13,CU$1)</f>
        <v>403</v>
      </c>
      <c r="CV13" cm="1">
        <f t="array" ref="CV13">_xll.EQNXTDZ($A$1,$B13,CV$1)</f>
        <v>505</v>
      </c>
      <c r="CW13" cm="1">
        <f t="array" ref="CW13">_xll.EQNXTDZ($A$1,$B13,CW$1)</f>
        <v>569</v>
      </c>
      <c r="CX13" cm="1">
        <f t="array" ref="CX13">_xll.EQNXTDZ($A$1,$B13,CX$1)</f>
        <v>800</v>
      </c>
      <c r="CY13" cm="1">
        <f t="array" ref="CY13">_xll.EQNXTDZ($A$1,$B13,CY$1)</f>
        <v>828</v>
      </c>
      <c r="CZ13" cm="1">
        <f t="array" ref="CZ13">_xll.EQNXTDZ($A$1,$B13,CZ$1)</f>
        <v>850</v>
      </c>
      <c r="DA13" cm="1">
        <f t="array" ref="DA13">_xll.EQNXTDZ($A$1,$B13,DA$1)</f>
        <v>1010</v>
      </c>
      <c r="DB13" cm="1">
        <f t="array" ref="DB13">_xll.EQNXTDZ($A$1,$B13,DB$1)</f>
        <v>934.9</v>
      </c>
      <c r="DC13" cm="1">
        <f t="array" ref="DC13">_xll.EQNXTDZ($A$1,$B13,DC$1)</f>
        <v>1115.05</v>
      </c>
      <c r="DD13" cm="1">
        <f t="array" ref="DD13">_xll.EQNXTDZ($A$1,$B13,DD$1)</f>
        <v>1660</v>
      </c>
      <c r="DE13" cm="1">
        <f t="array" ref="DE13">_xll.EQNXTDZ($A$1,$B13,DE$1)</f>
        <v>1730.05</v>
      </c>
      <c r="DF13" cm="1">
        <f t="array" ref="DF13">_xll.EQNXTDZ($A$1,$B13,DF$1)</f>
        <v>2600</v>
      </c>
      <c r="DG13" cm="1">
        <f t="array" ref="DG13">_xll.EQNXTDZ($A$1,$B13,DG$1)</f>
        <v>2815</v>
      </c>
      <c r="DH13" cm="1">
        <f t="array" ref="DH13">_xll.EQNXTDZ($A$1,$B13,DH$1)</f>
        <v>2720</v>
      </c>
      <c r="DI13" cm="1">
        <f t="array" ref="DI13">_xll.EQNXTDZ($A$1,$B13,DI$1)</f>
        <v>3320</v>
      </c>
      <c r="DJ13" cm="1">
        <f t="array" ref="DJ13">_xll.EQNXTDZ($A$1,$B13,DJ$1)</f>
        <v>4085</v>
      </c>
      <c r="DK13" cm="1">
        <f t="array" ref="DK13">_xll.EQNXTDZ($A$1,$B13,DK$1)</f>
        <v>4550</v>
      </c>
      <c r="DL13" cm="1">
        <f t="array" ref="DL13">_xll.EQNXTDZ($A$1,$B13,DL$1)</f>
        <v>3383</v>
      </c>
      <c r="DM13" cm="1">
        <f t="array" ref="DM13">_xll.EQNXTDZ($A$1,$B13,DM$1)</f>
        <v>3000</v>
      </c>
      <c r="DN13" cm="1">
        <f t="array" ref="DN13">_xll.EQNXTDZ($A$1,$B13,DN$1)</f>
        <v>3474</v>
      </c>
      <c r="DO13" cm="1">
        <f t="array" ref="DO13">_xll.EQNXTDZ($A$1,$B13,DO$1)</f>
        <v>3275</v>
      </c>
      <c r="DP13" cm="1">
        <f t="array" ref="DP13">_xll.EQNXTDZ($A$1,$B13,DP$1)</f>
        <v>2870</v>
      </c>
      <c r="DQ13" cm="1">
        <f t="array" ref="DQ13">_xll.EQNXTDZ($A$1,$B13,DQ$1)</f>
        <v>2902.15</v>
      </c>
      <c r="DR13" cm="1">
        <f t="array" ref="DR13">_xll.EQNXTDZ($A$1,$B13,DR$1)</f>
        <v>3199</v>
      </c>
      <c r="DS13" cm="1">
        <f t="array" ref="DS13">_xll.EQNXTDZ($A$1,$B13,DS$1)</f>
        <v>3267.8</v>
      </c>
      <c r="DT13" cm="1">
        <f t="array" ref="DT13">_xll.EQNXTDZ($A$1,$B13,DT$1)</f>
        <v>2867</v>
      </c>
      <c r="DU13" cm="1">
        <f t="array" ref="DU13">_xll.EQNXTDZ($A$1,$B13,DU$1)</f>
        <v>3420</v>
      </c>
      <c r="DV13" cm="1">
        <f t="array" ref="DV13">_xll.EQNXTDZ($A$1,$B13,DV$1)</f>
        <v>3466</v>
      </c>
      <c r="DW13" cm="1">
        <f t="array" ref="DW13">_xll.EQNXTDZ($A$1,$B13,DW$1)</f>
        <v>3163.85</v>
      </c>
      <c r="DX13" cm="1">
        <f t="array" ref="DX13">_xll.EQNXTDZ($A$1,$B13,DX$1)</f>
        <v>3030</v>
      </c>
      <c r="DY13" cm="1">
        <f t="array" ref="DY13">_xll.EQNXTDZ($A$1,$B13,DY$1)</f>
        <v>3030.05</v>
      </c>
      <c r="DZ13" cm="1">
        <f t="array" ref="DZ13">_xll.EQNXTDZ($A$1,$B13,DZ$1)</f>
        <v>2715.05</v>
      </c>
      <c r="EA13" cm="1">
        <f t="array" ref="EA13">_xll.EQNXTDZ($A$1,$B13,EA$1)</f>
        <v>2387.25</v>
      </c>
      <c r="EB13" cm="1">
        <f t="array" ref="EB13">_xll.EQNXTDZ($A$1,$B13,EB$1)</f>
        <v>2211.9499999999998</v>
      </c>
      <c r="EC13" cm="1">
        <f t="array" ref="EC13">_xll.EQNXTDZ($A$1,$B13,EC$1)</f>
        <v>1978.95</v>
      </c>
      <c r="ED13" cm="1">
        <f t="array" ref="ED13">_xll.EQNXTDZ($A$1,$B13,ED$1)</f>
        <v>2149.35</v>
      </c>
      <c r="EE13" cm="1">
        <f t="array" ref="EE13">_xll.EQNXTDZ($A$1,$B13,EE$1)</f>
        <v>2148.9499999999998</v>
      </c>
      <c r="EF13" cm="1">
        <f t="array" ref="EF13">_xll.EQNXTDZ($A$1,$B13,EF$1)</f>
        <v>2333.85</v>
      </c>
      <c r="EG13" cm="1">
        <f t="array" ref="EG13">_xll.EQNXTDZ($A$1,$B13,EG$1)</f>
        <v>2184.1999999999998</v>
      </c>
      <c r="EH13" cm="1">
        <f t="array" ref="EH13">_xll.EQNXTDZ($A$1,$B13,EH$1)</f>
        <v>2248.9499999999998</v>
      </c>
      <c r="EI13" cm="1">
        <f t="array" ref="EI13">_xll.EQNXTDZ($A$1,$B13,EI$1)</f>
        <v>2176.0500000000002</v>
      </c>
      <c r="EJ13" cm="1">
        <f t="array" ref="EJ13">_xll.EQNXTDZ($A$1,$B13,EJ$1)</f>
        <v>2047.9</v>
      </c>
      <c r="EK13" cm="1">
        <f t="array" ref="EK13">_xll.EQNXTDZ($A$1,$B13,EK$1)</f>
        <v>2045.55</v>
      </c>
      <c r="EL13" cm="1">
        <f t="array" ref="EL13">_xll.EQNXTDZ($A$1,$B13,EL$1)</f>
        <v>2709.9</v>
      </c>
      <c r="EM13" cm="1">
        <f t="array" ref="EM13">_xll.EQNXTDZ($A$1,$B13,EM$1)</f>
        <v>2401.9499999999998</v>
      </c>
      <c r="EN13" cm="1">
        <f t="array" ref="EN13">_xll.EQNXTDZ($A$1,$B13,EN$1)</f>
        <v>2199.9499999999998</v>
      </c>
      <c r="EO13" cm="1">
        <f t="array" ref="EO13">_xll.EQNXTDZ($A$1,$B13,EO$1)</f>
        <v>2044.5</v>
      </c>
      <c r="EP13" cm="1">
        <f t="array" ref="EP13">_xll.EQNXTDZ($A$1,$B13,EP$1)</f>
        <v>2188.0500000000002</v>
      </c>
      <c r="EQ13" cm="1">
        <f t="array" ref="EQ13">_xll.EQNXTDZ($A$1,$B13,EQ$1)</f>
        <v>2100</v>
      </c>
      <c r="ER13" cm="1">
        <f t="array" ref="ER13">_xll.EQNXTDZ($A$1,$B13,ER$1)</f>
        <v>2310</v>
      </c>
      <c r="ES13" cm="1">
        <f t="array" ref="ES13">_xll.EQNXTDZ($A$1,$B13,ES$1)</f>
        <v>2514.35</v>
      </c>
      <c r="ET13" cm="1">
        <f t="array" ref="ET13">_xll.EQNXTDZ($A$1,$B13,ET$1)</f>
        <v>2225.4</v>
      </c>
      <c r="EU13" cm="1">
        <f t="array" ref="EU13">_xll.EQNXTDZ($A$1,$B13,EU$1)</f>
        <v>2271.65</v>
      </c>
      <c r="EV13" cm="1">
        <f t="array" ref="EV13">_xll.EQNXTDZ($A$1,$B13,EV$1)</f>
        <v>2131.0500000000002</v>
      </c>
      <c r="EW13" cm="1">
        <f t="array" ref="EW13">_xll.EQNXTDZ($A$1,$B13,EW$1)</f>
        <v>2067.5</v>
      </c>
      <c r="EX13" cm="1">
        <f t="array" ref="EX13">_xll.EQNXTDZ($A$1,$B13,EX$1)</f>
        <v>1799.95</v>
      </c>
      <c r="EY13" cm="1">
        <f t="array" ref="EY13">_xll.EQNXTDZ($A$1,$B13,EY$1)</f>
        <v>1720</v>
      </c>
      <c r="EZ13" cm="1">
        <f t="array" ref="EZ13">_xll.EQNXTDZ($A$1,$B13,EZ$1)</f>
        <v>1304.75</v>
      </c>
      <c r="FA13" cm="1">
        <f t="array" ref="FA13">_xll.EQNXTDZ($A$1,$B13,FA$1)</f>
        <v>1220</v>
      </c>
      <c r="FB13" cm="1">
        <f t="array" ref="FB13">_xll.EQNXTDZ($A$1,$B13,FB$1)</f>
        <v>1280</v>
      </c>
      <c r="FC13" cm="1">
        <f t="array" ref="FC13">_xll.EQNXTDZ($A$1,$B13,FC$1)</f>
        <v>1435.2</v>
      </c>
      <c r="FD13" cm="1">
        <f t="array" ref="FD13">_xll.EQNXTDZ($A$1,$B13,FD$1)</f>
        <v>1847.95</v>
      </c>
      <c r="FE13" cm="1">
        <f t="array" ref="FE13">_xll.EQNXTDZ($A$1,$B13,FE$1)</f>
        <v>1794.1</v>
      </c>
      <c r="FF13" cm="1">
        <f t="array" ref="FF13">_xll.EQNXTDZ($A$1,$B13,FF$1)</f>
        <v>1494.95</v>
      </c>
      <c r="FG13" cm="1">
        <f t="array" ref="FG13">_xll.EQNXTDZ($A$1,$B13,FG$1)</f>
        <v>1376.65</v>
      </c>
      <c r="FH13" cm="1">
        <f t="array" ref="FH13">_xll.EQNXTDZ($A$1,$B13,FH$1)</f>
        <v>1428.8</v>
      </c>
      <c r="FI13" cm="1">
        <f t="array" ref="FI13">_xll.EQNXTDZ($A$1,$B13,FI$1)</f>
        <v>1152.9000000000001</v>
      </c>
      <c r="FJ13" cm="1">
        <f t="array" ref="FJ13">_xll.EQNXTDZ($A$1,$B13,FJ$1)</f>
        <v>1118.5999999999999</v>
      </c>
      <c r="FK13" cm="1">
        <f t="array" ref="FK13">_xll.EQNXTDZ($A$1,$B13,FK$1)</f>
        <v>1117.8</v>
      </c>
      <c r="FL13" cm="1">
        <f t="array" ref="FL13">_xll.EQNXTDZ($A$1,$B13,FL$1)</f>
        <v>905.15</v>
      </c>
      <c r="FM13" cm="1">
        <f t="array" ref="FM13">_xll.EQNXTDZ($A$1,$B13,FM$1)</f>
        <v>998</v>
      </c>
      <c r="FN13" cm="1">
        <f t="array" ref="FN13">_xll.EQNXTDZ($A$1,$B13,FN$1)</f>
        <v>1360</v>
      </c>
      <c r="FO13" cm="1">
        <f t="array" ref="FO13">_xll.EQNXTDZ($A$1,$B13,FO$1)</f>
        <v>1787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38.4</v>
      </c>
      <c r="D14" s="116" cm="1">
        <f t="array" ref="D14">_xll.EQNXTDZ($A$1,$B14,D$1)</f>
        <v>43.45</v>
      </c>
      <c r="E14" s="116" cm="1">
        <f t="array" ref="E14">_xll.EQNXTDZ($A$1,$B14,E$1)</f>
        <v>49</v>
      </c>
      <c r="F14" s="116" cm="1">
        <f t="array" ref="F14">_xll.EQNXTDZ($A$1,$B14,F$1)</f>
        <v>59.65</v>
      </c>
      <c r="G14" s="116" cm="1">
        <f t="array" ref="G14">_xll.EQNXTDZ($A$1,$B14,G$1)</f>
        <v>66.7</v>
      </c>
      <c r="H14" s="116" cm="1">
        <f t="array" ref="H14">_xll.EQNXTDZ($A$1,$B14,H$1)</f>
        <v>59</v>
      </c>
      <c r="I14" s="116" cm="1">
        <f t="array" ref="I14">_xll.EQNXTDZ($A$1,$B14,I$1)</f>
        <v>59</v>
      </c>
      <c r="J14" s="116" cm="1">
        <f t="array" ref="J14">_xll.EQNXTDZ($A$1,$B14,J$1)</f>
        <v>56.5</v>
      </c>
      <c r="K14" s="116" cm="1">
        <f t="array" ref="K14">_xll.EQNXTDZ($A$1,$B14,K$1)</f>
        <v>48.85</v>
      </c>
      <c r="L14" s="116" cm="1">
        <f t="array" ref="L14">_xll.EQNXTDZ($A$1,$B14,L$1)</f>
        <v>41.9</v>
      </c>
      <c r="M14" s="116" cm="1">
        <f t="array" ref="M14">_xll.EQNXTDZ($A$1,$B14,M$1)</f>
        <v>41.8</v>
      </c>
      <c r="N14" s="116" cm="1">
        <f t="array" ref="N14">_xll.EQNXTDZ($A$1,$B14,N$1)</f>
        <v>40.6</v>
      </c>
      <c r="O14" s="116" cm="1">
        <f t="array" ref="O14">_xll.EQNXTDZ($A$1,$B14,O$1)</f>
        <v>37.25</v>
      </c>
      <c r="P14" s="116" cm="1">
        <f t="array" ref="P14">_xll.EQNXTDZ($A$1,$B14,P$1)</f>
        <v>35.5</v>
      </c>
      <c r="Q14" s="116" cm="1">
        <f t="array" ref="Q14">_xll.EQNXTDZ($A$1,$B14,Q$1)</f>
        <v>35.4</v>
      </c>
      <c r="R14" s="116" cm="1">
        <f t="array" ref="R14">_xll.EQNXTDZ($A$1,$B14,R$1)</f>
        <v>41</v>
      </c>
      <c r="S14" s="116" cm="1">
        <f t="array" ref="S14">_xll.EQNXTDZ($A$1,$B14,S$1)</f>
        <v>37.9</v>
      </c>
      <c r="T14" s="116" cm="1">
        <f t="array" ref="T14">_xll.EQNXTDZ($A$1,$B14,T$1)</f>
        <v>45.7</v>
      </c>
      <c r="U14" s="116" cm="1">
        <f t="array" ref="U14">_xll.EQNXTDZ($A$1,$B14,U$1)</f>
        <v>54.8</v>
      </c>
      <c r="V14" s="116" cm="1">
        <f t="array" ref="V14">_xll.EQNXTDZ($A$1,$B14,V$1)</f>
        <v>53.9</v>
      </c>
      <c r="W14" s="116" cm="1">
        <f t="array" ref="W14">_xll.EQNXTDZ($A$1,$B14,W$1)</f>
        <v>40.5</v>
      </c>
      <c r="X14" s="116" cm="1">
        <f t="array" ref="X14">_xll.EQNXTDZ($A$1,$B14,X$1)</f>
        <v>43.5</v>
      </c>
      <c r="Y14" s="116" cm="1">
        <f t="array" ref="Y14">_xll.EQNXTDZ($A$1,$B14,Y$1)</f>
        <v>44.9</v>
      </c>
      <c r="Z14" s="116" cm="1">
        <f t="array" ref="Z14">_xll.EQNXTDZ($A$1,$B14,Z$1)</f>
        <v>53</v>
      </c>
      <c r="AA14" s="116" cm="1">
        <f t="array" ref="AA14">_xll.EQNXTDZ($A$1,$B14,AA$1)</f>
        <v>65.8</v>
      </c>
      <c r="AB14" s="116" cm="1">
        <f t="array" ref="AB14">_xll.EQNXTDZ($A$1,$B14,AB$1)</f>
        <v>82.4</v>
      </c>
      <c r="AC14" s="116" cm="1">
        <f t="array" ref="AC14">_xll.EQNXTDZ($A$1,$B14,AC$1)</f>
        <v>94</v>
      </c>
      <c r="AD14" s="116" cm="1">
        <f t="array" ref="AD14">_xll.EQNXTDZ($A$1,$B14,AD$1)</f>
        <v>99</v>
      </c>
      <c r="AE14" s="116" cm="1">
        <f t="array" ref="AE14">_xll.EQNXTDZ($A$1,$B14,AE$1)</f>
        <v>86.4</v>
      </c>
      <c r="AF14" s="116" cm="1">
        <f t="array" ref="AF14">_xll.EQNXTDZ($A$1,$B14,AF$1)</f>
        <v>82</v>
      </c>
      <c r="AG14" s="116" cm="1">
        <f t="array" ref="AG14">_xll.EQNXTDZ($A$1,$B14,AG$1)</f>
        <v>77</v>
      </c>
      <c r="AH14" s="116" cm="1">
        <f t="array" ref="AH14">_xll.EQNXTDZ($A$1,$B14,AH$1)</f>
        <v>82.5</v>
      </c>
      <c r="AI14" s="116" cm="1">
        <f t="array" ref="AI14">_xll.EQNXTDZ($A$1,$B14,AI$1)</f>
        <v>84.8</v>
      </c>
      <c r="AJ14" s="116" cm="1">
        <f t="array" ref="AJ14">_xll.EQNXTDZ($A$1,$B14,AJ$1)</f>
        <v>89.1</v>
      </c>
      <c r="AK14" s="116" cm="1">
        <f t="array" ref="AK14">_xll.EQNXTDZ($A$1,$B14,AK$1)</f>
        <v>128.4</v>
      </c>
      <c r="AL14" s="116" cm="1">
        <f t="array" ref="AL14">_xll.EQNXTDZ($A$1,$B14,AL$1)</f>
        <v>123.8</v>
      </c>
      <c r="AM14" s="116" cm="1">
        <f t="array" ref="AM14">_xll.EQNXTDZ($A$1,$B14,AM$1)</f>
        <v>118.5</v>
      </c>
      <c r="AN14" s="116" cm="1">
        <f t="array" ref="AN14">_xll.EQNXTDZ($A$1,$B14,AN$1)</f>
        <v>144</v>
      </c>
      <c r="AO14" s="116" cm="1">
        <f t="array" ref="AO14">_xll.EQNXTDZ($A$1,$B14,AO$1)</f>
        <v>163.6</v>
      </c>
      <c r="AP14" s="116" cm="1">
        <f t="array" ref="AP14">_xll.EQNXTDZ($A$1,$B14,AP$1)</f>
        <v>134</v>
      </c>
      <c r="AQ14" s="116" cm="1">
        <f t="array" ref="AQ14">_xll.EQNXTDZ($A$1,$B14,AQ$1)</f>
        <v>151</v>
      </c>
      <c r="AR14" s="116" cm="1">
        <f t="array" ref="AR14">_xll.EQNXTDZ($A$1,$B14,AR$1)</f>
        <v>143</v>
      </c>
      <c r="AS14" s="116" cm="1">
        <f t="array" ref="AS14">_xll.EQNXTDZ($A$1,$B14,AS$1)</f>
        <v>168.4</v>
      </c>
      <c r="AT14" s="116" cm="1">
        <f t="array" ref="AT14">_xll.EQNXTDZ($A$1,$B14,AT$1)</f>
        <v>166</v>
      </c>
      <c r="AU14" s="116" cm="1">
        <f t="array" ref="AU14">_xll.EQNXTDZ($A$1,$B14,AU$1)</f>
        <v>166.7</v>
      </c>
      <c r="AV14" s="116" cm="1">
        <f t="array" ref="AV14">_xll.EQNXTDZ($A$1,$B14,AV$1)</f>
        <v>184.9</v>
      </c>
      <c r="AW14" s="116" cm="1">
        <f t="array" ref="AW14">_xll.EQNXTDZ($A$1,$B14,AW$1)</f>
        <v>210.4</v>
      </c>
      <c r="AX14" s="116" cm="1">
        <f t="array" ref="AX14">_xll.EQNXTDZ($A$1,$B14,AX$1)</f>
        <v>239.05</v>
      </c>
      <c r="AY14" s="116" cm="1">
        <f t="array" ref="AY14">_xll.EQNXTDZ($A$1,$B14,AY$1)</f>
        <v>282.5</v>
      </c>
      <c r="AZ14" s="116" cm="1">
        <f t="array" ref="AZ14">_xll.EQNXTDZ($A$1,$B14,AZ$1)</f>
        <v>300</v>
      </c>
      <c r="BA14" s="116" cm="1">
        <f t="array" ref="BA14">_xll.EQNXTDZ($A$1,$B14,BA$1)</f>
        <v>310.5</v>
      </c>
      <c r="BB14" s="116" cm="1">
        <f t="array" ref="BB14">_xll.EQNXTDZ($A$1,$B14,BB$1)</f>
        <v>329</v>
      </c>
      <c r="BC14" s="116" cm="1">
        <f t="array" ref="BC14">_xll.EQNXTDZ($A$1,$B14,BC$1)</f>
        <v>371.15</v>
      </c>
      <c r="BD14" s="116" cm="1">
        <f t="array" ref="BD14">_xll.EQNXTDZ($A$1,$B14,BD$1)</f>
        <v>380</v>
      </c>
      <c r="BE14" s="116" cm="1">
        <f t="array" ref="BE14">_xll.EQNXTDZ($A$1,$B14,BE$1)</f>
        <v>345</v>
      </c>
      <c r="BF14" s="116" cm="1">
        <f t="array" ref="BF14">_xll.EQNXTDZ($A$1,$B14,BF$1)</f>
        <v>369.2</v>
      </c>
      <c r="BG14" s="116" cm="1">
        <f t="array" ref="BG14">_xll.EQNXTDZ($A$1,$B14,BG$1)</f>
        <v>380</v>
      </c>
      <c r="BH14" s="116" cm="1">
        <f t="array" ref="BH14">_xll.EQNXTDZ($A$1,$B14,BH$1)</f>
        <v>400</v>
      </c>
      <c r="BI14" s="116" cm="1">
        <f t="array" ref="BI14">_xll.EQNXTDZ($A$1,$B14,BI$1)</f>
        <v>401.1</v>
      </c>
      <c r="BJ14" s="116" cm="1">
        <f t="array" ref="BJ14">_xll.EQNXTDZ($A$1,$B14,BJ$1)</f>
        <v>399.5</v>
      </c>
      <c r="BK14" s="116" cm="1">
        <f t="array" ref="BK14">_xll.EQNXTDZ($A$1,$B14,BK$1)</f>
        <v>362.9</v>
      </c>
      <c r="BL14" s="116" cm="1">
        <f t="array" ref="BL14">_xll.EQNXTDZ($A$1,$B14,BL$1)</f>
        <v>382</v>
      </c>
      <c r="BM14" s="116" cm="1">
        <f t="array" ref="BM14">_xll.EQNXTDZ($A$1,$B14,BM$1)</f>
        <v>338.05</v>
      </c>
      <c r="BN14" s="116" cm="1">
        <f t="array" ref="BN14">_xll.EQNXTDZ($A$1,$B14,BN$1)</f>
        <v>390</v>
      </c>
      <c r="BO14" s="116" cm="1">
        <f t="array" ref="BO14">_xll.EQNXTDZ($A$1,$B14,BO$1)</f>
        <v>532.04999999999995</v>
      </c>
      <c r="BP14" s="116" cm="1">
        <f t="array" ref="BP14">_xll.EQNXTDZ($A$1,$B14,BP$1)</f>
        <v>668.4</v>
      </c>
      <c r="BQ14" s="116" cm="1">
        <f t="array" ref="BQ14">_xll.EQNXTDZ($A$1,$B14,BQ$1)</f>
        <v>675</v>
      </c>
      <c r="BR14" s="116" cm="1">
        <f t="array" ref="BR14">_xll.EQNXTDZ($A$1,$B14,BR$1)</f>
        <v>781</v>
      </c>
      <c r="BS14" s="116" cm="1">
        <f t="array" ref="BS14">_xll.EQNXTDZ($A$1,$B14,BS$1)</f>
        <v>698.5</v>
      </c>
      <c r="BT14" s="116" cm="1">
        <f t="array" ref="BT14">_xll.EQNXTDZ($A$1,$B14,BT$1)</f>
        <v>653.54999999999995</v>
      </c>
      <c r="BU14" s="116" cm="1">
        <f t="array" ref="BU14">_xll.EQNXTDZ($A$1,$B14,BU$1)</f>
        <v>727.05</v>
      </c>
      <c r="BV14" s="116" cm="1">
        <f t="array" ref="BV14">_xll.EQNXTDZ($A$1,$B14,BV$1)</f>
        <v>723.4</v>
      </c>
      <c r="BW14" s="116" cm="1">
        <f t="array" ref="BW14">_xll.EQNXTDZ($A$1,$B14,BW$1)</f>
        <v>630</v>
      </c>
      <c r="BX14" s="116" cm="1">
        <f t="array" ref="BX14">_xll.EQNXTDZ($A$1,$B14,BX$1)</f>
        <v>599</v>
      </c>
      <c r="BY14" s="116" cm="1">
        <f t="array" ref="BY14">_xll.EQNXTDZ($A$1,$B14,BY$1)</f>
        <v>601.45000000000005</v>
      </c>
      <c r="BZ14" s="116" cm="1">
        <f t="array" ref="BZ14">_xll.EQNXTDZ($A$1,$B14,BZ$1)</f>
        <v>590</v>
      </c>
      <c r="CA14" s="116" cm="1">
        <f t="array" ref="CA14">_xll.EQNXTDZ($A$1,$B14,CA$1)</f>
        <v>520</v>
      </c>
      <c r="CB14" s="116" cm="1">
        <f t="array" ref="CB14">_xll.EQNXTDZ($A$1,$B14,CB$1)</f>
        <v>514</v>
      </c>
      <c r="CC14" s="116" cm="1">
        <f t="array" ref="CC14">_xll.EQNXTDZ($A$1,$B14,CC$1)</f>
        <v>474.6</v>
      </c>
      <c r="CD14" s="116" cm="1">
        <f t="array" ref="CD14">_xll.EQNXTDZ($A$1,$B14,CD$1)</f>
        <v>508</v>
      </c>
      <c r="CE14" s="116" cm="1">
        <f t="array" ref="CE14">_xll.EQNXTDZ($A$1,$B14,CE$1)</f>
        <v>425</v>
      </c>
      <c r="CF14" s="116" cm="1">
        <f t="array" ref="CF14">_xll.EQNXTDZ($A$1,$B14,CF$1)</f>
        <v>510.75</v>
      </c>
      <c r="CG14" s="116" cm="1">
        <f t="array" ref="CG14">_xll.EQNXTDZ($A$1,$B14,CG$1)</f>
        <v>539</v>
      </c>
      <c r="CH14" s="116" cm="1">
        <f t="array" ref="CH14">_xll.EQNXTDZ($A$1,$B14,CH$1)</f>
        <v>452.45</v>
      </c>
      <c r="CI14" s="116" cm="1">
        <f t="array" ref="CI14">_xll.EQNXTDZ($A$1,$B14,CI$1)</f>
        <v>409.1</v>
      </c>
      <c r="CJ14" s="116" cm="1">
        <f t="array" ref="CJ14">_xll.EQNXTDZ($A$1,$B14,CJ$1)</f>
        <v>382.55</v>
      </c>
      <c r="CK14" s="116" cm="1">
        <f t="array" ref="CK14">_xll.EQNXTDZ($A$1,$B14,CK$1)</f>
        <v>274.95</v>
      </c>
      <c r="CL14" s="116" cm="1">
        <f t="array" ref="CL14">_xll.EQNXTDZ($A$1,$B14,CL$1)</f>
        <v>361.85</v>
      </c>
      <c r="CM14" s="116" cm="1">
        <f t="array" ref="CM14">_xll.EQNXTDZ($A$1,$B14,CM$1)</f>
        <v>346.25</v>
      </c>
      <c r="CN14" s="116" cm="1">
        <f t="array" ref="CN14">_xll.EQNXTDZ($A$1,$B14,CN$1)</f>
        <v>400</v>
      </c>
      <c r="CO14" s="116" cm="1">
        <f t="array" ref="CO14">_xll.EQNXTDZ($A$1,$B14,CO$1)</f>
        <v>414.8</v>
      </c>
      <c r="CP14" s="116" cm="1">
        <f t="array" ref="CP14">_xll.EQNXTDZ($A$1,$B14,CP$1)</f>
        <v>486.6</v>
      </c>
      <c r="CQ14" s="116" cm="1">
        <f t="array" ref="CQ14">_xll.EQNXTDZ($A$1,$B14,CQ$1)</f>
        <v>475</v>
      </c>
      <c r="CR14" s="116" cm="1">
        <f t="array" ref="CR14">_xll.EQNXTDZ($A$1,$B14,CR$1)</f>
        <v>421.7</v>
      </c>
      <c r="CS14" s="116" cm="1">
        <f t="array" ref="CS14">_xll.EQNXTDZ($A$1,$B14,CS$1)</f>
        <v>485</v>
      </c>
      <c r="CT14" s="116" cm="1">
        <f t="array" ref="CT14">_xll.EQNXTDZ($A$1,$B14,CT$1)</f>
        <v>428.95</v>
      </c>
      <c r="CU14" s="116" cm="1">
        <f t="array" ref="CU14">_xll.EQNXTDZ($A$1,$B14,CU$1)</f>
        <v>543.95000000000005</v>
      </c>
      <c r="CV14" s="116" cm="1">
        <f t="array" ref="CV14">_xll.EQNXTDZ($A$1,$B14,CV$1)</f>
        <v>646.79999999999995</v>
      </c>
      <c r="CW14" s="116" cm="1">
        <f t="array" ref="CW14">_xll.EQNXTDZ($A$1,$B14,CW$1)</f>
        <v>995</v>
      </c>
      <c r="CX14" s="116" cm="1">
        <f t="array" ref="CX14">_xll.EQNXTDZ($A$1,$B14,CX$1)</f>
        <v>949.7</v>
      </c>
      <c r="CY14" s="116" cm="1">
        <f t="array" ref="CY14">_xll.EQNXTDZ($A$1,$B14,CY$1)</f>
        <v>887.7</v>
      </c>
      <c r="CZ14" s="116" cm="1">
        <f t="array" ref="CZ14">_xll.EQNXTDZ($A$1,$B14,CZ$1)</f>
        <v>1054</v>
      </c>
      <c r="DA14" s="116" cm="1">
        <f t="array" ref="DA14">_xll.EQNXTDZ($A$1,$B14,DA$1)</f>
        <v>1034.4000000000001</v>
      </c>
      <c r="DB14" s="116" cm="1">
        <f t="array" ref="DB14">_xll.EQNXTDZ($A$1,$B14,DB$1)</f>
        <v>1314.35</v>
      </c>
      <c r="DC14" s="116" cm="1">
        <f t="array" ref="DC14">_xll.EQNXTDZ($A$1,$B14,DC$1)</f>
        <v>1756</v>
      </c>
      <c r="DD14" s="116" cm="1">
        <f t="array" ref="DD14">_xll.EQNXTDZ($A$1,$B14,DD$1)</f>
        <v>1905.7</v>
      </c>
      <c r="DE14" s="116" cm="1">
        <f t="array" ref="DE14">_xll.EQNXTDZ($A$1,$B14,DE$1)</f>
        <v>2674.25</v>
      </c>
      <c r="DF14" s="116" cm="1">
        <f t="array" ref="DF14">_xll.EQNXTDZ($A$1,$B14,DF$1)</f>
        <v>2959.95</v>
      </c>
      <c r="DG14" s="116" cm="1">
        <f t="array" ref="DG14">_xll.EQNXTDZ($A$1,$B14,DG$1)</f>
        <v>2828.2</v>
      </c>
      <c r="DH14" s="116" cm="1">
        <f t="array" ref="DH14">_xll.EQNXTDZ($A$1,$B14,DH$1)</f>
        <v>3445</v>
      </c>
      <c r="DI14" s="116" cm="1">
        <f t="array" ref="DI14">_xll.EQNXTDZ($A$1,$B14,DI$1)</f>
        <v>4095.45</v>
      </c>
      <c r="DJ14" s="116" cm="1">
        <f t="array" ref="DJ14">_xll.EQNXTDZ($A$1,$B14,DJ$1)</f>
        <v>5220</v>
      </c>
      <c r="DK14" s="116" cm="1">
        <f t="array" ref="DK14">_xll.EQNXTDZ($A$1,$B14,DK$1)</f>
        <v>4799</v>
      </c>
      <c r="DL14" s="116" cm="1">
        <f t="array" ref="DL14">_xll.EQNXTDZ($A$1,$B14,DL$1)</f>
        <v>3499.95</v>
      </c>
      <c r="DM14" s="116" cm="1">
        <f t="array" ref="DM14">_xll.EQNXTDZ($A$1,$B14,DM$1)</f>
        <v>3432.35</v>
      </c>
      <c r="DN14" s="116" cm="1">
        <f t="array" ref="DN14">_xll.EQNXTDZ($A$1,$B14,DN$1)</f>
        <v>3936.95</v>
      </c>
      <c r="DO14" s="116" cm="1">
        <f t="array" ref="DO14">_xll.EQNXTDZ($A$1,$B14,DO$1)</f>
        <v>3711.35</v>
      </c>
      <c r="DP14" s="116" cm="1">
        <f t="array" ref="DP14">_xll.EQNXTDZ($A$1,$B14,DP$1)</f>
        <v>3169</v>
      </c>
      <c r="DQ14" s="116" cm="1">
        <f t="array" ref="DQ14">_xll.EQNXTDZ($A$1,$B14,DQ$1)</f>
        <v>3505</v>
      </c>
      <c r="DR14" s="116" cm="1">
        <f t="array" ref="DR14">_xll.EQNXTDZ($A$1,$B14,DR$1)</f>
        <v>3260</v>
      </c>
      <c r="DS14" s="116" cm="1">
        <f t="array" ref="DS14">_xll.EQNXTDZ($A$1,$B14,DS$1)</f>
        <v>3454</v>
      </c>
      <c r="DT14" s="116" cm="1">
        <f t="array" ref="DT14">_xll.EQNXTDZ($A$1,$B14,DT$1)</f>
        <v>3449.05</v>
      </c>
      <c r="DU14" s="116" cm="1">
        <f t="array" ref="DU14">_xll.EQNXTDZ($A$1,$B14,DU$1)</f>
        <v>3830</v>
      </c>
      <c r="DV14" s="116" cm="1">
        <f t="array" ref="DV14">_xll.EQNXTDZ($A$1,$B14,DV$1)</f>
        <v>3841.85</v>
      </c>
      <c r="DW14" s="116" cm="1">
        <f t="array" ref="DW14">_xll.EQNXTDZ($A$1,$B14,DW$1)</f>
        <v>3267.25</v>
      </c>
      <c r="DX14" s="116" cm="1">
        <f t="array" ref="DX14">_xll.EQNXTDZ($A$1,$B14,DX$1)</f>
        <v>3116.2</v>
      </c>
      <c r="DY14" s="116" cm="1">
        <f t="array" ref="DY14">_xll.EQNXTDZ($A$1,$B14,DY$1)</f>
        <v>3100</v>
      </c>
      <c r="DZ14" s="116" cm="1">
        <f t="array" ref="DZ14">_xll.EQNXTDZ($A$1,$B14,DZ$1)</f>
        <v>2727.65</v>
      </c>
      <c r="EA14" s="116" cm="1">
        <f t="array" ref="EA14">_xll.EQNXTDZ($A$1,$B14,EA$1)</f>
        <v>2433.9499999999998</v>
      </c>
      <c r="EB14" s="116" cm="1">
        <f t="array" ref="EB14">_xll.EQNXTDZ($A$1,$B14,EB$1)</f>
        <v>2288</v>
      </c>
      <c r="EC14" s="116" cm="1">
        <f t="array" ref="EC14">_xll.EQNXTDZ($A$1,$B14,EC$1)</f>
        <v>2548.6999999999998</v>
      </c>
      <c r="ED14" s="116" cm="1">
        <f t="array" ref="ED14">_xll.EQNXTDZ($A$1,$B14,ED$1)</f>
        <v>2448.9</v>
      </c>
      <c r="EE14" s="116" cm="1">
        <f t="array" ref="EE14">_xll.EQNXTDZ($A$1,$B14,EE$1)</f>
        <v>2457.6</v>
      </c>
      <c r="EF14" s="116" cm="1">
        <f t="array" ref="EF14">_xll.EQNXTDZ($A$1,$B14,EF$1)</f>
        <v>2350.65</v>
      </c>
      <c r="EG14" s="116" cm="1">
        <f t="array" ref="EG14">_xll.EQNXTDZ($A$1,$B14,EG$1)</f>
        <v>2355</v>
      </c>
      <c r="EH14" s="116" cm="1">
        <f t="array" ref="EH14">_xll.EQNXTDZ($A$1,$B14,EH$1)</f>
        <v>2320.85</v>
      </c>
      <c r="EI14" s="116" cm="1">
        <f t="array" ref="EI14">_xll.EQNXTDZ($A$1,$B14,EI$1)</f>
        <v>2250</v>
      </c>
      <c r="EJ14" s="116" cm="1">
        <f t="array" ref="EJ14">_xll.EQNXTDZ($A$1,$B14,EJ$1)</f>
        <v>2128.8000000000002</v>
      </c>
      <c r="EK14" s="116" cm="1">
        <f t="array" ref="EK14">_xll.EQNXTDZ($A$1,$B14,EK$1)</f>
        <v>2721.2</v>
      </c>
      <c r="EL14" s="116" cm="1">
        <f t="array" ref="EL14">_xll.EQNXTDZ($A$1,$B14,EL$1)</f>
        <v>2736.35</v>
      </c>
      <c r="EM14" s="116" cm="1">
        <f t="array" ref="EM14">_xll.EQNXTDZ($A$1,$B14,EM$1)</f>
        <v>2440</v>
      </c>
      <c r="EN14" s="116" cm="1">
        <f t="array" ref="EN14">_xll.EQNXTDZ($A$1,$B14,EN$1)</f>
        <v>2430</v>
      </c>
      <c r="EO14" s="116" cm="1">
        <f t="array" ref="EO14">_xll.EQNXTDZ($A$1,$B14,EO$1)</f>
        <v>2326</v>
      </c>
      <c r="EP14" s="116" cm="1">
        <f t="array" ref="EP14">_xll.EQNXTDZ($A$1,$B14,EP$1)</f>
        <v>2422.4499999999998</v>
      </c>
      <c r="EQ14" s="116" cm="1">
        <f t="array" ref="EQ14">_xll.EQNXTDZ($A$1,$B14,EQ$1)</f>
        <v>2508.5</v>
      </c>
      <c r="ER14" s="116" cm="1">
        <f t="array" ref="ER14">_xll.EQNXTDZ($A$1,$B14,ER$1)</f>
        <v>2530</v>
      </c>
      <c r="ES14" s="116" cm="1">
        <f t="array" ref="ES14">_xll.EQNXTDZ($A$1,$B14,ES$1)</f>
        <v>2550.15</v>
      </c>
      <c r="ET14" s="116" cm="1">
        <f t="array" ref="ET14">_xll.EQNXTDZ($A$1,$B14,ET$1)</f>
        <v>2431.6999999999998</v>
      </c>
      <c r="EU14" s="116" cm="1">
        <f t="array" ref="EU14">_xll.EQNXTDZ($A$1,$B14,EU$1)</f>
        <v>2370</v>
      </c>
      <c r="EV14" s="116" cm="1">
        <f t="array" ref="EV14">_xll.EQNXTDZ($A$1,$B14,EV$1)</f>
        <v>2175</v>
      </c>
      <c r="EW14" s="116" cm="1">
        <f t="array" ref="EW14">_xll.EQNXTDZ($A$1,$B14,EW$1)</f>
        <v>2118</v>
      </c>
      <c r="EX14" s="116" cm="1">
        <f t="array" ref="EX14">_xll.EQNXTDZ($A$1,$B14,EX$1)</f>
        <v>1980</v>
      </c>
      <c r="EY14" s="116" cm="1">
        <f t="array" ref="EY14">_xll.EQNXTDZ($A$1,$B14,EY$1)</f>
        <v>1790</v>
      </c>
      <c r="EZ14" s="116" cm="1">
        <f t="array" ref="EZ14">_xll.EQNXTDZ($A$1,$B14,EZ$1)</f>
        <v>1395.7</v>
      </c>
      <c r="FA14" s="116" cm="1">
        <f t="array" ref="FA14">_xll.EQNXTDZ($A$1,$B14,FA$1)</f>
        <v>1379.6</v>
      </c>
      <c r="FB14" s="116" cm="1">
        <f t="array" ref="FB14">_xll.EQNXTDZ($A$1,$B14,FB$1)</f>
        <v>1500.25</v>
      </c>
      <c r="FC14" s="116" cm="1">
        <f t="array" ref="FC14">_xll.EQNXTDZ($A$1,$B14,FC$1)</f>
        <v>1856.45</v>
      </c>
      <c r="FD14" s="116" cm="1">
        <f t="array" ref="FD14">_xll.EQNXTDZ($A$1,$B14,FD$1)</f>
        <v>1946</v>
      </c>
      <c r="FE14" s="116" cm="1">
        <f t="array" ref="FE14">_xll.EQNXTDZ($A$1,$B14,FE$1)</f>
        <v>1794.1</v>
      </c>
      <c r="FF14" s="116" cm="1">
        <f t="array" ref="FF14">_xll.EQNXTDZ($A$1,$B14,FF$1)</f>
        <v>1555.05</v>
      </c>
      <c r="FG14" s="116" cm="1">
        <f t="array" ref="FG14">_xll.EQNXTDZ($A$1,$B14,FG$1)</f>
        <v>1437.45</v>
      </c>
      <c r="FH14" s="116" cm="1">
        <f t="array" ref="FH14">_xll.EQNXTDZ($A$1,$B14,FH$1)</f>
        <v>1456</v>
      </c>
      <c r="FI14" s="116" cm="1">
        <f t="array" ref="FI14">_xll.EQNXTDZ($A$1,$B14,FI$1)</f>
        <v>1161.6500000000001</v>
      </c>
      <c r="FJ14" s="116" cm="1">
        <f t="array" ref="FJ14">_xll.EQNXTDZ($A$1,$B14,FJ$1)</f>
        <v>1333.9</v>
      </c>
      <c r="FK14" s="116" cm="1">
        <f t="array" ref="FK14">_xll.EQNXTDZ($A$1,$B14,FK$1)</f>
        <v>1180.3499999999999</v>
      </c>
      <c r="FL14" s="116" cm="1">
        <f t="array" ref="FL14">_xll.EQNXTDZ($A$1,$B14,FL$1)</f>
        <v>1094.3499999999999</v>
      </c>
      <c r="FM14" s="116" cm="1">
        <f t="array" ref="FM14">_xll.EQNXTDZ($A$1,$B14,FM$1)</f>
        <v>1345.2</v>
      </c>
      <c r="FN14" s="116" cm="1">
        <f t="array" ref="FN14">_xll.EQNXTDZ($A$1,$B14,FN$1)</f>
        <v>1956.8</v>
      </c>
      <c r="FO14" s="116" cm="1">
        <f t="array" ref="FO14">_xll.EQNXTDZ($A$1,$B14,FO$1)</f>
        <v>2260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59.65</v>
      </c>
      <c r="HQ14" s="116">
        <f>+MAX(G14:I14)</f>
        <v>66.7</v>
      </c>
      <c r="HR14" s="116">
        <f>+MAX(J14:L14)</f>
        <v>56.5</v>
      </c>
      <c r="HS14" s="116">
        <f>+MAX(M14:O14)</f>
        <v>41.8</v>
      </c>
      <c r="HT14" s="116">
        <f>+MAX(P14:R14)</f>
        <v>41</v>
      </c>
      <c r="HU14" s="116">
        <f>+MAX(S14:U14)</f>
        <v>54.8</v>
      </c>
      <c r="HV14" s="116">
        <f>+MAX(V14:X14)</f>
        <v>53.9</v>
      </c>
      <c r="HW14" s="116">
        <f>+MAX(Y14:AA14)</f>
        <v>65.8</v>
      </c>
      <c r="HX14" s="116">
        <f>+MAX(AB14:AD14)</f>
        <v>99</v>
      </c>
      <c r="HY14" s="116">
        <f>+MAX(AE14:AG14)</f>
        <v>86.4</v>
      </c>
      <c r="HZ14" s="116">
        <f>+MAX(AH14:AJ14)</f>
        <v>89.1</v>
      </c>
      <c r="IA14" s="116">
        <f>+MAX(AK14:AM14)</f>
        <v>128.4</v>
      </c>
      <c r="IB14" s="116">
        <f>+MAX(AN14:AP14)</f>
        <v>163.6</v>
      </c>
      <c r="IC14" s="116">
        <f>+MAX(AQ14:AS14)</f>
        <v>168.4</v>
      </c>
      <c r="ID14" s="116">
        <f>+MAX(AT14:AV14)</f>
        <v>184.9</v>
      </c>
      <c r="IE14" s="116">
        <f>+MAX(AW14:AY14)</f>
        <v>282.5</v>
      </c>
      <c r="IF14" s="116">
        <f>+MAX(AZ14:BB14)</f>
        <v>329</v>
      </c>
      <c r="IG14" s="116">
        <f>+MAX(BC14:BE14)</f>
        <v>380</v>
      </c>
      <c r="IH14" s="116">
        <f>+MAX(BF14:BH14)</f>
        <v>400</v>
      </c>
      <c r="II14" s="116">
        <f>+MAX(BI14:BK14)</f>
        <v>401.1</v>
      </c>
      <c r="IJ14" s="116">
        <f>+MAX(BL14:BN14)</f>
        <v>390</v>
      </c>
      <c r="IK14" s="116">
        <f>+MAX(BO14:BQ14)</f>
        <v>675</v>
      </c>
      <c r="IL14" s="116">
        <f>+MAX(BR14:BT14)</f>
        <v>781</v>
      </c>
      <c r="IM14" s="116">
        <f>+MAX(BU14:BW14)</f>
        <v>727.05</v>
      </c>
      <c r="IN14" s="116">
        <f>+MAX(BX14:BZ14)</f>
        <v>601.45000000000005</v>
      </c>
      <c r="IO14" s="116">
        <f>+MAX(CA14:CC14)</f>
        <v>520</v>
      </c>
      <c r="IP14" s="116">
        <f>+MAX(CD14:CF14)</f>
        <v>510.75</v>
      </c>
      <c r="IQ14" s="116">
        <f>+MAX(CG14:CI14)</f>
        <v>539</v>
      </c>
      <c r="IR14" s="116">
        <f>+MAX(CJ14:CL14)</f>
        <v>382.55</v>
      </c>
      <c r="IS14" s="116">
        <f>+MAX(CM14:CO14)</f>
        <v>414.8</v>
      </c>
      <c r="IT14" s="116">
        <f>+MAX(CP14:CR14)</f>
        <v>486.6</v>
      </c>
      <c r="IU14" s="116">
        <f>+MAX(CS14:CU14)</f>
        <v>543.95000000000005</v>
      </c>
      <c r="IV14" s="116">
        <f>+MAX(CV14:CX14)</f>
        <v>995</v>
      </c>
      <c r="IW14" s="116">
        <f>+MAX(CY14:DA14)</f>
        <v>1054</v>
      </c>
      <c r="IX14" s="116">
        <f>+MAX(DB14:DD14)</f>
        <v>1905.7</v>
      </c>
      <c r="IY14" s="116">
        <f>+MAX(DE14:DG14)</f>
        <v>2959.95</v>
      </c>
      <c r="IZ14" s="116">
        <f>+MAX(DH14:DJ14)</f>
        <v>5220</v>
      </c>
      <c r="JA14" s="116">
        <f>+MAX(DK14:DM14)</f>
        <v>4799</v>
      </c>
      <c r="JB14" s="116">
        <f>+MAX(DN14:DP14)</f>
        <v>3936.95</v>
      </c>
      <c r="JC14" s="116">
        <f>+MAX(DQ14:DS14)</f>
        <v>3505</v>
      </c>
      <c r="JD14" s="116">
        <f>+MAX(DT14:DV14)</f>
        <v>3841.85</v>
      </c>
      <c r="JE14" s="116">
        <f>+MAX(DW14:DY14)</f>
        <v>3267.25</v>
      </c>
      <c r="JF14" s="116">
        <f>+MAX(DZ14:EB14)</f>
        <v>2727.65</v>
      </c>
      <c r="JG14" s="116">
        <f>+MAX(EC14:EE14)</f>
        <v>2548.6999999999998</v>
      </c>
      <c r="JH14" s="116">
        <f>+MAX(EF14:EH14)</f>
        <v>2355</v>
      </c>
      <c r="JI14" s="116">
        <f>+MAX(EI14:EK14)</f>
        <v>2721.2</v>
      </c>
      <c r="JJ14" s="116">
        <f>+MAX(EL14:EN14)</f>
        <v>2736.35</v>
      </c>
      <c r="JK14" s="116">
        <f>MAX(EO14:EQ14)</f>
        <v>2508.5</v>
      </c>
      <c r="JL14" s="116">
        <f>MAX(ER14:ET14)</f>
        <v>2550.15</v>
      </c>
      <c r="JM14" s="116">
        <f>MAX(EU14:EW14)</f>
        <v>2370</v>
      </c>
      <c r="JN14" s="116">
        <f>MAX(EX14:EZ14)</f>
        <v>1980</v>
      </c>
      <c r="JO14" s="116">
        <f>MAX(FA14:FC14)</f>
        <v>1856.45</v>
      </c>
      <c r="JP14" s="116">
        <f>MAX(FD14:FF14)</f>
        <v>1946</v>
      </c>
      <c r="JQ14" s="116">
        <f>MAX(FG14:FI14)</f>
        <v>1456</v>
      </c>
      <c r="JR14" s="116">
        <f>MAX(FJ14:FL14)</f>
        <v>1333.9</v>
      </c>
      <c r="JS14" s="116">
        <f>MAX(FM14:FO14)</f>
        <v>2260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35.700000000000003</v>
      </c>
      <c r="D15" s="116" cm="1">
        <f t="array" ref="D15">_xll.EQNXTDZ($A$1,$B15,D$1)</f>
        <v>38.1</v>
      </c>
      <c r="E15" s="116" cm="1">
        <f t="array" ref="E15">_xll.EQNXTDZ($A$1,$B15,E$1)</f>
        <v>39.9</v>
      </c>
      <c r="F15" s="116" cm="1">
        <f t="array" ref="F15">_xll.EQNXTDZ($A$1,$B15,F$1)</f>
        <v>43.65</v>
      </c>
      <c r="G15" s="116" cm="1">
        <f t="array" ref="G15">_xll.EQNXTDZ($A$1,$B15,G$1)</f>
        <v>53.55</v>
      </c>
      <c r="H15" s="116" cm="1">
        <f t="array" ref="H15">_xll.EQNXTDZ($A$1,$B15,H$1)</f>
        <v>50.05</v>
      </c>
      <c r="I15" s="116" cm="1">
        <f t="array" ref="I15">_xll.EQNXTDZ($A$1,$B15,I$1)</f>
        <v>53</v>
      </c>
      <c r="J15" s="116" cm="1">
        <f t="array" ref="J15">_xll.EQNXTDZ($A$1,$B15,J$1)</f>
        <v>45.75</v>
      </c>
      <c r="K15" s="116" cm="1">
        <f t="array" ref="K15">_xll.EQNXTDZ($A$1,$B15,K$1)</f>
        <v>39.25</v>
      </c>
      <c r="L15" s="116" cm="1">
        <f t="array" ref="L15">_xll.EQNXTDZ($A$1,$B15,L$1)</f>
        <v>34.85</v>
      </c>
      <c r="M15" s="116" cm="1">
        <f t="array" ref="M15">_xll.EQNXTDZ($A$1,$B15,M$1)</f>
        <v>34.35</v>
      </c>
      <c r="N15" s="116" cm="1">
        <f t="array" ref="N15">_xll.EQNXTDZ($A$1,$B15,N$1)</f>
        <v>34.5</v>
      </c>
      <c r="O15" s="116" cm="1">
        <f t="array" ref="O15">_xll.EQNXTDZ($A$1,$B15,O$1)</f>
        <v>31.25</v>
      </c>
      <c r="P15" s="116" cm="1">
        <f t="array" ref="P15">_xll.EQNXTDZ($A$1,$B15,P$1)</f>
        <v>28.8</v>
      </c>
      <c r="Q15" s="116" cm="1">
        <f t="array" ref="Q15">_xll.EQNXTDZ($A$1,$B15,Q$1)</f>
        <v>28.4</v>
      </c>
      <c r="R15" s="116" cm="1">
        <f t="array" ref="R15">_xll.EQNXTDZ($A$1,$B15,R$1)</f>
        <v>31.95</v>
      </c>
      <c r="S15" s="116" cm="1">
        <f t="array" ref="S15">_xll.EQNXTDZ($A$1,$B15,S$1)</f>
        <v>31.6</v>
      </c>
      <c r="T15" s="116" cm="1">
        <f t="array" ref="T15">_xll.EQNXTDZ($A$1,$B15,T$1)</f>
        <v>35</v>
      </c>
      <c r="U15" s="116" cm="1">
        <f t="array" ref="U15">_xll.EQNXTDZ($A$1,$B15,U$1)</f>
        <v>45</v>
      </c>
      <c r="V15" s="116" cm="1">
        <f t="array" ref="V15">_xll.EQNXTDZ($A$1,$B15,V$1)</f>
        <v>38</v>
      </c>
      <c r="W15" s="116" cm="1">
        <f t="array" ref="W15">_xll.EQNXTDZ($A$1,$B15,W$1)</f>
        <v>35.1</v>
      </c>
      <c r="X15" s="116" cm="1">
        <f t="array" ref="X15">_xll.EQNXTDZ($A$1,$B15,X$1)</f>
        <v>35.75</v>
      </c>
      <c r="Y15" s="116" cm="1">
        <f t="array" ref="Y15">_xll.EQNXTDZ($A$1,$B15,Y$1)</f>
        <v>39.5</v>
      </c>
      <c r="Z15" s="116" cm="1">
        <f t="array" ref="Z15">_xll.EQNXTDZ($A$1,$B15,Z$1)</f>
        <v>40.85</v>
      </c>
      <c r="AA15" s="116" cm="1">
        <f t="array" ref="AA15">_xll.EQNXTDZ($A$1,$B15,AA$1)</f>
        <v>50</v>
      </c>
      <c r="AB15" s="116" cm="1">
        <f t="array" ref="AB15">_xll.EQNXTDZ($A$1,$B15,AB$1)</f>
        <v>61.6</v>
      </c>
      <c r="AC15" s="116" cm="1">
        <f t="array" ref="AC15">_xll.EQNXTDZ($A$1,$B15,AC$1)</f>
        <v>67.3</v>
      </c>
      <c r="AD15" s="116" cm="1">
        <f t="array" ref="AD15">_xll.EQNXTDZ($A$1,$B15,AD$1)</f>
        <v>74</v>
      </c>
      <c r="AE15" s="116" cm="1">
        <f t="array" ref="AE15">_xll.EQNXTDZ($A$1,$B15,AE$1)</f>
        <v>74.8</v>
      </c>
      <c r="AF15" s="116" cm="1">
        <f t="array" ref="AF15">_xll.EQNXTDZ($A$1,$B15,AF$1)</f>
        <v>70.150000000000006</v>
      </c>
      <c r="AG15" s="116" cm="1">
        <f t="array" ref="AG15">_xll.EQNXTDZ($A$1,$B15,AG$1)</f>
        <v>67</v>
      </c>
      <c r="AH15" s="116" cm="1">
        <f t="array" ref="AH15">_xll.EQNXTDZ($A$1,$B15,AH$1)</f>
        <v>69.099999999999994</v>
      </c>
      <c r="AI15" s="116" cm="1">
        <f t="array" ref="AI15">_xll.EQNXTDZ($A$1,$B15,AI$1)</f>
        <v>72.45</v>
      </c>
      <c r="AJ15" s="116" cm="1">
        <f t="array" ref="AJ15">_xll.EQNXTDZ($A$1,$B15,AJ$1)</f>
        <v>76.2</v>
      </c>
      <c r="AK15" s="116" cm="1">
        <f t="array" ref="AK15">_xll.EQNXTDZ($A$1,$B15,AK$1)</f>
        <v>80.75</v>
      </c>
      <c r="AL15" s="116" cm="1">
        <f t="array" ref="AL15">_xll.EQNXTDZ($A$1,$B15,AL$1)</f>
        <v>94.3</v>
      </c>
      <c r="AM15" s="116" cm="1">
        <f t="array" ref="AM15">_xll.EQNXTDZ($A$1,$B15,AM$1)</f>
        <v>108</v>
      </c>
      <c r="AN15" s="116" cm="1">
        <f t="array" ref="AN15">_xll.EQNXTDZ($A$1,$B15,AN$1)</f>
        <v>106</v>
      </c>
      <c r="AO15" s="116" cm="1">
        <f t="array" ref="AO15">_xll.EQNXTDZ($A$1,$B15,AO$1)</f>
        <v>108</v>
      </c>
      <c r="AP15" s="116" cm="1">
        <f t="array" ref="AP15">_xll.EQNXTDZ($A$1,$B15,AP$1)</f>
        <v>110.1</v>
      </c>
      <c r="AQ15" s="116" cm="1">
        <f t="array" ref="AQ15">_xll.EQNXTDZ($A$1,$B15,AQ$1)</f>
        <v>125.7</v>
      </c>
      <c r="AR15" s="116" cm="1">
        <f t="array" ref="AR15">_xll.EQNXTDZ($A$1,$B15,AR$1)</f>
        <v>119.3</v>
      </c>
      <c r="AS15" s="116" cm="1">
        <f t="array" ref="AS15">_xll.EQNXTDZ($A$1,$B15,AS$1)</f>
        <v>127</v>
      </c>
      <c r="AT15" s="116" cm="1">
        <f t="array" ref="AT15">_xll.EQNXTDZ($A$1,$B15,AT$1)</f>
        <v>123</v>
      </c>
      <c r="AU15" s="116" cm="1">
        <f t="array" ref="AU15">_xll.EQNXTDZ($A$1,$B15,AU$1)</f>
        <v>115</v>
      </c>
      <c r="AV15" s="116" cm="1">
        <f t="array" ref="AV15">_xll.EQNXTDZ($A$1,$B15,AV$1)</f>
        <v>128</v>
      </c>
      <c r="AW15" s="116" cm="1">
        <f t="array" ref="AW15">_xll.EQNXTDZ($A$1,$B15,AW$1)</f>
        <v>173.1</v>
      </c>
      <c r="AX15" s="116" cm="1">
        <f t="array" ref="AX15">_xll.EQNXTDZ($A$1,$B15,AX$1)</f>
        <v>195.4</v>
      </c>
      <c r="AY15" s="116" cm="1">
        <f t="array" ref="AY15">_xll.EQNXTDZ($A$1,$B15,AY$1)</f>
        <v>215</v>
      </c>
      <c r="AZ15" s="116" cm="1">
        <f t="array" ref="AZ15">_xll.EQNXTDZ($A$1,$B15,AZ$1)</f>
        <v>249.2</v>
      </c>
      <c r="BA15" s="116" cm="1">
        <f t="array" ref="BA15">_xll.EQNXTDZ($A$1,$B15,BA$1)</f>
        <v>285</v>
      </c>
      <c r="BB15" s="116" cm="1">
        <f t="array" ref="BB15">_xll.EQNXTDZ($A$1,$B15,BB$1)</f>
        <v>273.05</v>
      </c>
      <c r="BC15" s="116" cm="1">
        <f t="array" ref="BC15">_xll.EQNXTDZ($A$1,$B15,BC$1)</f>
        <v>300</v>
      </c>
      <c r="BD15" s="116" cm="1">
        <f t="array" ref="BD15">_xll.EQNXTDZ($A$1,$B15,BD$1)</f>
        <v>272.95</v>
      </c>
      <c r="BE15" s="116" cm="1">
        <f t="array" ref="BE15">_xll.EQNXTDZ($A$1,$B15,BE$1)</f>
        <v>297.95</v>
      </c>
      <c r="BF15" s="116" cm="1">
        <f t="array" ref="BF15">_xll.EQNXTDZ($A$1,$B15,BF$1)</f>
        <v>310</v>
      </c>
      <c r="BG15" s="116" cm="1">
        <f t="array" ref="BG15">_xll.EQNXTDZ($A$1,$B15,BG$1)</f>
        <v>327.05</v>
      </c>
      <c r="BH15" s="116" cm="1">
        <f t="array" ref="BH15">_xll.EQNXTDZ($A$1,$B15,BH$1)</f>
        <v>329.75</v>
      </c>
      <c r="BI15" s="116" cm="1">
        <f t="array" ref="BI15">_xll.EQNXTDZ($A$1,$B15,BI$1)</f>
        <v>370</v>
      </c>
      <c r="BJ15" s="116" cm="1">
        <f t="array" ref="BJ15">_xll.EQNXTDZ($A$1,$B15,BJ$1)</f>
        <v>341</v>
      </c>
      <c r="BK15" s="116" cm="1">
        <f t="array" ref="BK15">_xll.EQNXTDZ($A$1,$B15,BK$1)</f>
        <v>320</v>
      </c>
      <c r="BL15" s="116" cm="1">
        <f t="array" ref="BL15">_xll.EQNXTDZ($A$1,$B15,BL$1)</f>
        <v>315</v>
      </c>
      <c r="BM15" s="116" cm="1">
        <f t="array" ref="BM15">_xll.EQNXTDZ($A$1,$B15,BM$1)</f>
        <v>271.10000000000002</v>
      </c>
      <c r="BN15" s="116" cm="1">
        <f t="array" ref="BN15">_xll.EQNXTDZ($A$1,$B15,BN$1)</f>
        <v>320</v>
      </c>
      <c r="BO15" s="116" cm="1">
        <f t="array" ref="BO15">_xll.EQNXTDZ($A$1,$B15,BO$1)</f>
        <v>337</v>
      </c>
      <c r="BP15" s="116" cm="1">
        <f t="array" ref="BP15">_xll.EQNXTDZ($A$1,$B15,BP$1)</f>
        <v>496.2</v>
      </c>
      <c r="BQ15" s="116" cm="1">
        <f t="array" ref="BQ15">_xll.EQNXTDZ($A$1,$B15,BQ$1)</f>
        <v>585.9</v>
      </c>
      <c r="BR15" s="116" cm="1">
        <f t="array" ref="BR15">_xll.EQNXTDZ($A$1,$B15,BR$1)</f>
        <v>607.70000000000005</v>
      </c>
      <c r="BS15" s="116" cm="1">
        <f t="array" ref="BS15">_xll.EQNXTDZ($A$1,$B15,BS$1)</f>
        <v>547</v>
      </c>
      <c r="BT15" s="116" cm="1">
        <f t="array" ref="BT15">_xll.EQNXTDZ($A$1,$B15,BT$1)</f>
        <v>555</v>
      </c>
      <c r="BU15" s="116" cm="1">
        <f t="array" ref="BU15">_xll.EQNXTDZ($A$1,$B15,BU$1)</f>
        <v>564.15</v>
      </c>
      <c r="BV15" s="116" cm="1">
        <f t="array" ref="BV15">_xll.EQNXTDZ($A$1,$B15,BV$1)</f>
        <v>562.65</v>
      </c>
      <c r="BW15" s="116" cm="1">
        <f t="array" ref="BW15">_xll.EQNXTDZ($A$1,$B15,BW$1)</f>
        <v>506.85</v>
      </c>
      <c r="BX15" s="116" cm="1">
        <f t="array" ref="BX15">_xll.EQNXTDZ($A$1,$B15,BX$1)</f>
        <v>470</v>
      </c>
      <c r="BY15" s="116" cm="1">
        <f t="array" ref="BY15">_xll.EQNXTDZ($A$1,$B15,BY$1)</f>
        <v>532</v>
      </c>
      <c r="BZ15" s="116" cm="1">
        <f t="array" ref="BZ15">_xll.EQNXTDZ($A$1,$B15,BZ$1)</f>
        <v>457.85</v>
      </c>
      <c r="CA15" s="116" cm="1">
        <f t="array" ref="CA15">_xll.EQNXTDZ($A$1,$B15,CA$1)</f>
        <v>411.6</v>
      </c>
      <c r="CB15" s="116" cm="1">
        <f t="array" ref="CB15">_xll.EQNXTDZ($A$1,$B15,CB$1)</f>
        <v>431.05</v>
      </c>
      <c r="CC15" s="116" cm="1">
        <f t="array" ref="CC15">_xll.EQNXTDZ($A$1,$B15,CC$1)</f>
        <v>424</v>
      </c>
      <c r="CD15" s="116" cm="1">
        <f t="array" ref="CD15">_xll.EQNXTDZ($A$1,$B15,CD$1)</f>
        <v>415.4</v>
      </c>
      <c r="CE15" s="116" cm="1">
        <f t="array" ref="CE15">_xll.EQNXTDZ($A$1,$B15,CE$1)</f>
        <v>368.5</v>
      </c>
      <c r="CF15" s="116" cm="1">
        <f t="array" ref="CF15">_xll.EQNXTDZ($A$1,$B15,CF$1)</f>
        <v>405.55</v>
      </c>
      <c r="CG15" s="116" cm="1">
        <f t="array" ref="CG15">_xll.EQNXTDZ($A$1,$B15,CG$1)</f>
        <v>431</v>
      </c>
      <c r="CH15" s="116" cm="1">
        <f t="array" ref="CH15">_xll.EQNXTDZ($A$1,$B15,CH$1)</f>
        <v>393.75</v>
      </c>
      <c r="CI15" s="116" cm="1">
        <f t="array" ref="CI15">_xll.EQNXTDZ($A$1,$B15,CI$1)</f>
        <v>365.1</v>
      </c>
      <c r="CJ15" s="116" cm="1">
        <f t="array" ref="CJ15">_xll.EQNXTDZ($A$1,$B15,CJ$1)</f>
        <v>225.65</v>
      </c>
      <c r="CK15" s="116" cm="1">
        <f t="array" ref="CK15">_xll.EQNXTDZ($A$1,$B15,CK$1)</f>
        <v>210</v>
      </c>
      <c r="CL15" s="116" cm="1">
        <f t="array" ref="CL15">_xll.EQNXTDZ($A$1,$B15,CL$1)</f>
        <v>242.65</v>
      </c>
      <c r="CM15" s="116" cm="1">
        <f t="array" ref="CM15">_xll.EQNXTDZ($A$1,$B15,CM$1)</f>
        <v>298</v>
      </c>
      <c r="CN15" s="116" cm="1">
        <f t="array" ref="CN15">_xll.EQNXTDZ($A$1,$B15,CN$1)</f>
        <v>312</v>
      </c>
      <c r="CO15" s="116" cm="1">
        <f t="array" ref="CO15">_xll.EQNXTDZ($A$1,$B15,CO$1)</f>
        <v>320.8</v>
      </c>
      <c r="CP15" s="116" cm="1">
        <f t="array" ref="CP15">_xll.EQNXTDZ($A$1,$B15,CP$1)</f>
        <v>377.35</v>
      </c>
      <c r="CQ15" s="116" cm="1">
        <f t="array" ref="CQ15">_xll.EQNXTDZ($A$1,$B15,CQ$1)</f>
        <v>381.4</v>
      </c>
      <c r="CR15" s="116" cm="1">
        <f t="array" ref="CR15">_xll.EQNXTDZ($A$1,$B15,CR$1)</f>
        <v>204.1</v>
      </c>
      <c r="CS15" s="116" cm="1">
        <f t="array" ref="CS15">_xll.EQNXTDZ($A$1,$B15,CS$1)</f>
        <v>241.5</v>
      </c>
      <c r="CT15" s="116" cm="1">
        <f t="array" ref="CT15">_xll.EQNXTDZ($A$1,$B15,CT$1)</f>
        <v>358.25</v>
      </c>
      <c r="CU15" s="116" cm="1">
        <f t="array" ref="CU15">_xll.EQNXTDZ($A$1,$B15,CU$1)</f>
        <v>389.2</v>
      </c>
      <c r="CV15" s="116" cm="1">
        <f t="array" ref="CV15">_xll.EQNXTDZ($A$1,$B15,CV$1)</f>
        <v>497.6</v>
      </c>
      <c r="CW15" s="116" cm="1">
        <f t="array" ref="CW15">_xll.EQNXTDZ($A$1,$B15,CW$1)</f>
        <v>567.4</v>
      </c>
      <c r="CX15" s="116" cm="1">
        <f t="array" ref="CX15">_xll.EQNXTDZ($A$1,$B15,CX$1)</f>
        <v>744</v>
      </c>
      <c r="CY15" s="116" cm="1">
        <f t="array" ref="CY15">_xll.EQNXTDZ($A$1,$B15,CY$1)</f>
        <v>787.1</v>
      </c>
      <c r="CZ15" s="116" cm="1">
        <f t="array" ref="CZ15">_xll.EQNXTDZ($A$1,$B15,CZ$1)</f>
        <v>792.2</v>
      </c>
      <c r="DA15" s="116" cm="1">
        <f t="array" ref="DA15">_xll.EQNXTDZ($A$1,$B15,DA$1)</f>
        <v>850</v>
      </c>
      <c r="DB15" s="116" cm="1">
        <f t="array" ref="DB15">_xll.EQNXTDZ($A$1,$B15,DB$1)</f>
        <v>928</v>
      </c>
      <c r="DC15" s="116" cm="1">
        <f t="array" ref="DC15">_xll.EQNXTDZ($A$1,$B15,DC$1)</f>
        <v>1115.05</v>
      </c>
      <c r="DD15" s="116" cm="1">
        <f t="array" ref="DD15">_xll.EQNXTDZ($A$1,$B15,DD$1)</f>
        <v>1553.85</v>
      </c>
      <c r="DE15" s="116" cm="1">
        <f t="array" ref="DE15">_xll.EQNXTDZ($A$1,$B15,DE$1)</f>
        <v>1723.95</v>
      </c>
      <c r="DF15" s="116" cm="1">
        <f t="array" ref="DF15">_xll.EQNXTDZ($A$1,$B15,DF$1)</f>
        <v>2316.1</v>
      </c>
      <c r="DG15" s="116" cm="1">
        <f t="array" ref="DG15">_xll.EQNXTDZ($A$1,$B15,DG$1)</f>
        <v>2451.35</v>
      </c>
      <c r="DH15" s="116" cm="1">
        <f t="array" ref="DH15">_xll.EQNXTDZ($A$1,$B15,DH$1)</f>
        <v>2672.6</v>
      </c>
      <c r="DI15" s="116" cm="1">
        <f t="array" ref="DI15">_xll.EQNXTDZ($A$1,$B15,DI$1)</f>
        <v>3178</v>
      </c>
      <c r="DJ15" s="116" cm="1">
        <f t="array" ref="DJ15">_xll.EQNXTDZ($A$1,$B15,DJ$1)</f>
        <v>4000.55</v>
      </c>
      <c r="DK15" s="116" cm="1">
        <f t="array" ref="DK15">_xll.EQNXTDZ($A$1,$B15,DK$1)</f>
        <v>3386.6</v>
      </c>
      <c r="DL15" s="116" cm="1">
        <f t="array" ref="DL15">_xll.EQNXTDZ($A$1,$B15,DL$1)</f>
        <v>2880</v>
      </c>
      <c r="DM15" s="116" cm="1">
        <f t="array" ref="DM15">_xll.EQNXTDZ($A$1,$B15,DM$1)</f>
        <v>2934.85</v>
      </c>
      <c r="DN15" s="116" cm="1">
        <f t="array" ref="DN15">_xll.EQNXTDZ($A$1,$B15,DN$1)</f>
        <v>3013.25</v>
      </c>
      <c r="DO15" s="116" cm="1">
        <f t="array" ref="DO15">_xll.EQNXTDZ($A$1,$B15,DO$1)</f>
        <v>2691</v>
      </c>
      <c r="DP15" s="116" cm="1">
        <f t="array" ref="DP15">_xll.EQNXTDZ($A$1,$B15,DP$1)</f>
        <v>2680.05</v>
      </c>
      <c r="DQ15" s="116" cm="1">
        <f t="array" ref="DQ15">_xll.EQNXTDZ($A$1,$B15,DQ$1)</f>
        <v>2902.15</v>
      </c>
      <c r="DR15" s="116" cm="1">
        <f t="array" ref="DR15">_xll.EQNXTDZ($A$1,$B15,DR$1)</f>
        <v>2700</v>
      </c>
      <c r="DS15" s="116" cm="1">
        <f t="array" ref="DS15">_xll.EQNXTDZ($A$1,$B15,DS$1)</f>
        <v>2718</v>
      </c>
      <c r="DT15" s="116" cm="1">
        <f t="array" ref="DT15">_xll.EQNXTDZ($A$1,$B15,DT$1)</f>
        <v>2838</v>
      </c>
      <c r="DU15" s="116" cm="1">
        <f t="array" ref="DU15">_xll.EQNXTDZ($A$1,$B15,DU$1)</f>
        <v>3375</v>
      </c>
      <c r="DV15" s="116" cm="1">
        <f t="array" ref="DV15">_xll.EQNXTDZ($A$1,$B15,DV$1)</f>
        <v>3116.25</v>
      </c>
      <c r="DW15" s="116" cm="1">
        <f t="array" ref="DW15">_xll.EQNXTDZ($A$1,$B15,DW$1)</f>
        <v>2950</v>
      </c>
      <c r="DX15" s="116" cm="1">
        <f t="array" ref="DX15">_xll.EQNXTDZ($A$1,$B15,DX$1)</f>
        <v>2873.2</v>
      </c>
      <c r="DY15" s="116" cm="1">
        <f t="array" ref="DY15">_xll.EQNXTDZ($A$1,$B15,DY$1)</f>
        <v>2592.1</v>
      </c>
      <c r="DZ15" s="116" cm="1">
        <f t="array" ref="DZ15">_xll.EQNXTDZ($A$1,$B15,DZ$1)</f>
        <v>2250.1</v>
      </c>
      <c r="EA15" s="116" cm="1">
        <f t="array" ref="EA15">_xll.EQNXTDZ($A$1,$B15,EA$1)</f>
        <v>2116.85</v>
      </c>
      <c r="EB15" s="116" cm="1">
        <f t="array" ref="EB15">_xll.EQNXTDZ($A$1,$B15,EB$1)</f>
        <v>1925.05</v>
      </c>
      <c r="EC15" s="116" cm="1">
        <f t="array" ref="EC15">_xll.EQNXTDZ($A$1,$B15,EC$1)</f>
        <v>1950</v>
      </c>
      <c r="ED15" s="116" cm="1">
        <f t="array" ref="ED15">_xll.EQNXTDZ($A$1,$B15,ED$1)</f>
        <v>1872.9</v>
      </c>
      <c r="EE15" s="116" cm="1">
        <f t="array" ref="EE15">_xll.EQNXTDZ($A$1,$B15,EE$1)</f>
        <v>2107.8000000000002</v>
      </c>
      <c r="EF15" s="116" cm="1">
        <f t="array" ref="EF15">_xll.EQNXTDZ($A$1,$B15,EF$1)</f>
        <v>2150</v>
      </c>
      <c r="EG15" s="116" cm="1">
        <f t="array" ref="EG15">_xll.EQNXTDZ($A$1,$B15,EG$1)</f>
        <v>2031</v>
      </c>
      <c r="EH15" s="116" cm="1">
        <f t="array" ref="EH15">_xll.EQNXTDZ($A$1,$B15,EH$1)</f>
        <v>2166.5</v>
      </c>
      <c r="EI15" s="116" cm="1">
        <f t="array" ref="EI15">_xll.EQNXTDZ($A$1,$B15,EI$1)</f>
        <v>2011</v>
      </c>
      <c r="EJ15" s="116" cm="1">
        <f t="array" ref="EJ15">_xll.EQNXTDZ($A$1,$B15,EJ$1)</f>
        <v>2002</v>
      </c>
      <c r="EK15" s="116" cm="1">
        <f t="array" ref="EK15">_xll.EQNXTDZ($A$1,$B15,EK$1)</f>
        <v>2014</v>
      </c>
      <c r="EL15" s="116" cm="1">
        <f t="array" ref="EL15">_xll.EQNXTDZ($A$1,$B15,EL$1)</f>
        <v>2281.4499999999998</v>
      </c>
      <c r="EM15" s="116" cm="1">
        <f t="array" ref="EM15">_xll.EQNXTDZ($A$1,$B15,EM$1)</f>
        <v>2132</v>
      </c>
      <c r="EN15" s="116" cm="1">
        <f t="array" ref="EN15">_xll.EQNXTDZ($A$1,$B15,EN$1)</f>
        <v>2010</v>
      </c>
      <c r="EO15" s="116" cm="1">
        <f t="array" ref="EO15">_xll.EQNXTDZ($A$1,$B15,EO$1)</f>
        <v>2044.5</v>
      </c>
      <c r="EP15" s="116" cm="1">
        <f t="array" ref="EP15">_xll.EQNXTDZ($A$1,$B15,EP$1)</f>
        <v>2070.0500000000002</v>
      </c>
      <c r="EQ15" s="116" cm="1">
        <f t="array" ref="EQ15">_xll.EQNXTDZ($A$1,$B15,EQ$1)</f>
        <v>1965.05</v>
      </c>
      <c r="ER15" s="116" cm="1">
        <f t="array" ref="ER15">_xll.EQNXTDZ($A$1,$B15,ER$1)</f>
        <v>2199.9499999999998</v>
      </c>
      <c r="ES15" s="116" cm="1">
        <f t="array" ref="ES15">_xll.EQNXTDZ($A$1,$B15,ES$1)</f>
        <v>2088.85</v>
      </c>
      <c r="ET15" s="116" cm="1">
        <f t="array" ref="ET15">_xll.EQNXTDZ($A$1,$B15,ET$1)</f>
        <v>2145.6999999999998</v>
      </c>
      <c r="EU15" s="116" cm="1">
        <f t="array" ref="EU15">_xll.EQNXTDZ($A$1,$B15,EU$1)</f>
        <v>2000</v>
      </c>
      <c r="EV15" s="116" cm="1">
        <f t="array" ref="EV15">_xll.EQNXTDZ($A$1,$B15,EV$1)</f>
        <v>1955.75</v>
      </c>
      <c r="EW15" s="116" cm="1">
        <f t="array" ref="EW15">_xll.EQNXTDZ($A$1,$B15,EW$1)</f>
        <v>1712.2</v>
      </c>
      <c r="EX15" s="116" cm="1">
        <f t="array" ref="EX15">_xll.EQNXTDZ($A$1,$B15,EX$1)</f>
        <v>1558.85</v>
      </c>
      <c r="EY15" s="116" cm="1">
        <f t="array" ref="EY15">_xll.EQNXTDZ($A$1,$B15,EY$1)</f>
        <v>1280</v>
      </c>
      <c r="EZ15" s="116" cm="1">
        <f t="array" ref="EZ15">_xll.EQNXTDZ($A$1,$B15,EZ$1)</f>
        <v>1170.75</v>
      </c>
      <c r="FA15" s="116" cm="1">
        <f t="array" ref="FA15">_xll.EQNXTDZ($A$1,$B15,FA$1)</f>
        <v>1112</v>
      </c>
      <c r="FB15" s="116" cm="1">
        <f t="array" ref="FB15">_xll.EQNXTDZ($A$1,$B15,FB$1)</f>
        <v>1181.75</v>
      </c>
      <c r="FC15" s="116" cm="1">
        <f t="array" ref="FC15">_xll.EQNXTDZ($A$1,$B15,FC$1)</f>
        <v>1354.45</v>
      </c>
      <c r="FD15" s="116" cm="1">
        <f t="array" ref="FD15">_xll.EQNXTDZ($A$1,$B15,FD$1)</f>
        <v>1656.8</v>
      </c>
      <c r="FE15" s="116" cm="1">
        <f t="array" ref="FE15">_xll.EQNXTDZ($A$1,$B15,FE$1)</f>
        <v>1450</v>
      </c>
      <c r="FF15" s="116" cm="1">
        <f t="array" ref="FF15">_xll.EQNXTDZ($A$1,$B15,FF$1)</f>
        <v>1386.25</v>
      </c>
      <c r="FG15" s="116" cm="1">
        <f t="array" ref="FG15">_xll.EQNXTDZ($A$1,$B15,FG$1)</f>
        <v>1327</v>
      </c>
      <c r="FH15" s="116" cm="1">
        <f t="array" ref="FH15">_xll.EQNXTDZ($A$1,$B15,FH$1)</f>
        <v>1088.5999999999999</v>
      </c>
      <c r="FI15" s="116" cm="1">
        <f t="array" ref="FI15">_xll.EQNXTDZ($A$1,$B15,FI$1)</f>
        <v>1079.1500000000001</v>
      </c>
      <c r="FJ15" s="116" cm="1">
        <f t="array" ref="FJ15">_xll.EQNXTDZ($A$1,$B15,FJ$1)</f>
        <v>1066.05</v>
      </c>
      <c r="FK15" s="116" cm="1">
        <f t="array" ref="FK15">_xll.EQNXTDZ($A$1,$B15,FK$1)</f>
        <v>1060.3499999999999</v>
      </c>
      <c r="FL15" s="116" cm="1">
        <f t="array" ref="FL15">_xll.EQNXTDZ($A$1,$B15,FL$1)</f>
        <v>905.15</v>
      </c>
      <c r="FM15" s="116" cm="1">
        <f t="array" ref="FM15">_xll.EQNXTDZ($A$1,$B15,FM$1)</f>
        <v>990</v>
      </c>
      <c r="FN15" s="116" cm="1">
        <f t="array" ref="FN15">_xll.EQNXTDZ($A$1,$B15,FN$1)</f>
        <v>1324.85</v>
      </c>
      <c r="FO15" s="116" cm="1">
        <f t="array" ref="FO15">_xll.EQNXTDZ($A$1,$B15,FO$1)</f>
        <v>1699.15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38.1</v>
      </c>
      <c r="HQ15" s="116">
        <f>+MIN(G15:I15)</f>
        <v>50.05</v>
      </c>
      <c r="HR15" s="116">
        <f>+MIN(J15:L15)</f>
        <v>34.85</v>
      </c>
      <c r="HS15" s="116">
        <f>+MIN(M15:O15)</f>
        <v>31.25</v>
      </c>
      <c r="HT15" s="116">
        <f>+MIN(P15:R15)</f>
        <v>28.4</v>
      </c>
      <c r="HU15" s="116">
        <f>+MIN(S15:U15)</f>
        <v>31.6</v>
      </c>
      <c r="HV15" s="116">
        <f>+MIN(V15:X15)</f>
        <v>35.1</v>
      </c>
      <c r="HW15" s="116">
        <f>+MIN(Y15:AA15)</f>
        <v>39.5</v>
      </c>
      <c r="HX15" s="116">
        <f>+MIN(AB15:AD15)</f>
        <v>61.6</v>
      </c>
      <c r="HY15" s="116">
        <f>+MIN(AE15:AG15)</f>
        <v>67</v>
      </c>
      <c r="HZ15" s="116">
        <f>+MIN(AH15:AJ15)</f>
        <v>69.099999999999994</v>
      </c>
      <c r="IA15" s="116">
        <f>+MIN(AK15:AM15)</f>
        <v>80.75</v>
      </c>
      <c r="IB15" s="116">
        <f>+MIN(AN15:AP15)</f>
        <v>106</v>
      </c>
      <c r="IC15" s="116">
        <f>+MIN(AQ15:AS15)</f>
        <v>119.3</v>
      </c>
      <c r="ID15" s="116">
        <f>+MIN(AT15:AV15)</f>
        <v>115</v>
      </c>
      <c r="IE15" s="116">
        <f>+MIN(AW15:AY15)</f>
        <v>173.1</v>
      </c>
      <c r="IF15" s="116">
        <f>+MIN(AZ15:BB15)</f>
        <v>249.2</v>
      </c>
      <c r="IG15" s="116">
        <f>+MIN(BC15:BE15)</f>
        <v>272.95</v>
      </c>
      <c r="IH15" s="116">
        <f>+MIN(BF15:BH15)</f>
        <v>310</v>
      </c>
      <c r="II15" s="116">
        <f>+MIN(BI15:BK15)</f>
        <v>320</v>
      </c>
      <c r="IJ15" s="116">
        <f>+MIN(BL15:BN15)</f>
        <v>271.10000000000002</v>
      </c>
      <c r="IK15" s="116">
        <f>+MIN(BO15:BQ15)</f>
        <v>337</v>
      </c>
      <c r="IL15" s="116">
        <f>+MIN(BR15:BT15)</f>
        <v>547</v>
      </c>
      <c r="IM15" s="116">
        <f>+MIN(BU15:BW15)</f>
        <v>506.85</v>
      </c>
      <c r="IN15" s="116">
        <f>+MIN(BX15:BZ15)</f>
        <v>457.85</v>
      </c>
      <c r="IO15" s="116">
        <f>+MIN(CA15:CC15)</f>
        <v>411.6</v>
      </c>
      <c r="IP15" s="116">
        <f>+MIN(CD15:CF15)</f>
        <v>368.5</v>
      </c>
      <c r="IQ15" s="116">
        <f>+MIN(CG15:CI15)</f>
        <v>365.1</v>
      </c>
      <c r="IR15" s="116">
        <f>+MIN(CJ15:CL15)</f>
        <v>210</v>
      </c>
      <c r="IS15" s="116">
        <f>+MIN(CM15:CO15)</f>
        <v>298</v>
      </c>
      <c r="IT15" s="116">
        <f>+MIN(CP15:CR15)</f>
        <v>204.1</v>
      </c>
      <c r="IU15" s="116">
        <f>+MIN(CS15:CU15)</f>
        <v>241.5</v>
      </c>
      <c r="IV15" s="116">
        <f>+MIN(CV15:CX15)</f>
        <v>497.6</v>
      </c>
      <c r="IW15" s="116">
        <f>+MIN(CY15:DA15)</f>
        <v>787.1</v>
      </c>
      <c r="IX15" s="116">
        <f>+MIN(DB15:DD15)</f>
        <v>928</v>
      </c>
      <c r="IY15" s="116">
        <f>+MIN(DE15:DG15)</f>
        <v>1723.95</v>
      </c>
      <c r="IZ15" s="116">
        <f>+MIN(DH15:DJ15)</f>
        <v>2672.6</v>
      </c>
      <c r="JA15" s="116">
        <f>+MIN(DK15:DM15)</f>
        <v>2880</v>
      </c>
      <c r="JB15" s="116">
        <f>+MIN(DN15:DP15)</f>
        <v>2680.05</v>
      </c>
      <c r="JC15" s="116">
        <f>+MIN(DQ15:DS15)</f>
        <v>2700</v>
      </c>
      <c r="JD15" s="116">
        <f>+MIN(DT15:DV15)</f>
        <v>2838</v>
      </c>
      <c r="JE15" s="116">
        <f>+MIN(DW15:DY15)</f>
        <v>2592.1</v>
      </c>
      <c r="JF15" s="116">
        <f>+MIN(DZ15:EB15)</f>
        <v>1925.05</v>
      </c>
      <c r="JG15" s="116">
        <f>+MIN(EC15:EE15)</f>
        <v>1872.9</v>
      </c>
      <c r="JH15" s="116">
        <f>+MIN(EF15:EH15)</f>
        <v>2031</v>
      </c>
      <c r="JI15" s="116">
        <f>+MIN(EI15:EK15)</f>
        <v>2002</v>
      </c>
      <c r="JJ15" s="116">
        <f>+MIN(EL15:EN15)</f>
        <v>2010</v>
      </c>
      <c r="JK15" s="116">
        <f>MIN(EO15:EQ15)</f>
        <v>1965.05</v>
      </c>
      <c r="JL15" s="116">
        <f>MIN(ER15:ET15)</f>
        <v>2088.85</v>
      </c>
      <c r="JM15" s="116">
        <f>MIN(EU15:EW15)</f>
        <v>1712.2</v>
      </c>
      <c r="JN15" s="116">
        <f>MIN(EX15:EZ15)</f>
        <v>1170.75</v>
      </c>
      <c r="JO15" s="116">
        <f>MIN(FA15:FC15)</f>
        <v>1112</v>
      </c>
      <c r="JP15" s="116">
        <f>MIN(FD15:FF15)</f>
        <v>1386.25</v>
      </c>
      <c r="JQ15" s="116">
        <f>MIN(FG15:FI15)</f>
        <v>1079.1500000000001</v>
      </c>
      <c r="JR15" s="116">
        <f>MIN(FJ15:FL15)</f>
        <v>905.15</v>
      </c>
      <c r="JS15" s="116">
        <f>MIN(FM15:FO15)</f>
        <v>990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37.9</v>
      </c>
      <c r="D16" s="116" cm="1">
        <f t="array" ref="D16">_xll.EQNXTDZ($A$1,$B16,D$1)</f>
        <v>41.7</v>
      </c>
      <c r="E16" s="116" cm="1">
        <f t="array" ref="E16">_xll.EQNXTDZ($A$1,$B16,E$1)</f>
        <v>45.1</v>
      </c>
      <c r="F16" s="116" cm="1">
        <f t="array" ref="F16">_xll.EQNXTDZ($A$1,$B16,F$1)</f>
        <v>58.95</v>
      </c>
      <c r="G16" s="116" cm="1">
        <f t="array" ref="G16">_xll.EQNXTDZ($A$1,$B16,G$1)</f>
        <v>54.15</v>
      </c>
      <c r="H16" s="116" cm="1">
        <f t="array" ref="H16">_xll.EQNXTDZ($A$1,$B16,H$1)</f>
        <v>53.4</v>
      </c>
      <c r="I16" s="116" cm="1">
        <f t="array" ref="I16">_xll.EQNXTDZ($A$1,$B16,I$1)</f>
        <v>54.1</v>
      </c>
      <c r="J16" s="116" cm="1">
        <f t="array" ref="J16">_xll.EQNXTDZ($A$1,$B16,J$1)</f>
        <v>47.15</v>
      </c>
      <c r="K16" s="116" cm="1">
        <f t="array" ref="K16">_xll.EQNXTDZ($A$1,$B16,K$1)</f>
        <v>40.549999999999997</v>
      </c>
      <c r="L16" s="116" cm="1">
        <f t="array" ref="L16">_xll.EQNXTDZ($A$1,$B16,L$1)</f>
        <v>35.200000000000003</v>
      </c>
      <c r="M16" s="116" cm="1">
        <f t="array" ref="M16">_xll.EQNXTDZ($A$1,$B16,M$1)</f>
        <v>37.700000000000003</v>
      </c>
      <c r="N16" s="116" cm="1">
        <f t="array" ref="N16">_xll.EQNXTDZ($A$1,$B16,N$1)</f>
        <v>35</v>
      </c>
      <c r="O16" s="116" cm="1">
        <f t="array" ref="O16">_xll.EQNXTDZ($A$1,$B16,O$1)</f>
        <v>33.450000000000003</v>
      </c>
      <c r="P16" s="116" cm="1">
        <f t="array" ref="P16">_xll.EQNXTDZ($A$1,$B16,P$1)</f>
        <v>29.8</v>
      </c>
      <c r="Q16" s="116" cm="1">
        <f t="array" ref="Q16">_xll.EQNXTDZ($A$1,$B16,Q$1)</f>
        <v>32.299999999999997</v>
      </c>
      <c r="R16" s="116" cm="1">
        <f t="array" ref="R16">_xll.EQNXTDZ($A$1,$B16,R$1)</f>
        <v>32.15</v>
      </c>
      <c r="S16" s="116" cm="1">
        <f t="array" ref="S16">_xll.EQNXTDZ($A$1,$B16,S$1)</f>
        <v>36.75</v>
      </c>
      <c r="T16" s="116" cm="1">
        <f t="array" ref="T16">_xll.EQNXTDZ($A$1,$B16,T$1)</f>
        <v>41.15</v>
      </c>
      <c r="U16" s="116" cm="1">
        <f t="array" ref="U16">_xll.EQNXTDZ($A$1,$B16,U$1)</f>
        <v>49.8</v>
      </c>
      <c r="V16" s="116" cm="1">
        <f t="array" ref="V16">_xll.EQNXTDZ($A$1,$B16,V$1)</f>
        <v>40.1</v>
      </c>
      <c r="W16" s="116" cm="1">
        <f t="array" ref="W16">_xll.EQNXTDZ($A$1,$B16,W$1)</f>
        <v>36.950000000000003</v>
      </c>
      <c r="X16" s="116" cm="1">
        <f t="array" ref="X16">_xll.EQNXTDZ($A$1,$B16,X$1)</f>
        <v>39.950000000000003</v>
      </c>
      <c r="Y16" s="116" cm="1">
        <f t="array" ref="Y16">_xll.EQNXTDZ($A$1,$B16,Y$1)</f>
        <v>41.45</v>
      </c>
      <c r="Z16" s="116" cm="1">
        <f t="array" ref="Z16">_xll.EQNXTDZ($A$1,$B16,Z$1)</f>
        <v>49.2</v>
      </c>
      <c r="AA16" s="116" cm="1">
        <f t="array" ref="AA16">_xll.EQNXTDZ($A$1,$B16,AA$1)</f>
        <v>60.9</v>
      </c>
      <c r="AB16" s="116" cm="1">
        <f t="array" ref="AB16">_xll.EQNXTDZ($A$1,$B16,AB$1)</f>
        <v>68.400000000000006</v>
      </c>
      <c r="AC16" s="116" cm="1">
        <f t="array" ref="AC16">_xll.EQNXTDZ($A$1,$B16,AC$1)</f>
        <v>89.65</v>
      </c>
      <c r="AD16" s="116" cm="1">
        <f t="array" ref="AD16">_xll.EQNXTDZ($A$1,$B16,AD$1)</f>
        <v>78.55</v>
      </c>
      <c r="AE16" s="116" cm="1">
        <f t="array" ref="AE16">_xll.EQNXTDZ($A$1,$B16,AE$1)</f>
        <v>81</v>
      </c>
      <c r="AF16" s="116" cm="1">
        <f t="array" ref="AF16">_xll.EQNXTDZ($A$1,$B16,AF$1)</f>
        <v>73.150000000000006</v>
      </c>
      <c r="AG16" s="116" cm="1">
        <f t="array" ref="AG16">_xll.EQNXTDZ($A$1,$B16,AG$1)</f>
        <v>70.75</v>
      </c>
      <c r="AH16" s="116" cm="1">
        <f t="array" ref="AH16">_xll.EQNXTDZ($A$1,$B16,AH$1)</f>
        <v>77.7</v>
      </c>
      <c r="AI16" s="116" cm="1">
        <f t="array" ref="AI16">_xll.EQNXTDZ($A$1,$B16,AI$1)</f>
        <v>78.3</v>
      </c>
      <c r="AJ16" s="116" cm="1">
        <f t="array" ref="AJ16">_xll.EQNXTDZ($A$1,$B16,AJ$1)</f>
        <v>81.05</v>
      </c>
      <c r="AK16" s="116" cm="1">
        <f t="array" ref="AK16">_xll.EQNXTDZ($A$1,$B16,AK$1)</f>
        <v>101.9</v>
      </c>
      <c r="AL16" s="116" cm="1">
        <f t="array" ref="AL16">_xll.EQNXTDZ($A$1,$B16,AL$1)</f>
        <v>111.2</v>
      </c>
      <c r="AM16" s="116" cm="1">
        <f t="array" ref="AM16">_xll.EQNXTDZ($A$1,$B16,AM$1)</f>
        <v>115.1</v>
      </c>
      <c r="AN16" s="116" cm="1">
        <f t="array" ref="AN16">_xll.EQNXTDZ($A$1,$B16,AN$1)</f>
        <v>126.2</v>
      </c>
      <c r="AO16" s="116" cm="1">
        <f t="array" ref="AO16">_xll.EQNXTDZ($A$1,$B16,AO$1)</f>
        <v>127</v>
      </c>
      <c r="AP16" s="116" cm="1">
        <f t="array" ref="AP16">_xll.EQNXTDZ($A$1,$B16,AP$1)</f>
        <v>125.8</v>
      </c>
      <c r="AQ16" s="116" cm="1">
        <f t="array" ref="AQ16">_xll.EQNXTDZ($A$1,$B16,AQ$1)</f>
        <v>130.4</v>
      </c>
      <c r="AR16" s="116" cm="1">
        <f t="array" ref="AR16">_xll.EQNXTDZ($A$1,$B16,AR$1)</f>
        <v>133.4</v>
      </c>
      <c r="AS16" s="116" cm="1">
        <f t="array" ref="AS16">_xll.EQNXTDZ($A$1,$B16,AS$1)</f>
        <v>164.6</v>
      </c>
      <c r="AT16" s="116" cm="1">
        <f t="array" ref="AT16">_xll.EQNXTDZ($A$1,$B16,AT$1)</f>
        <v>140.19999999999999</v>
      </c>
      <c r="AU16" s="116" cm="1">
        <f t="array" ref="AU16">_xll.EQNXTDZ($A$1,$B16,AU$1)</f>
        <v>127.8</v>
      </c>
      <c r="AV16" s="116" cm="1">
        <f t="array" ref="AV16">_xll.EQNXTDZ($A$1,$B16,AV$1)</f>
        <v>178.5</v>
      </c>
      <c r="AW16" s="116" cm="1">
        <f t="array" ref="AW16">_xll.EQNXTDZ($A$1,$B16,AW$1)</f>
        <v>202.6</v>
      </c>
      <c r="AX16" s="116" cm="1">
        <f t="array" ref="AX16">_xll.EQNXTDZ($A$1,$B16,AX$1)</f>
        <v>214.2</v>
      </c>
      <c r="AY16" s="116" cm="1">
        <f t="array" ref="AY16">_xll.EQNXTDZ($A$1,$B16,AY$1)</f>
        <v>277.89999999999998</v>
      </c>
      <c r="AZ16" s="116" cm="1">
        <f t="array" ref="AZ16">_xll.EQNXTDZ($A$1,$B16,AZ$1)</f>
        <v>296.35000000000002</v>
      </c>
      <c r="BA16" s="116" cm="1">
        <f t="array" ref="BA16">_xll.EQNXTDZ($A$1,$B16,BA$1)</f>
        <v>288.7</v>
      </c>
      <c r="BB16" s="116" cm="1">
        <f t="array" ref="BB16">_xll.EQNXTDZ($A$1,$B16,BB$1)</f>
        <v>295.89999999999998</v>
      </c>
      <c r="BC16" s="116" cm="1">
        <f t="array" ref="BC16">_xll.EQNXTDZ($A$1,$B16,BC$1)</f>
        <v>339.15</v>
      </c>
      <c r="BD16" s="116" cm="1">
        <f t="array" ref="BD16">_xll.EQNXTDZ($A$1,$B16,BD$1)</f>
        <v>313.55</v>
      </c>
      <c r="BE16" s="116" cm="1">
        <f t="array" ref="BE16">_xll.EQNXTDZ($A$1,$B16,BE$1)</f>
        <v>320.10000000000002</v>
      </c>
      <c r="BF16" s="116" cm="1">
        <f t="array" ref="BF16">_xll.EQNXTDZ($A$1,$B16,BF$1)</f>
        <v>347.95</v>
      </c>
      <c r="BG16" s="116" cm="1">
        <f t="array" ref="BG16">_xll.EQNXTDZ($A$1,$B16,BG$1)</f>
        <v>332.55</v>
      </c>
      <c r="BH16" s="116" cm="1">
        <f t="array" ref="BH16">_xll.EQNXTDZ($A$1,$B16,BH$1)</f>
        <v>379.6</v>
      </c>
      <c r="BI16" s="116" cm="1">
        <f t="array" ref="BI16">_xll.EQNXTDZ($A$1,$B16,BI$1)</f>
        <v>386.5</v>
      </c>
      <c r="BJ16" s="116" cm="1">
        <f t="array" ref="BJ16">_xll.EQNXTDZ($A$1,$B16,BJ$1)</f>
        <v>354.3</v>
      </c>
      <c r="BK16" s="116" cm="1">
        <f t="array" ref="BK16">_xll.EQNXTDZ($A$1,$B16,BK$1)</f>
        <v>336.3</v>
      </c>
      <c r="BL16" s="116" cm="1">
        <f t="array" ref="BL16">_xll.EQNXTDZ($A$1,$B16,BL$1)</f>
        <v>330.2</v>
      </c>
      <c r="BM16" s="116" cm="1">
        <f t="array" ref="BM16">_xll.EQNXTDZ($A$1,$B16,BM$1)</f>
        <v>325.25</v>
      </c>
      <c r="BN16" s="116" cm="1">
        <f t="array" ref="BN16">_xll.EQNXTDZ($A$1,$B16,BN$1)</f>
        <v>337.05</v>
      </c>
      <c r="BO16" s="116" cm="1">
        <f t="array" ref="BO16">_xll.EQNXTDZ($A$1,$B16,BO$1)</f>
        <v>516.35</v>
      </c>
      <c r="BP16" s="116" cm="1">
        <f t="array" ref="BP16">_xll.EQNXTDZ($A$1,$B16,BP$1)</f>
        <v>615.4</v>
      </c>
      <c r="BQ16" s="116" cm="1">
        <f t="array" ref="BQ16">_xll.EQNXTDZ($A$1,$B16,BQ$1)</f>
        <v>636.04999999999995</v>
      </c>
      <c r="BR16" s="116" cm="1">
        <f t="array" ref="BR16">_xll.EQNXTDZ($A$1,$B16,BR$1)</f>
        <v>656.4</v>
      </c>
      <c r="BS16" s="116" cm="1">
        <f t="array" ref="BS16">_xll.EQNXTDZ($A$1,$B16,BS$1)</f>
        <v>644.54999999999995</v>
      </c>
      <c r="BT16" s="116" cm="1">
        <f t="array" ref="BT16">_xll.EQNXTDZ($A$1,$B16,BT$1)</f>
        <v>562.75</v>
      </c>
      <c r="BU16" s="116" cm="1">
        <f t="array" ref="BU16">_xll.EQNXTDZ($A$1,$B16,BU$1)</f>
        <v>712.65</v>
      </c>
      <c r="BV16" s="116" cm="1">
        <f t="array" ref="BV16">_xll.EQNXTDZ($A$1,$B16,BV$1)</f>
        <v>599.54999999999995</v>
      </c>
      <c r="BW16" s="116" cm="1">
        <f t="array" ref="BW16">_xll.EQNXTDZ($A$1,$B16,BW$1)</f>
        <v>549.04999999999995</v>
      </c>
      <c r="BX16" s="116" cm="1">
        <f t="array" ref="BX16">_xll.EQNXTDZ($A$1,$B16,BX$1)</f>
        <v>585.25</v>
      </c>
      <c r="BY16" s="116" cm="1">
        <f t="array" ref="BY16">_xll.EQNXTDZ($A$1,$B16,BY$1)</f>
        <v>584</v>
      </c>
      <c r="BZ16" s="116" cm="1">
        <f t="array" ref="BZ16">_xll.EQNXTDZ($A$1,$B16,BZ$1)</f>
        <v>469.5</v>
      </c>
      <c r="CA16" s="116" cm="1">
        <f t="array" ref="CA16">_xll.EQNXTDZ($A$1,$B16,CA$1)</f>
        <v>457.6</v>
      </c>
      <c r="CB16" s="116" cm="1">
        <f t="array" ref="CB16">_xll.EQNXTDZ($A$1,$B16,CB$1)</f>
        <v>461.75</v>
      </c>
      <c r="CC16" s="116" cm="1">
        <f t="array" ref="CC16">_xll.EQNXTDZ($A$1,$B16,CC$1)</f>
        <v>459.35</v>
      </c>
      <c r="CD16" s="116" cm="1">
        <f t="array" ref="CD16">_xll.EQNXTDZ($A$1,$B16,CD$1)</f>
        <v>421.75</v>
      </c>
      <c r="CE16" s="116" cm="1">
        <f t="array" ref="CE16">_xll.EQNXTDZ($A$1,$B16,CE$1)</f>
        <v>408.65</v>
      </c>
      <c r="CF16" s="116" cm="1">
        <f t="array" ref="CF16">_xll.EQNXTDZ($A$1,$B16,CF$1)</f>
        <v>489.1</v>
      </c>
      <c r="CG16" s="116" cm="1">
        <f t="array" ref="CG16">_xll.EQNXTDZ($A$1,$B16,CG$1)</f>
        <v>435.75</v>
      </c>
      <c r="CH16" s="116" cm="1">
        <f t="array" ref="CH16">_xll.EQNXTDZ($A$1,$B16,CH$1)</f>
        <v>404.6</v>
      </c>
      <c r="CI16" s="116" cm="1">
        <f t="array" ref="CI16">_xll.EQNXTDZ($A$1,$B16,CI$1)</f>
        <v>377.8</v>
      </c>
      <c r="CJ16" s="116" cm="1">
        <f t="array" ref="CJ16">_xll.EQNXTDZ($A$1,$B16,CJ$1)</f>
        <v>234.2</v>
      </c>
      <c r="CK16" s="116" cm="1">
        <f t="array" ref="CK16">_xll.EQNXTDZ($A$1,$B16,CK$1)</f>
        <v>253.2</v>
      </c>
      <c r="CL16" s="116" cm="1">
        <f t="array" ref="CL16">_xll.EQNXTDZ($A$1,$B16,CL$1)</f>
        <v>332.95</v>
      </c>
      <c r="CM16" s="116" cm="1">
        <f t="array" ref="CM16">_xll.EQNXTDZ($A$1,$B16,CM$1)</f>
        <v>324.7</v>
      </c>
      <c r="CN16" s="116" cm="1">
        <f t="array" ref="CN16">_xll.EQNXTDZ($A$1,$B16,CN$1)</f>
        <v>365.1</v>
      </c>
      <c r="CO16" s="116" cm="1">
        <f t="array" ref="CO16">_xll.EQNXTDZ($A$1,$B16,CO$1)</f>
        <v>398.2</v>
      </c>
      <c r="CP16" s="116" cm="1">
        <f t="array" ref="CP16">_xll.EQNXTDZ($A$1,$B16,CP$1)</f>
        <v>387.8</v>
      </c>
      <c r="CQ16" s="116" cm="1">
        <f t="array" ref="CQ16">_xll.EQNXTDZ($A$1,$B16,CQ$1)</f>
        <v>409.65</v>
      </c>
      <c r="CR16" s="116" cm="1">
        <f t="array" ref="CR16">_xll.EQNXTDZ($A$1,$B16,CR$1)</f>
        <v>250.95</v>
      </c>
      <c r="CS16" s="116" cm="1">
        <f t="array" ref="CS16">_xll.EQNXTDZ($A$1,$B16,CS$1)</f>
        <v>410</v>
      </c>
      <c r="CT16" s="116" cm="1">
        <f t="array" ref="CT16">_xll.EQNXTDZ($A$1,$B16,CT$1)</f>
        <v>403.45</v>
      </c>
      <c r="CU16" s="116" cm="1">
        <f t="array" ref="CU16">_xll.EQNXTDZ($A$1,$B16,CU$1)</f>
        <v>493.65</v>
      </c>
      <c r="CV16" s="116" cm="1">
        <f t="array" ref="CV16">_xll.EQNXTDZ($A$1,$B16,CV$1)</f>
        <v>568.65</v>
      </c>
      <c r="CW16" s="116" cm="1">
        <f t="array" ref="CW16">_xll.EQNXTDZ($A$1,$B16,CW$1)</f>
        <v>791.45</v>
      </c>
      <c r="CX16" s="116" cm="1">
        <f t="array" ref="CX16">_xll.EQNXTDZ($A$1,$B16,CX$1)</f>
        <v>807.9</v>
      </c>
      <c r="CY16" s="116" cm="1">
        <f t="array" ref="CY16">_xll.EQNXTDZ($A$1,$B16,CY$1)</f>
        <v>842.65</v>
      </c>
      <c r="CZ16" s="116" cm="1">
        <f t="array" ref="CZ16">_xll.EQNXTDZ($A$1,$B16,CZ$1)</f>
        <v>1004.25</v>
      </c>
      <c r="DA16" s="116" cm="1">
        <f t="array" ref="DA16">_xll.EQNXTDZ($A$1,$B16,DA$1)</f>
        <v>925.45</v>
      </c>
      <c r="DB16" s="116" cm="1">
        <f t="array" ref="DB16">_xll.EQNXTDZ($A$1,$B16,DB$1)</f>
        <v>1124.8499999999999</v>
      </c>
      <c r="DC16" s="116" cm="1">
        <f t="array" ref="DC16">_xll.EQNXTDZ($A$1,$B16,DC$1)</f>
        <v>1629.6</v>
      </c>
      <c r="DD16" s="116" cm="1">
        <f t="array" ref="DD16">_xll.EQNXTDZ($A$1,$B16,DD$1)</f>
        <v>1762.85</v>
      </c>
      <c r="DE16" s="116" cm="1">
        <f t="array" ref="DE16">_xll.EQNXTDZ($A$1,$B16,DE$1)</f>
        <v>2591.4</v>
      </c>
      <c r="DF16" s="116" cm="1">
        <f t="array" ref="DF16">_xll.EQNXTDZ($A$1,$B16,DF$1)</f>
        <v>2804.2</v>
      </c>
      <c r="DG16" s="116" cm="1">
        <f t="array" ref="DG16">_xll.EQNXTDZ($A$1,$B16,DG$1)</f>
        <v>2666.85</v>
      </c>
      <c r="DH16" s="116" cm="1">
        <f t="array" ref="DH16">_xll.EQNXTDZ($A$1,$B16,DH$1)</f>
        <v>3263.85</v>
      </c>
      <c r="DI16" s="116" cm="1">
        <f t="array" ref="DI16">_xll.EQNXTDZ($A$1,$B16,DI$1)</f>
        <v>4046.4</v>
      </c>
      <c r="DJ16" s="116" cm="1">
        <f t="array" ref="DJ16">_xll.EQNXTDZ($A$1,$B16,DJ$1)</f>
        <v>4516.1000000000004</v>
      </c>
      <c r="DK16" s="116" cm="1">
        <f t="array" ref="DK16">_xll.EQNXTDZ($A$1,$B16,DK$1)</f>
        <v>3460.6</v>
      </c>
      <c r="DL16" s="116" cm="1">
        <f t="array" ref="DL16">_xll.EQNXTDZ($A$1,$B16,DL$1)</f>
        <v>2995.1</v>
      </c>
      <c r="DM16" s="116" cm="1">
        <f t="array" ref="DM16">_xll.EQNXTDZ($A$1,$B16,DM$1)</f>
        <v>3419.2</v>
      </c>
      <c r="DN16" s="116" cm="1">
        <f t="array" ref="DN16">_xll.EQNXTDZ($A$1,$B16,DN$1)</f>
        <v>3251.65</v>
      </c>
      <c r="DO16" s="116" cm="1">
        <f t="array" ref="DO16">_xll.EQNXTDZ($A$1,$B16,DO$1)</f>
        <v>2852.9</v>
      </c>
      <c r="DP16" s="116" cm="1">
        <f t="array" ref="DP16">_xll.EQNXTDZ($A$1,$B16,DP$1)</f>
        <v>2902.15</v>
      </c>
      <c r="DQ16" s="116" cm="1">
        <f t="array" ref="DQ16">_xll.EQNXTDZ($A$1,$B16,DQ$1)</f>
        <v>3229.7</v>
      </c>
      <c r="DR16" s="116" cm="1">
        <f t="array" ref="DR16">_xll.EQNXTDZ($A$1,$B16,DR$1)</f>
        <v>3211.4</v>
      </c>
      <c r="DS16" s="116" cm="1">
        <f t="array" ref="DS16">_xll.EQNXTDZ($A$1,$B16,DS$1)</f>
        <v>2862.95</v>
      </c>
      <c r="DT16" s="116" cm="1">
        <f t="array" ref="DT16">_xll.EQNXTDZ($A$1,$B16,DT$1)</f>
        <v>3398.1</v>
      </c>
      <c r="DU16" s="116" cm="1">
        <f t="array" ref="DU16">_xll.EQNXTDZ($A$1,$B16,DU$1)</f>
        <v>3466.6</v>
      </c>
      <c r="DV16" s="116" cm="1">
        <f t="array" ref="DV16">_xll.EQNXTDZ($A$1,$B16,DV$1)</f>
        <v>3171.05</v>
      </c>
      <c r="DW16" s="116" cm="1">
        <f t="array" ref="DW16">_xll.EQNXTDZ($A$1,$B16,DW$1)</f>
        <v>3027.2</v>
      </c>
      <c r="DX16" s="116" cm="1">
        <f t="array" ref="DX16">_xll.EQNXTDZ($A$1,$B16,DX$1)</f>
        <v>3043.4</v>
      </c>
      <c r="DY16" s="116" cm="1">
        <f t="array" ref="DY16">_xll.EQNXTDZ($A$1,$B16,DY$1)</f>
        <v>2707.25</v>
      </c>
      <c r="DZ16" s="116" cm="1">
        <f t="array" ref="DZ16">_xll.EQNXTDZ($A$1,$B16,DZ$1)</f>
        <v>2387.25</v>
      </c>
      <c r="EA16" s="116" cm="1">
        <f t="array" ref="EA16">_xll.EQNXTDZ($A$1,$B16,EA$1)</f>
        <v>2194.1</v>
      </c>
      <c r="EB16" s="116" cm="1">
        <f t="array" ref="EB16">_xll.EQNXTDZ($A$1,$B16,EB$1)</f>
        <v>1942.65</v>
      </c>
      <c r="EC16" s="116" cm="1">
        <f t="array" ref="EC16">_xll.EQNXTDZ($A$1,$B16,EC$1)</f>
        <v>2101.1999999999998</v>
      </c>
      <c r="ED16" s="116" cm="1">
        <f t="array" ref="ED16">_xll.EQNXTDZ($A$1,$B16,ED$1)</f>
        <v>2106.75</v>
      </c>
      <c r="EE16" s="116" cm="1">
        <f t="array" ref="EE16">_xll.EQNXTDZ($A$1,$B16,EE$1)</f>
        <v>2316.25</v>
      </c>
      <c r="EF16" s="116" cm="1">
        <f t="array" ref="EF16">_xll.EQNXTDZ($A$1,$B16,EF$1)</f>
        <v>2188.4499999999998</v>
      </c>
      <c r="EG16" s="116" cm="1">
        <f t="array" ref="EG16">_xll.EQNXTDZ($A$1,$B16,EG$1)</f>
        <v>2242.9499999999998</v>
      </c>
      <c r="EH16" s="116" cm="1">
        <f t="array" ref="EH16">_xll.EQNXTDZ($A$1,$B16,EH$1)</f>
        <v>2173.0500000000002</v>
      </c>
      <c r="EI16" s="116" cm="1">
        <f t="array" ref="EI16">_xll.EQNXTDZ($A$1,$B16,EI$1)</f>
        <v>2043.1</v>
      </c>
      <c r="EJ16" s="116" cm="1">
        <f t="array" ref="EJ16">_xll.EQNXTDZ($A$1,$B16,EJ$1)</f>
        <v>2015.25</v>
      </c>
      <c r="EK16" s="116" cm="1">
        <f t="array" ref="EK16">_xll.EQNXTDZ($A$1,$B16,EK$1)</f>
        <v>2668.4</v>
      </c>
      <c r="EL16" s="116" cm="1">
        <f t="array" ref="EL16">_xll.EQNXTDZ($A$1,$B16,EL$1)</f>
        <v>2437.1999999999998</v>
      </c>
      <c r="EM16" s="116" cm="1">
        <f t="array" ref="EM16">_xll.EQNXTDZ($A$1,$B16,EM$1)</f>
        <v>2180.1</v>
      </c>
      <c r="EN16" s="116" cm="1">
        <f t="array" ref="EN16">_xll.EQNXTDZ($A$1,$B16,EN$1)</f>
        <v>2043.9</v>
      </c>
      <c r="EO16" s="116" cm="1">
        <f t="array" ref="EO16">_xll.EQNXTDZ($A$1,$B16,EO$1)</f>
        <v>2191.15</v>
      </c>
      <c r="EP16" s="116" cm="1">
        <f t="array" ref="EP16">_xll.EQNXTDZ($A$1,$B16,EP$1)</f>
        <v>2090.9</v>
      </c>
      <c r="EQ16" s="116" cm="1">
        <f t="array" ref="EQ16">_xll.EQNXTDZ($A$1,$B16,EQ$1)</f>
        <v>2290.65</v>
      </c>
      <c r="ER16" s="116" cm="1">
        <f t="array" ref="ER16">_xll.EQNXTDZ($A$1,$B16,ER$1)</f>
        <v>2499.6</v>
      </c>
      <c r="ES16" s="116" cm="1">
        <f t="array" ref="ES16">_xll.EQNXTDZ($A$1,$B16,ES$1)</f>
        <v>2224.35</v>
      </c>
      <c r="ET16" s="116" cm="1">
        <f t="array" ref="ET16">_xll.EQNXTDZ($A$1,$B16,ET$1)</f>
        <v>2283</v>
      </c>
      <c r="EU16" s="116" cm="1">
        <f t="array" ref="EU16">_xll.EQNXTDZ($A$1,$B16,EU$1)</f>
        <v>2130.65</v>
      </c>
      <c r="EV16" s="116" cm="1">
        <f t="array" ref="EV16">_xll.EQNXTDZ($A$1,$B16,EV$1)</f>
        <v>2063.6999999999998</v>
      </c>
      <c r="EW16" s="116" cm="1">
        <f t="array" ref="EW16">_xll.EQNXTDZ($A$1,$B16,EW$1)</f>
        <v>1788</v>
      </c>
      <c r="EX16" s="116" cm="1">
        <f t="array" ref="EX16">_xll.EQNXTDZ($A$1,$B16,EX$1)</f>
        <v>1723</v>
      </c>
      <c r="EY16" s="116" cm="1">
        <f t="array" ref="EY16">_xll.EQNXTDZ($A$1,$B16,EY$1)</f>
        <v>1293.5999999999999</v>
      </c>
      <c r="EZ16" s="116" cm="1">
        <f t="array" ref="EZ16">_xll.EQNXTDZ($A$1,$B16,EZ$1)</f>
        <v>1207.25</v>
      </c>
      <c r="FA16" s="116" cm="1">
        <f t="array" ref="FA16">_xll.EQNXTDZ($A$1,$B16,FA$1)</f>
        <v>1266.2</v>
      </c>
      <c r="FB16" s="116" cm="1">
        <f t="array" ref="FB16">_xll.EQNXTDZ($A$1,$B16,FB$1)</f>
        <v>1454.6</v>
      </c>
      <c r="FC16" s="116" cm="1">
        <f t="array" ref="FC16">_xll.EQNXTDZ($A$1,$B16,FC$1)</f>
        <v>1845.4</v>
      </c>
      <c r="FD16" s="116" cm="1">
        <f t="array" ref="FD16">_xll.EQNXTDZ($A$1,$B16,FD$1)</f>
        <v>1769.7</v>
      </c>
      <c r="FE16" s="116" cm="1">
        <f t="array" ref="FE16">_xll.EQNXTDZ($A$1,$B16,FE$1)</f>
        <v>1456.25</v>
      </c>
      <c r="FF16" s="116" cm="1">
        <f t="array" ref="FF16">_xll.EQNXTDZ($A$1,$B16,FF$1)</f>
        <v>1391.35</v>
      </c>
      <c r="FG16" s="116" cm="1">
        <f t="array" ref="FG16">_xll.EQNXTDZ($A$1,$B16,FG$1)</f>
        <v>1408.6</v>
      </c>
      <c r="FH16" s="116" cm="1">
        <f t="array" ref="FH16">_xll.EQNXTDZ($A$1,$B16,FH$1)</f>
        <v>1152.8499999999999</v>
      </c>
      <c r="FI16" s="116" cm="1">
        <f t="array" ref="FI16">_xll.EQNXTDZ($A$1,$B16,FI$1)</f>
        <v>1118.5999999999999</v>
      </c>
      <c r="FJ16" s="116" cm="1">
        <f t="array" ref="FJ16">_xll.EQNXTDZ($A$1,$B16,FJ$1)</f>
        <v>1117.75</v>
      </c>
      <c r="FK16" s="116" cm="1">
        <f t="array" ref="FK16">_xll.EQNXTDZ($A$1,$B16,FK$1)</f>
        <v>1089.1500000000001</v>
      </c>
      <c r="FL16" s="116" cm="1">
        <f t="array" ref="FL16">_xll.EQNXTDZ($A$1,$B16,FL$1)</f>
        <v>977</v>
      </c>
      <c r="FM16" s="116" cm="1">
        <f t="array" ref="FM16">_xll.EQNXTDZ($A$1,$B16,FM$1)</f>
        <v>1331.85</v>
      </c>
      <c r="FN16" s="116" cm="1">
        <f t="array" ref="FN16">_xll.EQNXTDZ($A$1,$B16,FN$1)</f>
        <v>1778.7</v>
      </c>
      <c r="FO16" s="116" cm="1">
        <f t="array" ref="FO16">_xll.EQNXTDZ($A$1,$B16,FO$1)</f>
        <v>2077.65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58.95</v>
      </c>
      <c r="HQ16" s="116">
        <f>+I16</f>
        <v>54.1</v>
      </c>
      <c r="HR16" s="116">
        <f>+L16</f>
        <v>35.200000000000003</v>
      </c>
      <c r="HS16" s="116">
        <f>+O16</f>
        <v>33.450000000000003</v>
      </c>
      <c r="HT16" s="116">
        <f>+R16</f>
        <v>32.15</v>
      </c>
      <c r="HU16" s="116">
        <f>+U16</f>
        <v>49.8</v>
      </c>
      <c r="HV16" s="116">
        <f>+X16</f>
        <v>39.950000000000003</v>
      </c>
      <c r="HW16" s="116">
        <f>+AA16</f>
        <v>60.9</v>
      </c>
      <c r="HX16" s="116">
        <f>+AD16</f>
        <v>78.55</v>
      </c>
      <c r="HY16" s="116">
        <f>+AG16</f>
        <v>70.75</v>
      </c>
      <c r="HZ16" s="116">
        <f>+AJ16</f>
        <v>81.05</v>
      </c>
      <c r="IA16" s="116">
        <f>+AM16</f>
        <v>115.1</v>
      </c>
      <c r="IB16" s="116">
        <f>+AP16</f>
        <v>125.8</v>
      </c>
      <c r="IC16" s="116">
        <f>+AS16</f>
        <v>164.6</v>
      </c>
      <c r="ID16" s="116">
        <f>+AV16</f>
        <v>178.5</v>
      </c>
      <c r="IE16" s="116">
        <f>+AY16</f>
        <v>277.89999999999998</v>
      </c>
      <c r="IF16" s="116">
        <f>+BB16</f>
        <v>295.89999999999998</v>
      </c>
      <c r="IG16" s="116">
        <f>+BE16</f>
        <v>320.10000000000002</v>
      </c>
      <c r="IH16" s="116">
        <f>+BH16</f>
        <v>379.6</v>
      </c>
      <c r="II16" s="116">
        <f>+BK16</f>
        <v>336.3</v>
      </c>
      <c r="IJ16" s="116">
        <f>+BN16</f>
        <v>337.05</v>
      </c>
      <c r="IK16" s="116">
        <f>+BQ16</f>
        <v>636.04999999999995</v>
      </c>
      <c r="IL16" s="116">
        <f>+BT16</f>
        <v>562.75</v>
      </c>
      <c r="IM16" s="116">
        <f>+BW16</f>
        <v>549.04999999999995</v>
      </c>
      <c r="IN16" s="116">
        <f>+BZ16</f>
        <v>469.5</v>
      </c>
      <c r="IO16" s="116">
        <f>+CC16</f>
        <v>459.35</v>
      </c>
      <c r="IP16" s="116">
        <f>+CF16</f>
        <v>489.1</v>
      </c>
      <c r="IQ16" s="116">
        <f>+CI16</f>
        <v>377.8</v>
      </c>
      <c r="IR16" s="116">
        <f>+CL16</f>
        <v>332.95</v>
      </c>
      <c r="IS16" s="116">
        <f>+CO16</f>
        <v>398.2</v>
      </c>
      <c r="IT16" s="116">
        <f>+CR16</f>
        <v>250.95</v>
      </c>
      <c r="IU16" s="116">
        <f>+CU16</f>
        <v>493.65</v>
      </c>
      <c r="IV16" s="116">
        <f>+CX16</f>
        <v>807.9</v>
      </c>
      <c r="IW16" s="116">
        <f>+DA16</f>
        <v>925.45</v>
      </c>
      <c r="IX16" s="116">
        <f>+DD16</f>
        <v>1762.85</v>
      </c>
      <c r="IY16" s="116">
        <f>+DG16</f>
        <v>2666.85</v>
      </c>
      <c r="IZ16" s="116">
        <f>+DJ16</f>
        <v>4516.1000000000004</v>
      </c>
      <c r="JA16" s="116">
        <f>+DM16</f>
        <v>3419.2</v>
      </c>
      <c r="JB16" s="116">
        <f>+DP16</f>
        <v>2902.15</v>
      </c>
      <c r="JC16" s="116">
        <f>+DS16</f>
        <v>2862.95</v>
      </c>
      <c r="JD16" s="116">
        <f>+DV16</f>
        <v>3171.05</v>
      </c>
      <c r="JE16" s="116">
        <f>+DY16</f>
        <v>2707.25</v>
      </c>
      <c r="JF16" s="116">
        <f>+EB16</f>
        <v>1942.65</v>
      </c>
      <c r="JG16" s="116">
        <f>+EE16</f>
        <v>2316.25</v>
      </c>
      <c r="JH16" s="116">
        <f>+EH16</f>
        <v>2173.0500000000002</v>
      </c>
      <c r="JI16" s="116">
        <f>+EK16</f>
        <v>2668.4</v>
      </c>
      <c r="JJ16" s="116">
        <f>+EN16</f>
        <v>2043.9</v>
      </c>
      <c r="JK16" s="116">
        <f>EQ16</f>
        <v>2290.65</v>
      </c>
      <c r="JL16" s="116">
        <f>ET16</f>
        <v>2283</v>
      </c>
      <c r="JM16" s="116">
        <f>EW16</f>
        <v>1788</v>
      </c>
      <c r="JN16" s="116">
        <f>EZ16</f>
        <v>1207.25</v>
      </c>
      <c r="JO16" s="116">
        <f>FC16</f>
        <v>1845.4</v>
      </c>
      <c r="JP16" s="116">
        <f>FF16</f>
        <v>1391.35</v>
      </c>
      <c r="JQ16" s="116">
        <f>FI16</f>
        <v>1118.5999999999999</v>
      </c>
      <c r="JR16" s="116">
        <f>FL16</f>
        <v>977</v>
      </c>
      <c r="JS16" s="116">
        <f>FO16</f>
        <v>2077.65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59.65</v>
      </c>
      <c r="HQ19" s="116">
        <f t="shared" ref="HQ19:JI21" si="1">+IF(HQ14=0,HQ7,HQ14)</f>
        <v>66.7</v>
      </c>
      <c r="HR19" s="116">
        <f t="shared" si="1"/>
        <v>56.5</v>
      </c>
      <c r="HS19" s="116">
        <f t="shared" si="1"/>
        <v>41.8</v>
      </c>
      <c r="HT19" s="116">
        <f t="shared" si="1"/>
        <v>41</v>
      </c>
      <c r="HU19" s="116">
        <f t="shared" si="1"/>
        <v>54.8</v>
      </c>
      <c r="HV19" s="116">
        <f t="shared" si="1"/>
        <v>53.9</v>
      </c>
      <c r="HW19" s="116">
        <f t="shared" si="1"/>
        <v>65.8</v>
      </c>
      <c r="HX19" s="116">
        <f t="shared" si="1"/>
        <v>99</v>
      </c>
      <c r="HY19" s="116">
        <f t="shared" si="1"/>
        <v>86.4</v>
      </c>
      <c r="HZ19" s="116">
        <f t="shared" si="1"/>
        <v>89.1</v>
      </c>
      <c r="IA19" s="116">
        <f t="shared" si="1"/>
        <v>128.4</v>
      </c>
      <c r="IB19" s="116">
        <f t="shared" si="1"/>
        <v>163.6</v>
      </c>
      <c r="IC19" s="116">
        <f t="shared" si="1"/>
        <v>168.4</v>
      </c>
      <c r="ID19" s="116">
        <f t="shared" si="1"/>
        <v>184.9</v>
      </c>
      <c r="IE19" s="116">
        <f t="shared" si="1"/>
        <v>282.5</v>
      </c>
      <c r="IF19" s="116">
        <f t="shared" si="1"/>
        <v>329</v>
      </c>
      <c r="IG19" s="116">
        <f t="shared" si="1"/>
        <v>380</v>
      </c>
      <c r="IH19" s="116">
        <f t="shared" si="1"/>
        <v>400</v>
      </c>
      <c r="II19" s="116">
        <f t="shared" si="1"/>
        <v>401.1</v>
      </c>
      <c r="IJ19" s="116">
        <f t="shared" si="1"/>
        <v>390</v>
      </c>
      <c r="IK19" s="116">
        <f t="shared" si="1"/>
        <v>675</v>
      </c>
      <c r="IL19" s="116">
        <f t="shared" si="1"/>
        <v>781</v>
      </c>
      <c r="IM19" s="116">
        <f t="shared" si="1"/>
        <v>727.05</v>
      </c>
      <c r="IN19" s="116">
        <f t="shared" si="1"/>
        <v>601.45000000000005</v>
      </c>
      <c r="IO19" s="116">
        <f t="shared" si="1"/>
        <v>520</v>
      </c>
      <c r="IP19" s="116">
        <f t="shared" si="1"/>
        <v>510.75</v>
      </c>
      <c r="IQ19" s="116">
        <f t="shared" si="1"/>
        <v>539</v>
      </c>
      <c r="IR19" s="116">
        <f t="shared" si="1"/>
        <v>382.55</v>
      </c>
      <c r="IS19" s="116">
        <f t="shared" si="1"/>
        <v>414.8</v>
      </c>
      <c r="IT19" s="116">
        <f t="shared" si="1"/>
        <v>486.6</v>
      </c>
      <c r="IU19" s="116">
        <f t="shared" si="1"/>
        <v>543.95000000000005</v>
      </c>
      <c r="IV19" s="116">
        <f t="shared" si="1"/>
        <v>995</v>
      </c>
      <c r="IW19" s="116">
        <f t="shared" si="1"/>
        <v>1054</v>
      </c>
      <c r="IX19" s="116">
        <f t="shared" si="1"/>
        <v>1905.7</v>
      </c>
      <c r="IY19" s="116">
        <f t="shared" si="1"/>
        <v>2959.95</v>
      </c>
      <c r="IZ19" s="116">
        <f t="shared" si="1"/>
        <v>5220</v>
      </c>
      <c r="JA19" s="116">
        <f t="shared" si="1"/>
        <v>4799</v>
      </c>
      <c r="JB19" s="116">
        <f t="shared" si="1"/>
        <v>3936.95</v>
      </c>
      <c r="JC19" s="116">
        <f t="shared" si="1"/>
        <v>3505</v>
      </c>
      <c r="JD19" s="116">
        <f t="shared" si="1"/>
        <v>3841.85</v>
      </c>
      <c r="JE19" s="116">
        <f t="shared" si="1"/>
        <v>3267.25</v>
      </c>
      <c r="JF19" s="116">
        <f t="shared" si="1"/>
        <v>2727.65</v>
      </c>
      <c r="JG19" s="116">
        <f t="shared" si="1"/>
        <v>2548.6999999999998</v>
      </c>
      <c r="JH19" s="116">
        <f t="shared" si="1"/>
        <v>2355</v>
      </c>
      <c r="JI19" s="116">
        <f t="shared" si="1"/>
        <v>2721.2</v>
      </c>
      <c r="JJ19" s="116">
        <f t="shared" ref="JJ19:JJ21" si="2">+IF(JJ14=0,JJ7,JJ14)</f>
        <v>2736.35</v>
      </c>
      <c r="JK19" s="116">
        <f t="shared" ref="JK19" si="3">+IF(JK14=0,JK7,JK14)</f>
        <v>2508.5</v>
      </c>
      <c r="JL19" s="116">
        <f t="shared" ref="JL19:JM19" si="4">+IF(JL14=0,JL7,JL14)</f>
        <v>2550.15</v>
      </c>
      <c r="JM19" s="116">
        <f t="shared" si="4"/>
        <v>2370</v>
      </c>
      <c r="JN19" s="116">
        <f t="shared" ref="JN19:JO19" si="5">+IF(JN14=0,JN7,JN14)</f>
        <v>1980</v>
      </c>
      <c r="JO19" s="116">
        <f t="shared" si="5"/>
        <v>1856.45</v>
      </c>
      <c r="JP19" s="116">
        <f t="shared" ref="JP19" si="6">+IF(JP14=0,JP7,JP14)</f>
        <v>1946</v>
      </c>
      <c r="JQ19" s="116">
        <f t="shared" ref="JQ19:KH19" si="7">+IF(JQ14=0,JQ7,JQ14)</f>
        <v>1456</v>
      </c>
      <c r="JR19" s="116">
        <f t="shared" si="7"/>
        <v>1333.9</v>
      </c>
      <c r="JS19" s="116">
        <f t="shared" si="7"/>
        <v>2260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38.1</v>
      </c>
      <c r="HQ20" s="116">
        <f t="shared" si="8"/>
        <v>50.05</v>
      </c>
      <c r="HR20" s="116">
        <f t="shared" si="8"/>
        <v>34.85</v>
      </c>
      <c r="HS20" s="116">
        <f t="shared" si="8"/>
        <v>31.25</v>
      </c>
      <c r="HT20" s="116">
        <f t="shared" si="8"/>
        <v>28.4</v>
      </c>
      <c r="HU20" s="116">
        <f t="shared" si="8"/>
        <v>31.6</v>
      </c>
      <c r="HV20" s="116">
        <f t="shared" si="8"/>
        <v>35.1</v>
      </c>
      <c r="HW20" s="116">
        <f t="shared" si="8"/>
        <v>39.5</v>
      </c>
      <c r="HX20" s="116">
        <f t="shared" si="8"/>
        <v>61.6</v>
      </c>
      <c r="HY20" s="116">
        <f t="shared" si="8"/>
        <v>67</v>
      </c>
      <c r="HZ20" s="116">
        <f t="shared" si="8"/>
        <v>69.099999999999994</v>
      </c>
      <c r="IA20" s="116">
        <f t="shared" si="8"/>
        <v>80.75</v>
      </c>
      <c r="IB20" s="116">
        <f t="shared" si="8"/>
        <v>106</v>
      </c>
      <c r="IC20" s="116">
        <f t="shared" si="8"/>
        <v>119.3</v>
      </c>
      <c r="ID20" s="116">
        <f t="shared" si="8"/>
        <v>115</v>
      </c>
      <c r="IE20" s="116">
        <f t="shared" si="8"/>
        <v>173.1</v>
      </c>
      <c r="IF20" s="116">
        <f t="shared" si="1"/>
        <v>249.2</v>
      </c>
      <c r="IG20" s="116">
        <f t="shared" si="1"/>
        <v>272.95</v>
      </c>
      <c r="IH20" s="116">
        <f t="shared" si="1"/>
        <v>310</v>
      </c>
      <c r="II20" s="116">
        <f t="shared" si="1"/>
        <v>320</v>
      </c>
      <c r="IJ20" s="116">
        <f t="shared" si="1"/>
        <v>271.10000000000002</v>
      </c>
      <c r="IK20" s="116">
        <f t="shared" si="1"/>
        <v>337</v>
      </c>
      <c r="IL20" s="116">
        <f t="shared" si="1"/>
        <v>547</v>
      </c>
      <c r="IM20" s="116">
        <f t="shared" si="1"/>
        <v>506.85</v>
      </c>
      <c r="IN20" s="116">
        <f t="shared" si="1"/>
        <v>457.85</v>
      </c>
      <c r="IO20" s="116">
        <f t="shared" si="1"/>
        <v>411.6</v>
      </c>
      <c r="IP20" s="116">
        <f t="shared" si="1"/>
        <v>368.5</v>
      </c>
      <c r="IQ20" s="116">
        <f t="shared" si="1"/>
        <v>365.1</v>
      </c>
      <c r="IR20" s="116">
        <f t="shared" si="1"/>
        <v>210</v>
      </c>
      <c r="IS20" s="116">
        <f t="shared" si="1"/>
        <v>298</v>
      </c>
      <c r="IT20" s="116">
        <f t="shared" si="1"/>
        <v>204.1</v>
      </c>
      <c r="IU20" s="116">
        <f t="shared" si="1"/>
        <v>241.5</v>
      </c>
      <c r="IV20" s="116">
        <f t="shared" si="1"/>
        <v>497.6</v>
      </c>
      <c r="IW20" s="116">
        <f t="shared" si="1"/>
        <v>787.1</v>
      </c>
      <c r="IX20" s="116">
        <f t="shared" si="1"/>
        <v>928</v>
      </c>
      <c r="IY20" s="116">
        <f t="shared" si="1"/>
        <v>1723.95</v>
      </c>
      <c r="IZ20" s="116">
        <f t="shared" si="1"/>
        <v>2672.6</v>
      </c>
      <c r="JA20" s="116">
        <f t="shared" si="1"/>
        <v>2880</v>
      </c>
      <c r="JB20" s="116">
        <f t="shared" si="1"/>
        <v>2680.05</v>
      </c>
      <c r="JC20" s="116">
        <f t="shared" si="1"/>
        <v>2700</v>
      </c>
      <c r="JD20" s="116">
        <f t="shared" si="1"/>
        <v>2838</v>
      </c>
      <c r="JE20" s="116">
        <f t="shared" si="1"/>
        <v>2592.1</v>
      </c>
      <c r="JF20" s="116">
        <f t="shared" si="1"/>
        <v>1925.05</v>
      </c>
      <c r="JG20" s="116">
        <f t="shared" si="1"/>
        <v>1872.9</v>
      </c>
      <c r="JH20" s="116">
        <f t="shared" si="1"/>
        <v>2031</v>
      </c>
      <c r="JI20" s="116">
        <f t="shared" si="1"/>
        <v>2002</v>
      </c>
      <c r="JJ20" s="116">
        <f t="shared" si="2"/>
        <v>2010</v>
      </c>
      <c r="JK20" s="116">
        <f t="shared" ref="JK20" si="9">+IF(JK15=0,JK8,JK15)</f>
        <v>1965.05</v>
      </c>
      <c r="JL20" s="116">
        <f t="shared" ref="JL20:JM20" si="10">+IF(JL15=0,JL8,JL15)</f>
        <v>2088.85</v>
      </c>
      <c r="JM20" s="116">
        <f t="shared" si="10"/>
        <v>1712.2</v>
      </c>
      <c r="JN20" s="116">
        <f t="shared" ref="JN20:JO20" si="11">+IF(JN15=0,JN8,JN15)</f>
        <v>1170.75</v>
      </c>
      <c r="JO20" s="116">
        <f t="shared" si="11"/>
        <v>1112</v>
      </c>
      <c r="JP20" s="116">
        <f t="shared" ref="JP20" si="12">+IF(JP15=0,JP8,JP15)</f>
        <v>1386.25</v>
      </c>
      <c r="JQ20" s="116">
        <f t="shared" ref="JQ20:KH20" si="13">+IF(JQ15=0,JQ8,JQ15)</f>
        <v>1079.1500000000001</v>
      </c>
      <c r="JR20" s="116">
        <f t="shared" si="13"/>
        <v>905.15</v>
      </c>
      <c r="JS20" s="116">
        <f t="shared" si="13"/>
        <v>990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58.95</v>
      </c>
      <c r="HQ21" s="116">
        <f t="shared" si="1"/>
        <v>54.1</v>
      </c>
      <c r="HR21" s="116">
        <f t="shared" si="1"/>
        <v>35.200000000000003</v>
      </c>
      <c r="HS21" s="116">
        <f t="shared" si="1"/>
        <v>33.450000000000003</v>
      </c>
      <c r="HT21" s="116">
        <f t="shared" si="1"/>
        <v>32.15</v>
      </c>
      <c r="HU21" s="116">
        <f t="shared" si="1"/>
        <v>49.8</v>
      </c>
      <c r="HV21" s="116">
        <f t="shared" si="1"/>
        <v>39.950000000000003</v>
      </c>
      <c r="HW21" s="116">
        <f t="shared" si="1"/>
        <v>60.9</v>
      </c>
      <c r="HX21" s="116">
        <f t="shared" si="1"/>
        <v>78.55</v>
      </c>
      <c r="HY21" s="116">
        <f t="shared" si="1"/>
        <v>70.75</v>
      </c>
      <c r="HZ21" s="116">
        <f t="shared" si="1"/>
        <v>81.05</v>
      </c>
      <c r="IA21" s="116">
        <f t="shared" si="1"/>
        <v>115.1</v>
      </c>
      <c r="IB21" s="116">
        <f t="shared" si="1"/>
        <v>125.8</v>
      </c>
      <c r="IC21" s="116">
        <f t="shared" si="1"/>
        <v>164.6</v>
      </c>
      <c r="ID21" s="116">
        <f t="shared" si="1"/>
        <v>178.5</v>
      </c>
      <c r="IE21" s="116">
        <f t="shared" si="1"/>
        <v>277.89999999999998</v>
      </c>
      <c r="IF21" s="116">
        <f t="shared" si="1"/>
        <v>295.89999999999998</v>
      </c>
      <c r="IG21" s="116">
        <f t="shared" si="1"/>
        <v>320.10000000000002</v>
      </c>
      <c r="IH21" s="116">
        <f t="shared" si="1"/>
        <v>379.6</v>
      </c>
      <c r="II21" s="116">
        <f t="shared" si="1"/>
        <v>336.3</v>
      </c>
      <c r="IJ21" s="116">
        <f t="shared" si="1"/>
        <v>337.05</v>
      </c>
      <c r="IK21" s="116">
        <f t="shared" si="1"/>
        <v>636.04999999999995</v>
      </c>
      <c r="IL21" s="116">
        <f t="shared" si="1"/>
        <v>562.75</v>
      </c>
      <c r="IM21" s="116">
        <f t="shared" si="1"/>
        <v>549.04999999999995</v>
      </c>
      <c r="IN21" s="116">
        <f t="shared" si="1"/>
        <v>469.5</v>
      </c>
      <c r="IO21" s="116">
        <f t="shared" si="1"/>
        <v>459.35</v>
      </c>
      <c r="IP21" s="116">
        <f t="shared" si="1"/>
        <v>489.1</v>
      </c>
      <c r="IQ21" s="116">
        <f t="shared" si="1"/>
        <v>377.8</v>
      </c>
      <c r="IR21" s="116">
        <f t="shared" si="1"/>
        <v>332.95</v>
      </c>
      <c r="IS21" s="116">
        <f t="shared" si="1"/>
        <v>398.2</v>
      </c>
      <c r="IT21" s="116">
        <f t="shared" si="1"/>
        <v>250.95</v>
      </c>
      <c r="IU21" s="116">
        <f t="shared" si="1"/>
        <v>493.65</v>
      </c>
      <c r="IV21" s="116">
        <f t="shared" si="1"/>
        <v>807.9</v>
      </c>
      <c r="IW21" s="116">
        <f t="shared" si="1"/>
        <v>925.45</v>
      </c>
      <c r="IX21" s="116">
        <f t="shared" si="1"/>
        <v>1762.85</v>
      </c>
      <c r="IY21" s="116">
        <f t="shared" si="1"/>
        <v>2666.85</v>
      </c>
      <c r="IZ21" s="116">
        <f t="shared" si="1"/>
        <v>4516.1000000000004</v>
      </c>
      <c r="JA21" s="116">
        <f t="shared" si="1"/>
        <v>3419.2</v>
      </c>
      <c r="JB21" s="116">
        <f t="shared" si="1"/>
        <v>2902.15</v>
      </c>
      <c r="JC21" s="116">
        <f t="shared" si="1"/>
        <v>2862.95</v>
      </c>
      <c r="JD21" s="116">
        <f t="shared" si="1"/>
        <v>3171.05</v>
      </c>
      <c r="JE21" s="116">
        <f t="shared" si="1"/>
        <v>2707.25</v>
      </c>
      <c r="JF21" s="116">
        <f t="shared" si="1"/>
        <v>1942.65</v>
      </c>
      <c r="JG21" s="116">
        <f t="shared" si="1"/>
        <v>2316.25</v>
      </c>
      <c r="JH21" s="116">
        <f t="shared" si="1"/>
        <v>2173.0500000000002</v>
      </c>
      <c r="JI21" s="116">
        <f t="shared" si="1"/>
        <v>2668.4</v>
      </c>
      <c r="JJ21" s="116">
        <f t="shared" si="2"/>
        <v>2043.9</v>
      </c>
      <c r="JK21" s="116">
        <f t="shared" ref="JK21" si="14">+IF(JK16=0,JK9,JK16)</f>
        <v>2290.65</v>
      </c>
      <c r="JL21" s="116">
        <f t="shared" ref="JL21:JM21" si="15">+IF(JL16=0,JL9,JL16)</f>
        <v>2283</v>
      </c>
      <c r="JM21" s="116">
        <f t="shared" si="15"/>
        <v>1788</v>
      </c>
      <c r="JN21" s="116">
        <f t="shared" ref="JN21:JO21" si="16">+IF(JN16=0,JN9,JN16)</f>
        <v>1207.25</v>
      </c>
      <c r="JO21" s="116">
        <f t="shared" si="16"/>
        <v>1845.4</v>
      </c>
      <c r="JP21" s="116">
        <f t="shared" ref="JP21" si="17">+IF(JP16=0,JP9,JP16)</f>
        <v>1391.35</v>
      </c>
      <c r="JQ21" s="116">
        <f t="shared" ref="JQ21:KH21" si="18">+IF(JQ16=0,JQ9,JQ16)</f>
        <v>1118.5999999999999</v>
      </c>
      <c r="JR21" s="116">
        <f t="shared" si="18"/>
        <v>977</v>
      </c>
      <c r="JS21" s="116">
        <f t="shared" si="18"/>
        <v>2077.65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130999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32401000</v>
      </c>
      <c r="D6" cm="1">
        <f t="array" ref="D6">_xll.EQNXTDZ($A$1,$B6,D$1)</f>
        <v>32401000</v>
      </c>
      <c r="E6" cm="1">
        <f t="array" ref="E6">_xll.EQNXTDZ($A$1,$B6,E$1)</f>
        <v>32401000</v>
      </c>
      <c r="F6" cm="1">
        <f t="array" ref="F6">_xll.EQNXTDZ($A$1,$B6,F$1)</f>
        <v>32401000</v>
      </c>
      <c r="G6" cm="1">
        <f t="array" ref="G6">_xll.EQNXTDZ($A$1,$B6,G$1)</f>
        <v>32401000</v>
      </c>
      <c r="H6" cm="1">
        <f t="array" ref="H6">_xll.EQNXTDZ($A$1,$B6,H$1)</f>
        <v>32401000</v>
      </c>
      <c r="I6" cm="1">
        <f t="array" ref="I6">_xll.EQNXTDZ($A$1,$B6,I$1)</f>
        <v>32401000</v>
      </c>
      <c r="J6" cm="1">
        <f t="array" ref="J6">_xll.EQNXTDZ($A$1,$B6,J$1)</f>
        <v>32401000</v>
      </c>
      <c r="K6" cm="1">
        <f t="array" ref="K6">_xll.EQNXTDZ($A$1,$B6,K$1)</f>
        <v>32401000</v>
      </c>
      <c r="L6" cm="1">
        <f t="array" ref="L6">_xll.EQNXTDZ($A$1,$B6,L$1)</f>
        <v>32401000</v>
      </c>
      <c r="M6" cm="1">
        <f t="array" ref="M6">_xll.EQNXTDZ($A$1,$B6,M$1)</f>
        <v>32401000</v>
      </c>
      <c r="N6" cm="1">
        <f t="array" ref="N6">_xll.EQNXTDZ($A$1,$B6,N$1)</f>
        <v>32401000</v>
      </c>
      <c r="O6" cm="1">
        <f t="array" ref="O6">_xll.EQNXTDZ($A$1,$B6,O$1)</f>
        <v>32401000</v>
      </c>
      <c r="P6" cm="1">
        <f t="array" ref="P6">_xll.EQNXTDZ($A$1,$B6,P$1)</f>
        <v>32401000</v>
      </c>
      <c r="Q6" cm="1">
        <f t="array" ref="Q6">_xll.EQNXTDZ($A$1,$B6,Q$1)</f>
        <v>32401000</v>
      </c>
      <c r="R6" cm="1">
        <f t="array" ref="R6">_xll.EQNXTDZ($A$1,$B6,R$1)</f>
        <v>32401000</v>
      </c>
      <c r="S6" cm="1">
        <f t="array" ref="S6">_xll.EQNXTDZ($A$1,$B6,S$1)</f>
        <v>32401000</v>
      </c>
      <c r="T6" cm="1">
        <f t="array" ref="T6">_xll.EQNXTDZ($A$1,$B6,T$1)</f>
        <v>32401000</v>
      </c>
      <c r="U6" cm="1">
        <f t="array" ref="U6">_xll.EQNXTDZ($A$1,$B6,U$1)</f>
        <v>32401000</v>
      </c>
      <c r="V6" cm="1">
        <f t="array" ref="V6">_xll.EQNXTDZ($A$1,$B6,V$1)</f>
        <v>32401000</v>
      </c>
      <c r="W6" cm="1">
        <f t="array" ref="W6">_xll.EQNXTDZ($A$1,$B6,W$1)</f>
        <v>32401000</v>
      </c>
      <c r="X6" cm="1">
        <f t="array" ref="X6">_xll.EQNXTDZ($A$1,$B6,X$1)</f>
        <v>32401000</v>
      </c>
      <c r="Y6" cm="1">
        <f t="array" ref="Y6">_xll.EQNXTDZ($A$1,$B6,Y$1)</f>
        <v>32436110</v>
      </c>
      <c r="Z6" cm="1">
        <f t="array" ref="Z6">_xll.EQNXTDZ($A$1,$B6,Z$1)</f>
        <v>32401000</v>
      </c>
      <c r="AA6" cm="1">
        <f t="array" ref="AA6">_xll.EQNXTDZ($A$1,$B6,AA$1)</f>
        <v>32401000</v>
      </c>
      <c r="AB6" cm="1">
        <f t="array" ref="AB6">_xll.EQNXTDZ($A$1,$B6,AB$1)</f>
        <v>32401000</v>
      </c>
      <c r="AC6" cm="1">
        <f t="array" ref="AC6">_xll.EQNXTDZ($A$1,$B6,AC$1)</f>
        <v>32401000</v>
      </c>
      <c r="AD6" cm="1">
        <f t="array" ref="AD6">_xll.EQNXTDZ($A$1,$B6,AD$1)</f>
        <v>32401000</v>
      </c>
      <c r="AE6" cm="1">
        <f t="array" ref="AE6">_xll.EQNXTDZ($A$1,$B6,AE$1)</f>
        <v>32401000</v>
      </c>
      <c r="AF6" cm="1">
        <f t="array" ref="AF6">_xll.EQNXTDZ($A$1,$B6,AF$1)</f>
        <v>32401000</v>
      </c>
      <c r="AG6" cm="1">
        <f t="array" ref="AG6">_xll.EQNXTDZ($A$1,$B6,AG$1)</f>
        <v>32401000</v>
      </c>
      <c r="AH6" cm="1">
        <f t="array" ref="AH6">_xll.EQNXTDZ($A$1,$B6,AH$1)</f>
        <v>32401000</v>
      </c>
      <c r="AI6" cm="1">
        <f t="array" ref="AI6">_xll.EQNXTDZ($A$1,$B6,AI$1)</f>
        <v>32401000</v>
      </c>
      <c r="AJ6" cm="1">
        <f t="array" ref="AJ6">_xll.EQNXTDZ($A$1,$B6,AJ$1)</f>
        <v>32401000</v>
      </c>
      <c r="AK6" cm="1">
        <f t="array" ref="AK6">_xll.EQNXTDZ($A$1,$B6,AK$1)</f>
        <v>32401000</v>
      </c>
      <c r="AL6" cm="1">
        <f t="array" ref="AL6">_xll.EQNXTDZ($A$1,$B6,AL$1)</f>
        <v>32401000</v>
      </c>
      <c r="AM6" cm="1">
        <f t="array" ref="AM6">_xll.EQNXTDZ($A$1,$B6,AM$1)</f>
        <v>32401000</v>
      </c>
      <c r="AN6" cm="1">
        <f t="array" ref="AN6">_xll.EQNXTDZ($A$1,$B6,AN$1)</f>
        <v>32401000</v>
      </c>
      <c r="AO6" cm="1">
        <f t="array" ref="AO6">_xll.EQNXTDZ($A$1,$B6,AO$1)</f>
        <v>32401000</v>
      </c>
      <c r="AP6" cm="1">
        <f t="array" ref="AP6">_xll.EQNXTDZ($A$1,$B6,AP$1)</f>
        <v>32401000</v>
      </c>
      <c r="AQ6" cm="1">
        <f t="array" ref="AQ6">_xll.EQNXTDZ($A$1,$B6,AQ$1)</f>
        <v>32401000</v>
      </c>
      <c r="AR6" cm="1">
        <f t="array" ref="AR6">_xll.EQNXTDZ($A$1,$B6,AR$1)</f>
        <v>32401000</v>
      </c>
      <c r="AS6" cm="1">
        <f t="array" ref="AS6">_xll.EQNXTDZ($A$1,$B6,AS$1)</f>
        <v>32401000</v>
      </c>
      <c r="AT6" cm="1">
        <f t="array" ref="AT6">_xll.EQNXTDZ($A$1,$B6,AT$1)</f>
        <v>32401000</v>
      </c>
      <c r="AU6" cm="1">
        <f t="array" ref="AU6">_xll.EQNXTDZ($A$1,$B6,AU$1)</f>
        <v>32401000</v>
      </c>
      <c r="AV6" cm="1">
        <f t="array" ref="AV6">_xll.EQNXTDZ($A$1,$B6,AV$1)</f>
        <v>32401000</v>
      </c>
      <c r="AW6" cm="1">
        <f t="array" ref="AW6">_xll.EQNXTDZ($A$1,$B6,AW$1)</f>
        <v>32401000</v>
      </c>
      <c r="AX6" cm="1">
        <f t="array" ref="AX6">_xll.EQNXTDZ($A$1,$B6,AX$1)</f>
        <v>32401000</v>
      </c>
      <c r="AY6" cm="1">
        <f t="array" ref="AY6">_xll.EQNXTDZ($A$1,$B6,AY$1)</f>
        <v>32401000</v>
      </c>
    </row>
    <row r="7" spans="1:51" x14ac:dyDescent="0.25">
      <c r="B7" t="s">
        <v>429</v>
      </c>
      <c r="C7" s="100">
        <f>+C6/10^7</f>
        <v>3.2401</v>
      </c>
      <c r="D7" s="100">
        <f t="shared" ref="D7:X7" si="0">+D6/10^7</f>
        <v>3.2401</v>
      </c>
      <c r="E7" s="100">
        <f t="shared" si="0"/>
        <v>3.2401</v>
      </c>
      <c r="F7" s="100">
        <f t="shared" si="0"/>
        <v>3.2401</v>
      </c>
      <c r="G7" s="100">
        <f t="shared" si="0"/>
        <v>3.2401</v>
      </c>
      <c r="H7" s="100">
        <f t="shared" si="0"/>
        <v>3.2401</v>
      </c>
      <c r="I7" s="100">
        <f t="shared" si="0"/>
        <v>3.2401</v>
      </c>
      <c r="J7" s="100">
        <f t="shared" si="0"/>
        <v>3.2401</v>
      </c>
      <c r="K7" s="100">
        <f t="shared" si="0"/>
        <v>3.2401</v>
      </c>
      <c r="L7" s="100">
        <f t="shared" si="0"/>
        <v>3.2401</v>
      </c>
      <c r="M7" s="100">
        <f t="shared" si="0"/>
        <v>3.2401</v>
      </c>
      <c r="N7" s="100">
        <f t="shared" si="0"/>
        <v>3.2401</v>
      </c>
      <c r="O7" s="100">
        <f t="shared" si="0"/>
        <v>3.2401</v>
      </c>
      <c r="P7" s="100">
        <f t="shared" si="0"/>
        <v>3.2401</v>
      </c>
      <c r="Q7" s="100">
        <f t="shared" si="0"/>
        <v>3.2401</v>
      </c>
      <c r="R7" s="100">
        <f t="shared" si="0"/>
        <v>3.2401</v>
      </c>
      <c r="S7" s="100">
        <f t="shared" si="0"/>
        <v>3.2401</v>
      </c>
      <c r="T7" s="100">
        <f t="shared" si="0"/>
        <v>3.2401</v>
      </c>
      <c r="U7" s="100">
        <f t="shared" si="0"/>
        <v>3.2401</v>
      </c>
      <c r="V7" s="100">
        <f t="shared" si="0"/>
        <v>3.2401</v>
      </c>
      <c r="W7" s="100">
        <f t="shared" si="0"/>
        <v>3.2401</v>
      </c>
      <c r="X7" s="100">
        <f t="shared" si="0"/>
        <v>3.2401</v>
      </c>
      <c r="Y7" s="100">
        <f t="shared" ref="Y7:AS7" si="1">+Y6/10^7</f>
        <v>3.243611</v>
      </c>
      <c r="Z7" s="100">
        <f t="shared" si="1"/>
        <v>3.2401</v>
      </c>
      <c r="AA7" s="100">
        <f t="shared" si="1"/>
        <v>3.2401</v>
      </c>
      <c r="AB7" s="100">
        <f t="shared" si="1"/>
        <v>3.2401</v>
      </c>
      <c r="AC7" s="100">
        <f t="shared" si="1"/>
        <v>3.2401</v>
      </c>
      <c r="AD7" s="100">
        <f t="shared" si="1"/>
        <v>3.2401</v>
      </c>
      <c r="AE7" s="100">
        <f t="shared" si="1"/>
        <v>3.2401</v>
      </c>
      <c r="AF7" s="100">
        <f t="shared" si="1"/>
        <v>3.2401</v>
      </c>
      <c r="AG7" s="100">
        <f t="shared" si="1"/>
        <v>3.2401</v>
      </c>
      <c r="AH7" s="100">
        <f t="shared" si="1"/>
        <v>3.2401</v>
      </c>
      <c r="AI7" s="100">
        <f t="shared" si="1"/>
        <v>3.2401</v>
      </c>
      <c r="AJ7" s="100">
        <f t="shared" si="1"/>
        <v>3.2401</v>
      </c>
      <c r="AK7" s="100">
        <f t="shared" si="1"/>
        <v>3.2401</v>
      </c>
      <c r="AL7" s="100">
        <f t="shared" si="1"/>
        <v>3.2401</v>
      </c>
      <c r="AM7" s="100">
        <f t="shared" si="1"/>
        <v>3.2401</v>
      </c>
      <c r="AN7" s="100">
        <f t="shared" si="1"/>
        <v>3.2401</v>
      </c>
      <c r="AO7" s="100">
        <f t="shared" si="1"/>
        <v>3.2401</v>
      </c>
      <c r="AP7" s="100">
        <f t="shared" si="1"/>
        <v>3.2401</v>
      </c>
      <c r="AQ7" s="100">
        <f t="shared" si="1"/>
        <v>3.2401</v>
      </c>
      <c r="AR7" s="100">
        <f t="shared" si="1"/>
        <v>3.2401</v>
      </c>
      <c r="AS7" s="100">
        <f t="shared" si="1"/>
        <v>3.2401</v>
      </c>
      <c r="AT7" s="100">
        <f t="shared" ref="AT7:AX7" si="2">+AT6/10^7</f>
        <v>3.2401</v>
      </c>
      <c r="AU7" s="100">
        <f t="shared" si="2"/>
        <v>3.2401</v>
      </c>
      <c r="AV7" s="100">
        <f t="shared" si="2"/>
        <v>3.2401</v>
      </c>
      <c r="AW7" s="100">
        <f t="shared" si="2"/>
        <v>3.2401</v>
      </c>
      <c r="AX7" s="100">
        <f t="shared" si="2"/>
        <v>3.2401</v>
      </c>
      <c r="AY7" s="100">
        <f t="shared" ref="AY7" si="3">+AY6/10^7</f>
        <v>3.2401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130999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528</v>
      </c>
      <c r="L2" s="169" t="s">
        <v>528</v>
      </c>
    </row>
    <row r="3" spans="1:18" x14ac:dyDescent="0.25">
      <c r="A3" s="170" t="s">
        <v>515</v>
      </c>
      <c r="B3" s="171" t="s">
        <v>516</v>
      </c>
      <c r="C3" s="171" t="s">
        <v>517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517</v>
      </c>
      <c r="N3" s="172" t="s">
        <v>516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>
        <v>42005</v>
      </c>
      <c r="B4" s="116">
        <v>73</v>
      </c>
      <c r="C4" s="116">
        <v>72.55</v>
      </c>
      <c r="D4" s="116">
        <v>71</v>
      </c>
      <c r="E4" s="116">
        <v>71.7</v>
      </c>
      <c r="F4" s="116">
        <v>72.55</v>
      </c>
      <c r="G4">
        <v>10141</v>
      </c>
      <c r="H4" s="116"/>
      <c r="I4" s="116"/>
      <c r="L4" s="169">
        <v>42005</v>
      </c>
      <c r="M4" s="116">
        <v>72.349999999999994</v>
      </c>
      <c r="N4" s="116">
        <v>72.849999999999994</v>
      </c>
      <c r="O4" s="116">
        <v>71.099999999999994</v>
      </c>
      <c r="P4" s="116">
        <v>71.55</v>
      </c>
      <c r="Q4" s="116">
        <v>72.349999999999994</v>
      </c>
      <c r="R4">
        <v>2550</v>
      </c>
    </row>
    <row r="5" spans="1:18" x14ac:dyDescent="0.25">
      <c r="A5" s="169">
        <v>42006</v>
      </c>
      <c r="B5" s="116">
        <v>72.7</v>
      </c>
      <c r="C5" s="116">
        <v>71.849999999999994</v>
      </c>
      <c r="D5" s="116">
        <v>70.8</v>
      </c>
      <c r="E5" s="116">
        <v>72</v>
      </c>
      <c r="F5" s="116">
        <v>71.849999999999994</v>
      </c>
      <c r="G5">
        <v>5823</v>
      </c>
      <c r="H5" s="116"/>
      <c r="I5" s="116"/>
      <c r="L5" s="169">
        <v>42006</v>
      </c>
      <c r="M5" s="116">
        <v>71.599999999999994</v>
      </c>
      <c r="N5" s="116">
        <v>73</v>
      </c>
      <c r="O5" s="116">
        <v>70</v>
      </c>
      <c r="P5" s="116">
        <v>71.650000000000006</v>
      </c>
      <c r="Q5" s="116">
        <v>71.599999999999994</v>
      </c>
      <c r="R5">
        <v>14123</v>
      </c>
    </row>
    <row r="6" spans="1:18" x14ac:dyDescent="0.25">
      <c r="A6" s="169">
        <v>42009</v>
      </c>
      <c r="B6" s="116">
        <v>72.099999999999994</v>
      </c>
      <c r="C6" s="116">
        <v>71.3</v>
      </c>
      <c r="D6" s="116">
        <v>70.099999999999994</v>
      </c>
      <c r="E6" s="116">
        <v>71.95</v>
      </c>
      <c r="F6" s="116">
        <v>71.3</v>
      </c>
      <c r="G6">
        <v>7876</v>
      </c>
      <c r="H6" s="116"/>
      <c r="I6" s="116"/>
      <c r="L6" s="169">
        <v>42009</v>
      </c>
      <c r="M6" s="116">
        <v>71.7</v>
      </c>
      <c r="N6" s="116">
        <v>72.849999999999994</v>
      </c>
      <c r="O6" s="116">
        <v>70.7</v>
      </c>
      <c r="P6" s="116">
        <v>72.849999999999994</v>
      </c>
      <c r="Q6" s="116">
        <v>71.7</v>
      </c>
      <c r="R6">
        <v>3446</v>
      </c>
    </row>
    <row r="7" spans="1:18" x14ac:dyDescent="0.25">
      <c r="A7" s="169">
        <v>42010</v>
      </c>
      <c r="B7" s="116">
        <v>71.7</v>
      </c>
      <c r="C7" s="116">
        <v>69.8</v>
      </c>
      <c r="D7" s="116">
        <v>69.099999999999994</v>
      </c>
      <c r="E7" s="116">
        <v>70</v>
      </c>
      <c r="F7" s="116">
        <v>69.8</v>
      </c>
      <c r="G7">
        <v>4042</v>
      </c>
      <c r="H7" s="116"/>
      <c r="I7" s="116"/>
      <c r="L7" s="169">
        <v>42010</v>
      </c>
      <c r="M7" s="116">
        <v>69.55</v>
      </c>
      <c r="N7" s="116">
        <v>72.599999999999994</v>
      </c>
      <c r="O7" s="116">
        <v>68.95</v>
      </c>
      <c r="P7" s="116">
        <v>71</v>
      </c>
      <c r="Q7" s="116">
        <v>69.55</v>
      </c>
      <c r="R7">
        <v>12761</v>
      </c>
    </row>
    <row r="8" spans="1:18" x14ac:dyDescent="0.25">
      <c r="A8" s="169">
        <v>42011</v>
      </c>
      <c r="B8" s="116">
        <v>71.25</v>
      </c>
      <c r="C8" s="116">
        <v>70.7</v>
      </c>
      <c r="D8" s="116">
        <v>70</v>
      </c>
      <c r="E8" s="116">
        <v>70</v>
      </c>
      <c r="F8" s="116">
        <v>70.7</v>
      </c>
      <c r="G8">
        <v>4172</v>
      </c>
      <c r="H8" s="116"/>
      <c r="I8" s="116"/>
      <c r="L8" s="169">
        <v>42011</v>
      </c>
      <c r="M8" s="116">
        <v>71.45</v>
      </c>
      <c r="N8" s="116">
        <v>71.75</v>
      </c>
      <c r="O8" s="116">
        <v>68.7</v>
      </c>
      <c r="P8" s="116">
        <v>69</v>
      </c>
      <c r="Q8" s="116">
        <v>71.45</v>
      </c>
      <c r="R8">
        <v>12399</v>
      </c>
    </row>
    <row r="9" spans="1:18" x14ac:dyDescent="0.25">
      <c r="A9" s="169">
        <v>42012</v>
      </c>
      <c r="B9" s="116">
        <v>72.25</v>
      </c>
      <c r="C9" s="116">
        <v>71.05</v>
      </c>
      <c r="D9" s="116">
        <v>71.05</v>
      </c>
      <c r="E9" s="116">
        <v>71.5</v>
      </c>
      <c r="F9" s="116">
        <v>71.05</v>
      </c>
      <c r="G9">
        <v>10455</v>
      </c>
      <c r="H9" s="116"/>
      <c r="I9" s="116"/>
      <c r="L9" s="169">
        <v>42012</v>
      </c>
      <c r="M9" s="116">
        <v>71.900000000000006</v>
      </c>
      <c r="N9" s="116">
        <v>73.099999999999994</v>
      </c>
      <c r="O9" s="116">
        <v>71</v>
      </c>
      <c r="P9" s="116">
        <v>73.05</v>
      </c>
      <c r="Q9" s="116">
        <v>71.900000000000006</v>
      </c>
      <c r="R9">
        <v>2401</v>
      </c>
    </row>
    <row r="10" spans="1:18" x14ac:dyDescent="0.25">
      <c r="A10" s="169">
        <v>42013</v>
      </c>
      <c r="B10" s="116">
        <v>72.55</v>
      </c>
      <c r="C10" s="116">
        <v>71.55</v>
      </c>
      <c r="D10" s="116">
        <v>71</v>
      </c>
      <c r="E10" s="116">
        <v>71.2</v>
      </c>
      <c r="F10" s="116">
        <v>71.55</v>
      </c>
      <c r="G10">
        <v>1500</v>
      </c>
      <c r="H10" s="116"/>
      <c r="I10" s="116"/>
      <c r="L10" s="169">
        <v>42013</v>
      </c>
      <c r="M10" s="116">
        <v>71.7</v>
      </c>
      <c r="N10" s="116">
        <v>72.2</v>
      </c>
      <c r="O10" s="116">
        <v>71</v>
      </c>
      <c r="P10" s="116">
        <v>72</v>
      </c>
      <c r="Q10" s="116">
        <v>71.7</v>
      </c>
      <c r="R10">
        <v>5802</v>
      </c>
    </row>
    <row r="11" spans="1:18" x14ac:dyDescent="0.25">
      <c r="A11" s="169">
        <v>42016</v>
      </c>
      <c r="B11" s="116">
        <v>77.7</v>
      </c>
      <c r="C11" s="116">
        <v>76.45</v>
      </c>
      <c r="D11" s="116">
        <v>71.599999999999994</v>
      </c>
      <c r="E11" s="116">
        <v>72</v>
      </c>
      <c r="F11" s="116">
        <v>76.45</v>
      </c>
      <c r="G11">
        <v>7929</v>
      </c>
      <c r="H11" s="116"/>
      <c r="I11" s="116"/>
      <c r="L11" s="169">
        <v>42016</v>
      </c>
      <c r="M11" s="116">
        <v>76.849999999999994</v>
      </c>
      <c r="N11" s="116">
        <v>78</v>
      </c>
      <c r="O11" s="116">
        <v>71.75</v>
      </c>
      <c r="P11" s="116">
        <v>72.2</v>
      </c>
      <c r="Q11" s="116">
        <v>76.849999999999994</v>
      </c>
      <c r="R11">
        <v>18308</v>
      </c>
    </row>
    <row r="12" spans="1:18" x14ac:dyDescent="0.25">
      <c r="A12" s="169">
        <v>42017</v>
      </c>
      <c r="B12" s="116">
        <v>80.599999999999994</v>
      </c>
      <c r="C12" s="116">
        <v>78.599999999999994</v>
      </c>
      <c r="D12" s="116">
        <v>77</v>
      </c>
      <c r="E12" s="116">
        <v>78</v>
      </c>
      <c r="F12" s="116">
        <v>78.599999999999994</v>
      </c>
      <c r="G12">
        <v>20322</v>
      </c>
      <c r="H12" s="116"/>
      <c r="I12" s="116"/>
      <c r="L12" s="169">
        <v>42017</v>
      </c>
      <c r="M12" s="116">
        <v>78.3</v>
      </c>
      <c r="N12" s="116">
        <v>80.5</v>
      </c>
      <c r="O12" s="116">
        <v>76.05</v>
      </c>
      <c r="P12" s="116">
        <v>76.5</v>
      </c>
      <c r="Q12" s="116">
        <v>78.3</v>
      </c>
      <c r="R12">
        <v>30926</v>
      </c>
    </row>
    <row r="13" spans="1:18" x14ac:dyDescent="0.25">
      <c r="A13" s="169">
        <v>42018</v>
      </c>
      <c r="B13" s="116">
        <v>80.150000000000006</v>
      </c>
      <c r="C13" s="116">
        <v>78.3</v>
      </c>
      <c r="D13" s="116">
        <v>77</v>
      </c>
      <c r="E13" s="116">
        <v>77.95</v>
      </c>
      <c r="F13" s="116">
        <v>78.3</v>
      </c>
      <c r="G13">
        <v>5094</v>
      </c>
      <c r="H13" s="116"/>
      <c r="I13" s="116"/>
      <c r="L13" s="169">
        <v>42018</v>
      </c>
      <c r="M13" s="116">
        <v>79.099999999999994</v>
      </c>
      <c r="N13" s="116">
        <v>80.75</v>
      </c>
      <c r="O13" s="116">
        <v>77</v>
      </c>
      <c r="P13" s="116">
        <v>78.349999999999994</v>
      </c>
      <c r="Q13" s="116">
        <v>79.099999999999994</v>
      </c>
      <c r="R13">
        <v>9640</v>
      </c>
    </row>
    <row r="14" spans="1:18" x14ac:dyDescent="0.25">
      <c r="A14" s="169">
        <v>42019</v>
      </c>
      <c r="B14" s="116">
        <v>79.55</v>
      </c>
      <c r="C14" s="116">
        <v>79.099999999999994</v>
      </c>
      <c r="D14" s="116">
        <v>77.3</v>
      </c>
      <c r="E14" s="116">
        <v>79.400000000000006</v>
      </c>
      <c r="F14" s="116">
        <v>79.099999999999994</v>
      </c>
      <c r="G14">
        <v>2438</v>
      </c>
      <c r="H14" s="116"/>
      <c r="I14" s="116"/>
      <c r="L14" s="169">
        <v>42019</v>
      </c>
      <c r="M14" s="116">
        <v>78.849999999999994</v>
      </c>
      <c r="N14" s="116">
        <v>80</v>
      </c>
      <c r="O14" s="116">
        <v>78.05</v>
      </c>
      <c r="P14" s="116">
        <v>78.5</v>
      </c>
      <c r="Q14" s="116">
        <v>78.849999999999994</v>
      </c>
      <c r="R14">
        <v>7003</v>
      </c>
    </row>
    <row r="15" spans="1:18" x14ac:dyDescent="0.25">
      <c r="A15" s="169">
        <v>42020</v>
      </c>
      <c r="B15" s="116">
        <v>78.55</v>
      </c>
      <c r="C15" s="116">
        <v>78.05</v>
      </c>
      <c r="D15" s="116">
        <v>77.349999999999994</v>
      </c>
      <c r="E15" s="116">
        <v>78.099999999999994</v>
      </c>
      <c r="F15" s="116">
        <v>78.05</v>
      </c>
      <c r="G15">
        <v>8255</v>
      </c>
      <c r="H15" s="116"/>
      <c r="I15" s="116"/>
      <c r="L15" s="169">
        <v>42020</v>
      </c>
      <c r="M15" s="116">
        <v>77.95</v>
      </c>
      <c r="N15" s="116">
        <v>79</v>
      </c>
      <c r="O15" s="116">
        <v>77.25</v>
      </c>
      <c r="P15" s="116">
        <v>78.650000000000006</v>
      </c>
      <c r="Q15" s="116">
        <v>77.95</v>
      </c>
      <c r="R15">
        <v>7679</v>
      </c>
    </row>
    <row r="16" spans="1:18" x14ac:dyDescent="0.25">
      <c r="A16" s="169">
        <v>42023</v>
      </c>
      <c r="B16" s="116">
        <v>78</v>
      </c>
      <c r="C16" s="116">
        <v>77.05</v>
      </c>
      <c r="D16" s="116">
        <v>76.5</v>
      </c>
      <c r="E16" s="116">
        <v>78</v>
      </c>
      <c r="F16" s="116">
        <v>77.05</v>
      </c>
      <c r="G16">
        <v>2358</v>
      </c>
      <c r="H16" s="116"/>
      <c r="I16" s="116"/>
      <c r="L16" s="169">
        <v>42023</v>
      </c>
      <c r="M16" s="116">
        <v>77.2</v>
      </c>
      <c r="N16" s="116">
        <v>78.3</v>
      </c>
      <c r="O16" s="116">
        <v>76.5</v>
      </c>
      <c r="P16" s="116">
        <v>77.7</v>
      </c>
      <c r="Q16" s="116">
        <v>77.2</v>
      </c>
      <c r="R16">
        <v>10234</v>
      </c>
    </row>
    <row r="17" spans="1:18" x14ac:dyDescent="0.25">
      <c r="A17" s="169">
        <v>42024</v>
      </c>
      <c r="B17" s="116">
        <v>77.5</v>
      </c>
      <c r="C17" s="116">
        <v>76.849999999999994</v>
      </c>
      <c r="D17" s="116">
        <v>76.3</v>
      </c>
      <c r="E17" s="116">
        <v>77</v>
      </c>
      <c r="F17" s="116">
        <v>76.849999999999994</v>
      </c>
      <c r="G17">
        <v>5844</v>
      </c>
      <c r="H17" s="116"/>
      <c r="I17" s="116"/>
      <c r="L17" s="169">
        <v>42024</v>
      </c>
      <c r="M17" s="116">
        <v>76.2</v>
      </c>
      <c r="N17" s="116">
        <v>77.5</v>
      </c>
      <c r="O17" s="116">
        <v>75.75</v>
      </c>
      <c r="P17" s="116">
        <v>77.45</v>
      </c>
      <c r="Q17" s="116">
        <v>76.2</v>
      </c>
      <c r="R17">
        <v>26909</v>
      </c>
    </row>
    <row r="18" spans="1:18" x14ac:dyDescent="0.25">
      <c r="A18" s="169">
        <v>42025</v>
      </c>
      <c r="B18" s="116">
        <v>76.7</v>
      </c>
      <c r="C18" s="116">
        <v>75.05</v>
      </c>
      <c r="D18" s="116">
        <v>75</v>
      </c>
      <c r="E18" s="116">
        <v>76.7</v>
      </c>
      <c r="F18" s="116">
        <v>75.05</v>
      </c>
      <c r="G18">
        <v>1643</v>
      </c>
      <c r="H18" s="116"/>
      <c r="I18" s="116"/>
      <c r="L18" s="169">
        <v>42025</v>
      </c>
      <c r="M18" s="116">
        <v>75.7</v>
      </c>
      <c r="N18" s="116">
        <v>76.099999999999994</v>
      </c>
      <c r="O18" s="116">
        <v>75</v>
      </c>
      <c r="P18" s="116">
        <v>76.099999999999994</v>
      </c>
      <c r="Q18" s="116">
        <v>75.7</v>
      </c>
      <c r="R18">
        <v>7366</v>
      </c>
    </row>
    <row r="19" spans="1:18" x14ac:dyDescent="0.25">
      <c r="A19" s="169">
        <v>42026</v>
      </c>
      <c r="B19" s="116">
        <v>76</v>
      </c>
      <c r="C19" s="116">
        <v>75.900000000000006</v>
      </c>
      <c r="D19" s="116">
        <v>75.400000000000006</v>
      </c>
      <c r="E19" s="116">
        <v>75.400000000000006</v>
      </c>
      <c r="F19" s="116">
        <v>75.900000000000006</v>
      </c>
      <c r="G19">
        <v>1903</v>
      </c>
      <c r="H19" s="116"/>
      <c r="I19" s="116"/>
      <c r="L19" s="169">
        <v>42026</v>
      </c>
      <c r="M19" s="116">
        <v>75.599999999999994</v>
      </c>
      <c r="N19" s="116">
        <v>76</v>
      </c>
      <c r="O19" s="116">
        <v>74.75</v>
      </c>
      <c r="P19" s="116">
        <v>75</v>
      </c>
      <c r="Q19" s="116">
        <v>75.599999999999994</v>
      </c>
      <c r="R19">
        <v>11232</v>
      </c>
    </row>
    <row r="20" spans="1:18" x14ac:dyDescent="0.25">
      <c r="A20" s="169">
        <v>42027</v>
      </c>
      <c r="B20" s="116">
        <v>77.95</v>
      </c>
      <c r="C20" s="116">
        <v>77.95</v>
      </c>
      <c r="D20" s="116">
        <v>75.5</v>
      </c>
      <c r="E20" s="116">
        <v>75.599999999999994</v>
      </c>
      <c r="F20" s="116">
        <v>77.95</v>
      </c>
      <c r="G20">
        <v>7775</v>
      </c>
      <c r="H20" s="116"/>
      <c r="I20" s="116"/>
      <c r="L20" s="169">
        <v>42027</v>
      </c>
      <c r="M20" s="116">
        <v>77.349999999999994</v>
      </c>
      <c r="N20" s="116">
        <v>78</v>
      </c>
      <c r="O20" s="116">
        <v>76</v>
      </c>
      <c r="P20" s="116">
        <v>76.05</v>
      </c>
      <c r="Q20" s="116">
        <v>77.349999999999994</v>
      </c>
      <c r="R20">
        <v>20810</v>
      </c>
    </row>
    <row r="21" spans="1:18" x14ac:dyDescent="0.25">
      <c r="A21" s="169">
        <v>42031</v>
      </c>
      <c r="B21" s="116">
        <v>78.7</v>
      </c>
      <c r="C21" s="116">
        <v>77.8</v>
      </c>
      <c r="D21" s="116">
        <v>77.25</v>
      </c>
      <c r="E21" s="116">
        <v>77.95</v>
      </c>
      <c r="F21" s="116">
        <v>77.8</v>
      </c>
      <c r="G21">
        <v>2847</v>
      </c>
      <c r="H21" s="116"/>
      <c r="I21" s="116"/>
      <c r="L21" s="169">
        <v>42031</v>
      </c>
      <c r="M21" s="116">
        <v>77.55</v>
      </c>
      <c r="N21" s="116">
        <v>78.75</v>
      </c>
      <c r="O21" s="116">
        <v>76.95</v>
      </c>
      <c r="P21" s="116">
        <v>78</v>
      </c>
      <c r="Q21" s="116">
        <v>77.55</v>
      </c>
      <c r="R21">
        <v>32902</v>
      </c>
    </row>
    <row r="22" spans="1:18" x14ac:dyDescent="0.25">
      <c r="A22" s="169">
        <v>42032</v>
      </c>
      <c r="B22" s="116">
        <v>80.599999999999994</v>
      </c>
      <c r="C22" s="116">
        <v>79.55</v>
      </c>
      <c r="D22" s="116">
        <v>77.650000000000006</v>
      </c>
      <c r="E22" s="116">
        <v>77.650000000000006</v>
      </c>
      <c r="F22" s="116">
        <v>79.55</v>
      </c>
      <c r="G22">
        <v>8482</v>
      </c>
      <c r="H22" s="116"/>
      <c r="I22" s="116"/>
      <c r="L22" s="169">
        <v>42032</v>
      </c>
      <c r="M22" s="116">
        <v>79.650000000000006</v>
      </c>
      <c r="N22" s="116">
        <v>81.25</v>
      </c>
      <c r="O22" s="116">
        <v>77.7</v>
      </c>
      <c r="P22" s="116">
        <v>77.7</v>
      </c>
      <c r="Q22" s="116">
        <v>79.650000000000006</v>
      </c>
      <c r="R22">
        <v>27110</v>
      </c>
    </row>
    <row r="23" spans="1:18" x14ac:dyDescent="0.25">
      <c r="A23" s="169">
        <v>42033</v>
      </c>
      <c r="B23" s="116">
        <v>82.5</v>
      </c>
      <c r="C23" s="116">
        <v>78.25</v>
      </c>
      <c r="D23" s="116">
        <v>78</v>
      </c>
      <c r="E23" s="116">
        <v>81.150000000000006</v>
      </c>
      <c r="F23" s="116">
        <v>78.25</v>
      </c>
      <c r="G23">
        <v>13997</v>
      </c>
      <c r="H23" s="116"/>
      <c r="I23" s="116"/>
      <c r="L23" s="169">
        <v>42033</v>
      </c>
      <c r="M23" s="116">
        <v>78.8</v>
      </c>
      <c r="N23" s="116">
        <v>82.5</v>
      </c>
      <c r="O23" s="116">
        <v>78.150000000000006</v>
      </c>
      <c r="P23" s="116">
        <v>80.5</v>
      </c>
      <c r="Q23" s="116">
        <v>78.8</v>
      </c>
      <c r="R23">
        <v>34398</v>
      </c>
    </row>
    <row r="24" spans="1:18" x14ac:dyDescent="0.25">
      <c r="A24" s="169">
        <v>42034</v>
      </c>
      <c r="B24" s="116">
        <v>80.95</v>
      </c>
      <c r="C24" s="116">
        <v>77.7</v>
      </c>
      <c r="D24" s="116">
        <v>77.7</v>
      </c>
      <c r="E24" s="116">
        <v>80</v>
      </c>
      <c r="F24" s="116">
        <v>77.7</v>
      </c>
      <c r="G24">
        <v>2056</v>
      </c>
      <c r="H24" s="116"/>
      <c r="I24" s="116"/>
      <c r="L24" s="169">
        <v>42034</v>
      </c>
      <c r="M24" s="116">
        <v>78.05</v>
      </c>
      <c r="N24" s="116">
        <v>80.7</v>
      </c>
      <c r="O24" s="116">
        <v>78</v>
      </c>
      <c r="P24" s="116">
        <v>78.5</v>
      </c>
      <c r="Q24" s="116">
        <v>78.05</v>
      </c>
      <c r="R24">
        <v>5407</v>
      </c>
    </row>
    <row r="25" spans="1:18" x14ac:dyDescent="0.25">
      <c r="A25" s="169">
        <v>42037</v>
      </c>
      <c r="B25" s="116">
        <v>80.599999999999994</v>
      </c>
      <c r="C25" s="116">
        <v>79.849999999999994</v>
      </c>
      <c r="D25" s="116">
        <v>77.900000000000006</v>
      </c>
      <c r="E25" s="116">
        <v>79.95</v>
      </c>
      <c r="F25" s="116">
        <v>79.849999999999994</v>
      </c>
      <c r="G25">
        <v>1226</v>
      </c>
      <c r="H25" s="116"/>
      <c r="I25" s="116"/>
      <c r="L25" s="169">
        <v>42037</v>
      </c>
      <c r="M25" s="116">
        <v>79.150000000000006</v>
      </c>
      <c r="N25" s="116">
        <v>80.75</v>
      </c>
      <c r="O25" s="116">
        <v>78</v>
      </c>
      <c r="P25" s="116">
        <v>78.150000000000006</v>
      </c>
      <c r="Q25" s="116">
        <v>79.150000000000006</v>
      </c>
      <c r="R25">
        <v>5757</v>
      </c>
    </row>
    <row r="26" spans="1:18" x14ac:dyDescent="0.25">
      <c r="A26" s="169">
        <v>42038</v>
      </c>
      <c r="B26" s="116">
        <v>80.5</v>
      </c>
      <c r="C26" s="116">
        <v>79.900000000000006</v>
      </c>
      <c r="D26" s="116">
        <v>78.599999999999994</v>
      </c>
      <c r="E26" s="116">
        <v>80</v>
      </c>
      <c r="F26" s="116">
        <v>79.900000000000006</v>
      </c>
      <c r="G26">
        <v>8316</v>
      </c>
      <c r="H26" s="116"/>
      <c r="I26" s="116"/>
      <c r="L26" s="169">
        <v>42038</v>
      </c>
      <c r="M26" s="116">
        <v>79.900000000000006</v>
      </c>
      <c r="N26" s="116">
        <v>80.2</v>
      </c>
      <c r="O26" s="116">
        <v>78.150000000000006</v>
      </c>
      <c r="P26" s="116">
        <v>78.75</v>
      </c>
      <c r="Q26" s="116">
        <v>79.900000000000006</v>
      </c>
      <c r="R26">
        <v>8349</v>
      </c>
    </row>
    <row r="27" spans="1:18" x14ac:dyDescent="0.25">
      <c r="A27" s="169">
        <v>42039</v>
      </c>
      <c r="B27" s="116">
        <v>81.8</v>
      </c>
      <c r="C27" s="116">
        <v>80.75</v>
      </c>
      <c r="D27" s="116">
        <v>79.45</v>
      </c>
      <c r="E27" s="116">
        <v>80.5</v>
      </c>
      <c r="F27" s="116">
        <v>80.75</v>
      </c>
      <c r="G27">
        <v>18649</v>
      </c>
      <c r="H27" s="116"/>
      <c r="I27" s="116"/>
      <c r="L27" s="169">
        <v>42039</v>
      </c>
      <c r="M27" s="116">
        <v>80.400000000000006</v>
      </c>
      <c r="N27" s="116">
        <v>81.400000000000006</v>
      </c>
      <c r="O27" s="116">
        <v>79.400000000000006</v>
      </c>
      <c r="P27" s="116">
        <v>79.900000000000006</v>
      </c>
      <c r="Q27" s="116">
        <v>80.400000000000006</v>
      </c>
      <c r="R27">
        <v>17733</v>
      </c>
    </row>
    <row r="28" spans="1:18" x14ac:dyDescent="0.25">
      <c r="A28" s="169">
        <v>42040</v>
      </c>
      <c r="B28" s="116">
        <v>81.5</v>
      </c>
      <c r="C28" s="116">
        <v>80.05</v>
      </c>
      <c r="D28" s="116">
        <v>78.75</v>
      </c>
      <c r="E28" s="116">
        <v>80.650000000000006</v>
      </c>
      <c r="F28" s="116">
        <v>80.05</v>
      </c>
      <c r="G28">
        <v>31743</v>
      </c>
      <c r="H28" s="116"/>
      <c r="I28" s="116"/>
      <c r="L28" s="169">
        <v>42040</v>
      </c>
      <c r="M28" s="116">
        <v>80.25</v>
      </c>
      <c r="N28" s="116">
        <v>81.7</v>
      </c>
      <c r="O28" s="116">
        <v>78.400000000000006</v>
      </c>
      <c r="P28" s="116">
        <v>81</v>
      </c>
      <c r="Q28" s="116">
        <v>80.25</v>
      </c>
      <c r="R28">
        <v>10959</v>
      </c>
    </row>
    <row r="29" spans="1:18" x14ac:dyDescent="0.25">
      <c r="A29" s="169">
        <v>42041</v>
      </c>
      <c r="B29" s="116">
        <v>80.099999999999994</v>
      </c>
      <c r="C29" s="116">
        <v>77.849999999999994</v>
      </c>
      <c r="D29" s="116">
        <v>75.900000000000006</v>
      </c>
      <c r="E29" s="116">
        <v>79.45</v>
      </c>
      <c r="F29" s="116">
        <v>77.849999999999994</v>
      </c>
      <c r="G29">
        <v>1293</v>
      </c>
      <c r="H29" s="116"/>
      <c r="I29" s="116"/>
      <c r="L29" s="169">
        <v>42041</v>
      </c>
      <c r="M29" s="116">
        <v>77.8</v>
      </c>
      <c r="N29" s="116">
        <v>80.2</v>
      </c>
      <c r="O29" s="116">
        <v>75.7</v>
      </c>
      <c r="P29" s="116">
        <v>79.7</v>
      </c>
      <c r="Q29" s="116">
        <v>77.8</v>
      </c>
      <c r="R29">
        <v>13610</v>
      </c>
    </row>
    <row r="30" spans="1:18" x14ac:dyDescent="0.25">
      <c r="A30" s="169">
        <v>42044</v>
      </c>
      <c r="B30" s="116">
        <v>78.849999999999994</v>
      </c>
      <c r="C30" s="116">
        <v>73.95</v>
      </c>
      <c r="D30" s="116">
        <v>73</v>
      </c>
      <c r="E30" s="116">
        <v>76</v>
      </c>
      <c r="F30" s="116">
        <v>73.95</v>
      </c>
      <c r="G30">
        <v>13735</v>
      </c>
      <c r="H30" s="116"/>
      <c r="I30" s="116"/>
      <c r="L30" s="169">
        <v>42044</v>
      </c>
      <c r="M30" s="116">
        <v>75.599999999999994</v>
      </c>
      <c r="N30" s="116">
        <v>79.150000000000006</v>
      </c>
      <c r="O30" s="116">
        <v>75.25</v>
      </c>
      <c r="P30" s="116">
        <v>77</v>
      </c>
      <c r="Q30" s="116">
        <v>75.599999999999994</v>
      </c>
      <c r="R30">
        <v>15481</v>
      </c>
    </row>
    <row r="31" spans="1:18" x14ac:dyDescent="0.25">
      <c r="A31" s="169">
        <v>42045</v>
      </c>
      <c r="B31" s="116">
        <v>77.900000000000006</v>
      </c>
      <c r="C31" s="116">
        <v>73.7</v>
      </c>
      <c r="D31" s="116">
        <v>72.45</v>
      </c>
      <c r="E31" s="116">
        <v>72.55</v>
      </c>
      <c r="F31" s="116">
        <v>73.7</v>
      </c>
      <c r="G31">
        <v>2595</v>
      </c>
      <c r="H31" s="116"/>
      <c r="I31" s="116"/>
      <c r="L31" s="169">
        <v>42045</v>
      </c>
      <c r="M31" s="116">
        <v>73.900000000000006</v>
      </c>
      <c r="N31" s="116">
        <v>76.8</v>
      </c>
      <c r="O31" s="116">
        <v>72.75</v>
      </c>
      <c r="P31" s="116">
        <v>75</v>
      </c>
      <c r="Q31" s="116">
        <v>73.900000000000006</v>
      </c>
      <c r="R31">
        <v>7464</v>
      </c>
    </row>
    <row r="32" spans="1:18" x14ac:dyDescent="0.25">
      <c r="A32" s="169">
        <v>42046</v>
      </c>
      <c r="B32" s="116">
        <v>78</v>
      </c>
      <c r="C32" s="116">
        <v>76.45</v>
      </c>
      <c r="D32" s="116">
        <v>73.5</v>
      </c>
      <c r="E32" s="116">
        <v>73.5</v>
      </c>
      <c r="F32" s="116">
        <v>76.45</v>
      </c>
      <c r="G32">
        <v>2228</v>
      </c>
      <c r="H32" s="116"/>
      <c r="I32" s="116"/>
      <c r="L32" s="169">
        <v>42046</v>
      </c>
      <c r="M32" s="116">
        <v>76.55</v>
      </c>
      <c r="N32" s="116">
        <v>77.8</v>
      </c>
      <c r="O32" s="116">
        <v>73.8</v>
      </c>
      <c r="P32" s="116">
        <v>73.849999999999994</v>
      </c>
      <c r="Q32" s="116">
        <v>76.55</v>
      </c>
      <c r="R32">
        <v>7066</v>
      </c>
    </row>
    <row r="33" spans="1:18" x14ac:dyDescent="0.25">
      <c r="A33" s="169">
        <v>42047</v>
      </c>
      <c r="B33" s="116">
        <v>78.900000000000006</v>
      </c>
      <c r="C33" s="116">
        <v>78.900000000000006</v>
      </c>
      <c r="D33" s="116">
        <v>76.75</v>
      </c>
      <c r="E33" s="116">
        <v>77</v>
      </c>
      <c r="F33" s="116">
        <v>78.900000000000006</v>
      </c>
      <c r="G33">
        <v>3059</v>
      </c>
      <c r="H33" s="116"/>
      <c r="I33" s="116"/>
      <c r="L33" s="169">
        <v>42047</v>
      </c>
      <c r="M33" s="116">
        <v>79</v>
      </c>
      <c r="N33" s="116">
        <v>79.55</v>
      </c>
      <c r="O33" s="116">
        <v>76.75</v>
      </c>
      <c r="P33" s="116">
        <v>76.75</v>
      </c>
      <c r="Q33" s="116">
        <v>79</v>
      </c>
      <c r="R33">
        <v>15925</v>
      </c>
    </row>
    <row r="34" spans="1:18" x14ac:dyDescent="0.25">
      <c r="A34" s="169">
        <v>42048</v>
      </c>
      <c r="B34" s="116">
        <v>79.7</v>
      </c>
      <c r="C34" s="116">
        <v>79</v>
      </c>
      <c r="D34" s="116">
        <v>77.599999999999994</v>
      </c>
      <c r="E34" s="116">
        <v>78.55</v>
      </c>
      <c r="F34" s="116">
        <v>79</v>
      </c>
      <c r="G34">
        <v>2772</v>
      </c>
      <c r="H34" s="116"/>
      <c r="I34" s="116"/>
      <c r="L34" s="169">
        <v>42048</v>
      </c>
      <c r="M34" s="116">
        <v>78.900000000000006</v>
      </c>
      <c r="N34" s="116">
        <v>79.45</v>
      </c>
      <c r="O34" s="116">
        <v>78.599999999999994</v>
      </c>
      <c r="P34" s="116">
        <v>78.8</v>
      </c>
      <c r="Q34" s="116">
        <v>78.900000000000006</v>
      </c>
      <c r="R34">
        <v>12235</v>
      </c>
    </row>
    <row r="35" spans="1:18" x14ac:dyDescent="0.25">
      <c r="A35" s="169">
        <v>42051</v>
      </c>
      <c r="B35" s="116">
        <v>79.25</v>
      </c>
      <c r="C35" s="116">
        <v>78.599999999999994</v>
      </c>
      <c r="D35" s="116">
        <v>76</v>
      </c>
      <c r="E35" s="116">
        <v>76</v>
      </c>
      <c r="F35" s="116">
        <v>78.599999999999994</v>
      </c>
      <c r="G35">
        <v>32023</v>
      </c>
      <c r="H35" s="116"/>
      <c r="I35" s="116"/>
      <c r="L35" s="169">
        <v>42051</v>
      </c>
      <c r="M35" s="116">
        <v>79.150000000000006</v>
      </c>
      <c r="N35" s="116">
        <v>80.7</v>
      </c>
      <c r="O35" s="116">
        <v>75.099999999999994</v>
      </c>
      <c r="P35" s="116">
        <v>76</v>
      </c>
      <c r="Q35" s="116">
        <v>79.150000000000006</v>
      </c>
      <c r="R35">
        <v>62988</v>
      </c>
    </row>
    <row r="36" spans="1:18" x14ac:dyDescent="0.25">
      <c r="A36" s="169">
        <v>42053</v>
      </c>
      <c r="B36" s="116">
        <v>83</v>
      </c>
      <c r="C36" s="116">
        <v>82.55</v>
      </c>
      <c r="D36" s="116">
        <v>78</v>
      </c>
      <c r="E36" s="116">
        <v>79.900000000000006</v>
      </c>
      <c r="F36" s="116">
        <v>82.55</v>
      </c>
      <c r="G36">
        <v>21668</v>
      </c>
      <c r="H36" s="116"/>
      <c r="I36" s="116"/>
      <c r="L36" s="169">
        <v>42053</v>
      </c>
      <c r="M36" s="116">
        <v>82.5</v>
      </c>
      <c r="N36" s="116">
        <v>83.8</v>
      </c>
      <c r="O36" s="116">
        <v>78.150000000000006</v>
      </c>
      <c r="P36" s="116">
        <v>79.5</v>
      </c>
      <c r="Q36" s="116">
        <v>82.5</v>
      </c>
      <c r="R36">
        <v>33777</v>
      </c>
    </row>
    <row r="37" spans="1:18" x14ac:dyDescent="0.25">
      <c r="A37" s="169">
        <v>42054</v>
      </c>
      <c r="B37" s="116">
        <v>84.8</v>
      </c>
      <c r="C37" s="116">
        <v>83.4</v>
      </c>
      <c r="D37" s="116">
        <v>82.7</v>
      </c>
      <c r="E37" s="116">
        <v>83.65</v>
      </c>
      <c r="F37" s="116">
        <v>83.4</v>
      </c>
      <c r="G37">
        <v>45773</v>
      </c>
      <c r="H37" s="116"/>
      <c r="I37" s="116"/>
      <c r="L37" s="169">
        <v>42054</v>
      </c>
      <c r="M37" s="116">
        <v>82.75</v>
      </c>
      <c r="N37" s="116">
        <v>84</v>
      </c>
      <c r="O37" s="116">
        <v>82.2</v>
      </c>
      <c r="P37" s="116">
        <v>82.55</v>
      </c>
      <c r="Q37" s="116">
        <v>82.75</v>
      </c>
      <c r="R37">
        <v>14123</v>
      </c>
    </row>
    <row r="38" spans="1:18" x14ac:dyDescent="0.25">
      <c r="A38" s="169">
        <v>42055</v>
      </c>
      <c r="B38" s="116">
        <v>84</v>
      </c>
      <c r="C38" s="116">
        <v>81</v>
      </c>
      <c r="D38" s="116">
        <v>79.3</v>
      </c>
      <c r="E38" s="116">
        <v>84</v>
      </c>
      <c r="F38" s="116">
        <v>81</v>
      </c>
      <c r="G38">
        <v>16712</v>
      </c>
      <c r="H38" s="116"/>
      <c r="I38" s="116"/>
      <c r="L38" s="169">
        <v>42055</v>
      </c>
      <c r="M38" s="116">
        <v>81.05</v>
      </c>
      <c r="N38" s="116">
        <v>83.5</v>
      </c>
      <c r="O38" s="116">
        <v>79.099999999999994</v>
      </c>
      <c r="P38" s="116">
        <v>83</v>
      </c>
      <c r="Q38" s="116">
        <v>81.05</v>
      </c>
      <c r="R38">
        <v>18383</v>
      </c>
    </row>
    <row r="39" spans="1:18" x14ac:dyDescent="0.25">
      <c r="A39" s="169">
        <v>42058</v>
      </c>
      <c r="B39" s="116">
        <v>81.900000000000006</v>
      </c>
      <c r="C39" s="116">
        <v>80.25</v>
      </c>
      <c r="D39" s="116">
        <v>79.25</v>
      </c>
      <c r="E39" s="116">
        <v>79.25</v>
      </c>
      <c r="F39" s="116">
        <v>80.25</v>
      </c>
      <c r="G39">
        <v>5938</v>
      </c>
      <c r="H39" s="116"/>
      <c r="I39" s="116"/>
      <c r="L39" s="169">
        <v>42058</v>
      </c>
      <c r="M39" s="116">
        <v>79.75</v>
      </c>
      <c r="N39" s="116">
        <v>81.95</v>
      </c>
      <c r="O39" s="116">
        <v>79.650000000000006</v>
      </c>
      <c r="P39" s="116">
        <v>80.55</v>
      </c>
      <c r="Q39" s="116">
        <v>79.75</v>
      </c>
      <c r="R39">
        <v>5348</v>
      </c>
    </row>
    <row r="40" spans="1:18" x14ac:dyDescent="0.25">
      <c r="A40" s="169">
        <v>42059</v>
      </c>
      <c r="B40" s="116">
        <v>82.35</v>
      </c>
      <c r="C40" s="116">
        <v>79.45</v>
      </c>
      <c r="D40" s="116">
        <v>79.25</v>
      </c>
      <c r="E40" s="116">
        <v>82.2</v>
      </c>
      <c r="F40" s="116">
        <v>79.45</v>
      </c>
      <c r="G40">
        <v>2144</v>
      </c>
      <c r="H40" s="116"/>
      <c r="I40" s="116"/>
      <c r="L40" s="169">
        <v>42059</v>
      </c>
      <c r="M40" s="116">
        <v>79.900000000000006</v>
      </c>
      <c r="N40" s="116">
        <v>81.75</v>
      </c>
      <c r="O40" s="116">
        <v>79</v>
      </c>
      <c r="P40" s="116">
        <v>81.7</v>
      </c>
      <c r="Q40" s="116">
        <v>79.900000000000006</v>
      </c>
      <c r="R40">
        <v>9473</v>
      </c>
    </row>
    <row r="41" spans="1:18" x14ac:dyDescent="0.25">
      <c r="A41" s="169">
        <v>42060</v>
      </c>
      <c r="B41" s="116">
        <v>80</v>
      </c>
      <c r="C41" s="116">
        <v>79.3</v>
      </c>
      <c r="D41" s="116">
        <v>78.8</v>
      </c>
      <c r="E41" s="116">
        <v>79.5</v>
      </c>
      <c r="F41" s="116">
        <v>79.3</v>
      </c>
      <c r="G41">
        <v>4827</v>
      </c>
      <c r="H41" s="116"/>
      <c r="I41" s="116"/>
      <c r="L41" s="169">
        <v>42060</v>
      </c>
      <c r="M41" s="116">
        <v>79.2</v>
      </c>
      <c r="N41" s="116">
        <v>81.5</v>
      </c>
      <c r="O41" s="116">
        <v>78.75</v>
      </c>
      <c r="P41" s="116">
        <v>81.5</v>
      </c>
      <c r="Q41" s="116">
        <v>79.2</v>
      </c>
      <c r="R41">
        <v>12765</v>
      </c>
    </row>
    <row r="42" spans="1:18" x14ac:dyDescent="0.25">
      <c r="A42" s="169">
        <v>42061</v>
      </c>
      <c r="B42" s="116">
        <v>79.650000000000006</v>
      </c>
      <c r="C42" s="116">
        <v>77.099999999999994</v>
      </c>
      <c r="D42" s="116">
        <v>77</v>
      </c>
      <c r="E42" s="116">
        <v>78.400000000000006</v>
      </c>
      <c r="F42" s="116">
        <v>77.099999999999994</v>
      </c>
      <c r="G42">
        <v>3360</v>
      </c>
      <c r="H42" s="116"/>
      <c r="I42" s="116"/>
      <c r="L42" s="169">
        <v>42061</v>
      </c>
      <c r="M42" s="116">
        <v>78.150000000000006</v>
      </c>
      <c r="N42" s="116">
        <v>79.650000000000006</v>
      </c>
      <c r="O42" s="116">
        <v>76.349999999999994</v>
      </c>
      <c r="P42" s="116">
        <v>78.650000000000006</v>
      </c>
      <c r="Q42" s="116">
        <v>78.150000000000006</v>
      </c>
      <c r="R42">
        <v>10380</v>
      </c>
    </row>
    <row r="43" spans="1:18" x14ac:dyDescent="0.25">
      <c r="A43" s="169">
        <v>42062</v>
      </c>
      <c r="B43" s="116">
        <v>78.849999999999994</v>
      </c>
      <c r="C43" s="116">
        <v>78.05</v>
      </c>
      <c r="D43" s="116">
        <v>77.400000000000006</v>
      </c>
      <c r="E43" s="116">
        <v>78.05</v>
      </c>
      <c r="F43" s="116">
        <v>78.05</v>
      </c>
      <c r="G43">
        <v>1359</v>
      </c>
      <c r="H43" s="116"/>
      <c r="I43" s="116"/>
      <c r="L43" s="169">
        <v>42062</v>
      </c>
      <c r="M43" s="116">
        <v>77.650000000000006</v>
      </c>
      <c r="N43" s="116">
        <v>79.2</v>
      </c>
      <c r="O43" s="116">
        <v>77</v>
      </c>
      <c r="P43" s="116">
        <v>77.849999999999994</v>
      </c>
      <c r="Q43" s="116">
        <v>77.650000000000006</v>
      </c>
      <c r="R43">
        <v>5282</v>
      </c>
    </row>
    <row r="44" spans="1:18" x14ac:dyDescent="0.25">
      <c r="A44" s="169">
        <v>42063</v>
      </c>
      <c r="B44" s="116">
        <v>80.2</v>
      </c>
      <c r="C44" s="116">
        <v>78.3</v>
      </c>
      <c r="D44" s="116">
        <v>77.099999999999994</v>
      </c>
      <c r="E44" s="116">
        <v>77.099999999999994</v>
      </c>
      <c r="F44" s="116">
        <v>78.3</v>
      </c>
      <c r="G44">
        <v>2771</v>
      </c>
      <c r="H44" s="116"/>
      <c r="I44" s="116"/>
      <c r="L44" s="169">
        <v>42063</v>
      </c>
      <c r="M44" s="116">
        <v>78.2</v>
      </c>
      <c r="N44" s="116">
        <v>80</v>
      </c>
      <c r="O44" s="116">
        <v>77.349999999999994</v>
      </c>
      <c r="P44" s="116">
        <v>79.95</v>
      </c>
      <c r="Q44" s="116">
        <v>78.2</v>
      </c>
      <c r="R44">
        <v>7566</v>
      </c>
    </row>
    <row r="45" spans="1:18" x14ac:dyDescent="0.25">
      <c r="A45" s="169">
        <v>42065</v>
      </c>
      <c r="B45" s="116">
        <v>79</v>
      </c>
      <c r="C45" s="116">
        <v>79</v>
      </c>
      <c r="D45" s="116">
        <v>78.8</v>
      </c>
      <c r="E45" s="116">
        <v>78.849999999999994</v>
      </c>
      <c r="F45" s="116">
        <v>79</v>
      </c>
      <c r="G45">
        <v>2935</v>
      </c>
      <c r="H45" s="116"/>
      <c r="I45" s="116"/>
      <c r="L45" s="169">
        <v>42065</v>
      </c>
      <c r="M45" s="116">
        <v>79.150000000000006</v>
      </c>
      <c r="N45" s="116">
        <v>79.5</v>
      </c>
      <c r="O45" s="116">
        <v>75.400000000000006</v>
      </c>
      <c r="P45" s="116">
        <v>77</v>
      </c>
      <c r="Q45" s="116">
        <v>79.150000000000006</v>
      </c>
      <c r="R45">
        <v>9439</v>
      </c>
    </row>
    <row r="46" spans="1:18" x14ac:dyDescent="0.25">
      <c r="A46" s="169">
        <v>42066</v>
      </c>
      <c r="B46" s="116">
        <v>80.599999999999994</v>
      </c>
      <c r="C46" s="116">
        <v>80.3</v>
      </c>
      <c r="D46" s="116">
        <v>77.900000000000006</v>
      </c>
      <c r="E46" s="116">
        <v>77.900000000000006</v>
      </c>
      <c r="F46" s="116">
        <v>80.3</v>
      </c>
      <c r="G46">
        <v>6613</v>
      </c>
      <c r="H46" s="116"/>
      <c r="I46" s="116"/>
      <c r="L46" s="169">
        <v>42066</v>
      </c>
      <c r="M46" s="116">
        <v>80.150000000000006</v>
      </c>
      <c r="N46" s="116">
        <v>80.5</v>
      </c>
      <c r="O46" s="116">
        <v>78</v>
      </c>
      <c r="P46" s="116">
        <v>78.7</v>
      </c>
      <c r="Q46" s="116">
        <v>80.150000000000006</v>
      </c>
      <c r="R46">
        <v>9971</v>
      </c>
    </row>
    <row r="47" spans="1:18" x14ac:dyDescent="0.25">
      <c r="A47" s="169">
        <v>42067</v>
      </c>
      <c r="B47" s="116">
        <v>80.5</v>
      </c>
      <c r="C47" s="116">
        <v>80.05</v>
      </c>
      <c r="D47" s="116">
        <v>79.099999999999994</v>
      </c>
      <c r="E47" s="116">
        <v>79.099999999999994</v>
      </c>
      <c r="F47" s="116">
        <v>80.05</v>
      </c>
      <c r="G47">
        <v>2255</v>
      </c>
      <c r="H47" s="116"/>
      <c r="I47" s="116"/>
      <c r="L47" s="169">
        <v>42067</v>
      </c>
      <c r="M47" s="116">
        <v>80.2</v>
      </c>
      <c r="N47" s="116">
        <v>80.75</v>
      </c>
      <c r="O47" s="116">
        <v>79.75</v>
      </c>
      <c r="P47" s="116">
        <v>80</v>
      </c>
      <c r="Q47" s="116">
        <v>80.2</v>
      </c>
      <c r="R47">
        <v>27716</v>
      </c>
    </row>
    <row r="48" spans="1:18" x14ac:dyDescent="0.25">
      <c r="A48" s="169">
        <v>42068</v>
      </c>
      <c r="B48" s="116">
        <v>82</v>
      </c>
      <c r="C48" s="116">
        <v>81.8</v>
      </c>
      <c r="D48" s="116">
        <v>80</v>
      </c>
      <c r="E48" s="116">
        <v>80.95</v>
      </c>
      <c r="F48" s="116">
        <v>81.8</v>
      </c>
      <c r="G48">
        <v>12626</v>
      </c>
      <c r="H48" s="116"/>
      <c r="I48" s="116"/>
      <c r="L48" s="169">
        <v>42068</v>
      </c>
      <c r="M48" s="116">
        <v>81.599999999999994</v>
      </c>
      <c r="N48" s="116">
        <v>82.45</v>
      </c>
      <c r="O48" s="116">
        <v>77.400000000000006</v>
      </c>
      <c r="P48" s="116">
        <v>79.5</v>
      </c>
      <c r="Q48" s="116">
        <v>81.599999999999994</v>
      </c>
      <c r="R48">
        <v>36633</v>
      </c>
    </row>
    <row r="49" spans="1:18" x14ac:dyDescent="0.25">
      <c r="A49" s="169">
        <v>42072</v>
      </c>
      <c r="B49" s="116">
        <v>81.599999999999994</v>
      </c>
      <c r="C49" s="116">
        <v>77.7</v>
      </c>
      <c r="D49" s="116">
        <v>76.2</v>
      </c>
      <c r="E49" s="116">
        <v>81</v>
      </c>
      <c r="F49" s="116">
        <v>77.7</v>
      </c>
      <c r="G49">
        <v>14112</v>
      </c>
      <c r="H49" s="116"/>
      <c r="I49" s="116"/>
      <c r="L49" s="169">
        <v>42072</v>
      </c>
      <c r="M49" s="116">
        <v>77.8</v>
      </c>
      <c r="N49" s="116">
        <v>81.45</v>
      </c>
      <c r="O49" s="116">
        <v>76.099999999999994</v>
      </c>
      <c r="P49" s="116">
        <v>81</v>
      </c>
      <c r="Q49" s="116">
        <v>77.8</v>
      </c>
      <c r="R49">
        <v>19292</v>
      </c>
    </row>
    <row r="50" spans="1:18" x14ac:dyDescent="0.25">
      <c r="A50" s="169">
        <v>42073</v>
      </c>
      <c r="B50" s="116">
        <v>81</v>
      </c>
      <c r="C50" s="116">
        <v>80.849999999999994</v>
      </c>
      <c r="D50" s="116">
        <v>78.5</v>
      </c>
      <c r="E50" s="116">
        <v>78.5</v>
      </c>
      <c r="F50" s="116">
        <v>80.849999999999994</v>
      </c>
      <c r="G50">
        <v>6654</v>
      </c>
      <c r="H50" s="116"/>
      <c r="I50" s="116"/>
      <c r="L50" s="169">
        <v>42073</v>
      </c>
      <c r="M50" s="116">
        <v>80.75</v>
      </c>
      <c r="N50" s="116">
        <v>81.2</v>
      </c>
      <c r="O50" s="116">
        <v>79.25</v>
      </c>
      <c r="P50" s="116">
        <v>79.5</v>
      </c>
      <c r="Q50" s="116">
        <v>80.75</v>
      </c>
      <c r="R50">
        <v>21270</v>
      </c>
    </row>
    <row r="51" spans="1:18" x14ac:dyDescent="0.25">
      <c r="A51" s="169">
        <v>42074</v>
      </c>
      <c r="B51" s="116">
        <v>80.400000000000006</v>
      </c>
      <c r="C51" s="116">
        <v>80.05</v>
      </c>
      <c r="D51" s="116">
        <v>79.5</v>
      </c>
      <c r="E51" s="116">
        <v>79.900000000000006</v>
      </c>
      <c r="F51" s="116">
        <v>80.05</v>
      </c>
      <c r="G51">
        <v>265</v>
      </c>
      <c r="H51" s="116"/>
      <c r="I51" s="116"/>
      <c r="L51" s="169">
        <v>42074</v>
      </c>
      <c r="M51" s="116">
        <v>80</v>
      </c>
      <c r="N51" s="116">
        <v>80.95</v>
      </c>
      <c r="O51" s="116">
        <v>79</v>
      </c>
      <c r="P51" s="116">
        <v>80</v>
      </c>
      <c r="Q51" s="116">
        <v>80</v>
      </c>
      <c r="R51">
        <v>9890</v>
      </c>
    </row>
    <row r="52" spans="1:18" x14ac:dyDescent="0.25">
      <c r="A52" s="169">
        <v>42075</v>
      </c>
      <c r="B52" s="116">
        <v>82</v>
      </c>
      <c r="C52" s="116">
        <v>81.099999999999994</v>
      </c>
      <c r="D52" s="116">
        <v>81</v>
      </c>
      <c r="E52" s="116">
        <v>81.2</v>
      </c>
      <c r="F52" s="116">
        <v>81.099999999999994</v>
      </c>
      <c r="G52">
        <v>6637</v>
      </c>
      <c r="H52" s="116"/>
      <c r="I52" s="116"/>
      <c r="L52" s="169">
        <v>42075</v>
      </c>
      <c r="M52" s="116">
        <v>81.45</v>
      </c>
      <c r="N52" s="116">
        <v>82</v>
      </c>
      <c r="O52" s="116">
        <v>80.5</v>
      </c>
      <c r="P52" s="116">
        <v>80.5</v>
      </c>
      <c r="Q52" s="116">
        <v>81.45</v>
      </c>
      <c r="R52">
        <v>10338</v>
      </c>
    </row>
    <row r="53" spans="1:18" x14ac:dyDescent="0.25">
      <c r="A53" s="169">
        <v>42076</v>
      </c>
      <c r="B53" s="116">
        <v>85</v>
      </c>
      <c r="C53" s="116">
        <v>84.4</v>
      </c>
      <c r="D53" s="116">
        <v>80.400000000000006</v>
      </c>
      <c r="E53" s="116">
        <v>80.400000000000006</v>
      </c>
      <c r="F53" s="116">
        <v>84.4</v>
      </c>
      <c r="G53">
        <v>21842</v>
      </c>
      <c r="H53" s="116"/>
      <c r="I53" s="116"/>
      <c r="L53" s="169">
        <v>42076</v>
      </c>
      <c r="M53" s="116">
        <v>84.7</v>
      </c>
      <c r="N53" s="116">
        <v>85.2</v>
      </c>
      <c r="O53" s="116">
        <v>80.150000000000006</v>
      </c>
      <c r="P53" s="116">
        <v>83.85</v>
      </c>
      <c r="Q53" s="116">
        <v>84.7</v>
      </c>
      <c r="R53">
        <v>81272</v>
      </c>
    </row>
    <row r="54" spans="1:18" x14ac:dyDescent="0.25">
      <c r="A54" s="169">
        <v>42079</v>
      </c>
      <c r="B54" s="116">
        <v>86.6</v>
      </c>
      <c r="C54" s="116">
        <v>85.9</v>
      </c>
      <c r="D54" s="116">
        <v>85</v>
      </c>
      <c r="E54" s="116">
        <v>85.1</v>
      </c>
      <c r="F54" s="116">
        <v>85.9</v>
      </c>
      <c r="G54">
        <v>9948</v>
      </c>
      <c r="H54" s="116"/>
      <c r="I54" s="116"/>
      <c r="L54" s="169">
        <v>42079</v>
      </c>
      <c r="M54" s="116">
        <v>86.55</v>
      </c>
      <c r="N54" s="116">
        <v>87</v>
      </c>
      <c r="O54" s="116">
        <v>85.5</v>
      </c>
      <c r="P54" s="116">
        <v>85.5</v>
      </c>
      <c r="Q54" s="116">
        <v>86.55</v>
      </c>
      <c r="R54">
        <v>31638</v>
      </c>
    </row>
    <row r="55" spans="1:18" x14ac:dyDescent="0.25">
      <c r="A55" s="169">
        <v>42080</v>
      </c>
      <c r="B55" s="116">
        <v>87.35</v>
      </c>
      <c r="C55" s="116">
        <v>86.65</v>
      </c>
      <c r="D55" s="116">
        <v>85</v>
      </c>
      <c r="E55" s="116">
        <v>86.5</v>
      </c>
      <c r="F55" s="116">
        <v>86.65</v>
      </c>
      <c r="G55">
        <v>14605</v>
      </c>
      <c r="H55" s="116"/>
      <c r="I55" s="116"/>
      <c r="L55" s="169">
        <v>42080</v>
      </c>
      <c r="M55" s="116">
        <v>86.8</v>
      </c>
      <c r="N55" s="116">
        <v>87.5</v>
      </c>
      <c r="O55" s="116">
        <v>85.55</v>
      </c>
      <c r="P55" s="116">
        <v>87</v>
      </c>
      <c r="Q55" s="116">
        <v>86.8</v>
      </c>
      <c r="R55">
        <v>18742</v>
      </c>
    </row>
    <row r="56" spans="1:18" x14ac:dyDescent="0.25">
      <c r="A56" s="169">
        <v>42081</v>
      </c>
      <c r="B56" s="116">
        <v>89</v>
      </c>
      <c r="C56" s="116">
        <v>88</v>
      </c>
      <c r="D56" s="116">
        <v>86.7</v>
      </c>
      <c r="E56" s="116">
        <v>88</v>
      </c>
      <c r="F56" s="116">
        <v>88</v>
      </c>
      <c r="G56">
        <v>5022</v>
      </c>
      <c r="H56" s="116"/>
      <c r="I56" s="116"/>
      <c r="L56" s="169">
        <v>42081</v>
      </c>
      <c r="M56" s="116">
        <v>88.35</v>
      </c>
      <c r="N56" s="116">
        <v>89.2</v>
      </c>
      <c r="O56" s="116">
        <v>87.05</v>
      </c>
      <c r="P56" s="116">
        <v>88</v>
      </c>
      <c r="Q56" s="116">
        <v>88.35</v>
      </c>
      <c r="R56">
        <v>30684</v>
      </c>
    </row>
    <row r="57" spans="1:18" x14ac:dyDescent="0.25">
      <c r="A57" s="169">
        <v>42082</v>
      </c>
      <c r="B57" s="116">
        <v>89.1</v>
      </c>
      <c r="C57" s="116">
        <v>86</v>
      </c>
      <c r="D57" s="116">
        <v>85.15</v>
      </c>
      <c r="E57" s="116">
        <v>87.4</v>
      </c>
      <c r="F57" s="116">
        <v>86</v>
      </c>
      <c r="G57">
        <v>15832</v>
      </c>
      <c r="H57" s="116"/>
      <c r="I57" s="116"/>
      <c r="L57" s="169">
        <v>42082</v>
      </c>
      <c r="M57" s="116">
        <v>86.2</v>
      </c>
      <c r="N57" s="116">
        <v>89.55</v>
      </c>
      <c r="O57" s="116">
        <v>85.5</v>
      </c>
      <c r="P57" s="116">
        <v>88.35</v>
      </c>
      <c r="Q57" s="116">
        <v>86.2</v>
      </c>
      <c r="R57">
        <v>37950</v>
      </c>
    </row>
    <row r="58" spans="1:18" x14ac:dyDescent="0.25">
      <c r="A58" s="169">
        <v>42083</v>
      </c>
      <c r="B58" s="116">
        <v>85.2</v>
      </c>
      <c r="C58" s="116">
        <v>82.25</v>
      </c>
      <c r="D58" s="116">
        <v>81.8</v>
      </c>
      <c r="E58" s="116">
        <v>84.3</v>
      </c>
      <c r="F58" s="116">
        <v>82.25</v>
      </c>
      <c r="G58">
        <v>8422</v>
      </c>
      <c r="H58" s="116"/>
      <c r="I58" s="116"/>
      <c r="L58" s="169">
        <v>42083</v>
      </c>
      <c r="M58" s="116">
        <v>81.849999999999994</v>
      </c>
      <c r="N58" s="116">
        <v>87.85</v>
      </c>
      <c r="O58" s="116">
        <v>81</v>
      </c>
      <c r="P58" s="116">
        <v>87.85</v>
      </c>
      <c r="Q58" s="116">
        <v>81.849999999999994</v>
      </c>
      <c r="R58">
        <v>55775</v>
      </c>
    </row>
    <row r="59" spans="1:18" x14ac:dyDescent="0.25">
      <c r="A59" s="169">
        <v>42086</v>
      </c>
      <c r="B59" s="116">
        <v>82.25</v>
      </c>
      <c r="C59" s="116">
        <v>79.5</v>
      </c>
      <c r="D59" s="116">
        <v>79</v>
      </c>
      <c r="E59" s="116">
        <v>81.2</v>
      </c>
      <c r="F59" s="116">
        <v>79.5</v>
      </c>
      <c r="G59">
        <v>3307</v>
      </c>
      <c r="H59" s="116"/>
      <c r="I59" s="116"/>
      <c r="L59" s="169">
        <v>42086</v>
      </c>
      <c r="M59" s="116">
        <v>79.05</v>
      </c>
      <c r="N59" s="116">
        <v>82.9</v>
      </c>
      <c r="O59" s="116">
        <v>78.5</v>
      </c>
      <c r="P59" s="116">
        <v>82.9</v>
      </c>
      <c r="Q59" s="116">
        <v>79.05</v>
      </c>
      <c r="R59">
        <v>14806</v>
      </c>
    </row>
    <row r="60" spans="1:18" x14ac:dyDescent="0.25">
      <c r="A60" s="169">
        <v>42087</v>
      </c>
      <c r="B60" s="116">
        <v>81.3</v>
      </c>
      <c r="C60" s="116">
        <v>80.150000000000006</v>
      </c>
      <c r="D60" s="116">
        <v>78</v>
      </c>
      <c r="E60" s="116">
        <v>78.05</v>
      </c>
      <c r="F60" s="116">
        <v>80.150000000000006</v>
      </c>
      <c r="G60">
        <v>13151</v>
      </c>
      <c r="H60" s="116"/>
      <c r="I60" s="116"/>
      <c r="L60" s="169">
        <v>42087</v>
      </c>
      <c r="M60" s="116">
        <v>80.849999999999994</v>
      </c>
      <c r="N60" s="116">
        <v>84.4</v>
      </c>
      <c r="O60" s="116">
        <v>78.5</v>
      </c>
      <c r="P60" s="116">
        <v>84.4</v>
      </c>
      <c r="Q60" s="116">
        <v>80.849999999999994</v>
      </c>
      <c r="R60">
        <v>9467</v>
      </c>
    </row>
    <row r="61" spans="1:18" x14ac:dyDescent="0.25">
      <c r="A61" s="169">
        <v>42088</v>
      </c>
      <c r="B61" s="116">
        <v>81.150000000000006</v>
      </c>
      <c r="C61" s="116">
        <v>79.2</v>
      </c>
      <c r="D61" s="116">
        <v>78.650000000000006</v>
      </c>
      <c r="E61" s="116">
        <v>81</v>
      </c>
      <c r="F61" s="116">
        <v>79.2</v>
      </c>
      <c r="G61">
        <v>3316</v>
      </c>
      <c r="H61" s="116"/>
      <c r="I61" s="116"/>
      <c r="L61" s="169">
        <v>42088</v>
      </c>
      <c r="M61" s="116">
        <v>79.95</v>
      </c>
      <c r="N61" s="116">
        <v>81.849999999999994</v>
      </c>
      <c r="O61" s="116">
        <v>78.8</v>
      </c>
      <c r="P61" s="116">
        <v>80.05</v>
      </c>
      <c r="Q61" s="116">
        <v>79.95</v>
      </c>
      <c r="R61">
        <v>6245</v>
      </c>
    </row>
    <row r="62" spans="1:18" x14ac:dyDescent="0.25">
      <c r="A62" s="169">
        <v>42089</v>
      </c>
      <c r="B62" s="116">
        <v>79.8</v>
      </c>
      <c r="C62" s="116">
        <v>77.5</v>
      </c>
      <c r="D62" s="116">
        <v>76.3</v>
      </c>
      <c r="E62" s="116">
        <v>79.8</v>
      </c>
      <c r="F62" s="116">
        <v>77.5</v>
      </c>
      <c r="G62">
        <v>9461</v>
      </c>
      <c r="H62" s="116"/>
      <c r="I62" s="116"/>
      <c r="L62" s="169">
        <v>42089</v>
      </c>
      <c r="M62" s="116">
        <v>78.349999999999994</v>
      </c>
      <c r="N62" s="116">
        <v>80.099999999999994</v>
      </c>
      <c r="O62" s="116">
        <v>77.05</v>
      </c>
      <c r="P62" s="116">
        <v>79</v>
      </c>
      <c r="Q62" s="116">
        <v>78.349999999999994</v>
      </c>
      <c r="R62">
        <v>13093</v>
      </c>
    </row>
    <row r="63" spans="1:18" x14ac:dyDescent="0.25">
      <c r="A63" s="169">
        <v>42090</v>
      </c>
      <c r="B63" s="116">
        <v>80.05</v>
      </c>
      <c r="C63" s="116">
        <v>79.95</v>
      </c>
      <c r="D63" s="116">
        <v>77.599999999999994</v>
      </c>
      <c r="E63" s="116">
        <v>77.75</v>
      </c>
      <c r="F63" s="116">
        <v>79.95</v>
      </c>
      <c r="G63">
        <v>9867</v>
      </c>
      <c r="H63" s="116"/>
      <c r="I63" s="116"/>
      <c r="L63" s="169">
        <v>42090</v>
      </c>
      <c r="M63" s="116">
        <v>79.25</v>
      </c>
      <c r="N63" s="116">
        <v>80.5</v>
      </c>
      <c r="O63" s="116">
        <v>77.2</v>
      </c>
      <c r="P63" s="116">
        <v>78.5</v>
      </c>
      <c r="Q63" s="116">
        <v>79.25</v>
      </c>
      <c r="R63">
        <v>16828</v>
      </c>
    </row>
    <row r="64" spans="1:18" x14ac:dyDescent="0.25">
      <c r="A64" s="169">
        <v>42093</v>
      </c>
      <c r="B64" s="116">
        <v>81.900000000000006</v>
      </c>
      <c r="C64" s="116">
        <v>81.05</v>
      </c>
      <c r="D64" s="116">
        <v>79.95</v>
      </c>
      <c r="E64" s="116">
        <v>81</v>
      </c>
      <c r="F64" s="116">
        <v>81.05</v>
      </c>
      <c r="G64">
        <v>7551</v>
      </c>
      <c r="H64" s="116"/>
      <c r="I64" s="116"/>
      <c r="L64" s="169">
        <v>42093</v>
      </c>
      <c r="M64" s="116">
        <v>81.599999999999994</v>
      </c>
      <c r="N64" s="116">
        <v>82.35</v>
      </c>
      <c r="O64" s="116">
        <v>79.05</v>
      </c>
      <c r="P64" s="116">
        <v>80.5</v>
      </c>
      <c r="Q64" s="116">
        <v>81.599999999999994</v>
      </c>
      <c r="R64">
        <v>14769</v>
      </c>
    </row>
    <row r="65" spans="1:18" x14ac:dyDescent="0.25">
      <c r="A65" s="169">
        <v>42094</v>
      </c>
      <c r="B65" s="116">
        <v>82.5</v>
      </c>
      <c r="C65" s="116">
        <v>81.05</v>
      </c>
      <c r="D65" s="116">
        <v>79.900000000000006</v>
      </c>
      <c r="E65" s="116">
        <v>82</v>
      </c>
      <c r="F65" s="116">
        <v>81.05</v>
      </c>
      <c r="G65">
        <v>4730</v>
      </c>
      <c r="H65" s="116"/>
      <c r="I65" s="116"/>
      <c r="L65" s="169">
        <v>42094</v>
      </c>
      <c r="M65" s="116">
        <v>82</v>
      </c>
      <c r="N65" s="116">
        <v>84</v>
      </c>
      <c r="O65" s="116">
        <v>81.05</v>
      </c>
      <c r="P65" s="116">
        <v>81.150000000000006</v>
      </c>
      <c r="Q65" s="116">
        <v>82</v>
      </c>
      <c r="R65">
        <v>3596</v>
      </c>
    </row>
    <row r="66" spans="1:18" x14ac:dyDescent="0.25">
      <c r="A66" s="169">
        <v>42095</v>
      </c>
      <c r="B66" s="116">
        <v>83.5</v>
      </c>
      <c r="C66" s="116">
        <v>83.4</v>
      </c>
      <c r="D66" s="116">
        <v>80.75</v>
      </c>
      <c r="E66" s="116">
        <v>80.75</v>
      </c>
      <c r="F66" s="116">
        <v>83.4</v>
      </c>
      <c r="G66">
        <v>2517</v>
      </c>
      <c r="H66" s="116"/>
      <c r="I66" s="116"/>
      <c r="L66" s="169">
        <v>42095</v>
      </c>
      <c r="M66" s="116">
        <v>83.45</v>
      </c>
      <c r="N66" s="116">
        <v>83.5</v>
      </c>
      <c r="O66" s="116">
        <v>81.5</v>
      </c>
      <c r="P66" s="116">
        <v>81.5</v>
      </c>
      <c r="Q66" s="116">
        <v>83.45</v>
      </c>
      <c r="R66">
        <v>6674</v>
      </c>
    </row>
    <row r="67" spans="1:18" x14ac:dyDescent="0.25">
      <c r="A67" s="169">
        <v>42100</v>
      </c>
      <c r="B67" s="116">
        <v>83.6</v>
      </c>
      <c r="C67" s="116">
        <v>82.9</v>
      </c>
      <c r="D67" s="116">
        <v>82.5</v>
      </c>
      <c r="E67" s="116">
        <v>82.5</v>
      </c>
      <c r="F67" s="116">
        <v>82.9</v>
      </c>
      <c r="G67">
        <v>1176</v>
      </c>
      <c r="H67" s="116"/>
      <c r="I67" s="116"/>
      <c r="L67" s="169">
        <v>42100</v>
      </c>
      <c r="M67" s="116">
        <v>82.55</v>
      </c>
      <c r="N67" s="116">
        <v>84.1</v>
      </c>
      <c r="O67" s="116">
        <v>81</v>
      </c>
      <c r="P67" s="116">
        <v>83</v>
      </c>
      <c r="Q67" s="116">
        <v>82.55</v>
      </c>
      <c r="R67">
        <v>9572</v>
      </c>
    </row>
    <row r="68" spans="1:18" x14ac:dyDescent="0.25">
      <c r="A68" s="169">
        <v>42101</v>
      </c>
      <c r="B68" s="116">
        <v>83.25</v>
      </c>
      <c r="C68" s="116">
        <v>82.75</v>
      </c>
      <c r="D68" s="116">
        <v>82.2</v>
      </c>
      <c r="E68" s="116">
        <v>82.25</v>
      </c>
      <c r="F68" s="116">
        <v>82.75</v>
      </c>
      <c r="G68">
        <v>637</v>
      </c>
      <c r="H68" s="116"/>
      <c r="I68" s="116"/>
      <c r="L68" s="169">
        <v>42101</v>
      </c>
      <c r="M68" s="116">
        <v>83.8</v>
      </c>
      <c r="N68" s="116">
        <v>84.5</v>
      </c>
      <c r="O68" s="116">
        <v>82.3</v>
      </c>
      <c r="P68" s="116">
        <v>82.3</v>
      </c>
      <c r="Q68" s="116">
        <v>83.8</v>
      </c>
      <c r="R68">
        <v>1765</v>
      </c>
    </row>
    <row r="69" spans="1:18" x14ac:dyDescent="0.25">
      <c r="A69" s="169">
        <v>42102</v>
      </c>
      <c r="B69" s="116">
        <v>83.7</v>
      </c>
      <c r="C69" s="116">
        <v>82.65</v>
      </c>
      <c r="D69" s="116">
        <v>82.65</v>
      </c>
      <c r="E69" s="116">
        <v>83.7</v>
      </c>
      <c r="F69" s="116">
        <v>82.65</v>
      </c>
      <c r="G69">
        <v>819</v>
      </c>
      <c r="H69" s="116"/>
      <c r="I69" s="116"/>
      <c r="L69" s="169">
        <v>42102</v>
      </c>
      <c r="M69" s="116">
        <v>82.75</v>
      </c>
      <c r="N69" s="116">
        <v>84.45</v>
      </c>
      <c r="O69" s="116">
        <v>81.2</v>
      </c>
      <c r="P69" s="116">
        <v>81.2</v>
      </c>
      <c r="Q69" s="116">
        <v>82.75</v>
      </c>
      <c r="R69">
        <v>10324</v>
      </c>
    </row>
    <row r="70" spans="1:18" x14ac:dyDescent="0.25">
      <c r="A70" s="169">
        <v>42103</v>
      </c>
      <c r="B70" s="116">
        <v>84</v>
      </c>
      <c r="C70" s="116">
        <v>82.95</v>
      </c>
      <c r="D70" s="116">
        <v>82.5</v>
      </c>
      <c r="E70" s="116">
        <v>82.5</v>
      </c>
      <c r="F70" s="116">
        <v>82.95</v>
      </c>
      <c r="G70">
        <v>1760</v>
      </c>
      <c r="H70" s="116"/>
      <c r="I70" s="116"/>
      <c r="L70" s="169">
        <v>42103</v>
      </c>
      <c r="M70" s="116">
        <v>82.6</v>
      </c>
      <c r="N70" s="116">
        <v>84</v>
      </c>
      <c r="O70" s="116">
        <v>82.35</v>
      </c>
      <c r="P70" s="116">
        <v>84</v>
      </c>
      <c r="Q70" s="116">
        <v>82.6</v>
      </c>
      <c r="R70">
        <v>8555</v>
      </c>
    </row>
    <row r="71" spans="1:18" x14ac:dyDescent="0.25">
      <c r="A71" s="169">
        <v>42104</v>
      </c>
      <c r="B71" s="116">
        <v>88</v>
      </c>
      <c r="C71" s="116">
        <v>87.6</v>
      </c>
      <c r="D71" s="116">
        <v>82.7</v>
      </c>
      <c r="E71" s="116">
        <v>82.7</v>
      </c>
      <c r="F71" s="116">
        <v>87.6</v>
      </c>
      <c r="G71">
        <v>9925</v>
      </c>
      <c r="H71" s="116"/>
      <c r="I71" s="116"/>
      <c r="L71" s="169">
        <v>42104</v>
      </c>
      <c r="M71" s="116">
        <v>87.35</v>
      </c>
      <c r="N71" s="116">
        <v>88.2</v>
      </c>
      <c r="O71" s="116">
        <v>82.8</v>
      </c>
      <c r="P71" s="116">
        <v>82.8</v>
      </c>
      <c r="Q71" s="116">
        <v>87.35</v>
      </c>
      <c r="R71">
        <v>18332</v>
      </c>
    </row>
    <row r="72" spans="1:18" x14ac:dyDescent="0.25">
      <c r="A72" s="169">
        <v>42107</v>
      </c>
      <c r="B72" s="116">
        <v>100</v>
      </c>
      <c r="C72" s="116">
        <v>98.1</v>
      </c>
      <c r="D72" s="116">
        <v>88.1</v>
      </c>
      <c r="E72" s="116">
        <v>88.1</v>
      </c>
      <c r="F72" s="116">
        <v>98.1</v>
      </c>
      <c r="G72">
        <v>53602</v>
      </c>
      <c r="H72" s="116"/>
      <c r="I72" s="116"/>
      <c r="L72" s="169">
        <v>42107</v>
      </c>
      <c r="M72" s="116">
        <v>98.7</v>
      </c>
      <c r="N72" s="116">
        <v>100.6</v>
      </c>
      <c r="O72" s="116">
        <v>86.5</v>
      </c>
      <c r="P72" s="116">
        <v>86.5</v>
      </c>
      <c r="Q72" s="116">
        <v>98.7</v>
      </c>
      <c r="R72">
        <v>162516</v>
      </c>
    </row>
    <row r="73" spans="1:18" x14ac:dyDescent="0.25">
      <c r="A73" s="169">
        <v>42109</v>
      </c>
      <c r="B73" s="116">
        <v>117.7</v>
      </c>
      <c r="C73" s="116">
        <v>117.7</v>
      </c>
      <c r="D73" s="116">
        <v>100.95</v>
      </c>
      <c r="E73" s="116">
        <v>100.95</v>
      </c>
      <c r="F73" s="116">
        <v>117.7</v>
      </c>
      <c r="G73">
        <v>130040</v>
      </c>
      <c r="H73" s="116"/>
      <c r="I73" s="116"/>
      <c r="L73" s="169">
        <v>42109</v>
      </c>
      <c r="M73" s="116">
        <v>118.4</v>
      </c>
      <c r="N73" s="116">
        <v>118.4</v>
      </c>
      <c r="O73" s="116">
        <v>99.1</v>
      </c>
      <c r="P73" s="116">
        <v>99.1</v>
      </c>
      <c r="Q73" s="116">
        <v>118.4</v>
      </c>
      <c r="R73">
        <v>293569</v>
      </c>
    </row>
    <row r="74" spans="1:18" x14ac:dyDescent="0.25">
      <c r="A74" s="169">
        <v>42110</v>
      </c>
      <c r="B74" s="116">
        <v>128.4</v>
      </c>
      <c r="C74" s="116">
        <v>111.8</v>
      </c>
      <c r="D74" s="116">
        <v>108.15</v>
      </c>
      <c r="E74" s="116">
        <v>119</v>
      </c>
      <c r="F74" s="116">
        <v>111.8</v>
      </c>
      <c r="G74">
        <v>153283</v>
      </c>
      <c r="H74" s="116"/>
      <c r="I74" s="116"/>
      <c r="L74" s="169">
        <v>42110</v>
      </c>
      <c r="M74" s="116">
        <v>112.65</v>
      </c>
      <c r="N74" s="116">
        <v>129</v>
      </c>
      <c r="O74" s="116">
        <v>108.55</v>
      </c>
      <c r="P74" s="116">
        <v>119.6</v>
      </c>
      <c r="Q74" s="116">
        <v>112.65</v>
      </c>
      <c r="R74">
        <v>490577</v>
      </c>
    </row>
    <row r="75" spans="1:18" x14ac:dyDescent="0.25">
      <c r="A75" s="169">
        <v>42111</v>
      </c>
      <c r="B75" s="116">
        <v>121</v>
      </c>
      <c r="C75" s="116">
        <v>114.85</v>
      </c>
      <c r="D75" s="116">
        <v>107</v>
      </c>
      <c r="E75" s="116">
        <v>112</v>
      </c>
      <c r="F75" s="116">
        <v>114.85</v>
      </c>
      <c r="G75">
        <v>33344</v>
      </c>
      <c r="H75" s="116"/>
      <c r="I75" s="116"/>
      <c r="L75" s="169">
        <v>42111</v>
      </c>
      <c r="M75" s="116">
        <v>115.15</v>
      </c>
      <c r="N75" s="116">
        <v>120.6</v>
      </c>
      <c r="O75" s="116">
        <v>106.25</v>
      </c>
      <c r="P75" s="116">
        <v>115.5</v>
      </c>
      <c r="Q75" s="116">
        <v>115.15</v>
      </c>
      <c r="R75">
        <v>88432</v>
      </c>
    </row>
    <row r="76" spans="1:18" x14ac:dyDescent="0.25">
      <c r="A76" s="169">
        <v>42114</v>
      </c>
      <c r="B76" s="116">
        <v>116</v>
      </c>
      <c r="C76" s="116">
        <v>113.5</v>
      </c>
      <c r="D76" s="116">
        <v>111.1</v>
      </c>
      <c r="E76" s="116">
        <v>116</v>
      </c>
      <c r="F76" s="116">
        <v>113.5</v>
      </c>
      <c r="G76">
        <v>16160</v>
      </c>
      <c r="H76" s="116"/>
      <c r="I76" s="116"/>
      <c r="L76" s="169">
        <v>42114</v>
      </c>
      <c r="M76" s="116">
        <v>112.85</v>
      </c>
      <c r="N76" s="116">
        <v>118.6</v>
      </c>
      <c r="O76" s="116">
        <v>111.25</v>
      </c>
      <c r="P76" s="116">
        <v>118.6</v>
      </c>
      <c r="Q76" s="116">
        <v>112.85</v>
      </c>
      <c r="R76">
        <v>29875</v>
      </c>
    </row>
    <row r="77" spans="1:18" x14ac:dyDescent="0.25">
      <c r="A77" s="169">
        <v>42115</v>
      </c>
      <c r="B77" s="116">
        <v>113.7</v>
      </c>
      <c r="C77" s="116">
        <v>108.4</v>
      </c>
      <c r="D77" s="116">
        <v>107</v>
      </c>
      <c r="E77" s="116">
        <v>112.5</v>
      </c>
      <c r="F77" s="116">
        <v>108.4</v>
      </c>
      <c r="G77">
        <v>4436</v>
      </c>
      <c r="H77" s="116"/>
      <c r="I77" s="116"/>
      <c r="L77" s="169">
        <v>42115</v>
      </c>
      <c r="M77" s="116">
        <v>107.9</v>
      </c>
      <c r="N77" s="116">
        <v>116</v>
      </c>
      <c r="O77" s="116">
        <v>105</v>
      </c>
      <c r="P77" s="116">
        <v>116</v>
      </c>
      <c r="Q77" s="116">
        <v>107.9</v>
      </c>
      <c r="R77">
        <v>28437</v>
      </c>
    </row>
    <row r="78" spans="1:18" x14ac:dyDescent="0.25">
      <c r="A78" s="169">
        <v>42116</v>
      </c>
      <c r="B78" s="116">
        <v>110.8</v>
      </c>
      <c r="C78" s="116">
        <v>107.9</v>
      </c>
      <c r="D78" s="116">
        <v>106</v>
      </c>
      <c r="E78" s="116">
        <v>110.8</v>
      </c>
      <c r="F78" s="116">
        <v>107.9</v>
      </c>
      <c r="G78">
        <v>5697</v>
      </c>
      <c r="H78" s="116"/>
      <c r="I78" s="116"/>
      <c r="L78" s="169">
        <v>42116</v>
      </c>
      <c r="M78" s="116">
        <v>108.45</v>
      </c>
      <c r="N78" s="116">
        <v>112</v>
      </c>
      <c r="O78" s="116">
        <v>105.2</v>
      </c>
      <c r="P78" s="116">
        <v>110</v>
      </c>
      <c r="Q78" s="116">
        <v>108.45</v>
      </c>
      <c r="R78">
        <v>22962</v>
      </c>
    </row>
    <row r="79" spans="1:18" x14ac:dyDescent="0.25">
      <c r="A79" s="169">
        <v>42117</v>
      </c>
      <c r="B79" s="116">
        <v>108</v>
      </c>
      <c r="C79" s="116">
        <v>106.6</v>
      </c>
      <c r="D79" s="116">
        <v>103</v>
      </c>
      <c r="E79" s="116">
        <v>107</v>
      </c>
      <c r="F79" s="116">
        <v>106.6</v>
      </c>
      <c r="G79">
        <v>4269</v>
      </c>
      <c r="H79" s="116"/>
      <c r="I79" s="116"/>
      <c r="L79" s="169">
        <v>42117</v>
      </c>
      <c r="M79" s="116">
        <v>107.15</v>
      </c>
      <c r="N79" s="116">
        <v>108.9</v>
      </c>
      <c r="O79" s="116">
        <v>102.7</v>
      </c>
      <c r="P79" s="116">
        <v>107</v>
      </c>
      <c r="Q79" s="116">
        <v>107.15</v>
      </c>
      <c r="R79">
        <v>22320</v>
      </c>
    </row>
    <row r="80" spans="1:18" x14ac:dyDescent="0.25">
      <c r="A80" s="169">
        <v>42118</v>
      </c>
      <c r="B80" s="116">
        <v>108</v>
      </c>
      <c r="C80" s="116">
        <v>105</v>
      </c>
      <c r="D80" s="116">
        <v>101.7</v>
      </c>
      <c r="E80" s="116">
        <v>105</v>
      </c>
      <c r="F80" s="116">
        <v>105</v>
      </c>
      <c r="G80">
        <v>14683</v>
      </c>
      <c r="H80" s="116"/>
      <c r="I80" s="116"/>
      <c r="L80" s="169">
        <v>42118</v>
      </c>
      <c r="M80" s="116">
        <v>101.85</v>
      </c>
      <c r="N80" s="116">
        <v>106.15</v>
      </c>
      <c r="O80" s="116">
        <v>100</v>
      </c>
      <c r="P80" s="116">
        <v>106.15</v>
      </c>
      <c r="Q80" s="116">
        <v>101.85</v>
      </c>
      <c r="R80">
        <v>27697</v>
      </c>
    </row>
    <row r="81" spans="1:18" x14ac:dyDescent="0.25">
      <c r="A81" s="169">
        <v>42121</v>
      </c>
      <c r="B81" s="116">
        <v>107</v>
      </c>
      <c r="C81" s="116">
        <v>99.3</v>
      </c>
      <c r="D81" s="116">
        <v>96.35</v>
      </c>
      <c r="E81" s="116">
        <v>107</v>
      </c>
      <c r="F81" s="116">
        <v>99.3</v>
      </c>
      <c r="G81">
        <v>5207</v>
      </c>
      <c r="H81" s="116"/>
      <c r="I81" s="116"/>
      <c r="L81" s="169">
        <v>42121</v>
      </c>
      <c r="M81" s="116">
        <v>99.95</v>
      </c>
      <c r="N81" s="116">
        <v>110</v>
      </c>
      <c r="O81" s="116">
        <v>95.5</v>
      </c>
      <c r="P81" s="116">
        <v>110</v>
      </c>
      <c r="Q81" s="116">
        <v>99.95</v>
      </c>
      <c r="R81">
        <v>18420</v>
      </c>
    </row>
    <row r="82" spans="1:18" x14ac:dyDescent="0.25">
      <c r="A82" s="169">
        <v>42122</v>
      </c>
      <c r="B82" s="116">
        <v>105.7</v>
      </c>
      <c r="C82" s="116">
        <v>104.8</v>
      </c>
      <c r="D82" s="116">
        <v>98.4</v>
      </c>
      <c r="E82" s="116">
        <v>99</v>
      </c>
      <c r="F82" s="116">
        <v>104.8</v>
      </c>
      <c r="G82">
        <v>4847</v>
      </c>
      <c r="H82" s="116"/>
      <c r="I82" s="116"/>
      <c r="L82" s="169">
        <v>42122</v>
      </c>
      <c r="M82" s="116">
        <v>105.75</v>
      </c>
      <c r="N82" s="116">
        <v>106.85</v>
      </c>
      <c r="O82" s="116">
        <v>97.6</v>
      </c>
      <c r="P82" s="116">
        <v>99</v>
      </c>
      <c r="Q82" s="116">
        <v>105.75</v>
      </c>
      <c r="R82">
        <v>19410</v>
      </c>
    </row>
    <row r="83" spans="1:18" x14ac:dyDescent="0.25">
      <c r="A83" s="169">
        <v>42123</v>
      </c>
      <c r="B83" s="116">
        <v>106.7</v>
      </c>
      <c r="C83" s="116">
        <v>105.5</v>
      </c>
      <c r="D83" s="116">
        <v>100</v>
      </c>
      <c r="E83" s="116">
        <v>104</v>
      </c>
      <c r="F83" s="116">
        <v>105.5</v>
      </c>
      <c r="G83">
        <v>3055</v>
      </c>
      <c r="H83" s="116"/>
      <c r="I83" s="116"/>
      <c r="L83" s="169">
        <v>42123</v>
      </c>
      <c r="M83" s="116">
        <v>105.65</v>
      </c>
      <c r="N83" s="116">
        <v>107</v>
      </c>
      <c r="O83" s="116">
        <v>98.3</v>
      </c>
      <c r="P83" s="116">
        <v>104</v>
      </c>
      <c r="Q83" s="116">
        <v>105.65</v>
      </c>
      <c r="R83">
        <v>15184</v>
      </c>
    </row>
    <row r="84" spans="1:18" x14ac:dyDescent="0.25">
      <c r="A84" s="169">
        <v>42124</v>
      </c>
      <c r="B84" s="116">
        <v>104.8</v>
      </c>
      <c r="C84" s="116">
        <v>101.9</v>
      </c>
      <c r="D84" s="116">
        <v>101</v>
      </c>
      <c r="E84" s="116">
        <v>102</v>
      </c>
      <c r="F84" s="116">
        <v>101.9</v>
      </c>
      <c r="G84">
        <v>3775</v>
      </c>
      <c r="H84" s="116"/>
      <c r="I84" s="116"/>
      <c r="L84" s="169">
        <v>42124</v>
      </c>
      <c r="M84" s="116">
        <v>102.4</v>
      </c>
      <c r="N84" s="116">
        <v>105.4</v>
      </c>
      <c r="O84" s="116">
        <v>99</v>
      </c>
      <c r="P84" s="116">
        <v>104</v>
      </c>
      <c r="Q84" s="116">
        <v>102.4</v>
      </c>
      <c r="R84">
        <v>24666</v>
      </c>
    </row>
    <row r="85" spans="1:18" x14ac:dyDescent="0.25">
      <c r="A85" s="169">
        <v>42128</v>
      </c>
      <c r="B85" s="116">
        <v>104.6</v>
      </c>
      <c r="C85" s="116">
        <v>101.1</v>
      </c>
      <c r="D85" s="116">
        <v>101.1</v>
      </c>
      <c r="E85" s="116">
        <v>102.7</v>
      </c>
      <c r="F85" s="116">
        <v>101.1</v>
      </c>
      <c r="G85">
        <v>1957</v>
      </c>
      <c r="H85" s="116"/>
      <c r="I85" s="116"/>
      <c r="L85" s="169">
        <v>42128</v>
      </c>
      <c r="M85" s="116">
        <v>101.45</v>
      </c>
      <c r="N85" s="116">
        <v>105</v>
      </c>
      <c r="O85" s="116">
        <v>100.8</v>
      </c>
      <c r="P85" s="116">
        <v>102.4</v>
      </c>
      <c r="Q85" s="116">
        <v>101.45</v>
      </c>
      <c r="R85">
        <v>15424</v>
      </c>
    </row>
    <row r="86" spans="1:18" x14ac:dyDescent="0.25">
      <c r="A86" s="169">
        <v>42129</v>
      </c>
      <c r="B86" s="116">
        <v>104.3</v>
      </c>
      <c r="C86" s="116">
        <v>99.8</v>
      </c>
      <c r="D86" s="116">
        <v>98</v>
      </c>
      <c r="E86" s="116">
        <v>104.3</v>
      </c>
      <c r="F86" s="116">
        <v>99.8</v>
      </c>
      <c r="G86">
        <v>1964</v>
      </c>
      <c r="H86" s="116"/>
      <c r="I86" s="116"/>
      <c r="L86" s="169">
        <v>42129</v>
      </c>
      <c r="M86" s="116">
        <v>100.25</v>
      </c>
      <c r="N86" s="116">
        <v>103.4</v>
      </c>
      <c r="O86" s="116">
        <v>99.95</v>
      </c>
      <c r="P86" s="116">
        <v>101</v>
      </c>
      <c r="Q86" s="116">
        <v>100.25</v>
      </c>
      <c r="R86">
        <v>4204</v>
      </c>
    </row>
    <row r="87" spans="1:18" x14ac:dyDescent="0.25">
      <c r="A87" s="169">
        <v>42130</v>
      </c>
      <c r="B87" s="116">
        <v>100</v>
      </c>
      <c r="C87" s="116">
        <v>95.3</v>
      </c>
      <c r="D87" s="116">
        <v>94.5</v>
      </c>
      <c r="E87" s="116">
        <v>100</v>
      </c>
      <c r="F87" s="116">
        <v>95.3</v>
      </c>
      <c r="G87">
        <v>2617</v>
      </c>
      <c r="H87" s="116"/>
      <c r="I87" s="116"/>
      <c r="L87" s="169">
        <v>42130</v>
      </c>
      <c r="M87" s="116">
        <v>95.4</v>
      </c>
      <c r="N87" s="116">
        <v>103.8</v>
      </c>
      <c r="O87" s="116">
        <v>94</v>
      </c>
      <c r="P87" s="116">
        <v>103.8</v>
      </c>
      <c r="Q87" s="116">
        <v>95.4</v>
      </c>
      <c r="R87">
        <v>10203</v>
      </c>
    </row>
    <row r="88" spans="1:18" x14ac:dyDescent="0.25">
      <c r="A88" s="169">
        <v>42131</v>
      </c>
      <c r="B88" s="116">
        <v>97</v>
      </c>
      <c r="C88" s="116">
        <v>94.9</v>
      </c>
      <c r="D88" s="116">
        <v>94.6</v>
      </c>
      <c r="E88" s="116">
        <v>95.7</v>
      </c>
      <c r="F88" s="116">
        <v>94.9</v>
      </c>
      <c r="G88">
        <v>3687</v>
      </c>
      <c r="H88" s="116"/>
      <c r="I88" s="116"/>
      <c r="L88" s="169">
        <v>42131</v>
      </c>
      <c r="M88" s="116">
        <v>97.05</v>
      </c>
      <c r="N88" s="116">
        <v>98</v>
      </c>
      <c r="O88" s="116">
        <v>93.55</v>
      </c>
      <c r="P88" s="116">
        <v>95.1</v>
      </c>
      <c r="Q88" s="116">
        <v>97.05</v>
      </c>
      <c r="R88">
        <v>11832</v>
      </c>
    </row>
    <row r="89" spans="1:18" x14ac:dyDescent="0.25">
      <c r="A89" s="169">
        <v>42132</v>
      </c>
      <c r="B89" s="116">
        <v>99.4</v>
      </c>
      <c r="C89" s="116">
        <v>98.2</v>
      </c>
      <c r="D89" s="116">
        <v>97.6</v>
      </c>
      <c r="E89" s="116">
        <v>97.6</v>
      </c>
      <c r="F89" s="116">
        <v>98.2</v>
      </c>
      <c r="G89">
        <v>1527</v>
      </c>
      <c r="H89" s="116"/>
      <c r="I89" s="116"/>
      <c r="L89" s="169">
        <v>42132</v>
      </c>
      <c r="M89" s="116">
        <v>99.2</v>
      </c>
      <c r="N89" s="116">
        <v>100</v>
      </c>
      <c r="O89" s="116">
        <v>96.35</v>
      </c>
      <c r="P89" s="116">
        <v>96.35</v>
      </c>
      <c r="Q89" s="116">
        <v>99.2</v>
      </c>
      <c r="R89">
        <v>7208</v>
      </c>
    </row>
    <row r="90" spans="1:18" x14ac:dyDescent="0.25">
      <c r="A90" s="169">
        <v>42135</v>
      </c>
      <c r="B90" s="116">
        <v>99</v>
      </c>
      <c r="C90" s="116">
        <v>98.9</v>
      </c>
      <c r="D90" s="116">
        <v>97.4</v>
      </c>
      <c r="E90" s="116">
        <v>99</v>
      </c>
      <c r="F90" s="116">
        <v>98.9</v>
      </c>
      <c r="G90">
        <v>126</v>
      </c>
      <c r="H90" s="116"/>
      <c r="I90" s="116"/>
      <c r="L90" s="169">
        <v>42135</v>
      </c>
      <c r="M90" s="116">
        <v>97.55</v>
      </c>
      <c r="N90" s="116">
        <v>101.5</v>
      </c>
      <c r="O90" s="116">
        <v>97</v>
      </c>
      <c r="P90" s="116">
        <v>101.5</v>
      </c>
      <c r="Q90" s="116">
        <v>97.55</v>
      </c>
      <c r="R90">
        <v>5347</v>
      </c>
    </row>
    <row r="91" spans="1:18" x14ac:dyDescent="0.25">
      <c r="A91" s="169">
        <v>42136</v>
      </c>
      <c r="B91" s="116">
        <v>98</v>
      </c>
      <c r="C91" s="116">
        <v>97.2</v>
      </c>
      <c r="D91" s="116">
        <v>96.1</v>
      </c>
      <c r="E91" s="116">
        <v>96.6</v>
      </c>
      <c r="F91" s="116">
        <v>97.2</v>
      </c>
      <c r="G91">
        <v>496</v>
      </c>
      <c r="H91" s="116"/>
      <c r="I91" s="116"/>
      <c r="L91" s="169">
        <v>42136</v>
      </c>
      <c r="M91" s="116">
        <v>96.5</v>
      </c>
      <c r="N91" s="116">
        <v>99</v>
      </c>
      <c r="O91" s="116">
        <v>96</v>
      </c>
      <c r="P91" s="116">
        <v>97</v>
      </c>
      <c r="Q91" s="116">
        <v>96.5</v>
      </c>
      <c r="R91">
        <v>4353</v>
      </c>
    </row>
    <row r="92" spans="1:18" x14ac:dyDescent="0.25">
      <c r="A92" s="169">
        <v>42137</v>
      </c>
      <c r="B92" s="116">
        <v>98</v>
      </c>
      <c r="C92" s="116">
        <v>96.6</v>
      </c>
      <c r="D92" s="116">
        <v>94.3</v>
      </c>
      <c r="E92" s="116">
        <v>95.4</v>
      </c>
      <c r="F92" s="116">
        <v>96.6</v>
      </c>
      <c r="G92">
        <v>1570</v>
      </c>
      <c r="H92" s="116"/>
      <c r="I92" s="116"/>
      <c r="L92" s="169">
        <v>42137</v>
      </c>
      <c r="M92" s="116">
        <v>96.85</v>
      </c>
      <c r="N92" s="116">
        <v>98</v>
      </c>
      <c r="O92" s="116">
        <v>94.55</v>
      </c>
      <c r="P92" s="116">
        <v>96</v>
      </c>
      <c r="Q92" s="116">
        <v>96.85</v>
      </c>
      <c r="R92">
        <v>10400</v>
      </c>
    </row>
    <row r="93" spans="1:18" x14ac:dyDescent="0.25">
      <c r="A93" s="169">
        <v>42138</v>
      </c>
      <c r="B93" s="116">
        <v>103.8</v>
      </c>
      <c r="C93" s="116">
        <v>103.3</v>
      </c>
      <c r="D93" s="116">
        <v>95</v>
      </c>
      <c r="E93" s="116">
        <v>95.8</v>
      </c>
      <c r="F93" s="116">
        <v>103.3</v>
      </c>
      <c r="G93">
        <v>2482</v>
      </c>
      <c r="H93" s="116"/>
      <c r="I93" s="116"/>
      <c r="L93" s="169">
        <v>42138</v>
      </c>
      <c r="M93" s="116">
        <v>103.4</v>
      </c>
      <c r="N93" s="116">
        <v>104.5</v>
      </c>
      <c r="O93" s="116">
        <v>95.3</v>
      </c>
      <c r="P93" s="116">
        <v>96</v>
      </c>
      <c r="Q93" s="116">
        <v>103.4</v>
      </c>
      <c r="R93">
        <v>22585</v>
      </c>
    </row>
    <row r="94" spans="1:18" x14ac:dyDescent="0.25">
      <c r="A94" s="169">
        <v>42139</v>
      </c>
      <c r="B94" s="116">
        <v>104</v>
      </c>
      <c r="C94" s="116">
        <v>102.4</v>
      </c>
      <c r="D94" s="116">
        <v>101.6</v>
      </c>
      <c r="E94" s="116">
        <v>104</v>
      </c>
      <c r="F94" s="116">
        <v>102.4</v>
      </c>
      <c r="G94">
        <v>2636</v>
      </c>
      <c r="H94" s="116"/>
      <c r="I94" s="116"/>
      <c r="L94" s="169">
        <v>42139</v>
      </c>
      <c r="M94" s="116">
        <v>103.85</v>
      </c>
      <c r="N94" s="116">
        <v>105</v>
      </c>
      <c r="O94" s="116">
        <v>102</v>
      </c>
      <c r="P94" s="116">
        <v>105</v>
      </c>
      <c r="Q94" s="116">
        <v>103.85</v>
      </c>
      <c r="R94">
        <v>10728</v>
      </c>
    </row>
    <row r="95" spans="1:18" x14ac:dyDescent="0.25">
      <c r="A95" s="169">
        <v>42142</v>
      </c>
      <c r="B95" s="116">
        <v>106.5</v>
      </c>
      <c r="C95" s="116">
        <v>105.5</v>
      </c>
      <c r="D95" s="116">
        <v>102.1</v>
      </c>
      <c r="E95" s="116">
        <v>104.3</v>
      </c>
      <c r="F95" s="116">
        <v>105.5</v>
      </c>
      <c r="G95">
        <v>1434</v>
      </c>
      <c r="H95" s="116"/>
      <c r="I95" s="116"/>
      <c r="L95" s="169">
        <v>42142</v>
      </c>
      <c r="M95" s="116">
        <v>104.65</v>
      </c>
      <c r="N95" s="116">
        <v>114.4</v>
      </c>
      <c r="O95" s="116">
        <v>102.5</v>
      </c>
      <c r="P95" s="116">
        <v>104.9</v>
      </c>
      <c r="Q95" s="116">
        <v>104.65</v>
      </c>
      <c r="R95">
        <v>9279</v>
      </c>
    </row>
    <row r="96" spans="1:18" x14ac:dyDescent="0.25">
      <c r="A96" s="169">
        <v>42143</v>
      </c>
      <c r="B96" s="116">
        <v>106.9</v>
      </c>
      <c r="C96" s="116">
        <v>104.1</v>
      </c>
      <c r="D96" s="116">
        <v>102.8</v>
      </c>
      <c r="E96" s="116">
        <v>103</v>
      </c>
      <c r="F96" s="116">
        <v>104.1</v>
      </c>
      <c r="G96">
        <v>3084</v>
      </c>
      <c r="H96" s="116"/>
      <c r="I96" s="116"/>
      <c r="L96" s="169">
        <v>42143</v>
      </c>
      <c r="M96" s="116">
        <v>105.3</v>
      </c>
      <c r="N96" s="116">
        <v>107.3</v>
      </c>
      <c r="O96" s="116">
        <v>102.8</v>
      </c>
      <c r="P96" s="116">
        <v>105</v>
      </c>
      <c r="Q96" s="116">
        <v>105.3</v>
      </c>
      <c r="R96">
        <v>13950</v>
      </c>
    </row>
    <row r="97" spans="1:18" x14ac:dyDescent="0.25">
      <c r="A97" s="169">
        <v>42144</v>
      </c>
      <c r="B97" s="116">
        <v>104.6</v>
      </c>
      <c r="C97" s="116">
        <v>103.2</v>
      </c>
      <c r="D97" s="116">
        <v>101.6</v>
      </c>
      <c r="E97" s="116">
        <v>103.7</v>
      </c>
      <c r="F97" s="116">
        <v>103.2</v>
      </c>
      <c r="G97">
        <v>4137</v>
      </c>
      <c r="H97" s="116"/>
      <c r="I97" s="116"/>
      <c r="L97" s="169">
        <v>42144</v>
      </c>
      <c r="M97" s="116">
        <v>104.3</v>
      </c>
      <c r="N97" s="116">
        <v>105.5</v>
      </c>
      <c r="O97" s="116">
        <v>101.9</v>
      </c>
      <c r="P97" s="116">
        <v>105.5</v>
      </c>
      <c r="Q97" s="116">
        <v>104.3</v>
      </c>
      <c r="R97">
        <v>15608</v>
      </c>
    </row>
    <row r="98" spans="1:18" x14ac:dyDescent="0.25">
      <c r="A98" s="169">
        <v>42145</v>
      </c>
      <c r="B98" s="116">
        <v>123.8</v>
      </c>
      <c r="C98" s="116">
        <v>122.7</v>
      </c>
      <c r="D98" s="116">
        <v>109</v>
      </c>
      <c r="E98" s="116">
        <v>109.8</v>
      </c>
      <c r="F98" s="116">
        <v>122.7</v>
      </c>
      <c r="G98">
        <v>169822</v>
      </c>
      <c r="H98" s="116"/>
      <c r="I98" s="116"/>
      <c r="L98" s="169">
        <v>42145</v>
      </c>
      <c r="M98" s="116">
        <v>121.5</v>
      </c>
      <c r="N98" s="116">
        <v>125</v>
      </c>
      <c r="O98" s="116">
        <v>106</v>
      </c>
      <c r="P98" s="116">
        <v>106.7</v>
      </c>
      <c r="Q98" s="116">
        <v>121.5</v>
      </c>
      <c r="R98">
        <v>620116</v>
      </c>
    </row>
    <row r="99" spans="1:18" x14ac:dyDescent="0.25">
      <c r="A99" s="169">
        <v>42146</v>
      </c>
      <c r="B99" s="116">
        <v>123.5</v>
      </c>
      <c r="C99" s="116">
        <v>115.5</v>
      </c>
      <c r="D99" s="116">
        <v>112.1</v>
      </c>
      <c r="E99" s="116">
        <v>123.5</v>
      </c>
      <c r="F99" s="116">
        <v>115.5</v>
      </c>
      <c r="G99">
        <v>27134</v>
      </c>
      <c r="H99" s="116"/>
      <c r="I99" s="116"/>
      <c r="L99" s="169">
        <v>42146</v>
      </c>
      <c r="M99" s="116">
        <v>115.65</v>
      </c>
      <c r="N99" s="116">
        <v>122.75</v>
      </c>
      <c r="O99" s="116">
        <v>112.6</v>
      </c>
      <c r="P99" s="116">
        <v>122.75</v>
      </c>
      <c r="Q99" s="116">
        <v>115.65</v>
      </c>
      <c r="R99">
        <v>89472</v>
      </c>
    </row>
    <row r="100" spans="1:18" x14ac:dyDescent="0.25">
      <c r="A100" s="169">
        <v>42149</v>
      </c>
      <c r="B100" s="116">
        <v>116.9</v>
      </c>
      <c r="C100" s="116">
        <v>114.3</v>
      </c>
      <c r="D100" s="116">
        <v>111.6</v>
      </c>
      <c r="E100" s="116">
        <v>115.2</v>
      </c>
      <c r="F100" s="116">
        <v>114.3</v>
      </c>
      <c r="G100">
        <v>16728</v>
      </c>
      <c r="H100" s="116"/>
      <c r="I100" s="116"/>
      <c r="L100" s="169">
        <v>42149</v>
      </c>
      <c r="M100" s="116">
        <v>114.45</v>
      </c>
      <c r="N100" s="116">
        <v>116.9</v>
      </c>
      <c r="O100" s="116">
        <v>111</v>
      </c>
      <c r="P100" s="116">
        <v>115.7</v>
      </c>
      <c r="Q100" s="116">
        <v>114.45</v>
      </c>
      <c r="R100">
        <v>32572</v>
      </c>
    </row>
    <row r="101" spans="1:18" x14ac:dyDescent="0.25">
      <c r="A101" s="169">
        <v>42150</v>
      </c>
      <c r="B101" s="116">
        <v>115</v>
      </c>
      <c r="C101" s="116">
        <v>114.5</v>
      </c>
      <c r="D101" s="116">
        <v>110.8</v>
      </c>
      <c r="E101" s="116">
        <v>113.2</v>
      </c>
      <c r="F101" s="116">
        <v>114.5</v>
      </c>
      <c r="G101">
        <v>4339</v>
      </c>
      <c r="H101" s="116"/>
      <c r="I101" s="116"/>
      <c r="L101" s="169">
        <v>42150</v>
      </c>
      <c r="M101" s="116">
        <v>114.4</v>
      </c>
      <c r="N101" s="116">
        <v>116</v>
      </c>
      <c r="O101" s="116">
        <v>111.15</v>
      </c>
      <c r="P101" s="116">
        <v>116</v>
      </c>
      <c r="Q101" s="116">
        <v>114.4</v>
      </c>
      <c r="R101">
        <v>35777</v>
      </c>
    </row>
    <row r="102" spans="1:18" x14ac:dyDescent="0.25">
      <c r="A102" s="169">
        <v>42151</v>
      </c>
      <c r="B102" s="116">
        <v>115.5</v>
      </c>
      <c r="C102" s="116">
        <v>113.3</v>
      </c>
      <c r="D102" s="116">
        <v>112.5</v>
      </c>
      <c r="E102" s="116">
        <v>113.9</v>
      </c>
      <c r="F102" s="116">
        <v>113.3</v>
      </c>
      <c r="G102">
        <v>3039</v>
      </c>
      <c r="H102" s="116"/>
      <c r="I102" s="116"/>
      <c r="L102" s="169">
        <v>42151</v>
      </c>
      <c r="M102" s="116">
        <v>113.9</v>
      </c>
      <c r="N102" s="116">
        <v>115.8</v>
      </c>
      <c r="O102" s="116">
        <v>111.45</v>
      </c>
      <c r="P102" s="116">
        <v>113</v>
      </c>
      <c r="Q102" s="116">
        <v>113.9</v>
      </c>
      <c r="R102">
        <v>29771</v>
      </c>
    </row>
    <row r="103" spans="1:18" x14ac:dyDescent="0.25">
      <c r="A103" s="169">
        <v>42152</v>
      </c>
      <c r="B103" s="116">
        <v>115.1</v>
      </c>
      <c r="C103" s="116">
        <v>111.5</v>
      </c>
      <c r="D103" s="116">
        <v>111.1</v>
      </c>
      <c r="E103" s="116">
        <v>114</v>
      </c>
      <c r="F103" s="116">
        <v>111.5</v>
      </c>
      <c r="G103">
        <v>7905</v>
      </c>
      <c r="H103" s="116"/>
      <c r="I103" s="116"/>
      <c r="L103" s="169">
        <v>42152</v>
      </c>
      <c r="M103" s="116">
        <v>112.05</v>
      </c>
      <c r="N103" s="116">
        <v>115.75</v>
      </c>
      <c r="O103" s="116">
        <v>111.45</v>
      </c>
      <c r="P103" s="116">
        <v>114.95</v>
      </c>
      <c r="Q103" s="116">
        <v>112.05</v>
      </c>
      <c r="R103">
        <v>29823</v>
      </c>
    </row>
    <row r="104" spans="1:18" x14ac:dyDescent="0.25">
      <c r="A104" s="169">
        <v>42153</v>
      </c>
      <c r="B104" s="116">
        <v>114.9</v>
      </c>
      <c r="C104" s="116">
        <v>111.2</v>
      </c>
      <c r="D104" s="116">
        <v>110.5</v>
      </c>
      <c r="E104" s="116">
        <v>111.2</v>
      </c>
      <c r="F104" s="116">
        <v>111.2</v>
      </c>
      <c r="G104">
        <v>9417</v>
      </c>
      <c r="H104" s="116"/>
      <c r="I104" s="116"/>
      <c r="L104" s="169">
        <v>42153</v>
      </c>
      <c r="M104" s="116">
        <v>112.15</v>
      </c>
      <c r="N104" s="116">
        <v>114.95</v>
      </c>
      <c r="O104" s="116">
        <v>111</v>
      </c>
      <c r="P104" s="116">
        <v>111.5</v>
      </c>
      <c r="Q104" s="116">
        <v>112.15</v>
      </c>
      <c r="R104">
        <v>24670</v>
      </c>
    </row>
    <row r="105" spans="1:18" x14ac:dyDescent="0.25">
      <c r="A105" s="169">
        <v>42156</v>
      </c>
      <c r="B105" s="116">
        <v>115.6</v>
      </c>
      <c r="C105" s="116">
        <v>113.8</v>
      </c>
      <c r="D105" s="116">
        <v>111.2</v>
      </c>
      <c r="E105" s="116">
        <v>111.5</v>
      </c>
      <c r="F105" s="116">
        <v>113.8</v>
      </c>
      <c r="G105">
        <v>6959</v>
      </c>
      <c r="H105" s="116"/>
      <c r="I105" s="116"/>
      <c r="L105" s="169">
        <v>42156</v>
      </c>
      <c r="M105" s="116">
        <v>114.25</v>
      </c>
      <c r="N105" s="116">
        <v>115.9</v>
      </c>
      <c r="O105" s="116">
        <v>112.2</v>
      </c>
      <c r="P105" s="116">
        <v>112.5</v>
      </c>
      <c r="Q105" s="116">
        <v>114.25</v>
      </c>
      <c r="R105">
        <v>33223</v>
      </c>
    </row>
    <row r="106" spans="1:18" x14ac:dyDescent="0.25">
      <c r="A106" s="169">
        <v>42157</v>
      </c>
      <c r="B106" s="116">
        <v>116.3</v>
      </c>
      <c r="C106" s="116">
        <v>114.9</v>
      </c>
      <c r="D106" s="116">
        <v>114</v>
      </c>
      <c r="E106" s="116">
        <v>115</v>
      </c>
      <c r="F106" s="116">
        <v>114.9</v>
      </c>
      <c r="G106">
        <v>8515</v>
      </c>
      <c r="H106" s="116"/>
      <c r="I106" s="116"/>
      <c r="L106" s="169">
        <v>42157</v>
      </c>
      <c r="M106" s="116">
        <v>115.1</v>
      </c>
      <c r="N106" s="116">
        <v>116</v>
      </c>
      <c r="O106" s="116">
        <v>112</v>
      </c>
      <c r="P106" s="116">
        <v>112</v>
      </c>
      <c r="Q106" s="116">
        <v>115.1</v>
      </c>
      <c r="R106">
        <v>52723</v>
      </c>
    </row>
    <row r="107" spans="1:18" x14ac:dyDescent="0.25">
      <c r="A107" s="169">
        <v>42158</v>
      </c>
      <c r="B107" s="116">
        <v>116</v>
      </c>
      <c r="C107" s="116">
        <v>110</v>
      </c>
      <c r="D107" s="116">
        <v>108</v>
      </c>
      <c r="E107" s="116">
        <v>116</v>
      </c>
      <c r="F107" s="116">
        <v>110</v>
      </c>
      <c r="G107">
        <v>7329</v>
      </c>
      <c r="H107" s="116"/>
      <c r="I107" s="116"/>
      <c r="L107" s="169">
        <v>42158</v>
      </c>
      <c r="M107" s="116">
        <v>110.35</v>
      </c>
      <c r="N107" s="116">
        <v>115</v>
      </c>
      <c r="O107" s="116">
        <v>110</v>
      </c>
      <c r="P107" s="116">
        <v>114.5</v>
      </c>
      <c r="Q107" s="116">
        <v>110.35</v>
      </c>
      <c r="R107">
        <v>21436</v>
      </c>
    </row>
    <row r="108" spans="1:18" x14ac:dyDescent="0.25">
      <c r="A108" s="169">
        <v>42159</v>
      </c>
      <c r="B108" s="116">
        <v>114.2</v>
      </c>
      <c r="C108" s="116">
        <v>113.1</v>
      </c>
      <c r="D108" s="116">
        <v>109.2</v>
      </c>
      <c r="E108" s="116">
        <v>110</v>
      </c>
      <c r="F108" s="116">
        <v>113.1</v>
      </c>
      <c r="G108">
        <v>3521</v>
      </c>
      <c r="H108" s="116"/>
      <c r="I108" s="116"/>
      <c r="L108" s="169">
        <v>42159</v>
      </c>
      <c r="M108" s="116">
        <v>113.85</v>
      </c>
      <c r="N108" s="116">
        <v>115</v>
      </c>
      <c r="O108" s="116">
        <v>110</v>
      </c>
      <c r="P108" s="116">
        <v>110</v>
      </c>
      <c r="Q108" s="116">
        <v>113.85</v>
      </c>
      <c r="R108">
        <v>14045</v>
      </c>
    </row>
    <row r="109" spans="1:18" x14ac:dyDescent="0.25">
      <c r="A109" s="169">
        <v>42160</v>
      </c>
      <c r="B109" s="116">
        <v>118.5</v>
      </c>
      <c r="C109" s="116">
        <v>115</v>
      </c>
      <c r="D109" s="116">
        <v>112</v>
      </c>
      <c r="E109" s="116">
        <v>113</v>
      </c>
      <c r="F109" s="116">
        <v>115</v>
      </c>
      <c r="G109">
        <v>4268</v>
      </c>
      <c r="H109" s="116"/>
      <c r="I109" s="116"/>
      <c r="L109" s="169">
        <v>42160</v>
      </c>
      <c r="M109" s="116">
        <v>115.25</v>
      </c>
      <c r="N109" s="116">
        <v>118</v>
      </c>
      <c r="O109" s="116">
        <v>112.35</v>
      </c>
      <c r="P109" s="116">
        <v>113</v>
      </c>
      <c r="Q109" s="116">
        <v>115.25</v>
      </c>
      <c r="R109">
        <v>26389</v>
      </c>
    </row>
    <row r="110" spans="1:18" x14ac:dyDescent="0.25">
      <c r="A110" s="169">
        <v>42163</v>
      </c>
      <c r="B110" s="116">
        <v>113.8</v>
      </c>
      <c r="C110" s="116">
        <v>110.6</v>
      </c>
      <c r="D110" s="116">
        <v>108.6</v>
      </c>
      <c r="E110" s="116">
        <v>112</v>
      </c>
      <c r="F110" s="116">
        <v>110.6</v>
      </c>
      <c r="G110">
        <v>5040</v>
      </c>
      <c r="H110" s="116"/>
      <c r="I110" s="116"/>
      <c r="L110" s="169">
        <v>42163</v>
      </c>
      <c r="M110" s="116">
        <v>111.1</v>
      </c>
      <c r="N110" s="116">
        <v>114</v>
      </c>
      <c r="O110" s="116">
        <v>110.9</v>
      </c>
      <c r="P110" s="116">
        <v>114</v>
      </c>
      <c r="Q110" s="116">
        <v>111.1</v>
      </c>
      <c r="R110">
        <v>15573</v>
      </c>
    </row>
    <row r="111" spans="1:18" x14ac:dyDescent="0.25">
      <c r="A111" s="169">
        <v>42164</v>
      </c>
      <c r="B111" s="116">
        <v>113.5</v>
      </c>
      <c r="C111" s="116">
        <v>111.2</v>
      </c>
      <c r="D111" s="116">
        <v>110</v>
      </c>
      <c r="E111" s="116">
        <v>113.4</v>
      </c>
      <c r="F111" s="116">
        <v>111.2</v>
      </c>
      <c r="G111">
        <v>4399</v>
      </c>
      <c r="H111" s="116"/>
      <c r="I111" s="116"/>
      <c r="L111" s="169">
        <v>42164</v>
      </c>
      <c r="M111" s="116">
        <v>111.65</v>
      </c>
      <c r="N111" s="116">
        <v>114</v>
      </c>
      <c r="O111" s="116">
        <v>110</v>
      </c>
      <c r="P111" s="116">
        <v>111.1</v>
      </c>
      <c r="Q111" s="116">
        <v>111.65</v>
      </c>
      <c r="R111">
        <v>20235</v>
      </c>
    </row>
    <row r="112" spans="1:18" x14ac:dyDescent="0.25">
      <c r="A112" s="169">
        <v>42165</v>
      </c>
      <c r="B112" s="116">
        <v>113.6</v>
      </c>
      <c r="C112" s="116">
        <v>111.7</v>
      </c>
      <c r="D112" s="116">
        <v>111.3</v>
      </c>
      <c r="E112" s="116">
        <v>111.4</v>
      </c>
      <c r="F112" s="116">
        <v>111.7</v>
      </c>
      <c r="G112">
        <v>1155</v>
      </c>
      <c r="H112" s="116"/>
      <c r="I112" s="116"/>
      <c r="L112" s="169">
        <v>42165</v>
      </c>
      <c r="M112" s="116">
        <v>112</v>
      </c>
      <c r="N112" s="116">
        <v>113.85</v>
      </c>
      <c r="O112" s="116">
        <v>110.4</v>
      </c>
      <c r="P112" s="116">
        <v>110.5</v>
      </c>
      <c r="Q112" s="116">
        <v>112</v>
      </c>
      <c r="R112">
        <v>3829</v>
      </c>
    </row>
    <row r="113" spans="1:18" x14ac:dyDescent="0.25">
      <c r="A113" s="169">
        <v>42166</v>
      </c>
      <c r="B113" s="116">
        <v>113.2</v>
      </c>
      <c r="C113" s="116">
        <v>110.6</v>
      </c>
      <c r="D113" s="116">
        <v>110</v>
      </c>
      <c r="E113" s="116">
        <v>112.5</v>
      </c>
      <c r="F113" s="116">
        <v>110.6</v>
      </c>
      <c r="G113">
        <v>4392</v>
      </c>
      <c r="H113" s="116"/>
      <c r="I113" s="116"/>
      <c r="L113" s="169">
        <v>42166</v>
      </c>
      <c r="M113" s="116">
        <v>110.25</v>
      </c>
      <c r="N113" s="116">
        <v>114</v>
      </c>
      <c r="O113" s="116">
        <v>110</v>
      </c>
      <c r="P113" s="116">
        <v>111.75</v>
      </c>
      <c r="Q113" s="116">
        <v>110.25</v>
      </c>
      <c r="R113">
        <v>10823</v>
      </c>
    </row>
    <row r="114" spans="1:18" x14ac:dyDescent="0.25">
      <c r="A114" s="169">
        <v>42167</v>
      </c>
      <c r="B114" s="116">
        <v>112</v>
      </c>
      <c r="C114" s="116">
        <v>110.7</v>
      </c>
      <c r="D114" s="116">
        <v>109.8</v>
      </c>
      <c r="E114" s="116">
        <v>110.5</v>
      </c>
      <c r="F114" s="116">
        <v>110.7</v>
      </c>
      <c r="G114">
        <v>994</v>
      </c>
      <c r="H114" s="116"/>
      <c r="I114" s="116"/>
      <c r="L114" s="169">
        <v>42167</v>
      </c>
      <c r="M114" s="116">
        <v>110.95</v>
      </c>
      <c r="N114" s="116">
        <v>113.2</v>
      </c>
      <c r="O114" s="116">
        <v>109.3</v>
      </c>
      <c r="P114" s="116">
        <v>110</v>
      </c>
      <c r="Q114" s="116">
        <v>110.95</v>
      </c>
      <c r="R114">
        <v>7672</v>
      </c>
    </row>
    <row r="115" spans="1:18" x14ac:dyDescent="0.25">
      <c r="A115" s="169">
        <v>42170</v>
      </c>
      <c r="B115" s="116">
        <v>113.6</v>
      </c>
      <c r="C115" s="116">
        <v>112.9</v>
      </c>
      <c r="D115" s="116">
        <v>111.8</v>
      </c>
      <c r="E115" s="116">
        <v>112.8</v>
      </c>
      <c r="F115" s="116">
        <v>112.9</v>
      </c>
      <c r="G115">
        <v>5815</v>
      </c>
      <c r="H115" s="116"/>
      <c r="I115" s="116"/>
      <c r="L115" s="169">
        <v>42170</v>
      </c>
      <c r="M115" s="116">
        <v>112.25</v>
      </c>
      <c r="N115" s="116">
        <v>114.5</v>
      </c>
      <c r="O115" s="116">
        <v>111.2</v>
      </c>
      <c r="P115" s="116">
        <v>111.2</v>
      </c>
      <c r="Q115" s="116">
        <v>112.25</v>
      </c>
      <c r="R115">
        <v>12874</v>
      </c>
    </row>
    <row r="116" spans="1:18" x14ac:dyDescent="0.25">
      <c r="A116" s="169">
        <v>42171</v>
      </c>
      <c r="B116" s="116">
        <v>115.2</v>
      </c>
      <c r="C116" s="116">
        <v>113.9</v>
      </c>
      <c r="D116" s="116">
        <v>113.5</v>
      </c>
      <c r="E116" s="116">
        <v>113.5</v>
      </c>
      <c r="F116" s="116">
        <v>113.9</v>
      </c>
      <c r="G116">
        <v>6115</v>
      </c>
      <c r="H116" s="116"/>
      <c r="I116" s="116"/>
      <c r="L116" s="169">
        <v>42171</v>
      </c>
      <c r="M116" s="116">
        <v>114.4</v>
      </c>
      <c r="N116" s="116">
        <v>115.3</v>
      </c>
      <c r="O116" s="116">
        <v>111</v>
      </c>
      <c r="P116" s="116">
        <v>111</v>
      </c>
      <c r="Q116" s="116">
        <v>114.4</v>
      </c>
      <c r="R116">
        <v>17599</v>
      </c>
    </row>
    <row r="117" spans="1:18" x14ac:dyDescent="0.25">
      <c r="A117" s="169">
        <v>42172</v>
      </c>
      <c r="B117" s="116">
        <v>115.2</v>
      </c>
      <c r="C117" s="116">
        <v>113.3</v>
      </c>
      <c r="D117" s="116">
        <v>113</v>
      </c>
      <c r="E117" s="116">
        <v>113.5</v>
      </c>
      <c r="F117" s="116">
        <v>113.3</v>
      </c>
      <c r="G117">
        <v>5067</v>
      </c>
      <c r="H117" s="116"/>
      <c r="I117" s="116"/>
      <c r="L117" s="169">
        <v>42172</v>
      </c>
      <c r="M117" s="116">
        <v>113.9</v>
      </c>
      <c r="N117" s="116">
        <v>114.8</v>
      </c>
      <c r="O117" s="116">
        <v>111.3</v>
      </c>
      <c r="P117" s="116">
        <v>113</v>
      </c>
      <c r="Q117" s="116">
        <v>113.9</v>
      </c>
      <c r="R117">
        <v>11388</v>
      </c>
    </row>
    <row r="118" spans="1:18" x14ac:dyDescent="0.25">
      <c r="A118" s="169">
        <v>42173</v>
      </c>
      <c r="B118" s="116">
        <v>113.5</v>
      </c>
      <c r="C118" s="116">
        <v>113.5</v>
      </c>
      <c r="D118" s="116">
        <v>112.1</v>
      </c>
      <c r="E118" s="116">
        <v>113.5</v>
      </c>
      <c r="F118" s="116">
        <v>113.5</v>
      </c>
      <c r="G118">
        <v>3728</v>
      </c>
      <c r="H118" s="116"/>
      <c r="I118" s="116"/>
      <c r="L118" s="169">
        <v>42173</v>
      </c>
      <c r="M118" s="116">
        <v>113.2</v>
      </c>
      <c r="N118" s="116">
        <v>114.3</v>
      </c>
      <c r="O118" s="116">
        <v>112.15</v>
      </c>
      <c r="P118" s="116">
        <v>112.15</v>
      </c>
      <c r="Q118" s="116">
        <v>113.2</v>
      </c>
      <c r="R118">
        <v>7843</v>
      </c>
    </row>
    <row r="119" spans="1:18" x14ac:dyDescent="0.25">
      <c r="A119" s="169">
        <v>42174</v>
      </c>
      <c r="B119" s="116">
        <v>113.5</v>
      </c>
      <c r="C119" s="116">
        <v>113.3</v>
      </c>
      <c r="D119" s="116">
        <v>111.6</v>
      </c>
      <c r="E119" s="116">
        <v>111.6</v>
      </c>
      <c r="F119" s="116">
        <v>113.3</v>
      </c>
      <c r="G119">
        <v>7295</v>
      </c>
      <c r="H119" s="116"/>
      <c r="I119" s="116"/>
      <c r="L119" s="169">
        <v>42174</v>
      </c>
      <c r="M119" s="116">
        <v>113.85</v>
      </c>
      <c r="N119" s="116">
        <v>114</v>
      </c>
      <c r="O119" s="116">
        <v>110.5</v>
      </c>
      <c r="P119" s="116">
        <v>113.2</v>
      </c>
      <c r="Q119" s="116">
        <v>113.85</v>
      </c>
      <c r="R119">
        <v>8795</v>
      </c>
    </row>
    <row r="120" spans="1:18" x14ac:dyDescent="0.25">
      <c r="A120" s="169">
        <v>42177</v>
      </c>
      <c r="B120" s="116">
        <v>118.2</v>
      </c>
      <c r="C120" s="116">
        <v>116.2</v>
      </c>
      <c r="D120" s="116">
        <v>113.5</v>
      </c>
      <c r="E120" s="116">
        <v>113.5</v>
      </c>
      <c r="F120" s="116">
        <v>116.2</v>
      </c>
      <c r="G120">
        <v>4936</v>
      </c>
      <c r="H120" s="116"/>
      <c r="I120" s="116"/>
      <c r="L120" s="169">
        <v>42177</v>
      </c>
      <c r="M120" s="116">
        <v>116.05</v>
      </c>
      <c r="N120" s="116">
        <v>118.7</v>
      </c>
      <c r="O120" s="116">
        <v>111.75</v>
      </c>
      <c r="P120" s="116">
        <v>112</v>
      </c>
      <c r="Q120" s="116">
        <v>116.05</v>
      </c>
      <c r="R120">
        <v>31125</v>
      </c>
    </row>
    <row r="121" spans="1:18" x14ac:dyDescent="0.25">
      <c r="A121" s="169">
        <v>42178</v>
      </c>
      <c r="B121" s="116">
        <v>118</v>
      </c>
      <c r="C121" s="116">
        <v>116.8</v>
      </c>
      <c r="D121" s="116">
        <v>115.6</v>
      </c>
      <c r="E121" s="116">
        <v>118</v>
      </c>
      <c r="F121" s="116">
        <v>116.8</v>
      </c>
      <c r="G121">
        <v>9763</v>
      </c>
      <c r="H121" s="116"/>
      <c r="I121" s="116"/>
      <c r="L121" s="169">
        <v>42178</v>
      </c>
      <c r="M121" s="116">
        <v>117.15</v>
      </c>
      <c r="N121" s="116">
        <v>119.25</v>
      </c>
      <c r="O121" s="116">
        <v>115.15</v>
      </c>
      <c r="P121" s="116">
        <v>115.15</v>
      </c>
      <c r="Q121" s="116">
        <v>117.15</v>
      </c>
      <c r="R121">
        <v>19797</v>
      </c>
    </row>
    <row r="122" spans="1:18" x14ac:dyDescent="0.25">
      <c r="A122" s="169">
        <v>42179</v>
      </c>
      <c r="B122" s="116">
        <v>117.8</v>
      </c>
      <c r="C122" s="116">
        <v>115.8</v>
      </c>
      <c r="D122" s="116">
        <v>115</v>
      </c>
      <c r="E122" s="116">
        <v>117</v>
      </c>
      <c r="F122" s="116">
        <v>115.8</v>
      </c>
      <c r="G122">
        <v>4744</v>
      </c>
      <c r="H122" s="116"/>
      <c r="I122" s="116"/>
      <c r="L122" s="169">
        <v>42179</v>
      </c>
      <c r="M122" s="116">
        <v>116.1</v>
      </c>
      <c r="N122" s="116">
        <v>118</v>
      </c>
      <c r="O122" s="116">
        <v>115.1</v>
      </c>
      <c r="P122" s="116">
        <v>117</v>
      </c>
      <c r="Q122" s="116">
        <v>116.1</v>
      </c>
      <c r="R122">
        <v>9164</v>
      </c>
    </row>
    <row r="123" spans="1:18" x14ac:dyDescent="0.25">
      <c r="A123" s="169">
        <v>42180</v>
      </c>
      <c r="B123" s="116">
        <v>117</v>
      </c>
      <c r="C123" s="116">
        <v>115.1</v>
      </c>
      <c r="D123" s="116">
        <v>114.7</v>
      </c>
      <c r="E123" s="116">
        <v>115.1</v>
      </c>
      <c r="F123" s="116">
        <v>115.1</v>
      </c>
      <c r="G123">
        <v>1675</v>
      </c>
      <c r="H123" s="116"/>
      <c r="I123" s="116"/>
      <c r="L123" s="169">
        <v>42180</v>
      </c>
      <c r="M123" s="116">
        <v>115.8</v>
      </c>
      <c r="N123" s="116">
        <v>117</v>
      </c>
      <c r="O123" s="116">
        <v>113.2</v>
      </c>
      <c r="P123" s="116">
        <v>115</v>
      </c>
      <c r="Q123" s="116">
        <v>115.8</v>
      </c>
      <c r="R123">
        <v>5326</v>
      </c>
    </row>
    <row r="124" spans="1:18" x14ac:dyDescent="0.25">
      <c r="A124" s="169">
        <v>42181</v>
      </c>
      <c r="B124" s="116">
        <v>116</v>
      </c>
      <c r="C124" s="116">
        <v>115.2</v>
      </c>
      <c r="D124" s="116">
        <v>113.5</v>
      </c>
      <c r="E124" s="116">
        <v>115.5</v>
      </c>
      <c r="F124" s="116">
        <v>115.2</v>
      </c>
      <c r="G124">
        <v>1759</v>
      </c>
      <c r="H124" s="116"/>
      <c r="I124" s="116"/>
      <c r="L124" s="169">
        <v>42181</v>
      </c>
      <c r="M124" s="116">
        <v>115.3</v>
      </c>
      <c r="N124" s="116">
        <v>116</v>
      </c>
      <c r="O124" s="116">
        <v>114.05</v>
      </c>
      <c r="P124" s="116">
        <v>114.65</v>
      </c>
      <c r="Q124" s="116">
        <v>115.3</v>
      </c>
      <c r="R124">
        <v>4436</v>
      </c>
    </row>
    <row r="125" spans="1:18" x14ac:dyDescent="0.25">
      <c r="A125" s="169">
        <v>42184</v>
      </c>
      <c r="B125" s="116">
        <v>115</v>
      </c>
      <c r="C125" s="116">
        <v>114.7</v>
      </c>
      <c r="D125" s="116">
        <v>110</v>
      </c>
      <c r="E125" s="116">
        <v>112</v>
      </c>
      <c r="F125" s="116">
        <v>114.7</v>
      </c>
      <c r="G125">
        <v>7594</v>
      </c>
      <c r="H125" s="116"/>
      <c r="I125" s="116"/>
      <c r="L125" s="169">
        <v>42184</v>
      </c>
      <c r="M125" s="116">
        <v>115.6</v>
      </c>
      <c r="N125" s="116">
        <v>115.8</v>
      </c>
      <c r="O125" s="116">
        <v>110.7</v>
      </c>
      <c r="P125" s="116">
        <v>114.5</v>
      </c>
      <c r="Q125" s="116">
        <v>115.6</v>
      </c>
      <c r="R125">
        <v>36030</v>
      </c>
    </row>
    <row r="126" spans="1:18" x14ac:dyDescent="0.25">
      <c r="A126" s="169">
        <v>42185</v>
      </c>
      <c r="B126" s="116">
        <v>116.1</v>
      </c>
      <c r="C126" s="116">
        <v>115.1</v>
      </c>
      <c r="D126" s="116">
        <v>115</v>
      </c>
      <c r="E126" s="116">
        <v>115.7</v>
      </c>
      <c r="F126" s="116">
        <v>115.1</v>
      </c>
      <c r="G126">
        <v>2339</v>
      </c>
      <c r="H126" s="116"/>
      <c r="I126" s="116"/>
      <c r="L126" s="169">
        <v>42185</v>
      </c>
      <c r="M126" s="116">
        <v>115.9</v>
      </c>
      <c r="N126" s="116">
        <v>116.6</v>
      </c>
      <c r="O126" s="116">
        <v>114</v>
      </c>
      <c r="P126" s="116">
        <v>114</v>
      </c>
      <c r="Q126" s="116">
        <v>115.9</v>
      </c>
      <c r="R126">
        <v>12238</v>
      </c>
    </row>
    <row r="127" spans="1:18" x14ac:dyDescent="0.25">
      <c r="A127" s="169">
        <v>42186</v>
      </c>
      <c r="B127" s="116">
        <v>117</v>
      </c>
      <c r="C127" s="116">
        <v>115.2</v>
      </c>
      <c r="D127" s="116">
        <v>115</v>
      </c>
      <c r="E127" s="116">
        <v>116.4</v>
      </c>
      <c r="F127" s="116">
        <v>115.2</v>
      </c>
      <c r="G127">
        <v>3913</v>
      </c>
      <c r="H127" s="116"/>
      <c r="I127" s="116"/>
      <c r="L127" s="169">
        <v>42186</v>
      </c>
      <c r="M127" s="116">
        <v>115.6</v>
      </c>
      <c r="N127" s="116">
        <v>117</v>
      </c>
      <c r="O127" s="116">
        <v>113</v>
      </c>
      <c r="P127" s="116">
        <v>115.1</v>
      </c>
      <c r="Q127" s="116">
        <v>115.6</v>
      </c>
      <c r="R127">
        <v>5851</v>
      </c>
    </row>
    <row r="128" spans="1:18" x14ac:dyDescent="0.25">
      <c r="A128" s="169">
        <v>42187</v>
      </c>
      <c r="B128" s="116">
        <v>117.9</v>
      </c>
      <c r="C128" s="116">
        <v>115.4</v>
      </c>
      <c r="D128" s="116">
        <v>115</v>
      </c>
      <c r="E128" s="116">
        <v>117</v>
      </c>
      <c r="F128" s="116">
        <v>115.4</v>
      </c>
      <c r="G128">
        <v>7267</v>
      </c>
      <c r="H128" s="116"/>
      <c r="I128" s="116"/>
      <c r="L128" s="169">
        <v>42187</v>
      </c>
      <c r="M128" s="116">
        <v>116.6</v>
      </c>
      <c r="N128" s="116">
        <v>118.5</v>
      </c>
      <c r="O128" s="116">
        <v>115</v>
      </c>
      <c r="P128" s="116">
        <v>115.6</v>
      </c>
      <c r="Q128" s="116">
        <v>116.6</v>
      </c>
      <c r="R128">
        <v>11919</v>
      </c>
    </row>
    <row r="129" spans="1:18" x14ac:dyDescent="0.25">
      <c r="A129" s="169">
        <v>42188</v>
      </c>
      <c r="B129" s="116">
        <v>117</v>
      </c>
      <c r="C129" s="116">
        <v>114.6</v>
      </c>
      <c r="D129" s="116">
        <v>114.6</v>
      </c>
      <c r="E129" s="116">
        <v>117</v>
      </c>
      <c r="F129" s="116">
        <v>114.6</v>
      </c>
      <c r="G129">
        <v>4580</v>
      </c>
      <c r="H129" s="116"/>
      <c r="I129" s="116"/>
      <c r="L129" s="169">
        <v>42188</v>
      </c>
      <c r="M129" s="116">
        <v>115</v>
      </c>
      <c r="N129" s="116">
        <v>117.5</v>
      </c>
      <c r="O129" s="116">
        <v>114.8</v>
      </c>
      <c r="P129" s="116">
        <v>115.7</v>
      </c>
      <c r="Q129" s="116">
        <v>115</v>
      </c>
      <c r="R129">
        <v>4602</v>
      </c>
    </row>
    <row r="130" spans="1:18" x14ac:dyDescent="0.25">
      <c r="A130" s="169">
        <v>42191</v>
      </c>
      <c r="B130" s="116">
        <v>117.9</v>
      </c>
      <c r="C130" s="116">
        <v>117.2</v>
      </c>
      <c r="D130" s="116">
        <v>114.5</v>
      </c>
      <c r="E130" s="116">
        <v>114.5</v>
      </c>
      <c r="F130" s="116">
        <v>117.2</v>
      </c>
      <c r="G130">
        <v>3609</v>
      </c>
      <c r="H130" s="116"/>
      <c r="I130" s="116"/>
      <c r="L130" s="169">
        <v>42191</v>
      </c>
      <c r="M130" s="116">
        <v>117.55</v>
      </c>
      <c r="N130" s="116">
        <v>118.5</v>
      </c>
      <c r="O130" s="116">
        <v>111.2</v>
      </c>
      <c r="P130" s="116">
        <v>114</v>
      </c>
      <c r="Q130" s="116">
        <v>117.55</v>
      </c>
      <c r="R130">
        <v>17988</v>
      </c>
    </row>
    <row r="131" spans="1:18" x14ac:dyDescent="0.25">
      <c r="A131" s="169">
        <v>42192</v>
      </c>
      <c r="B131" s="116">
        <v>118.8</v>
      </c>
      <c r="C131" s="116">
        <v>114.8</v>
      </c>
      <c r="D131" s="116">
        <v>114</v>
      </c>
      <c r="E131" s="116">
        <v>118</v>
      </c>
      <c r="F131" s="116">
        <v>114.8</v>
      </c>
      <c r="G131">
        <v>3469</v>
      </c>
      <c r="H131" s="116"/>
      <c r="I131" s="116"/>
      <c r="L131" s="169">
        <v>42192</v>
      </c>
      <c r="M131" s="116">
        <v>115.4</v>
      </c>
      <c r="N131" s="116">
        <v>119.8</v>
      </c>
      <c r="O131" s="116">
        <v>111.5</v>
      </c>
      <c r="P131" s="116">
        <v>116</v>
      </c>
      <c r="Q131" s="116">
        <v>115.4</v>
      </c>
      <c r="R131">
        <v>17178</v>
      </c>
    </row>
    <row r="132" spans="1:18" x14ac:dyDescent="0.25">
      <c r="A132" s="169">
        <v>42193</v>
      </c>
      <c r="B132" s="116">
        <v>117.7</v>
      </c>
      <c r="C132" s="116">
        <v>112.8</v>
      </c>
      <c r="D132" s="116">
        <v>106</v>
      </c>
      <c r="E132" s="116">
        <v>117.7</v>
      </c>
      <c r="F132" s="116">
        <v>112.8</v>
      </c>
      <c r="G132">
        <v>13145</v>
      </c>
      <c r="H132" s="116"/>
      <c r="I132" s="116"/>
      <c r="L132" s="169">
        <v>42193</v>
      </c>
      <c r="M132" s="116">
        <v>113.45</v>
      </c>
      <c r="N132" s="116">
        <v>117.2</v>
      </c>
      <c r="O132" s="116">
        <v>103.9</v>
      </c>
      <c r="P132" s="116">
        <v>115.1</v>
      </c>
      <c r="Q132" s="116">
        <v>113.45</v>
      </c>
      <c r="R132">
        <v>49409</v>
      </c>
    </row>
    <row r="133" spans="1:18" x14ac:dyDescent="0.25">
      <c r="A133" s="169">
        <v>42194</v>
      </c>
      <c r="B133" s="116">
        <v>115.9</v>
      </c>
      <c r="C133" s="116">
        <v>111.9</v>
      </c>
      <c r="D133" s="116">
        <v>108.6</v>
      </c>
      <c r="E133" s="116">
        <v>115.9</v>
      </c>
      <c r="F133" s="116">
        <v>111.9</v>
      </c>
      <c r="G133">
        <v>3679</v>
      </c>
      <c r="H133" s="116"/>
      <c r="I133" s="116"/>
      <c r="L133" s="169">
        <v>42194</v>
      </c>
      <c r="M133" s="116">
        <v>110.55</v>
      </c>
      <c r="N133" s="116">
        <v>114.4</v>
      </c>
      <c r="O133" s="116">
        <v>110</v>
      </c>
      <c r="P133" s="116">
        <v>112.2</v>
      </c>
      <c r="Q133" s="116">
        <v>110.55</v>
      </c>
      <c r="R133">
        <v>18491</v>
      </c>
    </row>
    <row r="134" spans="1:18" x14ac:dyDescent="0.25">
      <c r="A134" s="169">
        <v>42195</v>
      </c>
      <c r="B134" s="116">
        <v>113.9</v>
      </c>
      <c r="C134" s="116">
        <v>113</v>
      </c>
      <c r="D134" s="116">
        <v>110.5</v>
      </c>
      <c r="E134" s="116">
        <v>113.9</v>
      </c>
      <c r="F134" s="116">
        <v>113</v>
      </c>
      <c r="G134">
        <v>2462</v>
      </c>
      <c r="H134" s="116"/>
      <c r="I134" s="116"/>
      <c r="L134" s="169">
        <v>42195</v>
      </c>
      <c r="M134" s="116">
        <v>113.45</v>
      </c>
      <c r="N134" s="116">
        <v>114.45</v>
      </c>
      <c r="O134" s="116">
        <v>111.65</v>
      </c>
      <c r="P134" s="116">
        <v>114</v>
      </c>
      <c r="Q134" s="116">
        <v>113.45</v>
      </c>
      <c r="R134">
        <v>10371</v>
      </c>
    </row>
    <row r="135" spans="1:18" x14ac:dyDescent="0.25">
      <c r="A135" s="169">
        <v>42198</v>
      </c>
      <c r="B135" s="116">
        <v>114</v>
      </c>
      <c r="C135" s="116">
        <v>113</v>
      </c>
      <c r="D135" s="116">
        <v>111.2</v>
      </c>
      <c r="E135" s="116">
        <v>111.2</v>
      </c>
      <c r="F135" s="116">
        <v>113</v>
      </c>
      <c r="G135">
        <v>2195</v>
      </c>
      <c r="H135" s="116"/>
      <c r="I135" s="116"/>
      <c r="L135" s="169">
        <v>42198</v>
      </c>
      <c r="M135" s="116">
        <v>112.9</v>
      </c>
      <c r="N135" s="116">
        <v>113.8</v>
      </c>
      <c r="O135" s="116">
        <v>110.65</v>
      </c>
      <c r="P135" s="116">
        <v>113</v>
      </c>
      <c r="Q135" s="116">
        <v>112.9</v>
      </c>
      <c r="R135">
        <v>6868</v>
      </c>
    </row>
    <row r="136" spans="1:18" x14ac:dyDescent="0.25">
      <c r="A136" s="169">
        <v>42199</v>
      </c>
      <c r="B136" s="116">
        <v>114.9</v>
      </c>
      <c r="C136" s="116">
        <v>110.1</v>
      </c>
      <c r="D136" s="116">
        <v>108.8</v>
      </c>
      <c r="E136" s="116">
        <v>111.5</v>
      </c>
      <c r="F136" s="116">
        <v>110.1</v>
      </c>
      <c r="G136">
        <v>14460</v>
      </c>
      <c r="H136" s="116"/>
      <c r="I136" s="116"/>
      <c r="L136" s="169">
        <v>42199</v>
      </c>
      <c r="M136" s="116">
        <v>111.05</v>
      </c>
      <c r="N136" s="116">
        <v>114.4</v>
      </c>
      <c r="O136" s="116">
        <v>110</v>
      </c>
      <c r="P136" s="116">
        <v>112</v>
      </c>
      <c r="Q136" s="116">
        <v>111.05</v>
      </c>
      <c r="R136">
        <v>25238</v>
      </c>
    </row>
    <row r="137" spans="1:18" x14ac:dyDescent="0.25">
      <c r="A137" s="169">
        <v>42200</v>
      </c>
      <c r="B137" s="116">
        <v>110.2</v>
      </c>
      <c r="C137" s="116">
        <v>109.9</v>
      </c>
      <c r="D137" s="116">
        <v>109.8</v>
      </c>
      <c r="E137" s="116">
        <v>110.2</v>
      </c>
      <c r="F137" s="116">
        <v>109.9</v>
      </c>
      <c r="G137">
        <v>1952</v>
      </c>
      <c r="H137" s="116"/>
      <c r="I137" s="116"/>
      <c r="L137" s="169">
        <v>42200</v>
      </c>
      <c r="M137" s="116">
        <v>110.5</v>
      </c>
      <c r="N137" s="116">
        <v>112.2</v>
      </c>
      <c r="O137" s="116">
        <v>110</v>
      </c>
      <c r="P137" s="116">
        <v>110.5</v>
      </c>
      <c r="Q137" s="116">
        <v>110.5</v>
      </c>
      <c r="R137">
        <v>5640</v>
      </c>
    </row>
    <row r="138" spans="1:18" x14ac:dyDescent="0.25">
      <c r="A138" s="169">
        <v>42201</v>
      </c>
      <c r="B138" s="116">
        <v>112.5</v>
      </c>
      <c r="C138" s="116">
        <v>109.9</v>
      </c>
      <c r="D138" s="116">
        <v>109.5</v>
      </c>
      <c r="E138" s="116">
        <v>112.5</v>
      </c>
      <c r="F138" s="116">
        <v>109.9</v>
      </c>
      <c r="G138">
        <v>8684</v>
      </c>
      <c r="H138" s="116"/>
      <c r="I138" s="116"/>
      <c r="L138" s="169">
        <v>42201</v>
      </c>
      <c r="M138" s="116">
        <v>110</v>
      </c>
      <c r="N138" s="116">
        <v>111.9</v>
      </c>
      <c r="O138" s="116">
        <v>109.8</v>
      </c>
      <c r="P138" s="116">
        <v>110.5</v>
      </c>
      <c r="Q138" s="116">
        <v>110</v>
      </c>
      <c r="R138">
        <v>31430</v>
      </c>
    </row>
    <row r="139" spans="1:18" x14ac:dyDescent="0.25">
      <c r="A139" s="169">
        <v>42202</v>
      </c>
      <c r="B139" s="116">
        <v>112.9</v>
      </c>
      <c r="C139" s="116">
        <v>109.6</v>
      </c>
      <c r="D139" s="116">
        <v>109.5</v>
      </c>
      <c r="E139" s="116">
        <v>112.9</v>
      </c>
      <c r="F139" s="116">
        <v>109.6</v>
      </c>
      <c r="G139">
        <v>3085</v>
      </c>
      <c r="H139" s="116"/>
      <c r="I139" s="116"/>
      <c r="L139" s="169">
        <v>42202</v>
      </c>
      <c r="M139" s="116">
        <v>110.2</v>
      </c>
      <c r="N139" s="116">
        <v>111.5</v>
      </c>
      <c r="O139" s="116">
        <v>110</v>
      </c>
      <c r="P139" s="116">
        <v>110</v>
      </c>
      <c r="Q139" s="116">
        <v>110.2</v>
      </c>
      <c r="R139">
        <v>8484</v>
      </c>
    </row>
    <row r="140" spans="1:18" x14ac:dyDescent="0.25">
      <c r="A140" s="169">
        <v>42205</v>
      </c>
      <c r="B140" s="116">
        <v>114.5</v>
      </c>
      <c r="C140" s="116">
        <v>112.2</v>
      </c>
      <c r="D140" s="116">
        <v>110.4</v>
      </c>
      <c r="E140" s="116">
        <v>110.5</v>
      </c>
      <c r="F140" s="116">
        <v>112.2</v>
      </c>
      <c r="G140">
        <v>5385</v>
      </c>
      <c r="H140" s="116"/>
      <c r="I140" s="116"/>
      <c r="L140" s="169">
        <v>42205</v>
      </c>
      <c r="M140" s="116">
        <v>113.5</v>
      </c>
      <c r="N140" s="116">
        <v>114</v>
      </c>
      <c r="O140" s="116">
        <v>110</v>
      </c>
      <c r="P140" s="116">
        <v>110.15</v>
      </c>
      <c r="Q140" s="116">
        <v>113.5</v>
      </c>
      <c r="R140">
        <v>12036</v>
      </c>
    </row>
    <row r="141" spans="1:18" x14ac:dyDescent="0.25">
      <c r="A141" s="169">
        <v>42206</v>
      </c>
      <c r="B141" s="116">
        <v>113.9</v>
      </c>
      <c r="C141" s="116">
        <v>110.5</v>
      </c>
      <c r="D141" s="116">
        <v>109.2</v>
      </c>
      <c r="E141" s="116">
        <v>112.3</v>
      </c>
      <c r="F141" s="116">
        <v>110.5</v>
      </c>
      <c r="G141">
        <v>7255</v>
      </c>
      <c r="H141" s="116"/>
      <c r="I141" s="116"/>
      <c r="L141" s="169">
        <v>42206</v>
      </c>
      <c r="M141" s="116">
        <v>111.15</v>
      </c>
      <c r="N141" s="116">
        <v>114.25</v>
      </c>
      <c r="O141" s="116">
        <v>110.5</v>
      </c>
      <c r="P141" s="116">
        <v>113.15</v>
      </c>
      <c r="Q141" s="116">
        <v>111.15</v>
      </c>
      <c r="R141">
        <v>9017</v>
      </c>
    </row>
    <row r="142" spans="1:18" x14ac:dyDescent="0.25">
      <c r="A142" s="169">
        <v>42207</v>
      </c>
      <c r="B142" s="116">
        <v>111.9</v>
      </c>
      <c r="C142" s="116">
        <v>111.2</v>
      </c>
      <c r="D142" s="116">
        <v>109.6</v>
      </c>
      <c r="E142" s="116">
        <v>111.8</v>
      </c>
      <c r="F142" s="116">
        <v>111.2</v>
      </c>
      <c r="G142">
        <v>3165</v>
      </c>
      <c r="H142" s="116"/>
      <c r="I142" s="116"/>
      <c r="L142" s="169">
        <v>42207</v>
      </c>
      <c r="M142" s="116">
        <v>111</v>
      </c>
      <c r="N142" s="116">
        <v>112.3</v>
      </c>
      <c r="O142" s="116">
        <v>110</v>
      </c>
      <c r="P142" s="116">
        <v>110.65</v>
      </c>
      <c r="Q142" s="116">
        <v>111</v>
      </c>
      <c r="R142">
        <v>6945</v>
      </c>
    </row>
    <row r="143" spans="1:18" x14ac:dyDescent="0.25">
      <c r="A143" s="169">
        <v>42208</v>
      </c>
      <c r="B143" s="116">
        <v>117.5</v>
      </c>
      <c r="C143" s="116">
        <v>116.1</v>
      </c>
      <c r="D143" s="116">
        <v>112</v>
      </c>
      <c r="E143" s="116">
        <v>112</v>
      </c>
      <c r="F143" s="116">
        <v>116.1</v>
      </c>
      <c r="G143">
        <v>11371</v>
      </c>
      <c r="H143" s="116"/>
      <c r="I143" s="116"/>
      <c r="L143" s="169">
        <v>42208</v>
      </c>
      <c r="M143" s="116">
        <v>116.05</v>
      </c>
      <c r="N143" s="116">
        <v>118</v>
      </c>
      <c r="O143" s="116">
        <v>110.65</v>
      </c>
      <c r="P143" s="116">
        <v>110.65</v>
      </c>
      <c r="Q143" s="116">
        <v>116.05</v>
      </c>
      <c r="R143">
        <v>32005</v>
      </c>
    </row>
    <row r="144" spans="1:18" x14ac:dyDescent="0.25">
      <c r="A144" s="169">
        <v>42209</v>
      </c>
      <c r="B144" s="116">
        <v>118</v>
      </c>
      <c r="C144" s="116">
        <v>115.4</v>
      </c>
      <c r="D144" s="116">
        <v>115</v>
      </c>
      <c r="E144" s="116">
        <v>117.3</v>
      </c>
      <c r="F144" s="116">
        <v>115.4</v>
      </c>
      <c r="G144">
        <v>4995</v>
      </c>
      <c r="H144" s="116"/>
      <c r="I144" s="116"/>
      <c r="L144" s="169">
        <v>42209</v>
      </c>
      <c r="M144" s="116">
        <v>115.25</v>
      </c>
      <c r="N144" s="116">
        <v>117.75</v>
      </c>
      <c r="O144" s="116">
        <v>114.35</v>
      </c>
      <c r="P144" s="116">
        <v>115.1</v>
      </c>
      <c r="Q144" s="116">
        <v>115.25</v>
      </c>
      <c r="R144">
        <v>10005</v>
      </c>
    </row>
    <row r="145" spans="1:18" x14ac:dyDescent="0.25">
      <c r="A145" s="169">
        <v>42212</v>
      </c>
      <c r="B145" s="116">
        <v>138.4</v>
      </c>
      <c r="C145" s="116">
        <v>137.69999999999999</v>
      </c>
      <c r="D145" s="116">
        <v>115.5</v>
      </c>
      <c r="E145" s="116">
        <v>115.5</v>
      </c>
      <c r="F145" s="116">
        <v>137.69999999999999</v>
      </c>
      <c r="G145">
        <v>95693</v>
      </c>
      <c r="H145" s="116"/>
      <c r="I145" s="116"/>
      <c r="L145" s="169">
        <v>42212</v>
      </c>
      <c r="M145" s="116">
        <v>137.05000000000001</v>
      </c>
      <c r="N145" s="116">
        <v>138.30000000000001</v>
      </c>
      <c r="O145" s="116">
        <v>115</v>
      </c>
      <c r="P145" s="116">
        <v>115.5</v>
      </c>
      <c r="Q145" s="116">
        <v>137.05000000000001</v>
      </c>
      <c r="R145">
        <v>219614</v>
      </c>
    </row>
    <row r="146" spans="1:18" x14ac:dyDescent="0.25">
      <c r="A146" s="169">
        <v>42213</v>
      </c>
      <c r="B146" s="116">
        <v>144</v>
      </c>
      <c r="C146" s="116">
        <v>132.6</v>
      </c>
      <c r="D146" s="116">
        <v>131</v>
      </c>
      <c r="E146" s="116">
        <v>137.19999999999999</v>
      </c>
      <c r="F146" s="116">
        <v>132.6</v>
      </c>
      <c r="G146">
        <v>31182</v>
      </c>
      <c r="H146" s="116"/>
      <c r="I146" s="116"/>
      <c r="L146" s="169">
        <v>42213</v>
      </c>
      <c r="M146" s="116">
        <v>133.35</v>
      </c>
      <c r="N146" s="116">
        <v>144</v>
      </c>
      <c r="O146" s="116">
        <v>131.65</v>
      </c>
      <c r="P146" s="116">
        <v>139.5</v>
      </c>
      <c r="Q146" s="116">
        <v>133.35</v>
      </c>
      <c r="R146">
        <v>107720</v>
      </c>
    </row>
    <row r="147" spans="1:18" x14ac:dyDescent="0.25">
      <c r="A147" s="169">
        <v>42214</v>
      </c>
      <c r="B147" s="116">
        <v>135.9</v>
      </c>
      <c r="C147" s="116">
        <v>129.4</v>
      </c>
      <c r="D147" s="116">
        <v>128.19999999999999</v>
      </c>
      <c r="E147" s="116">
        <v>134</v>
      </c>
      <c r="F147" s="116">
        <v>129.4</v>
      </c>
      <c r="G147">
        <v>18199</v>
      </c>
      <c r="H147" s="116"/>
      <c r="I147" s="116"/>
      <c r="L147" s="169">
        <v>42214</v>
      </c>
      <c r="M147" s="116">
        <v>128.69999999999999</v>
      </c>
      <c r="N147" s="116">
        <v>136.94999999999999</v>
      </c>
      <c r="O147" s="116">
        <v>128</v>
      </c>
      <c r="P147" s="116">
        <v>133</v>
      </c>
      <c r="Q147" s="116">
        <v>128.69999999999999</v>
      </c>
      <c r="R147">
        <v>65090</v>
      </c>
    </row>
    <row r="148" spans="1:18" x14ac:dyDescent="0.25">
      <c r="A148" s="169">
        <v>42215</v>
      </c>
      <c r="B148" s="116">
        <v>131</v>
      </c>
      <c r="C148" s="116">
        <v>130.30000000000001</v>
      </c>
      <c r="D148" s="116">
        <v>124.2</v>
      </c>
      <c r="E148" s="116">
        <v>128.1</v>
      </c>
      <c r="F148" s="116">
        <v>130.30000000000001</v>
      </c>
      <c r="G148">
        <v>12933</v>
      </c>
      <c r="H148" s="116"/>
      <c r="I148" s="116"/>
      <c r="L148" s="169">
        <v>42215</v>
      </c>
      <c r="M148" s="116">
        <v>129.5</v>
      </c>
      <c r="N148" s="116">
        <v>132.4</v>
      </c>
      <c r="O148" s="116">
        <v>125</v>
      </c>
      <c r="P148" s="116">
        <v>132.4</v>
      </c>
      <c r="Q148" s="116">
        <v>129.5</v>
      </c>
      <c r="R148">
        <v>45223</v>
      </c>
    </row>
    <row r="149" spans="1:18" x14ac:dyDescent="0.25">
      <c r="A149" s="169">
        <v>42216</v>
      </c>
      <c r="B149" s="116">
        <v>133</v>
      </c>
      <c r="C149" s="116">
        <v>126.2</v>
      </c>
      <c r="D149" s="116">
        <v>122.9</v>
      </c>
      <c r="E149" s="116">
        <v>131</v>
      </c>
      <c r="F149" s="116">
        <v>126.2</v>
      </c>
      <c r="G149">
        <v>21359</v>
      </c>
      <c r="H149" s="116"/>
      <c r="I149" s="116"/>
      <c r="L149" s="169">
        <v>42216</v>
      </c>
      <c r="M149" s="116">
        <v>127.15</v>
      </c>
      <c r="N149" s="116">
        <v>130.1</v>
      </c>
      <c r="O149" s="116">
        <v>122.75</v>
      </c>
      <c r="P149" s="116">
        <v>130</v>
      </c>
      <c r="Q149" s="116">
        <v>127.15</v>
      </c>
      <c r="R149">
        <v>57995</v>
      </c>
    </row>
    <row r="150" spans="1:18" x14ac:dyDescent="0.25">
      <c r="A150" s="169">
        <v>42219</v>
      </c>
      <c r="B150" s="116">
        <v>140.1</v>
      </c>
      <c r="C150" s="116">
        <v>137.1</v>
      </c>
      <c r="D150" s="116">
        <v>127.5</v>
      </c>
      <c r="E150" s="116">
        <v>127.5</v>
      </c>
      <c r="F150" s="116">
        <v>137.1</v>
      </c>
      <c r="G150">
        <v>57897</v>
      </c>
      <c r="H150" s="116"/>
      <c r="I150" s="116"/>
      <c r="L150" s="169">
        <v>42219</v>
      </c>
      <c r="M150" s="116">
        <v>138</v>
      </c>
      <c r="N150" s="116">
        <v>142</v>
      </c>
      <c r="O150" s="116">
        <v>126.95</v>
      </c>
      <c r="P150" s="116">
        <v>127.05</v>
      </c>
      <c r="Q150" s="116">
        <v>138</v>
      </c>
      <c r="R150">
        <v>135155</v>
      </c>
    </row>
    <row r="151" spans="1:18" x14ac:dyDescent="0.25">
      <c r="A151" s="169">
        <v>42220</v>
      </c>
      <c r="B151" s="116">
        <v>141.69999999999999</v>
      </c>
      <c r="C151" s="116">
        <v>137.4</v>
      </c>
      <c r="D151" s="116">
        <v>135</v>
      </c>
      <c r="E151" s="116">
        <v>139.9</v>
      </c>
      <c r="F151" s="116">
        <v>137.4</v>
      </c>
      <c r="G151">
        <v>19795</v>
      </c>
      <c r="H151" s="116"/>
      <c r="I151" s="116"/>
      <c r="L151" s="169">
        <v>42220</v>
      </c>
      <c r="M151" s="116">
        <v>137.94999999999999</v>
      </c>
      <c r="N151" s="116">
        <v>141.80000000000001</v>
      </c>
      <c r="O151" s="116">
        <v>135.1</v>
      </c>
      <c r="P151" s="116">
        <v>139.4</v>
      </c>
      <c r="Q151" s="116">
        <v>137.94999999999999</v>
      </c>
      <c r="R151">
        <v>62581</v>
      </c>
    </row>
    <row r="152" spans="1:18" x14ac:dyDescent="0.25">
      <c r="A152" s="169">
        <v>42221</v>
      </c>
      <c r="B152" s="116">
        <v>141</v>
      </c>
      <c r="C152" s="116">
        <v>133</v>
      </c>
      <c r="D152" s="116">
        <v>131</v>
      </c>
      <c r="E152" s="116">
        <v>140.4</v>
      </c>
      <c r="F152" s="116">
        <v>133</v>
      </c>
      <c r="G152">
        <v>8487</v>
      </c>
      <c r="H152" s="116"/>
      <c r="I152" s="116"/>
      <c r="L152" s="169">
        <v>42221</v>
      </c>
      <c r="M152" s="116">
        <v>133</v>
      </c>
      <c r="N152" s="116">
        <v>141</v>
      </c>
      <c r="O152" s="116">
        <v>130.65</v>
      </c>
      <c r="P152" s="116">
        <v>139</v>
      </c>
      <c r="Q152" s="116">
        <v>133</v>
      </c>
      <c r="R152">
        <v>27564</v>
      </c>
    </row>
    <row r="153" spans="1:18" x14ac:dyDescent="0.25">
      <c r="A153" s="169">
        <v>42222</v>
      </c>
      <c r="B153" s="116">
        <v>142.80000000000001</v>
      </c>
      <c r="C153" s="116">
        <v>139.9</v>
      </c>
      <c r="D153" s="116">
        <v>129.80000000000001</v>
      </c>
      <c r="E153" s="116">
        <v>136.5</v>
      </c>
      <c r="F153" s="116">
        <v>139.9</v>
      </c>
      <c r="G153">
        <v>38701</v>
      </c>
      <c r="H153" s="116"/>
      <c r="I153" s="116"/>
      <c r="L153" s="169">
        <v>42222</v>
      </c>
      <c r="M153" s="116">
        <v>140.6</v>
      </c>
      <c r="N153" s="116">
        <v>143</v>
      </c>
      <c r="O153" s="116">
        <v>130</v>
      </c>
      <c r="P153" s="116">
        <v>134.69999999999999</v>
      </c>
      <c r="Q153" s="116">
        <v>140.6</v>
      </c>
      <c r="R153">
        <v>108796</v>
      </c>
    </row>
    <row r="154" spans="1:18" x14ac:dyDescent="0.25">
      <c r="A154" s="169">
        <v>42223</v>
      </c>
      <c r="B154" s="116">
        <v>162</v>
      </c>
      <c r="C154" s="116">
        <v>157.30000000000001</v>
      </c>
      <c r="D154" s="116">
        <v>139.6</v>
      </c>
      <c r="E154" s="116">
        <v>142.9</v>
      </c>
      <c r="F154" s="116">
        <v>157.30000000000001</v>
      </c>
      <c r="G154">
        <v>161042</v>
      </c>
      <c r="H154" s="116"/>
      <c r="I154" s="116"/>
      <c r="L154" s="169">
        <v>42223</v>
      </c>
      <c r="M154" s="116">
        <v>157.80000000000001</v>
      </c>
      <c r="N154" s="116">
        <v>161.94999999999999</v>
      </c>
      <c r="O154" s="116">
        <v>140</v>
      </c>
      <c r="P154" s="116">
        <v>143</v>
      </c>
      <c r="Q154" s="116">
        <v>157.80000000000001</v>
      </c>
      <c r="R154">
        <v>399776</v>
      </c>
    </row>
    <row r="155" spans="1:18" x14ac:dyDescent="0.25">
      <c r="A155" s="169">
        <v>42226</v>
      </c>
      <c r="B155" s="116">
        <v>163.6</v>
      </c>
      <c r="C155" s="116">
        <v>153.30000000000001</v>
      </c>
      <c r="D155" s="116">
        <v>150.5</v>
      </c>
      <c r="E155" s="116">
        <v>161</v>
      </c>
      <c r="F155" s="116">
        <v>153.30000000000001</v>
      </c>
      <c r="G155">
        <v>31502</v>
      </c>
      <c r="H155" s="116"/>
      <c r="I155" s="116"/>
      <c r="L155" s="169">
        <v>42226</v>
      </c>
      <c r="M155" s="116">
        <v>152.1</v>
      </c>
      <c r="N155" s="116">
        <v>164</v>
      </c>
      <c r="O155" s="116">
        <v>150</v>
      </c>
      <c r="P155" s="116">
        <v>158.80000000000001</v>
      </c>
      <c r="Q155" s="116">
        <v>152.1</v>
      </c>
      <c r="R155">
        <v>135019</v>
      </c>
    </row>
    <row r="156" spans="1:18" x14ac:dyDescent="0.25">
      <c r="A156" s="169">
        <v>42227</v>
      </c>
      <c r="B156" s="116">
        <v>154.19999999999999</v>
      </c>
      <c r="C156" s="116">
        <v>143.1</v>
      </c>
      <c r="D156" s="116">
        <v>141.19999999999999</v>
      </c>
      <c r="E156" s="116">
        <v>153.6</v>
      </c>
      <c r="F156" s="116">
        <v>143.1</v>
      </c>
      <c r="G156">
        <v>17285</v>
      </c>
      <c r="H156" s="116"/>
      <c r="I156" s="116"/>
      <c r="L156" s="169">
        <v>42227</v>
      </c>
      <c r="M156" s="116">
        <v>143.75</v>
      </c>
      <c r="N156" s="116">
        <v>153.9</v>
      </c>
      <c r="O156" s="116">
        <v>141.25</v>
      </c>
      <c r="P156" s="116">
        <v>153.9</v>
      </c>
      <c r="Q156" s="116">
        <v>143.75</v>
      </c>
      <c r="R156">
        <v>63186</v>
      </c>
    </row>
    <row r="157" spans="1:18" x14ac:dyDescent="0.25">
      <c r="A157" s="169">
        <v>42228</v>
      </c>
      <c r="B157" s="116">
        <v>149</v>
      </c>
      <c r="C157" s="116">
        <v>137.80000000000001</v>
      </c>
      <c r="D157" s="116">
        <v>136</v>
      </c>
      <c r="E157" s="116">
        <v>140</v>
      </c>
      <c r="F157" s="116">
        <v>137.80000000000001</v>
      </c>
      <c r="G157">
        <v>12287</v>
      </c>
      <c r="H157" s="116"/>
      <c r="I157" s="116"/>
      <c r="L157" s="169">
        <v>42228</v>
      </c>
      <c r="M157" s="116">
        <v>137.85</v>
      </c>
      <c r="N157" s="116">
        <v>148.69999999999999</v>
      </c>
      <c r="O157" s="116">
        <v>135.6</v>
      </c>
      <c r="P157" s="116">
        <v>140.30000000000001</v>
      </c>
      <c r="Q157" s="116">
        <v>137.85</v>
      </c>
      <c r="R157">
        <v>44126</v>
      </c>
    </row>
    <row r="158" spans="1:18" x14ac:dyDescent="0.25">
      <c r="A158" s="169">
        <v>42229</v>
      </c>
      <c r="B158" s="116">
        <v>146</v>
      </c>
      <c r="C158" s="116">
        <v>129.1</v>
      </c>
      <c r="D158" s="116">
        <v>127.5</v>
      </c>
      <c r="E158" s="116">
        <v>144.9</v>
      </c>
      <c r="F158" s="116">
        <v>129.1</v>
      </c>
      <c r="G158">
        <v>15526</v>
      </c>
      <c r="H158" s="116"/>
      <c r="I158" s="116"/>
      <c r="L158" s="169">
        <v>42229</v>
      </c>
      <c r="M158" s="116">
        <v>129.25</v>
      </c>
      <c r="N158" s="116">
        <v>144.05000000000001</v>
      </c>
      <c r="O158" s="116">
        <v>125.5</v>
      </c>
      <c r="P158" s="116">
        <v>141</v>
      </c>
      <c r="Q158" s="116">
        <v>129.25</v>
      </c>
      <c r="R158">
        <v>36255</v>
      </c>
    </row>
    <row r="159" spans="1:18" x14ac:dyDescent="0.25">
      <c r="A159" s="169">
        <v>42230</v>
      </c>
      <c r="B159" s="116">
        <v>144</v>
      </c>
      <c r="C159" s="116">
        <v>141.4</v>
      </c>
      <c r="D159" s="116">
        <v>125</v>
      </c>
      <c r="E159" s="116">
        <v>134.80000000000001</v>
      </c>
      <c r="F159" s="116">
        <v>141.4</v>
      </c>
      <c r="G159">
        <v>18674</v>
      </c>
      <c r="H159" s="116"/>
      <c r="I159" s="116"/>
      <c r="L159" s="169">
        <v>42230</v>
      </c>
      <c r="M159" s="116">
        <v>141.19999999999999</v>
      </c>
      <c r="N159" s="116">
        <v>144.4</v>
      </c>
      <c r="O159" s="116">
        <v>124.2</v>
      </c>
      <c r="P159" s="116">
        <v>131.75</v>
      </c>
      <c r="Q159" s="116">
        <v>141.19999999999999</v>
      </c>
      <c r="R159">
        <v>61275</v>
      </c>
    </row>
    <row r="160" spans="1:18" x14ac:dyDescent="0.25">
      <c r="A160" s="169">
        <v>42233</v>
      </c>
      <c r="B160" s="116">
        <v>141</v>
      </c>
      <c r="C160" s="116">
        <v>139.5</v>
      </c>
      <c r="D160" s="116">
        <v>137</v>
      </c>
      <c r="E160" s="116">
        <v>139.5</v>
      </c>
      <c r="F160" s="116">
        <v>139.5</v>
      </c>
      <c r="G160">
        <v>8961</v>
      </c>
      <c r="H160" s="116"/>
      <c r="I160" s="116"/>
      <c r="L160" s="169">
        <v>42233</v>
      </c>
      <c r="M160" s="116">
        <v>138.9</v>
      </c>
      <c r="N160" s="116">
        <v>142</v>
      </c>
      <c r="O160" s="116">
        <v>136.35</v>
      </c>
      <c r="P160" s="116">
        <v>142</v>
      </c>
      <c r="Q160" s="116">
        <v>138.9</v>
      </c>
      <c r="R160">
        <v>27239</v>
      </c>
    </row>
    <row r="161" spans="1:18" x14ac:dyDescent="0.25">
      <c r="A161" s="169">
        <v>42234</v>
      </c>
      <c r="B161" s="116">
        <v>143.9</v>
      </c>
      <c r="C161" s="116">
        <v>141.1</v>
      </c>
      <c r="D161" s="116">
        <v>138</v>
      </c>
      <c r="E161" s="116">
        <v>141.80000000000001</v>
      </c>
      <c r="F161" s="116">
        <v>141.1</v>
      </c>
      <c r="G161">
        <v>5806</v>
      </c>
      <c r="H161" s="116"/>
      <c r="I161" s="116"/>
      <c r="L161" s="169">
        <v>42234</v>
      </c>
      <c r="M161" s="116">
        <v>140.35</v>
      </c>
      <c r="N161" s="116">
        <v>143.80000000000001</v>
      </c>
      <c r="O161" s="116">
        <v>137.25</v>
      </c>
      <c r="P161" s="116">
        <v>139</v>
      </c>
      <c r="Q161" s="116">
        <v>140.35</v>
      </c>
      <c r="R161">
        <v>25477</v>
      </c>
    </row>
    <row r="162" spans="1:18" x14ac:dyDescent="0.25">
      <c r="A162" s="169">
        <v>42235</v>
      </c>
      <c r="B162" s="116">
        <v>146.80000000000001</v>
      </c>
      <c r="C162" s="116">
        <v>142.69999999999999</v>
      </c>
      <c r="D162" s="116">
        <v>139.1</v>
      </c>
      <c r="E162" s="116">
        <v>141</v>
      </c>
      <c r="F162" s="116">
        <v>142.69999999999999</v>
      </c>
      <c r="G162">
        <v>11299</v>
      </c>
      <c r="H162" s="116"/>
      <c r="I162" s="116"/>
      <c r="L162" s="169">
        <v>42235</v>
      </c>
      <c r="M162" s="116">
        <v>143</v>
      </c>
      <c r="N162" s="116">
        <v>146.80000000000001</v>
      </c>
      <c r="O162" s="116">
        <v>139.94999999999999</v>
      </c>
      <c r="P162" s="116">
        <v>141</v>
      </c>
      <c r="Q162" s="116">
        <v>143</v>
      </c>
      <c r="R162">
        <v>36126</v>
      </c>
    </row>
    <row r="163" spans="1:18" x14ac:dyDescent="0.25">
      <c r="A163" s="169">
        <v>42236</v>
      </c>
      <c r="B163" s="116">
        <v>143</v>
      </c>
      <c r="C163" s="116">
        <v>137.80000000000001</v>
      </c>
      <c r="D163" s="116">
        <v>137</v>
      </c>
      <c r="E163" s="116">
        <v>142.9</v>
      </c>
      <c r="F163" s="116">
        <v>137.80000000000001</v>
      </c>
      <c r="G163">
        <v>5221</v>
      </c>
      <c r="H163" s="116"/>
      <c r="I163" s="116"/>
      <c r="L163" s="169">
        <v>42236</v>
      </c>
      <c r="M163" s="116">
        <v>137.6</v>
      </c>
      <c r="N163" s="116">
        <v>143</v>
      </c>
      <c r="O163" s="116">
        <v>136.4</v>
      </c>
      <c r="P163" s="116">
        <v>141.5</v>
      </c>
      <c r="Q163" s="116">
        <v>137.6</v>
      </c>
      <c r="R163">
        <v>15922</v>
      </c>
    </row>
    <row r="164" spans="1:18" x14ac:dyDescent="0.25">
      <c r="A164" s="169">
        <v>42237</v>
      </c>
      <c r="B164" s="116">
        <v>138.9</v>
      </c>
      <c r="C164" s="116">
        <v>135.69999999999999</v>
      </c>
      <c r="D164" s="116">
        <v>132.19999999999999</v>
      </c>
      <c r="E164" s="116">
        <v>134</v>
      </c>
      <c r="F164" s="116">
        <v>135.69999999999999</v>
      </c>
      <c r="G164">
        <v>4582</v>
      </c>
      <c r="H164" s="116"/>
      <c r="I164" s="116"/>
      <c r="L164" s="169">
        <v>42237</v>
      </c>
      <c r="M164" s="116">
        <v>135.75</v>
      </c>
      <c r="N164" s="116">
        <v>139.4</v>
      </c>
      <c r="O164" s="116">
        <v>131</v>
      </c>
      <c r="P164" s="116">
        <v>139.4</v>
      </c>
      <c r="Q164" s="116">
        <v>135.75</v>
      </c>
      <c r="R164">
        <v>13638</v>
      </c>
    </row>
    <row r="165" spans="1:18" x14ac:dyDescent="0.25">
      <c r="A165" s="169">
        <v>42240</v>
      </c>
      <c r="B165" s="116">
        <v>130</v>
      </c>
      <c r="C165" s="116">
        <v>116.1</v>
      </c>
      <c r="D165" s="116">
        <v>113</v>
      </c>
      <c r="E165" s="116">
        <v>130</v>
      </c>
      <c r="F165" s="116">
        <v>116.1</v>
      </c>
      <c r="G165">
        <v>13949</v>
      </c>
      <c r="H165" s="116"/>
      <c r="I165" s="116"/>
      <c r="L165" s="169">
        <v>42240</v>
      </c>
      <c r="M165" s="116">
        <v>115.6</v>
      </c>
      <c r="N165" s="116">
        <v>131.94999999999999</v>
      </c>
      <c r="O165" s="116">
        <v>112.1</v>
      </c>
      <c r="P165" s="116">
        <v>131.94999999999999</v>
      </c>
      <c r="Q165" s="116">
        <v>115.6</v>
      </c>
      <c r="R165">
        <v>32226</v>
      </c>
    </row>
    <row r="166" spans="1:18" x14ac:dyDescent="0.25">
      <c r="A166" s="169">
        <v>42241</v>
      </c>
      <c r="B166" s="116">
        <v>126.7</v>
      </c>
      <c r="C166" s="116">
        <v>118.9</v>
      </c>
      <c r="D166" s="116">
        <v>108</v>
      </c>
      <c r="E166" s="116">
        <v>120</v>
      </c>
      <c r="F166" s="116">
        <v>118.9</v>
      </c>
      <c r="G166">
        <v>11627</v>
      </c>
      <c r="H166" s="116"/>
      <c r="I166" s="116"/>
      <c r="L166" s="169">
        <v>42241</v>
      </c>
      <c r="M166" s="116">
        <v>118.4</v>
      </c>
      <c r="N166" s="116">
        <v>122.9</v>
      </c>
      <c r="O166" s="116">
        <v>109.95</v>
      </c>
      <c r="P166" s="116">
        <v>115.7</v>
      </c>
      <c r="Q166" s="116">
        <v>118.4</v>
      </c>
      <c r="R166">
        <v>50258</v>
      </c>
    </row>
    <row r="167" spans="1:18" x14ac:dyDescent="0.25">
      <c r="A167" s="169">
        <v>42242</v>
      </c>
      <c r="B167" s="116">
        <v>123.4</v>
      </c>
      <c r="C167" s="116">
        <v>121.3</v>
      </c>
      <c r="D167" s="116">
        <v>114.7</v>
      </c>
      <c r="E167" s="116">
        <v>116.8</v>
      </c>
      <c r="F167" s="116">
        <v>121.3</v>
      </c>
      <c r="G167">
        <v>5807</v>
      </c>
      <c r="H167" s="116"/>
      <c r="I167" s="116"/>
      <c r="L167" s="169">
        <v>42242</v>
      </c>
      <c r="M167" s="116">
        <v>122.45</v>
      </c>
      <c r="N167" s="116">
        <v>123.5</v>
      </c>
      <c r="O167" s="116">
        <v>111.75</v>
      </c>
      <c r="P167" s="116">
        <v>117</v>
      </c>
      <c r="Q167" s="116">
        <v>122.45</v>
      </c>
      <c r="R167">
        <v>16587</v>
      </c>
    </row>
    <row r="168" spans="1:18" x14ac:dyDescent="0.25">
      <c r="A168" s="169">
        <v>42243</v>
      </c>
      <c r="B168" s="116">
        <v>132.5</v>
      </c>
      <c r="C168" s="116">
        <v>129.4</v>
      </c>
      <c r="D168" s="116">
        <v>122</v>
      </c>
      <c r="E168" s="116">
        <v>122</v>
      </c>
      <c r="F168" s="116">
        <v>129.4</v>
      </c>
      <c r="G168">
        <v>3492</v>
      </c>
      <c r="H168" s="116"/>
      <c r="I168" s="116"/>
      <c r="L168" s="169">
        <v>42243</v>
      </c>
      <c r="M168" s="116">
        <v>129.9</v>
      </c>
      <c r="N168" s="116">
        <v>134.4</v>
      </c>
      <c r="O168" s="116">
        <v>122.15</v>
      </c>
      <c r="P168" s="116">
        <v>124</v>
      </c>
      <c r="Q168" s="116">
        <v>129.9</v>
      </c>
      <c r="R168">
        <v>22464</v>
      </c>
    </row>
    <row r="169" spans="1:18" x14ac:dyDescent="0.25">
      <c r="A169" s="169">
        <v>42244</v>
      </c>
      <c r="B169" s="116">
        <v>133.4</v>
      </c>
      <c r="C169" s="116">
        <v>127.2</v>
      </c>
      <c r="D169" s="116">
        <v>123.1</v>
      </c>
      <c r="E169" s="116">
        <v>130</v>
      </c>
      <c r="F169" s="116">
        <v>127.2</v>
      </c>
      <c r="G169">
        <v>3734</v>
      </c>
      <c r="H169" s="116"/>
      <c r="I169" s="116"/>
      <c r="L169" s="169">
        <v>42244</v>
      </c>
      <c r="M169" s="116">
        <v>127</v>
      </c>
      <c r="N169" s="116">
        <v>133.94999999999999</v>
      </c>
      <c r="O169" s="116">
        <v>124</v>
      </c>
      <c r="P169" s="116">
        <v>128.69999999999999</v>
      </c>
      <c r="Q169" s="116">
        <v>127</v>
      </c>
      <c r="R169">
        <v>17614</v>
      </c>
    </row>
    <row r="170" spans="1:18" x14ac:dyDescent="0.25">
      <c r="A170" s="169">
        <v>42247</v>
      </c>
      <c r="B170" s="116">
        <v>130</v>
      </c>
      <c r="C170" s="116">
        <v>127</v>
      </c>
      <c r="D170" s="116">
        <v>124</v>
      </c>
      <c r="E170" s="116">
        <v>125.7</v>
      </c>
      <c r="F170" s="116">
        <v>127</v>
      </c>
      <c r="G170">
        <v>7193</v>
      </c>
      <c r="H170" s="116"/>
      <c r="I170" s="116"/>
      <c r="L170" s="169">
        <v>42247</v>
      </c>
      <c r="M170" s="116">
        <v>128.94999999999999</v>
      </c>
      <c r="N170" s="116">
        <v>133.6</v>
      </c>
      <c r="O170" s="116">
        <v>122.5</v>
      </c>
      <c r="P170" s="116">
        <v>130</v>
      </c>
      <c r="Q170" s="116">
        <v>128.94999999999999</v>
      </c>
      <c r="R170">
        <v>21519</v>
      </c>
    </row>
    <row r="171" spans="1:18" x14ac:dyDescent="0.25">
      <c r="A171" s="169">
        <v>42248</v>
      </c>
      <c r="B171" s="116">
        <v>128</v>
      </c>
      <c r="C171" s="116">
        <v>123.6</v>
      </c>
      <c r="D171" s="116">
        <v>119</v>
      </c>
      <c r="E171" s="116">
        <v>126.2</v>
      </c>
      <c r="F171" s="116">
        <v>123.6</v>
      </c>
      <c r="G171">
        <v>12418</v>
      </c>
      <c r="H171" s="116"/>
      <c r="I171" s="116"/>
      <c r="L171" s="169">
        <v>42248</v>
      </c>
      <c r="M171" s="116">
        <v>124.25</v>
      </c>
      <c r="N171" s="116">
        <v>129.4</v>
      </c>
      <c r="O171" s="116">
        <v>121</v>
      </c>
      <c r="P171" s="116">
        <v>126</v>
      </c>
      <c r="Q171" s="116">
        <v>124.25</v>
      </c>
      <c r="R171">
        <v>22962</v>
      </c>
    </row>
    <row r="172" spans="1:18" x14ac:dyDescent="0.25">
      <c r="A172" s="169">
        <v>42249</v>
      </c>
      <c r="B172" s="116">
        <v>124</v>
      </c>
      <c r="C172" s="116">
        <v>123.4</v>
      </c>
      <c r="D172" s="116">
        <v>120</v>
      </c>
      <c r="E172" s="116">
        <v>122.6</v>
      </c>
      <c r="F172" s="116">
        <v>123.4</v>
      </c>
      <c r="G172">
        <v>2825</v>
      </c>
      <c r="H172" s="116"/>
      <c r="I172" s="116"/>
      <c r="L172" s="169">
        <v>42249</v>
      </c>
      <c r="M172" s="116">
        <v>122.85</v>
      </c>
      <c r="N172" s="116">
        <v>125.75</v>
      </c>
      <c r="O172" s="116">
        <v>120</v>
      </c>
      <c r="P172" s="116">
        <v>124.6</v>
      </c>
      <c r="Q172" s="116">
        <v>122.85</v>
      </c>
      <c r="R172">
        <v>9272</v>
      </c>
    </row>
    <row r="173" spans="1:18" x14ac:dyDescent="0.25">
      <c r="A173" s="169">
        <v>42250</v>
      </c>
      <c r="B173" s="116">
        <v>127.9</v>
      </c>
      <c r="C173" s="116">
        <v>125.6</v>
      </c>
      <c r="D173" s="116">
        <v>123.7</v>
      </c>
      <c r="E173" s="116">
        <v>125</v>
      </c>
      <c r="F173" s="116">
        <v>125.6</v>
      </c>
      <c r="G173">
        <v>3510</v>
      </c>
      <c r="H173" s="116"/>
      <c r="I173" s="116"/>
      <c r="L173" s="169">
        <v>42250</v>
      </c>
      <c r="M173" s="116">
        <v>126</v>
      </c>
      <c r="N173" s="116">
        <v>127.95</v>
      </c>
      <c r="O173" s="116">
        <v>123</v>
      </c>
      <c r="P173" s="116">
        <v>124</v>
      </c>
      <c r="Q173" s="116">
        <v>126</v>
      </c>
      <c r="R173">
        <v>7927</v>
      </c>
    </row>
    <row r="174" spans="1:18" x14ac:dyDescent="0.25">
      <c r="A174" s="169">
        <v>42251</v>
      </c>
      <c r="B174" s="116">
        <v>124.3</v>
      </c>
      <c r="C174" s="116">
        <v>119.3</v>
      </c>
      <c r="D174" s="116">
        <v>117.5</v>
      </c>
      <c r="E174" s="116">
        <v>123.1</v>
      </c>
      <c r="F174" s="116">
        <v>119.3</v>
      </c>
      <c r="G174">
        <v>6422</v>
      </c>
      <c r="H174" s="116"/>
      <c r="I174" s="116"/>
      <c r="L174" s="169">
        <v>42251</v>
      </c>
      <c r="M174" s="116">
        <v>119.55</v>
      </c>
      <c r="N174" s="116">
        <v>127.7</v>
      </c>
      <c r="O174" s="116">
        <v>117.3</v>
      </c>
      <c r="P174" s="116">
        <v>127.7</v>
      </c>
      <c r="Q174" s="116">
        <v>119.55</v>
      </c>
      <c r="R174">
        <v>13581</v>
      </c>
    </row>
    <row r="175" spans="1:18" x14ac:dyDescent="0.25">
      <c r="A175" s="169">
        <v>42254</v>
      </c>
      <c r="B175" s="116">
        <v>120</v>
      </c>
      <c r="C175" s="116">
        <v>114.8</v>
      </c>
      <c r="D175" s="116">
        <v>114.4</v>
      </c>
      <c r="E175" s="116">
        <v>118.7</v>
      </c>
      <c r="F175" s="116">
        <v>114.8</v>
      </c>
      <c r="G175">
        <v>3957</v>
      </c>
      <c r="H175" s="116"/>
      <c r="I175" s="116"/>
      <c r="L175" s="169">
        <v>42254</v>
      </c>
      <c r="M175" s="116">
        <v>115.5</v>
      </c>
      <c r="N175" s="116">
        <v>121</v>
      </c>
      <c r="O175" s="116">
        <v>115</v>
      </c>
      <c r="P175" s="116">
        <v>119.4</v>
      </c>
      <c r="Q175" s="116">
        <v>115.5</v>
      </c>
      <c r="R175">
        <v>20396</v>
      </c>
    </row>
    <row r="176" spans="1:18" x14ac:dyDescent="0.25">
      <c r="A176" s="169">
        <v>42255</v>
      </c>
      <c r="B176" s="116">
        <v>116</v>
      </c>
      <c r="C176" s="116">
        <v>113</v>
      </c>
      <c r="D176" s="116">
        <v>110.1</v>
      </c>
      <c r="E176" s="116">
        <v>113.5</v>
      </c>
      <c r="F176" s="116">
        <v>113</v>
      </c>
      <c r="G176">
        <v>3317</v>
      </c>
      <c r="H176" s="116"/>
      <c r="I176" s="116"/>
      <c r="L176" s="169">
        <v>42255</v>
      </c>
      <c r="M176" s="116">
        <v>113.35</v>
      </c>
      <c r="N176" s="116">
        <v>116.95</v>
      </c>
      <c r="O176" s="116">
        <v>110.65</v>
      </c>
      <c r="P176" s="116">
        <v>114</v>
      </c>
      <c r="Q176" s="116">
        <v>113.35</v>
      </c>
      <c r="R176">
        <v>25403</v>
      </c>
    </row>
    <row r="177" spans="1:18" x14ac:dyDescent="0.25">
      <c r="A177" s="169">
        <v>42256</v>
      </c>
      <c r="B177" s="116">
        <v>120.9</v>
      </c>
      <c r="C177" s="116">
        <v>116.9</v>
      </c>
      <c r="D177" s="116">
        <v>116.5</v>
      </c>
      <c r="E177" s="116">
        <v>120.9</v>
      </c>
      <c r="F177" s="116">
        <v>116.9</v>
      </c>
      <c r="G177">
        <v>709</v>
      </c>
      <c r="H177" s="116"/>
      <c r="I177" s="116"/>
      <c r="L177" s="169">
        <v>42256</v>
      </c>
      <c r="M177" s="116">
        <v>118.05</v>
      </c>
      <c r="N177" s="116">
        <v>119.55</v>
      </c>
      <c r="O177" s="116">
        <v>115</v>
      </c>
      <c r="P177" s="116">
        <v>116.6</v>
      </c>
      <c r="Q177" s="116">
        <v>118.05</v>
      </c>
      <c r="R177">
        <v>5902</v>
      </c>
    </row>
    <row r="178" spans="1:18" x14ac:dyDescent="0.25">
      <c r="A178" s="169">
        <v>42257</v>
      </c>
      <c r="B178" s="116">
        <v>115.6</v>
      </c>
      <c r="C178" s="116">
        <v>114.5</v>
      </c>
      <c r="D178" s="116">
        <v>114.4</v>
      </c>
      <c r="E178" s="116">
        <v>114.9</v>
      </c>
      <c r="F178" s="116">
        <v>114.5</v>
      </c>
      <c r="G178">
        <v>947</v>
      </c>
      <c r="H178" s="116"/>
      <c r="I178" s="116"/>
      <c r="L178" s="169">
        <v>42257</v>
      </c>
      <c r="M178" s="116">
        <v>114.5</v>
      </c>
      <c r="N178" s="116">
        <v>116</v>
      </c>
      <c r="O178" s="116">
        <v>112.15</v>
      </c>
      <c r="P178" s="116">
        <v>116</v>
      </c>
      <c r="Q178" s="116">
        <v>114.5</v>
      </c>
      <c r="R178">
        <v>3322</v>
      </c>
    </row>
    <row r="179" spans="1:18" x14ac:dyDescent="0.25">
      <c r="A179" s="169">
        <v>42258</v>
      </c>
      <c r="B179" s="116">
        <v>119.6</v>
      </c>
      <c r="C179" s="116">
        <v>118.2</v>
      </c>
      <c r="D179" s="116">
        <v>117.5</v>
      </c>
      <c r="E179" s="116">
        <v>118</v>
      </c>
      <c r="F179" s="116">
        <v>118.2</v>
      </c>
      <c r="G179">
        <v>1065</v>
      </c>
      <c r="H179" s="116"/>
      <c r="I179" s="116"/>
      <c r="L179" s="169">
        <v>42258</v>
      </c>
      <c r="M179" s="116">
        <v>117.95</v>
      </c>
      <c r="N179" s="116">
        <v>121.75</v>
      </c>
      <c r="O179" s="116">
        <v>116.1</v>
      </c>
      <c r="P179" s="116">
        <v>118.75</v>
      </c>
      <c r="Q179" s="116">
        <v>117.95</v>
      </c>
      <c r="R179">
        <v>9585</v>
      </c>
    </row>
    <row r="180" spans="1:18" x14ac:dyDescent="0.25">
      <c r="A180" s="169">
        <v>42261</v>
      </c>
      <c r="B180" s="116">
        <v>121.3</v>
      </c>
      <c r="C180" s="116">
        <v>120.1</v>
      </c>
      <c r="D180" s="116">
        <v>116.9</v>
      </c>
      <c r="E180" s="116">
        <v>117.7</v>
      </c>
      <c r="F180" s="116">
        <v>120.1</v>
      </c>
      <c r="G180">
        <v>2006</v>
      </c>
      <c r="H180" s="116"/>
      <c r="I180" s="116"/>
      <c r="L180" s="169">
        <v>42261</v>
      </c>
      <c r="M180" s="116">
        <v>120</v>
      </c>
      <c r="N180" s="116">
        <v>121</v>
      </c>
      <c r="O180" s="116">
        <v>114.1</v>
      </c>
      <c r="P180" s="116">
        <v>121</v>
      </c>
      <c r="Q180" s="116">
        <v>120</v>
      </c>
      <c r="R180">
        <v>12392</v>
      </c>
    </row>
    <row r="181" spans="1:18" x14ac:dyDescent="0.25">
      <c r="A181" s="169">
        <v>42262</v>
      </c>
      <c r="B181" s="116">
        <v>121.3</v>
      </c>
      <c r="C181" s="116">
        <v>120.2</v>
      </c>
      <c r="D181" s="116">
        <v>118.2</v>
      </c>
      <c r="E181" s="116">
        <v>120</v>
      </c>
      <c r="F181" s="116">
        <v>120.2</v>
      </c>
      <c r="G181">
        <v>1102</v>
      </c>
      <c r="H181" s="116"/>
      <c r="I181" s="116"/>
      <c r="L181" s="169">
        <v>42262</v>
      </c>
      <c r="M181" s="116">
        <v>120.65</v>
      </c>
      <c r="N181" s="116">
        <v>122</v>
      </c>
      <c r="O181" s="116">
        <v>116.3</v>
      </c>
      <c r="P181" s="116">
        <v>119</v>
      </c>
      <c r="Q181" s="116">
        <v>120.65</v>
      </c>
      <c r="R181">
        <v>9381</v>
      </c>
    </row>
    <row r="182" spans="1:18" x14ac:dyDescent="0.25">
      <c r="A182" s="169">
        <v>42263</v>
      </c>
      <c r="B182" s="116">
        <v>121.9</v>
      </c>
      <c r="C182" s="116">
        <v>118.9</v>
      </c>
      <c r="D182" s="116">
        <v>118.4</v>
      </c>
      <c r="E182" s="116">
        <v>121.9</v>
      </c>
      <c r="F182" s="116">
        <v>118.9</v>
      </c>
      <c r="G182">
        <v>1328</v>
      </c>
      <c r="H182" s="116"/>
      <c r="I182" s="116"/>
      <c r="L182" s="169">
        <v>42263</v>
      </c>
      <c r="M182" s="116">
        <v>119.9</v>
      </c>
      <c r="N182" s="116">
        <v>121.8</v>
      </c>
      <c r="O182" s="116">
        <v>118.5</v>
      </c>
      <c r="P182" s="116">
        <v>121.8</v>
      </c>
      <c r="Q182" s="116">
        <v>119.9</v>
      </c>
      <c r="R182">
        <v>5174</v>
      </c>
    </row>
    <row r="183" spans="1:18" x14ac:dyDescent="0.25">
      <c r="A183" s="169">
        <v>42265</v>
      </c>
      <c r="B183" s="116">
        <v>122.8</v>
      </c>
      <c r="C183" s="116">
        <v>122.1</v>
      </c>
      <c r="D183" s="116">
        <v>121.5</v>
      </c>
      <c r="E183" s="116">
        <v>122.4</v>
      </c>
      <c r="F183" s="116">
        <v>122.1</v>
      </c>
      <c r="G183">
        <v>4117</v>
      </c>
      <c r="H183" s="116"/>
      <c r="I183" s="116"/>
      <c r="L183" s="169">
        <v>42265</v>
      </c>
      <c r="M183" s="116">
        <v>122.05</v>
      </c>
      <c r="N183" s="116">
        <v>124.5</v>
      </c>
      <c r="O183" s="116">
        <v>120.1</v>
      </c>
      <c r="P183" s="116">
        <v>121.85</v>
      </c>
      <c r="Q183" s="116">
        <v>122.05</v>
      </c>
      <c r="R183">
        <v>11159</v>
      </c>
    </row>
    <row r="184" spans="1:18" x14ac:dyDescent="0.25">
      <c r="A184" s="169">
        <v>42268</v>
      </c>
      <c r="B184" s="116">
        <v>125.8</v>
      </c>
      <c r="C184" s="116">
        <v>124.5</v>
      </c>
      <c r="D184" s="116">
        <v>119.5</v>
      </c>
      <c r="E184" s="116">
        <v>120.1</v>
      </c>
      <c r="F184" s="116">
        <v>124.5</v>
      </c>
      <c r="G184">
        <v>3063</v>
      </c>
      <c r="H184" s="116"/>
      <c r="I184" s="116"/>
      <c r="L184" s="169">
        <v>42268</v>
      </c>
      <c r="M184" s="116">
        <v>125.05</v>
      </c>
      <c r="N184" s="116">
        <v>128.4</v>
      </c>
      <c r="O184" s="116">
        <v>117.2</v>
      </c>
      <c r="P184" s="116">
        <v>122.05</v>
      </c>
      <c r="Q184" s="116">
        <v>125.05</v>
      </c>
      <c r="R184">
        <v>10658</v>
      </c>
    </row>
    <row r="185" spans="1:18" x14ac:dyDescent="0.25">
      <c r="A185" s="169">
        <v>42269</v>
      </c>
      <c r="B185" s="116">
        <v>126.7</v>
      </c>
      <c r="C185" s="116">
        <v>121.4</v>
      </c>
      <c r="D185" s="116">
        <v>119.5</v>
      </c>
      <c r="E185" s="116">
        <v>126</v>
      </c>
      <c r="F185" s="116">
        <v>121.4</v>
      </c>
      <c r="G185">
        <v>11685</v>
      </c>
      <c r="H185" s="116"/>
      <c r="I185" s="116"/>
      <c r="L185" s="169">
        <v>42269</v>
      </c>
      <c r="M185" s="116">
        <v>119.9</v>
      </c>
      <c r="N185" s="116">
        <v>127</v>
      </c>
      <c r="O185" s="116">
        <v>119.5</v>
      </c>
      <c r="P185" s="116">
        <v>124.5</v>
      </c>
      <c r="Q185" s="116">
        <v>119.9</v>
      </c>
      <c r="R185">
        <v>13255</v>
      </c>
    </row>
    <row r="186" spans="1:18" x14ac:dyDescent="0.25">
      <c r="A186" s="169">
        <v>42270</v>
      </c>
      <c r="B186" s="116">
        <v>133</v>
      </c>
      <c r="C186" s="116">
        <v>130.5</v>
      </c>
      <c r="D186" s="116">
        <v>119.1</v>
      </c>
      <c r="E186" s="116">
        <v>119.1</v>
      </c>
      <c r="F186" s="116">
        <v>130.5</v>
      </c>
      <c r="G186">
        <v>13861</v>
      </c>
      <c r="H186" s="116"/>
      <c r="I186" s="116"/>
      <c r="L186" s="169">
        <v>42270</v>
      </c>
      <c r="M186" s="116">
        <v>129.19999999999999</v>
      </c>
      <c r="N186" s="116">
        <v>133.85</v>
      </c>
      <c r="O186" s="116">
        <v>117</v>
      </c>
      <c r="P186" s="116">
        <v>118</v>
      </c>
      <c r="Q186" s="116">
        <v>129.19999999999999</v>
      </c>
      <c r="R186">
        <v>46040</v>
      </c>
    </row>
    <row r="187" spans="1:18" x14ac:dyDescent="0.25">
      <c r="A187" s="169">
        <v>42271</v>
      </c>
      <c r="B187" s="116">
        <v>134</v>
      </c>
      <c r="C187" s="116">
        <v>127.3</v>
      </c>
      <c r="D187" s="116">
        <v>125.2</v>
      </c>
      <c r="E187" s="116">
        <v>133.9</v>
      </c>
      <c r="F187" s="116">
        <v>127.3</v>
      </c>
      <c r="G187">
        <v>7866</v>
      </c>
      <c r="H187" s="116"/>
      <c r="I187" s="116"/>
      <c r="L187" s="169">
        <v>42271</v>
      </c>
      <c r="M187" s="116">
        <v>128.44999999999999</v>
      </c>
      <c r="N187" s="116">
        <v>136</v>
      </c>
      <c r="O187" s="116">
        <v>126.05</v>
      </c>
      <c r="P187" s="116">
        <v>134</v>
      </c>
      <c r="Q187" s="116">
        <v>128.44999999999999</v>
      </c>
      <c r="R187">
        <v>16752</v>
      </c>
    </row>
    <row r="188" spans="1:18" x14ac:dyDescent="0.25">
      <c r="A188" s="169">
        <v>42275</v>
      </c>
      <c r="B188" s="116">
        <v>132</v>
      </c>
      <c r="C188" s="116">
        <v>122.2</v>
      </c>
      <c r="D188" s="116">
        <v>121.6</v>
      </c>
      <c r="E188" s="116">
        <v>131.80000000000001</v>
      </c>
      <c r="F188" s="116">
        <v>122.2</v>
      </c>
      <c r="G188">
        <v>2327</v>
      </c>
      <c r="H188" s="116"/>
      <c r="I188" s="116"/>
      <c r="L188" s="169">
        <v>42275</v>
      </c>
      <c r="M188" s="116">
        <v>122.7</v>
      </c>
      <c r="N188" s="116">
        <v>131.80000000000001</v>
      </c>
      <c r="O188" s="116">
        <v>121.4</v>
      </c>
      <c r="P188" s="116">
        <v>127.05</v>
      </c>
      <c r="Q188" s="116">
        <v>122.7</v>
      </c>
      <c r="R188">
        <v>7754</v>
      </c>
    </row>
    <row r="189" spans="1:18" x14ac:dyDescent="0.25">
      <c r="A189" s="169">
        <v>42276</v>
      </c>
      <c r="B189" s="116">
        <v>129</v>
      </c>
      <c r="C189" s="116">
        <v>128</v>
      </c>
      <c r="D189" s="116">
        <v>120</v>
      </c>
      <c r="E189" s="116">
        <v>121</v>
      </c>
      <c r="F189" s="116">
        <v>128</v>
      </c>
      <c r="G189">
        <v>2449</v>
      </c>
      <c r="H189" s="116"/>
      <c r="I189" s="116"/>
      <c r="L189" s="169">
        <v>42276</v>
      </c>
      <c r="M189" s="116">
        <v>128.6</v>
      </c>
      <c r="N189" s="116">
        <v>130</v>
      </c>
      <c r="O189" s="116">
        <v>120.15</v>
      </c>
      <c r="P189" s="116">
        <v>122</v>
      </c>
      <c r="Q189" s="116">
        <v>128.6</v>
      </c>
      <c r="R189">
        <v>12697</v>
      </c>
    </row>
    <row r="190" spans="1:18" x14ac:dyDescent="0.25">
      <c r="A190" s="169">
        <v>42277</v>
      </c>
      <c r="B190" s="116">
        <v>129.5</v>
      </c>
      <c r="C190" s="116">
        <v>125.8</v>
      </c>
      <c r="D190" s="116">
        <v>125.5</v>
      </c>
      <c r="E190" s="116">
        <v>129.5</v>
      </c>
      <c r="F190" s="116">
        <v>125.8</v>
      </c>
      <c r="G190">
        <v>320</v>
      </c>
      <c r="H190" s="116"/>
      <c r="I190" s="116"/>
      <c r="L190" s="169">
        <v>42277</v>
      </c>
      <c r="M190" s="116">
        <v>126.35</v>
      </c>
      <c r="N190" s="116">
        <v>130.69999999999999</v>
      </c>
      <c r="O190" s="116">
        <v>125</v>
      </c>
      <c r="P190" s="116">
        <v>126.9</v>
      </c>
      <c r="Q190" s="116">
        <v>126.35</v>
      </c>
      <c r="R190">
        <v>5586</v>
      </c>
    </row>
    <row r="191" spans="1:18" x14ac:dyDescent="0.25">
      <c r="A191" s="169">
        <v>42278</v>
      </c>
      <c r="B191" s="116">
        <v>129.19999999999999</v>
      </c>
      <c r="C191" s="116">
        <v>126.2</v>
      </c>
      <c r="D191" s="116">
        <v>125.7</v>
      </c>
      <c r="E191" s="116">
        <v>129.19999999999999</v>
      </c>
      <c r="F191" s="116">
        <v>126.2</v>
      </c>
      <c r="G191">
        <v>1841</v>
      </c>
      <c r="H191" s="116"/>
      <c r="I191" s="116"/>
      <c r="L191" s="169">
        <v>42278</v>
      </c>
      <c r="M191" s="116">
        <v>127.2</v>
      </c>
      <c r="N191" s="116">
        <v>130.94999999999999</v>
      </c>
      <c r="O191" s="116">
        <v>126</v>
      </c>
      <c r="P191" s="116">
        <v>129</v>
      </c>
      <c r="Q191" s="116">
        <v>127.2</v>
      </c>
      <c r="R191">
        <v>4877</v>
      </c>
    </row>
    <row r="192" spans="1:18" x14ac:dyDescent="0.25">
      <c r="A192" s="169">
        <v>42282</v>
      </c>
      <c r="B192" s="116">
        <v>140.6</v>
      </c>
      <c r="C192" s="116">
        <v>138.69999999999999</v>
      </c>
      <c r="D192" s="116">
        <v>128</v>
      </c>
      <c r="E192" s="116">
        <v>128</v>
      </c>
      <c r="F192" s="116">
        <v>138.69999999999999</v>
      </c>
      <c r="G192">
        <v>22438</v>
      </c>
      <c r="H192" s="116"/>
      <c r="I192" s="116"/>
      <c r="L192" s="169">
        <v>42282</v>
      </c>
      <c r="M192" s="116">
        <v>137.85</v>
      </c>
      <c r="N192" s="116">
        <v>140</v>
      </c>
      <c r="O192" s="116">
        <v>127.95</v>
      </c>
      <c r="P192" s="116">
        <v>127.95</v>
      </c>
      <c r="Q192" s="116">
        <v>137.85</v>
      </c>
      <c r="R192">
        <v>45278</v>
      </c>
    </row>
    <row r="193" spans="1:18" x14ac:dyDescent="0.25">
      <c r="A193" s="169">
        <v>42283</v>
      </c>
      <c r="B193" s="116">
        <v>138.80000000000001</v>
      </c>
      <c r="C193" s="116">
        <v>132.30000000000001</v>
      </c>
      <c r="D193" s="116">
        <v>128.30000000000001</v>
      </c>
      <c r="E193" s="116">
        <v>138.4</v>
      </c>
      <c r="F193" s="116">
        <v>132.30000000000001</v>
      </c>
      <c r="G193">
        <v>5894</v>
      </c>
      <c r="H193" s="116"/>
      <c r="I193" s="116"/>
      <c r="L193" s="169">
        <v>42283</v>
      </c>
      <c r="M193" s="116">
        <v>130.75</v>
      </c>
      <c r="N193" s="116">
        <v>140</v>
      </c>
      <c r="O193" s="116">
        <v>127.1</v>
      </c>
      <c r="P193" s="116">
        <v>140</v>
      </c>
      <c r="Q193" s="116">
        <v>130.75</v>
      </c>
      <c r="R193">
        <v>20459</v>
      </c>
    </row>
    <row r="194" spans="1:18" x14ac:dyDescent="0.25">
      <c r="A194" s="169">
        <v>42284</v>
      </c>
      <c r="B194" s="116">
        <v>135.30000000000001</v>
      </c>
      <c r="C194" s="116">
        <v>131.80000000000001</v>
      </c>
      <c r="D194" s="116">
        <v>128.1</v>
      </c>
      <c r="E194" s="116">
        <v>134.5</v>
      </c>
      <c r="F194" s="116">
        <v>131.80000000000001</v>
      </c>
      <c r="G194">
        <v>3068</v>
      </c>
      <c r="H194" s="116"/>
      <c r="I194" s="116"/>
      <c r="L194" s="169">
        <v>42284</v>
      </c>
      <c r="M194" s="116">
        <v>131.75</v>
      </c>
      <c r="N194" s="116">
        <v>135.69999999999999</v>
      </c>
      <c r="O194" s="116">
        <v>130</v>
      </c>
      <c r="P194" s="116">
        <v>132</v>
      </c>
      <c r="Q194" s="116">
        <v>131.75</v>
      </c>
      <c r="R194">
        <v>10331</v>
      </c>
    </row>
    <row r="195" spans="1:18" x14ac:dyDescent="0.25">
      <c r="A195" s="169">
        <v>42285</v>
      </c>
      <c r="B195" s="116">
        <v>134.9</v>
      </c>
      <c r="C195" s="116">
        <v>130.69999999999999</v>
      </c>
      <c r="D195" s="116">
        <v>130.6</v>
      </c>
      <c r="E195" s="116">
        <v>134.80000000000001</v>
      </c>
      <c r="F195" s="116">
        <v>130.69999999999999</v>
      </c>
      <c r="G195">
        <v>167</v>
      </c>
      <c r="H195" s="116"/>
      <c r="I195" s="116"/>
      <c r="L195" s="169">
        <v>42285</v>
      </c>
      <c r="M195" s="116">
        <v>131.65</v>
      </c>
      <c r="N195" s="116">
        <v>133.65</v>
      </c>
      <c r="O195" s="116">
        <v>130.4</v>
      </c>
      <c r="P195" s="116">
        <v>133.65</v>
      </c>
      <c r="Q195" s="116">
        <v>131.65</v>
      </c>
      <c r="R195">
        <v>3931</v>
      </c>
    </row>
    <row r="196" spans="1:18" x14ac:dyDescent="0.25">
      <c r="A196" s="169">
        <v>42286</v>
      </c>
      <c r="B196" s="116">
        <v>138.19999999999999</v>
      </c>
      <c r="C196" s="116">
        <v>137</v>
      </c>
      <c r="D196" s="116">
        <v>130</v>
      </c>
      <c r="E196" s="116">
        <v>130</v>
      </c>
      <c r="F196" s="116">
        <v>137</v>
      </c>
      <c r="G196">
        <v>7115</v>
      </c>
      <c r="H196" s="116"/>
      <c r="I196" s="116"/>
      <c r="L196" s="169">
        <v>42286</v>
      </c>
      <c r="M196" s="116">
        <v>137.05000000000001</v>
      </c>
      <c r="N196" s="116">
        <v>138</v>
      </c>
      <c r="O196" s="116">
        <v>128.30000000000001</v>
      </c>
      <c r="P196" s="116">
        <v>128.30000000000001</v>
      </c>
      <c r="Q196" s="116">
        <v>137.05000000000001</v>
      </c>
      <c r="R196">
        <v>15305</v>
      </c>
    </row>
    <row r="197" spans="1:18" x14ac:dyDescent="0.25">
      <c r="A197" s="169">
        <v>42289</v>
      </c>
      <c r="B197" s="116">
        <v>140.4</v>
      </c>
      <c r="C197" s="116">
        <v>139.9</v>
      </c>
      <c r="D197" s="116">
        <v>136</v>
      </c>
      <c r="E197" s="116">
        <v>136</v>
      </c>
      <c r="F197" s="116">
        <v>139.9</v>
      </c>
      <c r="G197">
        <v>10127</v>
      </c>
      <c r="H197" s="116"/>
      <c r="I197" s="116"/>
      <c r="L197" s="169">
        <v>42289</v>
      </c>
      <c r="M197" s="116">
        <v>140</v>
      </c>
      <c r="N197" s="116">
        <v>141.9</v>
      </c>
      <c r="O197" s="116">
        <v>132.80000000000001</v>
      </c>
      <c r="P197" s="116">
        <v>136.05000000000001</v>
      </c>
      <c r="Q197" s="116">
        <v>140</v>
      </c>
      <c r="R197">
        <v>36653</v>
      </c>
    </row>
    <row r="198" spans="1:18" x14ac:dyDescent="0.25">
      <c r="A198" s="169">
        <v>42290</v>
      </c>
      <c r="B198" s="116">
        <v>141.1</v>
      </c>
      <c r="C198" s="116">
        <v>137.9</v>
      </c>
      <c r="D198" s="116">
        <v>136.5</v>
      </c>
      <c r="E198" s="116">
        <v>140.9</v>
      </c>
      <c r="F198" s="116">
        <v>137.9</v>
      </c>
      <c r="G198">
        <v>7434</v>
      </c>
      <c r="H198" s="116"/>
      <c r="I198" s="116"/>
      <c r="L198" s="169">
        <v>42290</v>
      </c>
      <c r="M198" s="116">
        <v>138.4</v>
      </c>
      <c r="N198" s="116">
        <v>141.30000000000001</v>
      </c>
      <c r="O198" s="116">
        <v>134.19999999999999</v>
      </c>
      <c r="P198" s="116">
        <v>140</v>
      </c>
      <c r="Q198" s="116">
        <v>138.4</v>
      </c>
      <c r="R198">
        <v>30055</v>
      </c>
    </row>
    <row r="199" spans="1:18" x14ac:dyDescent="0.25">
      <c r="A199" s="169">
        <v>42291</v>
      </c>
      <c r="B199" s="116">
        <v>139.80000000000001</v>
      </c>
      <c r="C199" s="116">
        <v>137.30000000000001</v>
      </c>
      <c r="D199" s="116">
        <v>136</v>
      </c>
      <c r="E199" s="116">
        <v>139.6</v>
      </c>
      <c r="F199" s="116">
        <v>137.30000000000001</v>
      </c>
      <c r="G199">
        <v>2551</v>
      </c>
      <c r="H199" s="116"/>
      <c r="I199" s="116"/>
      <c r="L199" s="169">
        <v>42291</v>
      </c>
      <c r="M199" s="116">
        <v>137.85</v>
      </c>
      <c r="N199" s="116">
        <v>140.05000000000001</v>
      </c>
      <c r="O199" s="116">
        <v>135</v>
      </c>
      <c r="P199" s="116">
        <v>137</v>
      </c>
      <c r="Q199" s="116">
        <v>137.85</v>
      </c>
      <c r="R199">
        <v>22120</v>
      </c>
    </row>
    <row r="200" spans="1:18" x14ac:dyDescent="0.25">
      <c r="A200" s="169">
        <v>42292</v>
      </c>
      <c r="B200" s="116">
        <v>137.1</v>
      </c>
      <c r="C200" s="116">
        <v>136.4</v>
      </c>
      <c r="D200" s="116">
        <v>136</v>
      </c>
      <c r="E200" s="116">
        <v>137</v>
      </c>
      <c r="F200" s="116">
        <v>136.4</v>
      </c>
      <c r="G200">
        <v>1455</v>
      </c>
      <c r="H200" s="116"/>
      <c r="I200" s="116"/>
      <c r="L200" s="169">
        <v>42292</v>
      </c>
      <c r="M200" s="116">
        <v>135.94999999999999</v>
      </c>
      <c r="N200" s="116">
        <v>138.9</v>
      </c>
      <c r="O200" s="116">
        <v>135.55000000000001</v>
      </c>
      <c r="P200" s="116">
        <v>138</v>
      </c>
      <c r="Q200" s="116">
        <v>135.94999999999999</v>
      </c>
      <c r="R200">
        <v>7159</v>
      </c>
    </row>
    <row r="201" spans="1:18" x14ac:dyDescent="0.25">
      <c r="A201" s="169">
        <v>42293</v>
      </c>
      <c r="B201" s="116">
        <v>139</v>
      </c>
      <c r="C201" s="116">
        <v>137.5</v>
      </c>
      <c r="D201" s="116">
        <v>135.1</v>
      </c>
      <c r="E201" s="116">
        <v>135.19999999999999</v>
      </c>
      <c r="F201" s="116">
        <v>137.5</v>
      </c>
      <c r="G201">
        <v>4507</v>
      </c>
      <c r="H201" s="116"/>
      <c r="I201" s="116"/>
      <c r="L201" s="169">
        <v>42293</v>
      </c>
      <c r="M201" s="116">
        <v>137.1</v>
      </c>
      <c r="N201" s="116">
        <v>140</v>
      </c>
      <c r="O201" s="116">
        <v>133</v>
      </c>
      <c r="P201" s="116">
        <v>140</v>
      </c>
      <c r="Q201" s="116">
        <v>137.1</v>
      </c>
      <c r="R201">
        <v>16823</v>
      </c>
    </row>
    <row r="202" spans="1:18" x14ac:dyDescent="0.25">
      <c r="A202" s="169">
        <v>42296</v>
      </c>
      <c r="B202" s="116">
        <v>151</v>
      </c>
      <c r="C202" s="116">
        <v>147.5</v>
      </c>
      <c r="D202" s="116">
        <v>136</v>
      </c>
      <c r="E202" s="116">
        <v>136</v>
      </c>
      <c r="F202" s="116">
        <v>147.5</v>
      </c>
      <c r="G202">
        <v>25055</v>
      </c>
      <c r="H202" s="116"/>
      <c r="I202" s="116"/>
      <c r="L202" s="169">
        <v>42296</v>
      </c>
      <c r="M202" s="116">
        <v>147.85</v>
      </c>
      <c r="N202" s="116">
        <v>150.94999999999999</v>
      </c>
      <c r="O202" s="116">
        <v>137</v>
      </c>
      <c r="P202" s="116">
        <v>137</v>
      </c>
      <c r="Q202" s="116">
        <v>147.85</v>
      </c>
      <c r="R202">
        <v>92649</v>
      </c>
    </row>
    <row r="203" spans="1:18" x14ac:dyDescent="0.25">
      <c r="A203" s="169">
        <v>42297</v>
      </c>
      <c r="B203" s="116">
        <v>147.6</v>
      </c>
      <c r="C203" s="116">
        <v>142.30000000000001</v>
      </c>
      <c r="D203" s="116">
        <v>141</v>
      </c>
      <c r="E203" s="116">
        <v>147.5</v>
      </c>
      <c r="F203" s="116">
        <v>142.30000000000001</v>
      </c>
      <c r="G203">
        <v>5844</v>
      </c>
      <c r="H203" s="116"/>
      <c r="I203" s="116"/>
      <c r="L203" s="169">
        <v>42297</v>
      </c>
      <c r="M203" s="116">
        <v>142.6</v>
      </c>
      <c r="N203" s="116">
        <v>147.69999999999999</v>
      </c>
      <c r="O203" s="116">
        <v>141.05000000000001</v>
      </c>
      <c r="P203" s="116">
        <v>144.30000000000001</v>
      </c>
      <c r="Q203" s="116">
        <v>142.6</v>
      </c>
      <c r="R203">
        <v>14711</v>
      </c>
    </row>
    <row r="204" spans="1:18" x14ac:dyDescent="0.25">
      <c r="A204" s="169">
        <v>42298</v>
      </c>
      <c r="B204" s="116">
        <v>144.69999999999999</v>
      </c>
      <c r="C204" s="116">
        <v>143.5</v>
      </c>
      <c r="D204" s="116">
        <v>140.5</v>
      </c>
      <c r="E204" s="116">
        <v>143.5</v>
      </c>
      <c r="F204" s="116">
        <v>143.5</v>
      </c>
      <c r="G204">
        <v>4834</v>
      </c>
      <c r="H204" s="116"/>
      <c r="I204" s="116"/>
      <c r="L204" s="169">
        <v>42298</v>
      </c>
      <c r="M204" s="116">
        <v>143.55000000000001</v>
      </c>
      <c r="N204" s="116">
        <v>145</v>
      </c>
      <c r="O204" s="116">
        <v>140</v>
      </c>
      <c r="P204" s="116">
        <v>144</v>
      </c>
      <c r="Q204" s="116">
        <v>143.55000000000001</v>
      </c>
      <c r="R204">
        <v>9664</v>
      </c>
    </row>
    <row r="205" spans="1:18" x14ac:dyDescent="0.25">
      <c r="A205" s="169">
        <v>42300</v>
      </c>
      <c r="B205" s="116">
        <v>145.6</v>
      </c>
      <c r="C205" s="116">
        <v>140.5</v>
      </c>
      <c r="D205" s="116">
        <v>138.6</v>
      </c>
      <c r="E205" s="116">
        <v>144.9</v>
      </c>
      <c r="F205" s="116">
        <v>140.5</v>
      </c>
      <c r="G205">
        <v>8358</v>
      </c>
      <c r="H205" s="116"/>
      <c r="I205" s="116"/>
      <c r="L205" s="169">
        <v>42300</v>
      </c>
      <c r="M205" s="116">
        <v>142.25</v>
      </c>
      <c r="N205" s="116">
        <v>146</v>
      </c>
      <c r="O205" s="116">
        <v>138.19999999999999</v>
      </c>
      <c r="P205" s="116">
        <v>142</v>
      </c>
      <c r="Q205" s="116">
        <v>142.25</v>
      </c>
      <c r="R205">
        <v>32299</v>
      </c>
    </row>
    <row r="206" spans="1:18" x14ac:dyDescent="0.25">
      <c r="A206" s="169">
        <v>42303</v>
      </c>
      <c r="B206" s="116">
        <v>140</v>
      </c>
      <c r="C206" s="116">
        <v>132</v>
      </c>
      <c r="D206" s="116">
        <v>131</v>
      </c>
      <c r="E206" s="116">
        <v>140</v>
      </c>
      <c r="F206" s="116">
        <v>132</v>
      </c>
      <c r="G206">
        <v>5917</v>
      </c>
      <c r="H206" s="116"/>
      <c r="I206" s="116"/>
      <c r="L206" s="169">
        <v>42303</v>
      </c>
      <c r="M206" s="116">
        <v>131.55000000000001</v>
      </c>
      <c r="N206" s="116">
        <v>144.5</v>
      </c>
      <c r="O206" s="116">
        <v>130.80000000000001</v>
      </c>
      <c r="P206" s="116">
        <v>141.05000000000001</v>
      </c>
      <c r="Q206" s="116">
        <v>131.55000000000001</v>
      </c>
      <c r="R206">
        <v>28202</v>
      </c>
    </row>
    <row r="207" spans="1:18" x14ac:dyDescent="0.25">
      <c r="A207" s="169">
        <v>42304</v>
      </c>
      <c r="B207" s="116">
        <v>138</v>
      </c>
      <c r="C207" s="116">
        <v>132.6</v>
      </c>
      <c r="D207" s="116">
        <v>131.1</v>
      </c>
      <c r="E207" s="116">
        <v>132.5</v>
      </c>
      <c r="F207" s="116">
        <v>132.6</v>
      </c>
      <c r="G207">
        <v>1671</v>
      </c>
      <c r="H207" s="116"/>
      <c r="I207" s="116"/>
      <c r="L207" s="169">
        <v>42304</v>
      </c>
      <c r="M207" s="116">
        <v>133.19999999999999</v>
      </c>
      <c r="N207" s="116">
        <v>134</v>
      </c>
      <c r="O207" s="116">
        <v>131.19999999999999</v>
      </c>
      <c r="P207" s="116">
        <v>131.5</v>
      </c>
      <c r="Q207" s="116">
        <v>133.19999999999999</v>
      </c>
      <c r="R207">
        <v>6355</v>
      </c>
    </row>
    <row r="208" spans="1:18" x14ac:dyDescent="0.25">
      <c r="A208" s="169">
        <v>42305</v>
      </c>
      <c r="B208" s="116">
        <v>133.80000000000001</v>
      </c>
      <c r="C208" s="116">
        <v>130.1</v>
      </c>
      <c r="D208" s="116">
        <v>129.1</v>
      </c>
      <c r="E208" s="116">
        <v>133.80000000000001</v>
      </c>
      <c r="F208" s="116">
        <v>130.1</v>
      </c>
      <c r="G208">
        <v>787</v>
      </c>
      <c r="H208" s="116"/>
      <c r="I208" s="116"/>
      <c r="L208" s="169">
        <v>42305</v>
      </c>
      <c r="M208" s="116">
        <v>130.94999999999999</v>
      </c>
      <c r="N208" s="116">
        <v>134</v>
      </c>
      <c r="O208" s="116">
        <v>129</v>
      </c>
      <c r="P208" s="116">
        <v>132</v>
      </c>
      <c r="Q208" s="116">
        <v>130.94999999999999</v>
      </c>
      <c r="R208">
        <v>18428</v>
      </c>
    </row>
    <row r="209" spans="1:18" x14ac:dyDescent="0.25">
      <c r="A209" s="169">
        <v>42306</v>
      </c>
      <c r="B209" s="116">
        <v>132.69999999999999</v>
      </c>
      <c r="C209" s="116">
        <v>129.19999999999999</v>
      </c>
      <c r="D209" s="116">
        <v>128</v>
      </c>
      <c r="E209" s="116">
        <v>131.69999999999999</v>
      </c>
      <c r="F209" s="116">
        <v>129.19999999999999</v>
      </c>
      <c r="G209">
        <v>5413</v>
      </c>
      <c r="H209" s="116"/>
      <c r="I209" s="116"/>
      <c r="L209" s="169">
        <v>42306</v>
      </c>
      <c r="M209" s="116">
        <v>130</v>
      </c>
      <c r="N209" s="116">
        <v>133.5</v>
      </c>
      <c r="O209" s="116">
        <v>127.05</v>
      </c>
      <c r="P209" s="116">
        <v>133.5</v>
      </c>
      <c r="Q209" s="116">
        <v>130</v>
      </c>
      <c r="R209">
        <v>6940</v>
      </c>
    </row>
    <row r="210" spans="1:18" x14ac:dyDescent="0.25">
      <c r="A210" s="169">
        <v>42307</v>
      </c>
      <c r="B210" s="116">
        <v>133</v>
      </c>
      <c r="C210" s="116">
        <v>130.4</v>
      </c>
      <c r="D210" s="116">
        <v>130</v>
      </c>
      <c r="E210" s="116">
        <v>130</v>
      </c>
      <c r="F210" s="116">
        <v>130.4</v>
      </c>
      <c r="G210">
        <v>1970</v>
      </c>
      <c r="H210" s="116"/>
      <c r="I210" s="116"/>
      <c r="L210" s="169">
        <v>42307</v>
      </c>
      <c r="M210" s="116">
        <v>130.65</v>
      </c>
      <c r="N210" s="116">
        <v>133.4</v>
      </c>
      <c r="O210" s="116">
        <v>129</v>
      </c>
      <c r="P210" s="116">
        <v>129.55000000000001</v>
      </c>
      <c r="Q210" s="116">
        <v>130.65</v>
      </c>
      <c r="R210">
        <v>9641</v>
      </c>
    </row>
    <row r="211" spans="1:18" x14ac:dyDescent="0.25">
      <c r="A211" s="169">
        <v>42310</v>
      </c>
      <c r="B211" s="116">
        <v>137.80000000000001</v>
      </c>
      <c r="C211" s="116">
        <v>132</v>
      </c>
      <c r="D211" s="116">
        <v>131.19999999999999</v>
      </c>
      <c r="E211" s="116">
        <v>132</v>
      </c>
      <c r="F211" s="116">
        <v>132</v>
      </c>
      <c r="G211">
        <v>2994</v>
      </c>
      <c r="H211" s="116"/>
      <c r="I211" s="116"/>
      <c r="L211" s="169">
        <v>42310</v>
      </c>
      <c r="M211" s="116">
        <v>131.94999999999999</v>
      </c>
      <c r="N211" s="116">
        <v>136.9</v>
      </c>
      <c r="O211" s="116">
        <v>130.5</v>
      </c>
      <c r="P211" s="116">
        <v>136.9</v>
      </c>
      <c r="Q211" s="116">
        <v>131.94999999999999</v>
      </c>
      <c r="R211">
        <v>11133</v>
      </c>
    </row>
    <row r="212" spans="1:18" x14ac:dyDescent="0.25">
      <c r="A212" s="169">
        <v>42311</v>
      </c>
      <c r="B212" s="116">
        <v>134.1</v>
      </c>
      <c r="C212" s="116">
        <v>125.9</v>
      </c>
      <c r="D212" s="116">
        <v>123.5</v>
      </c>
      <c r="E212" s="116">
        <v>133</v>
      </c>
      <c r="F212" s="116">
        <v>125.9</v>
      </c>
      <c r="G212">
        <v>9167</v>
      </c>
      <c r="H212" s="116"/>
      <c r="I212" s="116"/>
      <c r="L212" s="169">
        <v>42311</v>
      </c>
      <c r="M212" s="116">
        <v>126.35</v>
      </c>
      <c r="N212" s="116">
        <v>134</v>
      </c>
      <c r="O212" s="116">
        <v>123</v>
      </c>
      <c r="P212" s="116">
        <v>131.9</v>
      </c>
      <c r="Q212" s="116">
        <v>126.35</v>
      </c>
      <c r="R212">
        <v>35220</v>
      </c>
    </row>
    <row r="213" spans="1:18" x14ac:dyDescent="0.25">
      <c r="A213" s="169">
        <v>42312</v>
      </c>
      <c r="B213" s="116">
        <v>131.30000000000001</v>
      </c>
      <c r="C213" s="116">
        <v>128.30000000000001</v>
      </c>
      <c r="D213" s="116">
        <v>126.7</v>
      </c>
      <c r="E213" s="116">
        <v>129</v>
      </c>
      <c r="F213" s="116">
        <v>128.30000000000001</v>
      </c>
      <c r="G213">
        <v>3148</v>
      </c>
      <c r="H213" s="116"/>
      <c r="I213" s="116"/>
      <c r="L213" s="169">
        <v>42312</v>
      </c>
      <c r="M213" s="116">
        <v>129.15</v>
      </c>
      <c r="N213" s="116">
        <v>133</v>
      </c>
      <c r="O213" s="116">
        <v>125.35</v>
      </c>
      <c r="P213" s="116">
        <v>125.35</v>
      </c>
      <c r="Q213" s="116">
        <v>129.15</v>
      </c>
      <c r="R213">
        <v>7302</v>
      </c>
    </row>
    <row r="214" spans="1:18" x14ac:dyDescent="0.25">
      <c r="A214" s="169">
        <v>42313</v>
      </c>
      <c r="B214" s="116">
        <v>127.5</v>
      </c>
      <c r="C214" s="116">
        <v>121</v>
      </c>
      <c r="D214" s="116">
        <v>119.3</v>
      </c>
      <c r="E214" s="116">
        <v>127.5</v>
      </c>
      <c r="F214" s="116">
        <v>121</v>
      </c>
      <c r="G214">
        <v>4946</v>
      </c>
      <c r="H214" s="116"/>
      <c r="I214" s="116"/>
      <c r="L214" s="169">
        <v>42313</v>
      </c>
      <c r="M214" s="116">
        <v>122.45</v>
      </c>
      <c r="N214" s="116">
        <v>132</v>
      </c>
      <c r="O214" s="116">
        <v>121</v>
      </c>
      <c r="P214" s="116">
        <v>125.1</v>
      </c>
      <c r="Q214" s="116">
        <v>122.45</v>
      </c>
      <c r="R214">
        <v>13948</v>
      </c>
    </row>
    <row r="215" spans="1:18" x14ac:dyDescent="0.25">
      <c r="A215" s="169">
        <v>42314</v>
      </c>
      <c r="B215" s="116">
        <v>127.3</v>
      </c>
      <c r="C215" s="116">
        <v>125</v>
      </c>
      <c r="D215" s="116">
        <v>123.1</v>
      </c>
      <c r="E215" s="116">
        <v>125</v>
      </c>
      <c r="F215" s="116">
        <v>125</v>
      </c>
      <c r="G215">
        <v>1409</v>
      </c>
      <c r="H215" s="116"/>
      <c r="I215" s="116"/>
      <c r="L215" s="169">
        <v>42314</v>
      </c>
      <c r="M215" s="116">
        <v>125.15</v>
      </c>
      <c r="N215" s="116">
        <v>127.25</v>
      </c>
      <c r="O215" s="116">
        <v>121.25</v>
      </c>
      <c r="P215" s="116">
        <v>123.05</v>
      </c>
      <c r="Q215" s="116">
        <v>125.15</v>
      </c>
      <c r="R215">
        <v>7908</v>
      </c>
    </row>
    <row r="216" spans="1:18" x14ac:dyDescent="0.25">
      <c r="A216" s="169">
        <v>42317</v>
      </c>
      <c r="B216" s="116">
        <v>126.3</v>
      </c>
      <c r="C216" s="116">
        <v>125.7</v>
      </c>
      <c r="D216" s="116">
        <v>123</v>
      </c>
      <c r="E216" s="116">
        <v>124.2</v>
      </c>
      <c r="F216" s="116">
        <v>125.7</v>
      </c>
      <c r="G216">
        <v>1906</v>
      </c>
      <c r="H216" s="116"/>
      <c r="I216" s="116"/>
      <c r="L216" s="169">
        <v>42317</v>
      </c>
      <c r="M216" s="116">
        <v>124.8</v>
      </c>
      <c r="N216" s="116">
        <v>127</v>
      </c>
      <c r="O216" s="116">
        <v>121</v>
      </c>
      <c r="P216" s="116">
        <v>124</v>
      </c>
      <c r="Q216" s="116">
        <v>124.8</v>
      </c>
      <c r="R216">
        <v>4510</v>
      </c>
    </row>
    <row r="217" spans="1:18" x14ac:dyDescent="0.25">
      <c r="A217" s="169">
        <v>42318</v>
      </c>
      <c r="B217" s="116">
        <v>130</v>
      </c>
      <c r="C217" s="116">
        <v>124.4</v>
      </c>
      <c r="D217" s="116">
        <v>122.7</v>
      </c>
      <c r="E217" s="116">
        <v>127</v>
      </c>
      <c r="F217" s="116">
        <v>124.4</v>
      </c>
      <c r="G217">
        <v>598</v>
      </c>
      <c r="H217" s="116"/>
      <c r="I217" s="116"/>
      <c r="L217" s="169">
        <v>42318</v>
      </c>
      <c r="M217" s="116">
        <v>123.2</v>
      </c>
      <c r="N217" s="116">
        <v>131</v>
      </c>
      <c r="O217" s="116">
        <v>122</v>
      </c>
      <c r="P217" s="116">
        <v>124</v>
      </c>
      <c r="Q217" s="116">
        <v>123.2</v>
      </c>
      <c r="R217">
        <v>3177</v>
      </c>
    </row>
    <row r="218" spans="1:18" x14ac:dyDescent="0.25">
      <c r="A218" s="169">
        <v>42319</v>
      </c>
      <c r="B218" s="116">
        <v>126.7</v>
      </c>
      <c r="C218" s="116">
        <v>125.9</v>
      </c>
      <c r="D218" s="116">
        <v>125</v>
      </c>
      <c r="E218" s="116">
        <v>126</v>
      </c>
      <c r="F218" s="116">
        <v>125.9</v>
      </c>
      <c r="G218">
        <v>151</v>
      </c>
      <c r="H218" s="116"/>
      <c r="I218" s="116"/>
      <c r="L218" s="169">
        <v>42319</v>
      </c>
      <c r="M218" s="116">
        <v>126.2</v>
      </c>
      <c r="N218" s="116">
        <v>131</v>
      </c>
      <c r="O218" s="116">
        <v>122.4</v>
      </c>
      <c r="P218" s="116">
        <v>131</v>
      </c>
      <c r="Q218" s="116">
        <v>126.2</v>
      </c>
      <c r="R218">
        <v>1766</v>
      </c>
    </row>
    <row r="219" spans="1:18" x14ac:dyDescent="0.25">
      <c r="A219" s="169">
        <v>42321</v>
      </c>
      <c r="B219" s="116">
        <v>128</v>
      </c>
      <c r="C219" s="116">
        <v>126.7</v>
      </c>
      <c r="D219" s="116">
        <v>122</v>
      </c>
      <c r="E219" s="116">
        <v>126</v>
      </c>
      <c r="F219" s="116">
        <v>126.7</v>
      </c>
      <c r="G219">
        <v>1120</v>
      </c>
      <c r="H219" s="116"/>
      <c r="I219" s="116"/>
      <c r="L219" s="169">
        <v>42321</v>
      </c>
      <c r="M219" s="116">
        <v>127.1</v>
      </c>
      <c r="N219" s="116">
        <v>128.25</v>
      </c>
      <c r="O219" s="116">
        <v>122</v>
      </c>
      <c r="P219" s="116">
        <v>126.2</v>
      </c>
      <c r="Q219" s="116">
        <v>127.1</v>
      </c>
      <c r="R219">
        <v>3148</v>
      </c>
    </row>
    <row r="220" spans="1:18" x14ac:dyDescent="0.25">
      <c r="A220" s="169">
        <v>42324</v>
      </c>
      <c r="B220" s="116">
        <v>129</v>
      </c>
      <c r="C220" s="116">
        <v>128.9</v>
      </c>
      <c r="D220" s="116">
        <v>125</v>
      </c>
      <c r="E220" s="116">
        <v>126.2</v>
      </c>
      <c r="F220" s="116">
        <v>128.9</v>
      </c>
      <c r="G220">
        <v>6216</v>
      </c>
      <c r="H220" s="116"/>
      <c r="I220" s="116"/>
      <c r="L220" s="169">
        <v>42324</v>
      </c>
      <c r="M220" s="116">
        <v>129</v>
      </c>
      <c r="N220" s="116">
        <v>129.5</v>
      </c>
      <c r="O220" s="116">
        <v>123.1</v>
      </c>
      <c r="P220" s="116">
        <v>127.5</v>
      </c>
      <c r="Q220" s="116">
        <v>129</v>
      </c>
      <c r="R220">
        <v>12672</v>
      </c>
    </row>
    <row r="221" spans="1:18" x14ac:dyDescent="0.25">
      <c r="A221" s="169">
        <v>42325</v>
      </c>
      <c r="B221" s="116">
        <v>131.30000000000001</v>
      </c>
      <c r="C221" s="116">
        <v>130</v>
      </c>
      <c r="D221" s="116">
        <v>128.5</v>
      </c>
      <c r="E221" s="116">
        <v>130</v>
      </c>
      <c r="F221" s="116">
        <v>130</v>
      </c>
      <c r="G221">
        <v>4898</v>
      </c>
      <c r="H221" s="116"/>
      <c r="I221" s="116"/>
      <c r="L221" s="169">
        <v>42325</v>
      </c>
      <c r="M221" s="116">
        <v>130.55000000000001</v>
      </c>
      <c r="N221" s="116">
        <v>131.69999999999999</v>
      </c>
      <c r="O221" s="116">
        <v>128.65</v>
      </c>
      <c r="P221" s="116">
        <v>130</v>
      </c>
      <c r="Q221" s="116">
        <v>130.55000000000001</v>
      </c>
      <c r="R221">
        <v>11917</v>
      </c>
    </row>
    <row r="222" spans="1:18" x14ac:dyDescent="0.25">
      <c r="A222" s="169">
        <v>42326</v>
      </c>
      <c r="B222" s="116">
        <v>131.4</v>
      </c>
      <c r="C222" s="116">
        <v>127.4</v>
      </c>
      <c r="D222" s="116">
        <v>125</v>
      </c>
      <c r="E222" s="116">
        <v>130</v>
      </c>
      <c r="F222" s="116">
        <v>127.4</v>
      </c>
      <c r="G222">
        <v>9239</v>
      </c>
      <c r="H222" s="116"/>
      <c r="I222" s="116"/>
      <c r="L222" s="169">
        <v>42326</v>
      </c>
      <c r="M222" s="116">
        <v>127.1</v>
      </c>
      <c r="N222" s="116">
        <v>131</v>
      </c>
      <c r="O222" s="116">
        <v>126</v>
      </c>
      <c r="P222" s="116">
        <v>131</v>
      </c>
      <c r="Q222" s="116">
        <v>127.1</v>
      </c>
      <c r="R222">
        <v>12710</v>
      </c>
    </row>
    <row r="223" spans="1:18" x14ac:dyDescent="0.25">
      <c r="A223" s="169">
        <v>42327</v>
      </c>
      <c r="B223" s="116">
        <v>136.9</v>
      </c>
      <c r="C223" s="116">
        <v>134.4</v>
      </c>
      <c r="D223" s="116">
        <v>126.8</v>
      </c>
      <c r="E223" s="116">
        <v>128</v>
      </c>
      <c r="F223" s="116">
        <v>134.4</v>
      </c>
      <c r="G223">
        <v>23604</v>
      </c>
      <c r="H223" s="116"/>
      <c r="I223" s="116"/>
      <c r="L223" s="169">
        <v>42327</v>
      </c>
      <c r="M223" s="116">
        <v>134.4</v>
      </c>
      <c r="N223" s="116">
        <v>136.85</v>
      </c>
      <c r="O223" s="116">
        <v>126</v>
      </c>
      <c r="P223" s="116">
        <v>126.5</v>
      </c>
      <c r="Q223" s="116">
        <v>134.4</v>
      </c>
      <c r="R223">
        <v>94322</v>
      </c>
    </row>
    <row r="224" spans="1:18" x14ac:dyDescent="0.25">
      <c r="A224" s="169">
        <v>42328</v>
      </c>
      <c r="B224" s="116">
        <v>142.19999999999999</v>
      </c>
      <c r="C224" s="116">
        <v>140.5</v>
      </c>
      <c r="D224" s="116">
        <v>130</v>
      </c>
      <c r="E224" s="116">
        <v>134</v>
      </c>
      <c r="F224" s="116">
        <v>140.5</v>
      </c>
      <c r="G224">
        <v>20098</v>
      </c>
      <c r="H224" s="116"/>
      <c r="I224" s="116"/>
      <c r="L224" s="169">
        <v>42328</v>
      </c>
      <c r="M224" s="116">
        <v>140.35</v>
      </c>
      <c r="N224" s="116">
        <v>142</v>
      </c>
      <c r="O224" s="116">
        <v>130.15</v>
      </c>
      <c r="P224" s="116">
        <v>137</v>
      </c>
      <c r="Q224" s="116">
        <v>140.35</v>
      </c>
      <c r="R224">
        <v>49531</v>
      </c>
    </row>
    <row r="225" spans="1:18" x14ac:dyDescent="0.25">
      <c r="A225" s="169">
        <v>42331</v>
      </c>
      <c r="B225" s="116">
        <v>143</v>
      </c>
      <c r="C225" s="116">
        <v>138</v>
      </c>
      <c r="D225" s="116">
        <v>136</v>
      </c>
      <c r="E225" s="116">
        <v>142.5</v>
      </c>
      <c r="F225" s="116">
        <v>138</v>
      </c>
      <c r="G225">
        <v>4952</v>
      </c>
      <c r="H225" s="116"/>
      <c r="I225" s="116"/>
      <c r="L225" s="169">
        <v>42331</v>
      </c>
      <c r="M225" s="116">
        <v>136.69999999999999</v>
      </c>
      <c r="N225" s="116">
        <v>143.75</v>
      </c>
      <c r="O225" s="116">
        <v>134.30000000000001</v>
      </c>
      <c r="P225" s="116">
        <v>139</v>
      </c>
      <c r="Q225" s="116">
        <v>136.69999999999999</v>
      </c>
      <c r="R225">
        <v>18782</v>
      </c>
    </row>
    <row r="226" spans="1:18" x14ac:dyDescent="0.25">
      <c r="A226" s="169">
        <v>42332</v>
      </c>
      <c r="B226" s="116">
        <v>138</v>
      </c>
      <c r="C226" s="116">
        <v>135</v>
      </c>
      <c r="D226" s="116">
        <v>134</v>
      </c>
      <c r="E226" s="116">
        <v>138</v>
      </c>
      <c r="F226" s="116">
        <v>135</v>
      </c>
      <c r="G226">
        <v>2403</v>
      </c>
      <c r="H226" s="116"/>
      <c r="I226" s="116"/>
      <c r="L226" s="169">
        <v>42332</v>
      </c>
      <c r="M226" s="116">
        <v>135.05000000000001</v>
      </c>
      <c r="N226" s="116">
        <v>138.4</v>
      </c>
      <c r="O226" s="116">
        <v>134.5</v>
      </c>
      <c r="P226" s="116">
        <v>135</v>
      </c>
      <c r="Q226" s="116">
        <v>135.05000000000001</v>
      </c>
      <c r="R226">
        <v>10821</v>
      </c>
    </row>
    <row r="227" spans="1:18" x14ac:dyDescent="0.25">
      <c r="A227" s="169">
        <v>42334</v>
      </c>
      <c r="B227" s="116">
        <v>140.19999999999999</v>
      </c>
      <c r="C227" s="116">
        <v>134.30000000000001</v>
      </c>
      <c r="D227" s="116">
        <v>132</v>
      </c>
      <c r="E227" s="116">
        <v>136.9</v>
      </c>
      <c r="F227" s="116">
        <v>134.30000000000001</v>
      </c>
      <c r="G227">
        <v>4697</v>
      </c>
      <c r="H227" s="116"/>
      <c r="I227" s="116"/>
      <c r="L227" s="169">
        <v>42334</v>
      </c>
      <c r="M227" s="116">
        <v>133.6</v>
      </c>
      <c r="N227" s="116">
        <v>139.9</v>
      </c>
      <c r="O227" s="116">
        <v>131.5</v>
      </c>
      <c r="P227" s="116">
        <v>135</v>
      </c>
      <c r="Q227" s="116">
        <v>133.6</v>
      </c>
      <c r="R227">
        <v>35413</v>
      </c>
    </row>
    <row r="228" spans="1:18" x14ac:dyDescent="0.25">
      <c r="A228" s="169">
        <v>42335</v>
      </c>
      <c r="B228" s="116">
        <v>139.69999999999999</v>
      </c>
      <c r="C228" s="116">
        <v>134.6</v>
      </c>
      <c r="D228" s="116">
        <v>134</v>
      </c>
      <c r="E228" s="116">
        <v>136.5</v>
      </c>
      <c r="F228" s="116">
        <v>134.6</v>
      </c>
      <c r="G228">
        <v>2853</v>
      </c>
      <c r="H228" s="116"/>
      <c r="I228" s="116"/>
      <c r="L228" s="169">
        <v>42335</v>
      </c>
      <c r="M228" s="116">
        <v>135.6</v>
      </c>
      <c r="N228" s="116">
        <v>139.5</v>
      </c>
      <c r="O228" s="116">
        <v>130</v>
      </c>
      <c r="P228" s="116">
        <v>133.5</v>
      </c>
      <c r="Q228" s="116">
        <v>135.6</v>
      </c>
      <c r="R228">
        <v>14792</v>
      </c>
    </row>
    <row r="229" spans="1:18" x14ac:dyDescent="0.25">
      <c r="A229" s="169">
        <v>42338</v>
      </c>
      <c r="B229" s="116">
        <v>136.9</v>
      </c>
      <c r="C229" s="116">
        <v>133.4</v>
      </c>
      <c r="D229" s="116">
        <v>132.6</v>
      </c>
      <c r="E229" s="116">
        <v>135.1</v>
      </c>
      <c r="F229" s="116">
        <v>133.4</v>
      </c>
      <c r="G229">
        <v>4610</v>
      </c>
      <c r="H229" s="116"/>
      <c r="I229" s="116"/>
      <c r="L229" s="169">
        <v>42338</v>
      </c>
      <c r="M229" s="116">
        <v>132.55000000000001</v>
      </c>
      <c r="N229" s="116">
        <v>138</v>
      </c>
      <c r="O229" s="116">
        <v>131.94999999999999</v>
      </c>
      <c r="P229" s="116">
        <v>138</v>
      </c>
      <c r="Q229" s="116">
        <v>132.55000000000001</v>
      </c>
      <c r="R229">
        <v>20956</v>
      </c>
    </row>
    <row r="230" spans="1:18" x14ac:dyDescent="0.25">
      <c r="A230" s="169">
        <v>42339</v>
      </c>
      <c r="B230" s="116">
        <v>135</v>
      </c>
      <c r="C230" s="116">
        <v>134</v>
      </c>
      <c r="D230" s="116">
        <v>132.5</v>
      </c>
      <c r="E230" s="116">
        <v>135</v>
      </c>
      <c r="F230" s="116">
        <v>134</v>
      </c>
      <c r="G230">
        <v>5791</v>
      </c>
      <c r="H230" s="116"/>
      <c r="I230" s="116"/>
      <c r="L230" s="169">
        <v>42339</v>
      </c>
      <c r="M230" s="116">
        <v>134.05000000000001</v>
      </c>
      <c r="N230" s="116">
        <v>136.25</v>
      </c>
      <c r="O230" s="116">
        <v>133</v>
      </c>
      <c r="P230" s="116">
        <v>133</v>
      </c>
      <c r="Q230" s="116">
        <v>134.05000000000001</v>
      </c>
      <c r="R230">
        <v>11760</v>
      </c>
    </row>
    <row r="231" spans="1:18" x14ac:dyDescent="0.25">
      <c r="A231" s="169">
        <v>42340</v>
      </c>
      <c r="B231" s="116">
        <v>146</v>
      </c>
      <c r="C231" s="116">
        <v>144.9</v>
      </c>
      <c r="D231" s="116">
        <v>133</v>
      </c>
      <c r="E231" s="116">
        <v>135</v>
      </c>
      <c r="F231" s="116">
        <v>144.9</v>
      </c>
      <c r="G231">
        <v>48138</v>
      </c>
      <c r="H231" s="116"/>
      <c r="I231" s="116"/>
      <c r="L231" s="169">
        <v>42340</v>
      </c>
      <c r="M231" s="116">
        <v>145.05000000000001</v>
      </c>
      <c r="N231" s="116">
        <v>146.75</v>
      </c>
      <c r="O231" s="116">
        <v>132.65</v>
      </c>
      <c r="P231" s="116">
        <v>135.80000000000001</v>
      </c>
      <c r="Q231" s="116">
        <v>145.05000000000001</v>
      </c>
      <c r="R231">
        <v>128420</v>
      </c>
    </row>
    <row r="232" spans="1:18" x14ac:dyDescent="0.25">
      <c r="A232" s="169">
        <v>42341</v>
      </c>
      <c r="B232" s="116">
        <v>149.9</v>
      </c>
      <c r="C232" s="116">
        <v>140.69999999999999</v>
      </c>
      <c r="D232" s="116">
        <v>139</v>
      </c>
      <c r="E232" s="116">
        <v>145.80000000000001</v>
      </c>
      <c r="F232" s="116">
        <v>140.69999999999999</v>
      </c>
      <c r="G232">
        <v>11095</v>
      </c>
      <c r="H232" s="116"/>
      <c r="I232" s="116"/>
      <c r="L232" s="169">
        <v>42341</v>
      </c>
      <c r="M232" s="116">
        <v>140.30000000000001</v>
      </c>
      <c r="N232" s="116">
        <v>150</v>
      </c>
      <c r="O232" s="116">
        <v>139</v>
      </c>
      <c r="P232" s="116">
        <v>145.05000000000001</v>
      </c>
      <c r="Q232" s="116">
        <v>140.30000000000001</v>
      </c>
      <c r="R232">
        <v>39678</v>
      </c>
    </row>
    <row r="233" spans="1:18" x14ac:dyDescent="0.25">
      <c r="A233" s="169">
        <v>42342</v>
      </c>
      <c r="B233" s="116">
        <v>144</v>
      </c>
      <c r="C233" s="116">
        <v>140.30000000000001</v>
      </c>
      <c r="D233" s="116">
        <v>137.30000000000001</v>
      </c>
      <c r="E233" s="116">
        <v>137.30000000000001</v>
      </c>
      <c r="F233" s="116">
        <v>140.30000000000001</v>
      </c>
      <c r="G233">
        <v>4398</v>
      </c>
      <c r="H233" s="116"/>
      <c r="I233" s="116"/>
      <c r="L233" s="169">
        <v>42342</v>
      </c>
      <c r="M233" s="116">
        <v>141.05000000000001</v>
      </c>
      <c r="N233" s="116">
        <v>146.6</v>
      </c>
      <c r="O233" s="116">
        <v>136.80000000000001</v>
      </c>
      <c r="P233" s="116">
        <v>139</v>
      </c>
      <c r="Q233" s="116">
        <v>141.05000000000001</v>
      </c>
      <c r="R233">
        <v>13569</v>
      </c>
    </row>
    <row r="234" spans="1:18" x14ac:dyDescent="0.25">
      <c r="A234" s="169">
        <v>42345</v>
      </c>
      <c r="B234" s="116">
        <v>145.5</v>
      </c>
      <c r="C234" s="116">
        <v>140.9</v>
      </c>
      <c r="D234" s="116">
        <v>140.19999999999999</v>
      </c>
      <c r="E234" s="116">
        <v>145.5</v>
      </c>
      <c r="F234" s="116">
        <v>140.9</v>
      </c>
      <c r="G234">
        <v>2018</v>
      </c>
      <c r="H234" s="116"/>
      <c r="I234" s="116"/>
      <c r="L234" s="169">
        <v>42345</v>
      </c>
      <c r="M234" s="116">
        <v>141.30000000000001</v>
      </c>
      <c r="N234" s="116">
        <v>145</v>
      </c>
      <c r="O234" s="116">
        <v>140.1</v>
      </c>
      <c r="P234" s="116">
        <v>142</v>
      </c>
      <c r="Q234" s="116">
        <v>141.30000000000001</v>
      </c>
      <c r="R234">
        <v>9660</v>
      </c>
    </row>
    <row r="235" spans="1:18" x14ac:dyDescent="0.25">
      <c r="A235" s="169">
        <v>42346</v>
      </c>
      <c r="B235" s="116">
        <v>145.5</v>
      </c>
      <c r="C235" s="116">
        <v>140.1</v>
      </c>
      <c r="D235" s="116">
        <v>140</v>
      </c>
      <c r="E235" s="116">
        <v>145</v>
      </c>
      <c r="F235" s="116">
        <v>140.1</v>
      </c>
      <c r="G235">
        <v>1663</v>
      </c>
      <c r="H235" s="116"/>
      <c r="I235" s="116"/>
      <c r="L235" s="169">
        <v>42346</v>
      </c>
      <c r="M235" s="116">
        <v>139.85</v>
      </c>
      <c r="N235" s="116">
        <v>145</v>
      </c>
      <c r="O235" s="116">
        <v>139</v>
      </c>
      <c r="P235" s="116">
        <v>144.4</v>
      </c>
      <c r="Q235" s="116">
        <v>139.85</v>
      </c>
      <c r="R235">
        <v>14179</v>
      </c>
    </row>
    <row r="236" spans="1:18" x14ac:dyDescent="0.25">
      <c r="A236" s="169">
        <v>42347</v>
      </c>
      <c r="B236" s="116">
        <v>140</v>
      </c>
      <c r="C236" s="116">
        <v>131.5</v>
      </c>
      <c r="D236" s="116">
        <v>131</v>
      </c>
      <c r="E236" s="116">
        <v>140</v>
      </c>
      <c r="F236" s="116">
        <v>131.5</v>
      </c>
      <c r="G236">
        <v>7136</v>
      </c>
      <c r="H236" s="116"/>
      <c r="I236" s="116"/>
      <c r="L236" s="169">
        <v>42347</v>
      </c>
      <c r="M236" s="116">
        <v>132.35</v>
      </c>
      <c r="N236" s="116">
        <v>139.65</v>
      </c>
      <c r="O236" s="116">
        <v>132</v>
      </c>
      <c r="P236" s="116">
        <v>139.65</v>
      </c>
      <c r="Q236" s="116">
        <v>132.35</v>
      </c>
      <c r="R236">
        <v>18561</v>
      </c>
    </row>
    <row r="237" spans="1:18" x14ac:dyDescent="0.25">
      <c r="A237" s="169">
        <v>42348</v>
      </c>
      <c r="B237" s="116">
        <v>138</v>
      </c>
      <c r="C237" s="116">
        <v>136.4</v>
      </c>
      <c r="D237" s="116">
        <v>131.80000000000001</v>
      </c>
      <c r="E237" s="116">
        <v>134.19999999999999</v>
      </c>
      <c r="F237" s="116">
        <v>136.4</v>
      </c>
      <c r="G237">
        <v>2939</v>
      </c>
      <c r="H237" s="116"/>
      <c r="I237" s="116"/>
      <c r="L237" s="169">
        <v>42348</v>
      </c>
      <c r="M237" s="116">
        <v>136.94999999999999</v>
      </c>
      <c r="N237" s="116">
        <v>138.1</v>
      </c>
      <c r="O237" s="116">
        <v>131</v>
      </c>
      <c r="P237" s="116">
        <v>133</v>
      </c>
      <c r="Q237" s="116">
        <v>136.94999999999999</v>
      </c>
      <c r="R237">
        <v>8941</v>
      </c>
    </row>
    <row r="238" spans="1:18" x14ac:dyDescent="0.25">
      <c r="A238" s="169">
        <v>42349</v>
      </c>
      <c r="B238" s="116">
        <v>137</v>
      </c>
      <c r="C238" s="116">
        <v>131.9</v>
      </c>
      <c r="D238" s="116">
        <v>130.5</v>
      </c>
      <c r="E238" s="116">
        <v>137</v>
      </c>
      <c r="F238" s="116">
        <v>131.9</v>
      </c>
      <c r="G238">
        <v>2745</v>
      </c>
      <c r="H238" s="116"/>
      <c r="I238" s="116"/>
      <c r="L238" s="169">
        <v>42349</v>
      </c>
      <c r="M238" s="116">
        <v>132</v>
      </c>
      <c r="N238" s="116">
        <v>137</v>
      </c>
      <c r="O238" s="116">
        <v>130.05000000000001</v>
      </c>
      <c r="P238" s="116">
        <v>136.75</v>
      </c>
      <c r="Q238" s="116">
        <v>132</v>
      </c>
      <c r="R238">
        <v>14258</v>
      </c>
    </row>
    <row r="239" spans="1:18" x14ac:dyDescent="0.25">
      <c r="A239" s="169">
        <v>42352</v>
      </c>
      <c r="B239" s="116">
        <v>135</v>
      </c>
      <c r="C239" s="116">
        <v>130.30000000000001</v>
      </c>
      <c r="D239" s="116">
        <v>127</v>
      </c>
      <c r="E239" s="116">
        <v>130.30000000000001</v>
      </c>
      <c r="F239" s="116">
        <v>130.30000000000001</v>
      </c>
      <c r="G239">
        <v>3224</v>
      </c>
      <c r="H239" s="116"/>
      <c r="I239" s="116"/>
      <c r="L239" s="169">
        <v>42352</v>
      </c>
      <c r="M239" s="116">
        <v>130.75</v>
      </c>
      <c r="N239" s="116">
        <v>135</v>
      </c>
      <c r="O239" s="116">
        <v>125.75</v>
      </c>
      <c r="P239" s="116">
        <v>131</v>
      </c>
      <c r="Q239" s="116">
        <v>130.75</v>
      </c>
      <c r="R239">
        <v>17807</v>
      </c>
    </row>
    <row r="240" spans="1:18" x14ac:dyDescent="0.25">
      <c r="A240" s="169">
        <v>42353</v>
      </c>
      <c r="B240" s="116">
        <v>142.4</v>
      </c>
      <c r="C240" s="116">
        <v>140.30000000000001</v>
      </c>
      <c r="D240" s="116">
        <v>127</v>
      </c>
      <c r="E240" s="116">
        <v>128.69999999999999</v>
      </c>
      <c r="F240" s="116">
        <v>140.30000000000001</v>
      </c>
      <c r="G240">
        <v>10563</v>
      </c>
      <c r="H240" s="116"/>
      <c r="I240" s="116"/>
      <c r="L240" s="169">
        <v>42353</v>
      </c>
      <c r="M240" s="116">
        <v>139.9</v>
      </c>
      <c r="N240" s="116">
        <v>142</v>
      </c>
      <c r="O240" s="116">
        <v>126.5</v>
      </c>
      <c r="P240" s="116">
        <v>130.05000000000001</v>
      </c>
      <c r="Q240" s="116">
        <v>139.9</v>
      </c>
      <c r="R240">
        <v>22143</v>
      </c>
    </row>
    <row r="241" spans="1:18" x14ac:dyDescent="0.25">
      <c r="A241" s="169">
        <v>42354</v>
      </c>
      <c r="B241" s="116">
        <v>148</v>
      </c>
      <c r="C241" s="116">
        <v>145.5</v>
      </c>
      <c r="D241" s="116">
        <v>139.6</v>
      </c>
      <c r="E241" s="116">
        <v>139.6</v>
      </c>
      <c r="F241" s="116">
        <v>145.5</v>
      </c>
      <c r="G241">
        <v>16257</v>
      </c>
      <c r="H241" s="116"/>
      <c r="I241" s="116"/>
      <c r="L241" s="169">
        <v>42354</v>
      </c>
      <c r="M241" s="116">
        <v>144.9</v>
      </c>
      <c r="N241" s="116">
        <v>148.44999999999999</v>
      </c>
      <c r="O241" s="116">
        <v>138.19999999999999</v>
      </c>
      <c r="P241" s="116">
        <v>139</v>
      </c>
      <c r="Q241" s="116">
        <v>144.9</v>
      </c>
      <c r="R241">
        <v>67349</v>
      </c>
    </row>
    <row r="242" spans="1:18" x14ac:dyDescent="0.25">
      <c r="A242" s="169">
        <v>42355</v>
      </c>
      <c r="B242" s="116">
        <v>149</v>
      </c>
      <c r="C242" s="116">
        <v>148.19999999999999</v>
      </c>
      <c r="D242" s="116">
        <v>142.5</v>
      </c>
      <c r="E242" s="116">
        <v>146.1</v>
      </c>
      <c r="F242" s="116">
        <v>148.19999999999999</v>
      </c>
      <c r="G242">
        <v>13770</v>
      </c>
      <c r="H242" s="116"/>
      <c r="I242" s="116"/>
      <c r="L242" s="169">
        <v>42355</v>
      </c>
      <c r="M242" s="116">
        <v>148.35</v>
      </c>
      <c r="N242" s="116">
        <v>149</v>
      </c>
      <c r="O242" s="116">
        <v>142.19999999999999</v>
      </c>
      <c r="P242" s="116">
        <v>148</v>
      </c>
      <c r="Q242" s="116">
        <v>148.35</v>
      </c>
      <c r="R242">
        <v>34542</v>
      </c>
    </row>
    <row r="243" spans="1:18" x14ac:dyDescent="0.25">
      <c r="A243" s="169">
        <v>42356</v>
      </c>
      <c r="B243" s="116">
        <v>147</v>
      </c>
      <c r="C243" s="116">
        <v>143.4</v>
      </c>
      <c r="D243" s="116">
        <v>141.80000000000001</v>
      </c>
      <c r="E243" s="116">
        <v>147</v>
      </c>
      <c r="F243" s="116">
        <v>143.4</v>
      </c>
      <c r="G243">
        <v>2828</v>
      </c>
      <c r="H243" s="116"/>
      <c r="I243" s="116"/>
      <c r="L243" s="169">
        <v>42356</v>
      </c>
      <c r="M243" s="116">
        <v>142.9</v>
      </c>
      <c r="N243" s="116">
        <v>147.9</v>
      </c>
      <c r="O243" s="116">
        <v>142</v>
      </c>
      <c r="P243" s="116">
        <v>147.6</v>
      </c>
      <c r="Q243" s="116">
        <v>142.9</v>
      </c>
      <c r="R243">
        <v>10705</v>
      </c>
    </row>
    <row r="244" spans="1:18" x14ac:dyDescent="0.25">
      <c r="A244" s="169">
        <v>42359</v>
      </c>
      <c r="B244" s="116">
        <v>147.69999999999999</v>
      </c>
      <c r="C244" s="116">
        <v>144</v>
      </c>
      <c r="D244" s="116">
        <v>141.5</v>
      </c>
      <c r="E244" s="116">
        <v>143.80000000000001</v>
      </c>
      <c r="F244" s="116">
        <v>144</v>
      </c>
      <c r="G244">
        <v>7665</v>
      </c>
      <c r="H244" s="116"/>
      <c r="I244" s="116"/>
      <c r="L244" s="169">
        <v>42359</v>
      </c>
      <c r="M244" s="116">
        <v>143.30000000000001</v>
      </c>
      <c r="N244" s="116">
        <v>148</v>
      </c>
      <c r="O244" s="116">
        <v>140</v>
      </c>
      <c r="P244" s="116">
        <v>142.80000000000001</v>
      </c>
      <c r="Q244" s="116">
        <v>143.30000000000001</v>
      </c>
      <c r="R244">
        <v>21901</v>
      </c>
    </row>
    <row r="245" spans="1:18" x14ac:dyDescent="0.25">
      <c r="A245" s="169">
        <v>42360</v>
      </c>
      <c r="B245" s="116">
        <v>151.80000000000001</v>
      </c>
      <c r="C245" s="116">
        <v>147.9</v>
      </c>
      <c r="D245" s="116">
        <v>143.19999999999999</v>
      </c>
      <c r="E245" s="116">
        <v>143.19999999999999</v>
      </c>
      <c r="F245" s="116">
        <v>147.9</v>
      </c>
      <c r="G245">
        <v>21448</v>
      </c>
      <c r="H245" s="116"/>
      <c r="I245" s="116"/>
      <c r="L245" s="169">
        <v>42360</v>
      </c>
      <c r="M245" s="116">
        <v>147.4</v>
      </c>
      <c r="N245" s="116">
        <v>151.9</v>
      </c>
      <c r="O245" s="116">
        <v>142.1</v>
      </c>
      <c r="P245" s="116">
        <v>146.94999999999999</v>
      </c>
      <c r="Q245" s="116">
        <v>147.4</v>
      </c>
      <c r="R245">
        <v>120161</v>
      </c>
    </row>
    <row r="246" spans="1:18" x14ac:dyDescent="0.25">
      <c r="A246" s="169">
        <v>42361</v>
      </c>
      <c r="B246" s="116">
        <v>150</v>
      </c>
      <c r="C246" s="116">
        <v>144.4</v>
      </c>
      <c r="D246" s="116">
        <v>143.5</v>
      </c>
      <c r="E246" s="116">
        <v>148</v>
      </c>
      <c r="F246" s="116">
        <v>144.4</v>
      </c>
      <c r="G246">
        <v>6046</v>
      </c>
      <c r="H246" s="116"/>
      <c r="I246" s="116"/>
      <c r="L246" s="169">
        <v>42361</v>
      </c>
      <c r="M246" s="116">
        <v>144.55000000000001</v>
      </c>
      <c r="N246" s="116">
        <v>150.15</v>
      </c>
      <c r="O246" s="116">
        <v>143.19999999999999</v>
      </c>
      <c r="P246" s="116">
        <v>146.6</v>
      </c>
      <c r="Q246" s="116">
        <v>144.55000000000001</v>
      </c>
      <c r="R246">
        <v>19613</v>
      </c>
    </row>
    <row r="247" spans="1:18" x14ac:dyDescent="0.25">
      <c r="A247" s="169">
        <v>42362</v>
      </c>
      <c r="B247" s="116">
        <v>163</v>
      </c>
      <c r="C247" s="116">
        <v>159</v>
      </c>
      <c r="D247" s="116">
        <v>145.9</v>
      </c>
      <c r="E247" s="116">
        <v>145.9</v>
      </c>
      <c r="F247" s="116">
        <v>159</v>
      </c>
      <c r="G247">
        <v>78870</v>
      </c>
      <c r="H247" s="116"/>
      <c r="I247" s="116"/>
      <c r="L247" s="169">
        <v>42362</v>
      </c>
      <c r="M247" s="116">
        <v>157.9</v>
      </c>
      <c r="N247" s="116">
        <v>162</v>
      </c>
      <c r="O247" s="116">
        <v>144.5</v>
      </c>
      <c r="P247" s="116">
        <v>144.5</v>
      </c>
      <c r="Q247" s="116">
        <v>157.9</v>
      </c>
      <c r="R247">
        <v>304546</v>
      </c>
    </row>
    <row r="248" spans="1:18" x14ac:dyDescent="0.25">
      <c r="A248" s="169">
        <v>42366</v>
      </c>
      <c r="B248" s="116">
        <v>168.4</v>
      </c>
      <c r="C248" s="116">
        <v>162.4</v>
      </c>
      <c r="D248" s="116">
        <v>159.6</v>
      </c>
      <c r="E248" s="116">
        <v>164.7</v>
      </c>
      <c r="F248" s="116">
        <v>162.4</v>
      </c>
      <c r="G248">
        <v>94550</v>
      </c>
      <c r="H248" s="116"/>
      <c r="I248" s="116"/>
      <c r="L248" s="169">
        <v>42366</v>
      </c>
      <c r="M248" s="116">
        <v>162.44999999999999</v>
      </c>
      <c r="N248" s="116">
        <v>167.9</v>
      </c>
      <c r="O248" s="116">
        <v>159.9</v>
      </c>
      <c r="P248" s="116">
        <v>160.4</v>
      </c>
      <c r="Q248" s="116">
        <v>162.44999999999999</v>
      </c>
      <c r="R248">
        <v>271086</v>
      </c>
    </row>
    <row r="249" spans="1:18" x14ac:dyDescent="0.25">
      <c r="A249" s="169">
        <v>42367</v>
      </c>
      <c r="B249" s="116">
        <v>164.4</v>
      </c>
      <c r="C249" s="116">
        <v>157.6</v>
      </c>
      <c r="D249" s="116">
        <v>155.80000000000001</v>
      </c>
      <c r="E249" s="116">
        <v>164</v>
      </c>
      <c r="F249" s="116">
        <v>157.6</v>
      </c>
      <c r="G249">
        <v>16511</v>
      </c>
      <c r="H249" s="116"/>
      <c r="I249" s="116"/>
      <c r="L249" s="169">
        <v>42367</v>
      </c>
      <c r="M249" s="116">
        <v>158.9</v>
      </c>
      <c r="N249" s="116">
        <v>164.65</v>
      </c>
      <c r="O249" s="116">
        <v>156.5</v>
      </c>
      <c r="P249" s="116">
        <v>164</v>
      </c>
      <c r="Q249" s="116">
        <v>158.9</v>
      </c>
      <c r="R249">
        <v>69279</v>
      </c>
    </row>
    <row r="250" spans="1:18" x14ac:dyDescent="0.25">
      <c r="A250" s="169">
        <v>42368</v>
      </c>
      <c r="B250" s="116">
        <v>162.69999999999999</v>
      </c>
      <c r="C250" s="116">
        <v>158.6</v>
      </c>
      <c r="D250" s="116">
        <v>158</v>
      </c>
      <c r="E250" s="116">
        <v>160</v>
      </c>
      <c r="F250" s="116">
        <v>158.6</v>
      </c>
      <c r="G250">
        <v>6766</v>
      </c>
      <c r="H250" s="116"/>
      <c r="I250" s="116"/>
      <c r="L250" s="169">
        <v>42368</v>
      </c>
      <c r="M250" s="116">
        <v>158.69999999999999</v>
      </c>
      <c r="N250" s="116">
        <v>163</v>
      </c>
      <c r="O250" s="116">
        <v>157</v>
      </c>
      <c r="P250" s="116">
        <v>160</v>
      </c>
      <c r="Q250" s="116">
        <v>158.69999999999999</v>
      </c>
      <c r="R250">
        <v>33525</v>
      </c>
    </row>
    <row r="251" spans="1:18" x14ac:dyDescent="0.25">
      <c r="A251" s="169">
        <v>42369</v>
      </c>
      <c r="B251" s="116">
        <v>168</v>
      </c>
      <c r="C251" s="116">
        <v>164.6</v>
      </c>
      <c r="D251" s="116">
        <v>162.5</v>
      </c>
      <c r="E251" s="116">
        <v>163</v>
      </c>
      <c r="F251" s="116">
        <v>164.6</v>
      </c>
      <c r="G251">
        <v>32987</v>
      </c>
      <c r="H251" s="116"/>
      <c r="I251" s="116"/>
      <c r="L251" s="169">
        <v>42369</v>
      </c>
      <c r="M251" s="116">
        <v>163.85</v>
      </c>
      <c r="N251" s="116">
        <v>168</v>
      </c>
      <c r="O251" s="116">
        <v>162</v>
      </c>
      <c r="P251" s="116">
        <v>163</v>
      </c>
      <c r="Q251" s="116">
        <v>163.85</v>
      </c>
      <c r="R251">
        <v>159759</v>
      </c>
    </row>
    <row r="252" spans="1:18" x14ac:dyDescent="0.25">
      <c r="A252" s="169">
        <v>42370</v>
      </c>
      <c r="B252" s="116">
        <v>166</v>
      </c>
      <c r="C252" s="116">
        <v>162.1</v>
      </c>
      <c r="D252" s="116">
        <v>161</v>
      </c>
      <c r="E252" s="116">
        <v>164.5</v>
      </c>
      <c r="F252" s="116">
        <v>162.1</v>
      </c>
      <c r="G252">
        <v>9197</v>
      </c>
      <c r="H252" s="116"/>
      <c r="I252" s="116"/>
      <c r="L252" s="169">
        <v>42370</v>
      </c>
      <c r="M252" s="116">
        <v>162.85</v>
      </c>
      <c r="N252" s="116">
        <v>165.9</v>
      </c>
      <c r="O252" s="116">
        <v>161.25</v>
      </c>
      <c r="P252" s="116">
        <v>164.5</v>
      </c>
      <c r="Q252" s="116">
        <v>162.85</v>
      </c>
      <c r="R252">
        <v>32538</v>
      </c>
    </row>
    <row r="253" spans="1:18" x14ac:dyDescent="0.25">
      <c r="A253" s="169">
        <v>42373</v>
      </c>
      <c r="B253" s="116">
        <v>163.4</v>
      </c>
      <c r="C253" s="116">
        <v>157.30000000000001</v>
      </c>
      <c r="D253" s="116">
        <v>156.30000000000001</v>
      </c>
      <c r="E253" s="116">
        <v>163.1</v>
      </c>
      <c r="F253" s="116">
        <v>157.30000000000001</v>
      </c>
      <c r="G253">
        <v>9735</v>
      </c>
      <c r="H253" s="116"/>
      <c r="I253" s="116"/>
      <c r="L253" s="169">
        <v>42373</v>
      </c>
      <c r="M253" s="116">
        <v>158.05000000000001</v>
      </c>
      <c r="N253" s="116">
        <v>164.7</v>
      </c>
      <c r="O253" s="116">
        <v>156.6</v>
      </c>
      <c r="P253" s="116">
        <v>162.80000000000001</v>
      </c>
      <c r="Q253" s="116">
        <v>158.05000000000001</v>
      </c>
      <c r="R253">
        <v>35108</v>
      </c>
    </row>
    <row r="254" spans="1:18" x14ac:dyDescent="0.25">
      <c r="A254" s="169">
        <v>42374</v>
      </c>
      <c r="B254" s="116">
        <v>160</v>
      </c>
      <c r="C254" s="116">
        <v>159.5</v>
      </c>
      <c r="D254" s="116">
        <v>156.30000000000001</v>
      </c>
      <c r="E254" s="116">
        <v>160</v>
      </c>
      <c r="F254" s="116">
        <v>159.5</v>
      </c>
      <c r="G254">
        <v>4710</v>
      </c>
      <c r="H254" s="116"/>
      <c r="I254" s="116"/>
      <c r="L254" s="169">
        <v>42374</v>
      </c>
      <c r="M254" s="116">
        <v>159.1</v>
      </c>
      <c r="N254" s="116">
        <v>161.94999999999999</v>
      </c>
      <c r="O254" s="116">
        <v>156</v>
      </c>
      <c r="P254" s="116">
        <v>156</v>
      </c>
      <c r="Q254" s="116">
        <v>159.1</v>
      </c>
      <c r="R254">
        <v>16009</v>
      </c>
    </row>
    <row r="255" spans="1:18" x14ac:dyDescent="0.25">
      <c r="A255" s="169">
        <v>42375</v>
      </c>
      <c r="B255" s="116">
        <v>162</v>
      </c>
      <c r="C255" s="116">
        <v>149.30000000000001</v>
      </c>
      <c r="D255" s="116">
        <v>148.1</v>
      </c>
      <c r="E255" s="116">
        <v>159.9</v>
      </c>
      <c r="F255" s="116">
        <v>149.30000000000001</v>
      </c>
      <c r="G255">
        <v>33022</v>
      </c>
      <c r="H255" s="116"/>
      <c r="I255" s="116"/>
      <c r="L255" s="169">
        <v>42375</v>
      </c>
      <c r="M255" s="116">
        <v>149.35</v>
      </c>
      <c r="N255" s="116">
        <v>162.19999999999999</v>
      </c>
      <c r="O255" s="116">
        <v>148</v>
      </c>
      <c r="P255" s="116">
        <v>159</v>
      </c>
      <c r="Q255" s="116">
        <v>149.35</v>
      </c>
      <c r="R255">
        <v>88530</v>
      </c>
    </row>
    <row r="256" spans="1:18" x14ac:dyDescent="0.25">
      <c r="A256" s="169">
        <v>42376</v>
      </c>
      <c r="B256" s="116">
        <v>149.69999999999999</v>
      </c>
      <c r="C256" s="116">
        <v>137.69999999999999</v>
      </c>
      <c r="D256" s="116">
        <v>136.80000000000001</v>
      </c>
      <c r="E256" s="116">
        <v>149.6</v>
      </c>
      <c r="F256" s="116">
        <v>137.69999999999999</v>
      </c>
      <c r="G256">
        <v>23439</v>
      </c>
      <c r="H256" s="116"/>
      <c r="I256" s="116"/>
      <c r="L256" s="169">
        <v>42376</v>
      </c>
      <c r="M256" s="116">
        <v>137.9</v>
      </c>
      <c r="N256" s="116">
        <v>153</v>
      </c>
      <c r="O256" s="116">
        <v>137</v>
      </c>
      <c r="P256" s="116">
        <v>153</v>
      </c>
      <c r="Q256" s="116">
        <v>137.9</v>
      </c>
      <c r="R256">
        <v>113492</v>
      </c>
    </row>
    <row r="257" spans="1:18" x14ac:dyDescent="0.25">
      <c r="A257" s="169">
        <v>42377</v>
      </c>
      <c r="B257" s="116">
        <v>156.5</v>
      </c>
      <c r="C257" s="116">
        <v>154.80000000000001</v>
      </c>
      <c r="D257" s="116">
        <v>140</v>
      </c>
      <c r="E257" s="116">
        <v>140</v>
      </c>
      <c r="F257" s="116">
        <v>154.80000000000001</v>
      </c>
      <c r="G257">
        <v>31534</v>
      </c>
      <c r="H257" s="116"/>
      <c r="I257" s="116"/>
      <c r="L257" s="169">
        <v>42377</v>
      </c>
      <c r="M257" s="116">
        <v>154</v>
      </c>
      <c r="N257" s="116">
        <v>156.30000000000001</v>
      </c>
      <c r="O257" s="116">
        <v>139.4</v>
      </c>
      <c r="P257" s="116">
        <v>142</v>
      </c>
      <c r="Q257" s="116">
        <v>154</v>
      </c>
      <c r="R257">
        <v>94262</v>
      </c>
    </row>
    <row r="258" spans="1:18" x14ac:dyDescent="0.25">
      <c r="A258" s="169">
        <v>42380</v>
      </c>
      <c r="B258" s="116">
        <v>153.9</v>
      </c>
      <c r="C258" s="116">
        <v>147.6</v>
      </c>
      <c r="D258" s="116">
        <v>146</v>
      </c>
      <c r="E258" s="116">
        <v>153.9</v>
      </c>
      <c r="F258" s="116">
        <v>147.6</v>
      </c>
      <c r="G258">
        <v>13037</v>
      </c>
      <c r="H258" s="116"/>
      <c r="I258" s="116"/>
      <c r="L258" s="169">
        <v>42380</v>
      </c>
      <c r="M258" s="116">
        <v>147.85</v>
      </c>
      <c r="N258" s="116">
        <v>151</v>
      </c>
      <c r="O258" s="116">
        <v>146.5</v>
      </c>
      <c r="P258" s="116">
        <v>151</v>
      </c>
      <c r="Q258" s="116">
        <v>147.85</v>
      </c>
      <c r="R258">
        <v>46160</v>
      </c>
    </row>
    <row r="259" spans="1:18" x14ac:dyDescent="0.25">
      <c r="A259" s="169">
        <v>42381</v>
      </c>
      <c r="B259" s="116">
        <v>151.80000000000001</v>
      </c>
      <c r="C259" s="116">
        <v>144.80000000000001</v>
      </c>
      <c r="D259" s="116">
        <v>144.19999999999999</v>
      </c>
      <c r="E259" s="116">
        <v>151</v>
      </c>
      <c r="F259" s="116">
        <v>144.80000000000001</v>
      </c>
      <c r="G259">
        <v>7373</v>
      </c>
      <c r="H259" s="116"/>
      <c r="I259" s="116"/>
      <c r="L259" s="169">
        <v>42381</v>
      </c>
      <c r="M259" s="116">
        <v>144.9</v>
      </c>
      <c r="N259" s="116">
        <v>152.35</v>
      </c>
      <c r="O259" s="116">
        <v>144</v>
      </c>
      <c r="P259" s="116">
        <v>145.19999999999999</v>
      </c>
      <c r="Q259" s="116">
        <v>144.9</v>
      </c>
      <c r="R259">
        <v>31416</v>
      </c>
    </row>
    <row r="260" spans="1:18" x14ac:dyDescent="0.25">
      <c r="A260" s="169">
        <v>42382</v>
      </c>
      <c r="B260" s="116">
        <v>148.4</v>
      </c>
      <c r="C260" s="116">
        <v>138.69999999999999</v>
      </c>
      <c r="D260" s="116">
        <v>130</v>
      </c>
      <c r="E260" s="116">
        <v>148</v>
      </c>
      <c r="F260" s="116">
        <v>138.69999999999999</v>
      </c>
      <c r="G260">
        <v>26303</v>
      </c>
      <c r="H260" s="116"/>
      <c r="I260" s="116"/>
      <c r="L260" s="169">
        <v>42382</v>
      </c>
      <c r="M260" s="116">
        <v>140.80000000000001</v>
      </c>
      <c r="N260" s="116">
        <v>150</v>
      </c>
      <c r="O260" s="116">
        <v>130.25</v>
      </c>
      <c r="P260" s="116">
        <v>145</v>
      </c>
      <c r="Q260" s="116">
        <v>140.80000000000001</v>
      </c>
      <c r="R260">
        <v>79233</v>
      </c>
    </row>
    <row r="261" spans="1:18" x14ac:dyDescent="0.25">
      <c r="A261" s="169">
        <v>42383</v>
      </c>
      <c r="B261" s="116">
        <v>144.5</v>
      </c>
      <c r="C261" s="116">
        <v>138.6</v>
      </c>
      <c r="D261" s="116">
        <v>133.9</v>
      </c>
      <c r="E261" s="116">
        <v>136.6</v>
      </c>
      <c r="F261" s="116">
        <v>138.6</v>
      </c>
      <c r="G261">
        <v>3949</v>
      </c>
      <c r="H261" s="116"/>
      <c r="I261" s="116"/>
      <c r="L261" s="169">
        <v>42383</v>
      </c>
      <c r="M261" s="116">
        <v>137.9</v>
      </c>
      <c r="N261" s="116">
        <v>145</v>
      </c>
      <c r="O261" s="116">
        <v>132.80000000000001</v>
      </c>
      <c r="P261" s="116">
        <v>138</v>
      </c>
      <c r="Q261" s="116">
        <v>137.9</v>
      </c>
      <c r="R261">
        <v>32284</v>
      </c>
    </row>
    <row r="262" spans="1:18" x14ac:dyDescent="0.25">
      <c r="A262" s="169">
        <v>42384</v>
      </c>
      <c r="B262" s="116">
        <v>142.1</v>
      </c>
      <c r="C262" s="116">
        <v>134.80000000000001</v>
      </c>
      <c r="D262" s="116">
        <v>134</v>
      </c>
      <c r="E262" s="116">
        <v>140.6</v>
      </c>
      <c r="F262" s="116">
        <v>134.80000000000001</v>
      </c>
      <c r="G262">
        <v>4236</v>
      </c>
      <c r="H262" s="116"/>
      <c r="I262" s="116"/>
      <c r="L262" s="169">
        <v>42384</v>
      </c>
      <c r="M262" s="116">
        <v>135.35</v>
      </c>
      <c r="N262" s="116">
        <v>143</v>
      </c>
      <c r="O262" s="116">
        <v>134</v>
      </c>
      <c r="P262" s="116">
        <v>143</v>
      </c>
      <c r="Q262" s="116">
        <v>135.35</v>
      </c>
      <c r="R262">
        <v>12736</v>
      </c>
    </row>
    <row r="263" spans="1:18" x14ac:dyDescent="0.25">
      <c r="A263" s="169">
        <v>42387</v>
      </c>
      <c r="B263" s="116">
        <v>137.80000000000001</v>
      </c>
      <c r="C263" s="116">
        <v>128.1</v>
      </c>
      <c r="D263" s="116">
        <v>126.8</v>
      </c>
      <c r="E263" s="116">
        <v>131.4</v>
      </c>
      <c r="F263" s="116">
        <v>128.1</v>
      </c>
      <c r="G263">
        <v>7724</v>
      </c>
      <c r="H263" s="116"/>
      <c r="I263" s="116"/>
      <c r="L263" s="169">
        <v>42387</v>
      </c>
      <c r="M263" s="116">
        <v>127.7</v>
      </c>
      <c r="N263" s="116">
        <v>135.9</v>
      </c>
      <c r="O263" s="116">
        <v>126.5</v>
      </c>
      <c r="P263" s="116">
        <v>134</v>
      </c>
      <c r="Q263" s="116">
        <v>127.7</v>
      </c>
      <c r="R263">
        <v>46337</v>
      </c>
    </row>
    <row r="264" spans="1:18" x14ac:dyDescent="0.25">
      <c r="A264" s="169">
        <v>42388</v>
      </c>
      <c r="B264" s="116">
        <v>132.9</v>
      </c>
      <c r="C264" s="116">
        <v>130.6</v>
      </c>
      <c r="D264" s="116">
        <v>130</v>
      </c>
      <c r="E264" s="116">
        <v>131.5</v>
      </c>
      <c r="F264" s="116">
        <v>130.6</v>
      </c>
      <c r="G264">
        <v>5554</v>
      </c>
      <c r="H264" s="116"/>
      <c r="I264" s="116"/>
      <c r="L264" s="169">
        <v>42388</v>
      </c>
      <c r="M264" s="116">
        <v>130.19999999999999</v>
      </c>
      <c r="N264" s="116">
        <v>133.5</v>
      </c>
      <c r="O264" s="116">
        <v>128</v>
      </c>
      <c r="P264" s="116">
        <v>131</v>
      </c>
      <c r="Q264" s="116">
        <v>130.19999999999999</v>
      </c>
      <c r="R264">
        <v>20369</v>
      </c>
    </row>
    <row r="265" spans="1:18" x14ac:dyDescent="0.25">
      <c r="A265" s="169">
        <v>42389</v>
      </c>
      <c r="B265" s="116">
        <v>131</v>
      </c>
      <c r="C265" s="116">
        <v>124.8</v>
      </c>
      <c r="D265" s="116">
        <v>123</v>
      </c>
      <c r="E265" s="116">
        <v>131</v>
      </c>
      <c r="F265" s="116">
        <v>124.8</v>
      </c>
      <c r="G265">
        <v>12231</v>
      </c>
      <c r="H265" s="116"/>
      <c r="I265" s="116"/>
      <c r="L265" s="169">
        <v>42389</v>
      </c>
      <c r="M265" s="116">
        <v>127.55</v>
      </c>
      <c r="N265" s="116">
        <v>129</v>
      </c>
      <c r="O265" s="116">
        <v>123</v>
      </c>
      <c r="P265" s="116">
        <v>128</v>
      </c>
      <c r="Q265" s="116">
        <v>127.55</v>
      </c>
      <c r="R265">
        <v>36557</v>
      </c>
    </row>
    <row r="266" spans="1:18" x14ac:dyDescent="0.25">
      <c r="A266" s="169">
        <v>42390</v>
      </c>
      <c r="B266" s="116">
        <v>130</v>
      </c>
      <c r="C266" s="116">
        <v>126.5</v>
      </c>
      <c r="D266" s="116">
        <v>124.6</v>
      </c>
      <c r="E266" s="116">
        <v>129.80000000000001</v>
      </c>
      <c r="F266" s="116">
        <v>126.5</v>
      </c>
      <c r="G266">
        <v>3882</v>
      </c>
      <c r="H266" s="116"/>
      <c r="I266" s="116"/>
      <c r="L266" s="169">
        <v>42390</v>
      </c>
      <c r="M266" s="116">
        <v>126.2</v>
      </c>
      <c r="N266" s="116">
        <v>132</v>
      </c>
      <c r="O266" s="116">
        <v>124</v>
      </c>
      <c r="P266" s="116">
        <v>127</v>
      </c>
      <c r="Q266" s="116">
        <v>126.2</v>
      </c>
      <c r="R266">
        <v>21135</v>
      </c>
    </row>
    <row r="267" spans="1:18" x14ac:dyDescent="0.25">
      <c r="A267" s="169">
        <v>42391</v>
      </c>
      <c r="B267" s="116">
        <v>133.30000000000001</v>
      </c>
      <c r="C267" s="116">
        <v>127.8</v>
      </c>
      <c r="D267" s="116">
        <v>125</v>
      </c>
      <c r="E267" s="116">
        <v>128.5</v>
      </c>
      <c r="F267" s="116">
        <v>127.8</v>
      </c>
      <c r="G267">
        <v>8977</v>
      </c>
      <c r="H267" s="116"/>
      <c r="I267" s="116"/>
      <c r="L267" s="169">
        <v>42391</v>
      </c>
      <c r="M267" s="116">
        <v>128.69999999999999</v>
      </c>
      <c r="N267" s="116">
        <v>134.75</v>
      </c>
      <c r="O267" s="116">
        <v>126.7</v>
      </c>
      <c r="P267" s="116">
        <v>126.7</v>
      </c>
      <c r="Q267" s="116">
        <v>128.69999999999999</v>
      </c>
      <c r="R267">
        <v>29142</v>
      </c>
    </row>
    <row r="268" spans="1:18" x14ac:dyDescent="0.25">
      <c r="A268" s="169">
        <v>42394</v>
      </c>
      <c r="B268" s="116">
        <v>136.69999999999999</v>
      </c>
      <c r="C268" s="116">
        <v>132.9</v>
      </c>
      <c r="D268" s="116">
        <v>130</v>
      </c>
      <c r="E268" s="116">
        <v>131.30000000000001</v>
      </c>
      <c r="F268" s="116">
        <v>132.9</v>
      </c>
      <c r="G268">
        <v>6516</v>
      </c>
      <c r="H268" s="116"/>
      <c r="I268" s="116"/>
      <c r="L268" s="169">
        <v>42394</v>
      </c>
      <c r="M268" s="116">
        <v>132.65</v>
      </c>
      <c r="N268" s="116">
        <v>137.5</v>
      </c>
      <c r="O268" s="116">
        <v>129.1</v>
      </c>
      <c r="P268" s="116">
        <v>131.5</v>
      </c>
      <c r="Q268" s="116">
        <v>132.65</v>
      </c>
      <c r="R268">
        <v>80995</v>
      </c>
    </row>
    <row r="269" spans="1:18" x14ac:dyDescent="0.25">
      <c r="A269" s="169">
        <v>42396</v>
      </c>
      <c r="B269" s="116">
        <v>136.5</v>
      </c>
      <c r="C269" s="116">
        <v>132.6</v>
      </c>
      <c r="D269" s="116">
        <v>130.30000000000001</v>
      </c>
      <c r="E269" s="116">
        <v>134</v>
      </c>
      <c r="F269" s="116">
        <v>132.6</v>
      </c>
      <c r="G269">
        <v>1774</v>
      </c>
      <c r="H269" s="116"/>
      <c r="I269" s="116"/>
      <c r="L269" s="169">
        <v>42396</v>
      </c>
      <c r="M269" s="116">
        <v>133.1</v>
      </c>
      <c r="N269" s="116">
        <v>135.4</v>
      </c>
      <c r="O269" s="116">
        <v>131.69999999999999</v>
      </c>
      <c r="P269" s="116">
        <v>132.65</v>
      </c>
      <c r="Q269" s="116">
        <v>133.1</v>
      </c>
      <c r="R269">
        <v>12092</v>
      </c>
    </row>
    <row r="270" spans="1:18" x14ac:dyDescent="0.25">
      <c r="A270" s="169">
        <v>42397</v>
      </c>
      <c r="B270" s="116">
        <v>135</v>
      </c>
      <c r="C270" s="116">
        <v>129</v>
      </c>
      <c r="D270" s="116">
        <v>126</v>
      </c>
      <c r="E270" s="116">
        <v>132.5</v>
      </c>
      <c r="F270" s="116">
        <v>129</v>
      </c>
      <c r="G270">
        <v>2310</v>
      </c>
      <c r="H270" s="116"/>
      <c r="I270" s="116"/>
      <c r="L270" s="169">
        <v>42397</v>
      </c>
      <c r="M270" s="116">
        <v>129.30000000000001</v>
      </c>
      <c r="N270" s="116">
        <v>134.6</v>
      </c>
      <c r="O270" s="116">
        <v>127</v>
      </c>
      <c r="P270" s="116">
        <v>130.6</v>
      </c>
      <c r="Q270" s="116">
        <v>129.30000000000001</v>
      </c>
      <c r="R270">
        <v>4534</v>
      </c>
    </row>
    <row r="271" spans="1:18" x14ac:dyDescent="0.25">
      <c r="A271" s="169">
        <v>42398</v>
      </c>
      <c r="B271" s="116">
        <v>142</v>
      </c>
      <c r="C271" s="116">
        <v>140.19999999999999</v>
      </c>
      <c r="D271" s="116">
        <v>130</v>
      </c>
      <c r="E271" s="116">
        <v>130</v>
      </c>
      <c r="F271" s="116">
        <v>140.19999999999999</v>
      </c>
      <c r="G271">
        <v>17425</v>
      </c>
      <c r="H271" s="116"/>
      <c r="I271" s="116"/>
      <c r="L271" s="169">
        <v>42398</v>
      </c>
      <c r="M271" s="116">
        <v>139.65</v>
      </c>
      <c r="N271" s="116">
        <v>140.80000000000001</v>
      </c>
      <c r="O271" s="116">
        <v>127.05</v>
      </c>
      <c r="P271" s="116">
        <v>127.05</v>
      </c>
      <c r="Q271" s="116">
        <v>139.65</v>
      </c>
      <c r="R271">
        <v>68441</v>
      </c>
    </row>
    <row r="272" spans="1:18" x14ac:dyDescent="0.25">
      <c r="A272" s="169">
        <v>42401</v>
      </c>
      <c r="B272" s="116">
        <v>166.7</v>
      </c>
      <c r="C272" s="116">
        <v>164.7</v>
      </c>
      <c r="D272" s="116">
        <v>148.5</v>
      </c>
      <c r="E272" s="116">
        <v>148.5</v>
      </c>
      <c r="F272" s="116">
        <v>164.7</v>
      </c>
      <c r="G272">
        <v>205978</v>
      </c>
      <c r="H272" s="116"/>
      <c r="I272" s="116"/>
      <c r="L272" s="169">
        <v>42401</v>
      </c>
      <c r="M272" s="116">
        <v>164.25</v>
      </c>
      <c r="N272" s="116">
        <v>166.2</v>
      </c>
      <c r="O272" s="116">
        <v>150</v>
      </c>
      <c r="P272" s="116">
        <v>150</v>
      </c>
      <c r="Q272" s="116">
        <v>164.25</v>
      </c>
      <c r="R272">
        <v>965914</v>
      </c>
    </row>
    <row r="273" spans="1:18" x14ac:dyDescent="0.25">
      <c r="A273" s="169">
        <v>42402</v>
      </c>
      <c r="B273" s="116">
        <v>165</v>
      </c>
      <c r="C273" s="116">
        <v>154.9</v>
      </c>
      <c r="D273" s="116">
        <v>153</v>
      </c>
      <c r="E273" s="116">
        <v>165</v>
      </c>
      <c r="F273" s="116">
        <v>154.9</v>
      </c>
      <c r="G273">
        <v>45790</v>
      </c>
      <c r="H273" s="116"/>
      <c r="I273" s="116"/>
      <c r="L273" s="169">
        <v>42402</v>
      </c>
      <c r="M273" s="116">
        <v>154.9</v>
      </c>
      <c r="N273" s="116">
        <v>165</v>
      </c>
      <c r="O273" s="116">
        <v>153.19999999999999</v>
      </c>
      <c r="P273" s="116">
        <v>165</v>
      </c>
      <c r="Q273" s="116">
        <v>154.9</v>
      </c>
      <c r="R273">
        <v>126279</v>
      </c>
    </row>
    <row r="274" spans="1:18" x14ac:dyDescent="0.25">
      <c r="A274" s="169">
        <v>42403</v>
      </c>
      <c r="B274" s="116">
        <v>158</v>
      </c>
      <c r="C274" s="116">
        <v>153</v>
      </c>
      <c r="D274" s="116">
        <v>149</v>
      </c>
      <c r="E274" s="116">
        <v>151</v>
      </c>
      <c r="F274" s="116">
        <v>153</v>
      </c>
      <c r="G274">
        <v>22710</v>
      </c>
      <c r="H274" s="116"/>
      <c r="I274" s="116"/>
      <c r="L274" s="169">
        <v>42403</v>
      </c>
      <c r="M274" s="116">
        <v>150.5</v>
      </c>
      <c r="N274" s="116">
        <v>154.65</v>
      </c>
      <c r="O274" s="116">
        <v>148.5</v>
      </c>
      <c r="P274" s="116">
        <v>150.65</v>
      </c>
      <c r="Q274" s="116">
        <v>150.5</v>
      </c>
      <c r="R274">
        <v>73931</v>
      </c>
    </row>
    <row r="275" spans="1:18" x14ac:dyDescent="0.25">
      <c r="A275" s="169">
        <v>42404</v>
      </c>
      <c r="B275" s="116">
        <v>158.5</v>
      </c>
      <c r="C275" s="116">
        <v>150.1</v>
      </c>
      <c r="D275" s="116">
        <v>149.80000000000001</v>
      </c>
      <c r="E275" s="116">
        <v>154.30000000000001</v>
      </c>
      <c r="F275" s="116">
        <v>150.1</v>
      </c>
      <c r="G275">
        <v>32067</v>
      </c>
      <c r="H275" s="116"/>
      <c r="I275" s="116"/>
      <c r="L275" s="169">
        <v>42404</v>
      </c>
      <c r="M275" s="116">
        <v>149.94999999999999</v>
      </c>
      <c r="N275" s="116">
        <v>158.1</v>
      </c>
      <c r="O275" s="116">
        <v>149.5</v>
      </c>
      <c r="P275" s="116">
        <v>153.9</v>
      </c>
      <c r="Q275" s="116">
        <v>149.94999999999999</v>
      </c>
      <c r="R275">
        <v>60758</v>
      </c>
    </row>
    <row r="276" spans="1:18" x14ac:dyDescent="0.25">
      <c r="A276" s="169">
        <v>42405</v>
      </c>
      <c r="B276" s="116">
        <v>149.5</v>
      </c>
      <c r="C276" s="116">
        <v>147.30000000000001</v>
      </c>
      <c r="D276" s="116">
        <v>146</v>
      </c>
      <c r="E276" s="116">
        <v>148.69999999999999</v>
      </c>
      <c r="F276" s="116">
        <v>147.30000000000001</v>
      </c>
      <c r="G276">
        <v>7814</v>
      </c>
      <c r="H276" s="116"/>
      <c r="I276" s="116"/>
      <c r="L276" s="169">
        <v>42405</v>
      </c>
      <c r="M276" s="116">
        <v>148.19999999999999</v>
      </c>
      <c r="N276" s="116">
        <v>150.44999999999999</v>
      </c>
      <c r="O276" s="116">
        <v>145</v>
      </c>
      <c r="P276" s="116">
        <v>149.05000000000001</v>
      </c>
      <c r="Q276" s="116">
        <v>148.19999999999999</v>
      </c>
      <c r="R276">
        <v>37743</v>
      </c>
    </row>
    <row r="277" spans="1:18" x14ac:dyDescent="0.25">
      <c r="A277" s="169">
        <v>42408</v>
      </c>
      <c r="B277" s="116">
        <v>149.5</v>
      </c>
      <c r="C277" s="116">
        <v>142.80000000000001</v>
      </c>
      <c r="D277" s="116">
        <v>142</v>
      </c>
      <c r="E277" s="116">
        <v>149.5</v>
      </c>
      <c r="F277" s="116">
        <v>142.80000000000001</v>
      </c>
      <c r="G277">
        <v>5705</v>
      </c>
      <c r="H277" s="116"/>
      <c r="I277" s="116"/>
      <c r="L277" s="169">
        <v>42408</v>
      </c>
      <c r="M277" s="116">
        <v>144</v>
      </c>
      <c r="N277" s="116">
        <v>150.5</v>
      </c>
      <c r="O277" s="116">
        <v>143.05000000000001</v>
      </c>
      <c r="P277" s="116">
        <v>146.25</v>
      </c>
      <c r="Q277" s="116">
        <v>144</v>
      </c>
      <c r="R277">
        <v>18264</v>
      </c>
    </row>
    <row r="278" spans="1:18" x14ac:dyDescent="0.25">
      <c r="A278" s="169">
        <v>42409</v>
      </c>
      <c r="B278" s="116">
        <v>146.30000000000001</v>
      </c>
      <c r="C278" s="116">
        <v>140.9</v>
      </c>
      <c r="D278" s="116">
        <v>140</v>
      </c>
      <c r="E278" s="116">
        <v>142.9</v>
      </c>
      <c r="F278" s="116">
        <v>140.9</v>
      </c>
      <c r="G278">
        <v>9291</v>
      </c>
      <c r="H278" s="116"/>
      <c r="I278" s="116"/>
      <c r="L278" s="169">
        <v>42409</v>
      </c>
      <c r="M278" s="116">
        <v>140.94999999999999</v>
      </c>
      <c r="N278" s="116">
        <v>147</v>
      </c>
      <c r="O278" s="116">
        <v>139.30000000000001</v>
      </c>
      <c r="P278" s="116">
        <v>141.05000000000001</v>
      </c>
      <c r="Q278" s="116">
        <v>140.94999999999999</v>
      </c>
      <c r="R278">
        <v>26599</v>
      </c>
    </row>
    <row r="279" spans="1:18" x14ac:dyDescent="0.25">
      <c r="A279" s="169">
        <v>42410</v>
      </c>
      <c r="B279" s="116">
        <v>143</v>
      </c>
      <c r="C279" s="116">
        <v>131.80000000000001</v>
      </c>
      <c r="D279" s="116">
        <v>130.19999999999999</v>
      </c>
      <c r="E279" s="116">
        <v>143</v>
      </c>
      <c r="F279" s="116">
        <v>131.80000000000001</v>
      </c>
      <c r="G279">
        <v>20563</v>
      </c>
      <c r="H279" s="116"/>
      <c r="I279" s="116"/>
      <c r="L279" s="169">
        <v>42410</v>
      </c>
      <c r="M279" s="116">
        <v>130.75</v>
      </c>
      <c r="N279" s="116">
        <v>146</v>
      </c>
      <c r="O279" s="116">
        <v>129</v>
      </c>
      <c r="P279" s="116">
        <v>144.05000000000001</v>
      </c>
      <c r="Q279" s="116">
        <v>130.75</v>
      </c>
      <c r="R279">
        <v>61520</v>
      </c>
    </row>
    <row r="280" spans="1:18" x14ac:dyDescent="0.25">
      <c r="A280" s="169">
        <v>42411</v>
      </c>
      <c r="B280" s="116">
        <v>131.5</v>
      </c>
      <c r="C280" s="116">
        <v>125.1</v>
      </c>
      <c r="D280" s="116">
        <v>123.7</v>
      </c>
      <c r="E280" s="116">
        <v>130</v>
      </c>
      <c r="F280" s="116">
        <v>125.1</v>
      </c>
      <c r="G280">
        <v>15256</v>
      </c>
      <c r="H280" s="116"/>
      <c r="I280" s="116"/>
      <c r="L280" s="169">
        <v>42411</v>
      </c>
      <c r="M280" s="116">
        <v>125.3</v>
      </c>
      <c r="N280" s="116">
        <v>134.69999999999999</v>
      </c>
      <c r="O280" s="116">
        <v>124.1</v>
      </c>
      <c r="P280" s="116">
        <v>129</v>
      </c>
      <c r="Q280" s="116">
        <v>125.3</v>
      </c>
      <c r="R280">
        <v>43811</v>
      </c>
    </row>
    <row r="281" spans="1:18" x14ac:dyDescent="0.25">
      <c r="A281" s="169">
        <v>42412</v>
      </c>
      <c r="B281" s="116">
        <v>128</v>
      </c>
      <c r="C281" s="116">
        <v>122.8</v>
      </c>
      <c r="D281" s="116">
        <v>115</v>
      </c>
      <c r="E281" s="116">
        <v>125</v>
      </c>
      <c r="F281" s="116">
        <v>122.8</v>
      </c>
      <c r="G281">
        <v>10180</v>
      </c>
      <c r="H281" s="116"/>
      <c r="I281" s="116"/>
      <c r="L281" s="169">
        <v>42412</v>
      </c>
      <c r="M281" s="116">
        <v>123.15</v>
      </c>
      <c r="N281" s="116">
        <v>128.19999999999999</v>
      </c>
      <c r="O281" s="116">
        <v>114</v>
      </c>
      <c r="P281" s="116">
        <v>127.45</v>
      </c>
      <c r="Q281" s="116">
        <v>123.15</v>
      </c>
      <c r="R281">
        <v>35183</v>
      </c>
    </row>
    <row r="282" spans="1:18" x14ac:dyDescent="0.25">
      <c r="A282" s="169">
        <v>42415</v>
      </c>
      <c r="B282" s="116">
        <v>139.69999999999999</v>
      </c>
      <c r="C282" s="116">
        <v>137.80000000000001</v>
      </c>
      <c r="D282" s="116">
        <v>124</v>
      </c>
      <c r="E282" s="116">
        <v>124</v>
      </c>
      <c r="F282" s="116">
        <v>137.80000000000001</v>
      </c>
      <c r="G282">
        <v>12676</v>
      </c>
      <c r="H282" s="116"/>
      <c r="I282" s="116"/>
      <c r="L282" s="169">
        <v>42415</v>
      </c>
      <c r="M282" s="116">
        <v>138.9</v>
      </c>
      <c r="N282" s="116">
        <v>140</v>
      </c>
      <c r="O282" s="116">
        <v>127.95</v>
      </c>
      <c r="P282" s="116">
        <v>127.95</v>
      </c>
      <c r="Q282" s="116">
        <v>138.9</v>
      </c>
      <c r="R282">
        <v>46555</v>
      </c>
    </row>
    <row r="283" spans="1:18" x14ac:dyDescent="0.25">
      <c r="A283" s="169">
        <v>42416</v>
      </c>
      <c r="B283" s="116">
        <v>134.4</v>
      </c>
      <c r="C283" s="116">
        <v>129.9</v>
      </c>
      <c r="D283" s="116">
        <v>128</v>
      </c>
      <c r="E283" s="116">
        <v>134.4</v>
      </c>
      <c r="F283" s="116">
        <v>129.9</v>
      </c>
      <c r="G283">
        <v>7749</v>
      </c>
      <c r="H283" s="116"/>
      <c r="I283" s="116"/>
      <c r="L283" s="169">
        <v>42416</v>
      </c>
      <c r="M283" s="116">
        <v>131.4</v>
      </c>
      <c r="N283" s="116">
        <v>138.05000000000001</v>
      </c>
      <c r="O283" s="116">
        <v>128.1</v>
      </c>
      <c r="P283" s="116">
        <v>138.05000000000001</v>
      </c>
      <c r="Q283" s="116">
        <v>131.4</v>
      </c>
      <c r="R283">
        <v>22718</v>
      </c>
    </row>
    <row r="284" spans="1:18" x14ac:dyDescent="0.25">
      <c r="A284" s="169">
        <v>42417</v>
      </c>
      <c r="B284" s="116">
        <v>131.1</v>
      </c>
      <c r="C284" s="116">
        <v>129.19999999999999</v>
      </c>
      <c r="D284" s="116">
        <v>125</v>
      </c>
      <c r="E284" s="116">
        <v>129.5</v>
      </c>
      <c r="F284" s="116">
        <v>129.19999999999999</v>
      </c>
      <c r="G284">
        <v>7177</v>
      </c>
      <c r="H284" s="116"/>
      <c r="I284" s="116"/>
      <c r="L284" s="169">
        <v>42417</v>
      </c>
      <c r="M284" s="116">
        <v>128.69999999999999</v>
      </c>
      <c r="N284" s="116">
        <v>130.1</v>
      </c>
      <c r="O284" s="116">
        <v>125.1</v>
      </c>
      <c r="P284" s="116">
        <v>130.1</v>
      </c>
      <c r="Q284" s="116">
        <v>128.69999999999999</v>
      </c>
      <c r="R284">
        <v>11370</v>
      </c>
    </row>
    <row r="285" spans="1:18" x14ac:dyDescent="0.25">
      <c r="A285" s="169">
        <v>42418</v>
      </c>
      <c r="B285" s="116">
        <v>135.30000000000001</v>
      </c>
      <c r="C285" s="116">
        <v>133</v>
      </c>
      <c r="D285" s="116">
        <v>131.5</v>
      </c>
      <c r="E285" s="116">
        <v>131.69999999999999</v>
      </c>
      <c r="F285" s="116">
        <v>133</v>
      </c>
      <c r="G285">
        <v>3741</v>
      </c>
      <c r="H285" s="116"/>
      <c r="I285" s="116"/>
      <c r="L285" s="169">
        <v>42418</v>
      </c>
      <c r="M285" s="116">
        <v>133.75</v>
      </c>
      <c r="N285" s="116">
        <v>137</v>
      </c>
      <c r="O285" s="116">
        <v>128.69999999999999</v>
      </c>
      <c r="P285" s="116">
        <v>128.69999999999999</v>
      </c>
      <c r="Q285" s="116">
        <v>133.75</v>
      </c>
      <c r="R285">
        <v>22801</v>
      </c>
    </row>
    <row r="286" spans="1:18" x14ac:dyDescent="0.25">
      <c r="A286" s="169">
        <v>42419</v>
      </c>
      <c r="B286" s="116">
        <v>133</v>
      </c>
      <c r="C286" s="116">
        <v>132.1</v>
      </c>
      <c r="D286" s="116">
        <v>129</v>
      </c>
      <c r="E286" s="116">
        <v>132.69999999999999</v>
      </c>
      <c r="F286" s="116">
        <v>132.1</v>
      </c>
      <c r="G286">
        <v>21871</v>
      </c>
      <c r="H286" s="116"/>
      <c r="I286" s="116"/>
      <c r="L286" s="169">
        <v>42419</v>
      </c>
      <c r="M286" s="116">
        <v>132.69999999999999</v>
      </c>
      <c r="N286" s="116">
        <v>134.75</v>
      </c>
      <c r="O286" s="116">
        <v>127.55</v>
      </c>
      <c r="P286" s="116">
        <v>132</v>
      </c>
      <c r="Q286" s="116">
        <v>132.69999999999999</v>
      </c>
      <c r="R286">
        <v>16048</v>
      </c>
    </row>
    <row r="287" spans="1:18" x14ac:dyDescent="0.25">
      <c r="A287" s="169">
        <v>42422</v>
      </c>
      <c r="B287" s="116">
        <v>134.19999999999999</v>
      </c>
      <c r="C287" s="116">
        <v>133.4</v>
      </c>
      <c r="D287" s="116">
        <v>130.80000000000001</v>
      </c>
      <c r="E287" s="116">
        <v>131</v>
      </c>
      <c r="F287" s="116">
        <v>133.4</v>
      </c>
      <c r="G287">
        <v>6179</v>
      </c>
      <c r="H287" s="116"/>
      <c r="I287" s="116"/>
      <c r="L287" s="169">
        <v>42422</v>
      </c>
      <c r="M287" s="116">
        <v>132.6</v>
      </c>
      <c r="N287" s="116">
        <v>134.6</v>
      </c>
      <c r="O287" s="116">
        <v>130.44999999999999</v>
      </c>
      <c r="P287" s="116">
        <v>131</v>
      </c>
      <c r="Q287" s="116">
        <v>132.6</v>
      </c>
      <c r="R287">
        <v>11421</v>
      </c>
    </row>
    <row r="288" spans="1:18" x14ac:dyDescent="0.25">
      <c r="A288" s="169">
        <v>42423</v>
      </c>
      <c r="B288" s="116">
        <v>133.30000000000001</v>
      </c>
      <c r="C288" s="116">
        <v>130</v>
      </c>
      <c r="D288" s="116">
        <v>128.30000000000001</v>
      </c>
      <c r="E288" s="116">
        <v>131.30000000000001</v>
      </c>
      <c r="F288" s="116">
        <v>130</v>
      </c>
      <c r="G288">
        <v>109944</v>
      </c>
      <c r="H288" s="116"/>
      <c r="I288" s="116"/>
      <c r="L288" s="169">
        <v>42423</v>
      </c>
      <c r="M288" s="116">
        <v>130.25</v>
      </c>
      <c r="N288" s="116">
        <v>133.69999999999999</v>
      </c>
      <c r="O288" s="116">
        <v>128.15</v>
      </c>
      <c r="P288" s="116">
        <v>131</v>
      </c>
      <c r="Q288" s="116">
        <v>130.25</v>
      </c>
      <c r="R288">
        <v>82930</v>
      </c>
    </row>
    <row r="289" spans="1:18" x14ac:dyDescent="0.25">
      <c r="A289" s="169">
        <v>42424</v>
      </c>
      <c r="B289" s="116">
        <v>131.4</v>
      </c>
      <c r="C289" s="116">
        <v>127.2</v>
      </c>
      <c r="D289" s="116">
        <v>127</v>
      </c>
      <c r="E289" s="116">
        <v>131.4</v>
      </c>
      <c r="F289" s="116">
        <v>127.2</v>
      </c>
      <c r="G289">
        <v>6895</v>
      </c>
      <c r="H289" s="116"/>
      <c r="I289" s="116"/>
      <c r="L289" s="169">
        <v>42424</v>
      </c>
      <c r="M289" s="116">
        <v>128.75</v>
      </c>
      <c r="N289" s="116">
        <v>130.25</v>
      </c>
      <c r="O289" s="116">
        <v>128</v>
      </c>
      <c r="P289" s="116">
        <v>130.25</v>
      </c>
      <c r="Q289" s="116">
        <v>128.75</v>
      </c>
      <c r="R289">
        <v>7501</v>
      </c>
    </row>
    <row r="290" spans="1:18" x14ac:dyDescent="0.25">
      <c r="A290" s="169">
        <v>42425</v>
      </c>
      <c r="B290" s="116">
        <v>129.69999999999999</v>
      </c>
      <c r="C290" s="116">
        <v>127.3</v>
      </c>
      <c r="D290" s="116">
        <v>125</v>
      </c>
      <c r="E290" s="116">
        <v>126.6</v>
      </c>
      <c r="F290" s="116">
        <v>127.3</v>
      </c>
      <c r="G290">
        <v>5144</v>
      </c>
      <c r="H290" s="116"/>
      <c r="I290" s="116"/>
      <c r="L290" s="169">
        <v>42425</v>
      </c>
      <c r="M290" s="116">
        <v>128.5</v>
      </c>
      <c r="N290" s="116">
        <v>129.9</v>
      </c>
      <c r="O290" s="116">
        <v>125.5</v>
      </c>
      <c r="P290" s="116">
        <v>128</v>
      </c>
      <c r="Q290" s="116">
        <v>128.5</v>
      </c>
      <c r="R290">
        <v>7645</v>
      </c>
    </row>
    <row r="291" spans="1:18" x14ac:dyDescent="0.25">
      <c r="A291" s="169">
        <v>42426</v>
      </c>
      <c r="B291" s="116">
        <v>130</v>
      </c>
      <c r="C291" s="116">
        <v>127.5</v>
      </c>
      <c r="D291" s="116">
        <v>127</v>
      </c>
      <c r="E291" s="116">
        <v>129</v>
      </c>
      <c r="F291" s="116">
        <v>127.5</v>
      </c>
      <c r="G291">
        <v>2954</v>
      </c>
      <c r="H291" s="116"/>
      <c r="I291" s="116"/>
      <c r="L291" s="169">
        <v>42426</v>
      </c>
      <c r="M291" s="116">
        <v>128.1</v>
      </c>
      <c r="N291" s="116">
        <v>132.4</v>
      </c>
      <c r="O291" s="116">
        <v>127.05</v>
      </c>
      <c r="P291" s="116">
        <v>128.55000000000001</v>
      </c>
      <c r="Q291" s="116">
        <v>128.1</v>
      </c>
      <c r="R291">
        <v>6026</v>
      </c>
    </row>
    <row r="292" spans="1:18" x14ac:dyDescent="0.25">
      <c r="A292" s="169">
        <v>42429</v>
      </c>
      <c r="B292" s="116">
        <v>129.9</v>
      </c>
      <c r="C292" s="116">
        <v>127.8</v>
      </c>
      <c r="D292" s="116">
        <v>126.5</v>
      </c>
      <c r="E292" s="116">
        <v>129.80000000000001</v>
      </c>
      <c r="F292" s="116">
        <v>127.8</v>
      </c>
      <c r="G292">
        <v>1831</v>
      </c>
      <c r="H292" s="116"/>
      <c r="I292" s="116"/>
      <c r="L292" s="169">
        <v>42429</v>
      </c>
      <c r="M292" s="116">
        <v>127.85</v>
      </c>
      <c r="N292" s="116">
        <v>129.94999999999999</v>
      </c>
      <c r="O292" s="116">
        <v>126</v>
      </c>
      <c r="P292" s="116">
        <v>127</v>
      </c>
      <c r="Q292" s="116">
        <v>127.85</v>
      </c>
      <c r="R292">
        <v>5089</v>
      </c>
    </row>
    <row r="293" spans="1:18" x14ac:dyDescent="0.25">
      <c r="A293" s="169">
        <v>42430</v>
      </c>
      <c r="B293" s="116">
        <v>132.6</v>
      </c>
      <c r="C293" s="116">
        <v>131.5</v>
      </c>
      <c r="D293" s="116">
        <v>128</v>
      </c>
      <c r="E293" s="116">
        <v>128</v>
      </c>
      <c r="F293" s="116">
        <v>131.5</v>
      </c>
      <c r="G293">
        <v>12586</v>
      </c>
      <c r="H293" s="116"/>
      <c r="I293" s="116"/>
      <c r="L293" s="169">
        <v>42430</v>
      </c>
      <c r="M293" s="116">
        <v>131.30000000000001</v>
      </c>
      <c r="N293" s="116">
        <v>132.30000000000001</v>
      </c>
      <c r="O293" s="116">
        <v>127.1</v>
      </c>
      <c r="P293" s="116">
        <v>127.15</v>
      </c>
      <c r="Q293" s="116">
        <v>131.30000000000001</v>
      </c>
      <c r="R293">
        <v>37011</v>
      </c>
    </row>
    <row r="294" spans="1:18" x14ac:dyDescent="0.25">
      <c r="A294" s="169">
        <v>42431</v>
      </c>
      <c r="B294" s="116">
        <v>135.80000000000001</v>
      </c>
      <c r="C294" s="116">
        <v>132.5</v>
      </c>
      <c r="D294" s="116">
        <v>131.19999999999999</v>
      </c>
      <c r="E294" s="116">
        <v>135</v>
      </c>
      <c r="F294" s="116">
        <v>132.5</v>
      </c>
      <c r="G294">
        <v>12678</v>
      </c>
      <c r="H294" s="116"/>
      <c r="I294" s="116"/>
      <c r="L294" s="169">
        <v>42431</v>
      </c>
      <c r="M294" s="116">
        <v>132.75</v>
      </c>
      <c r="N294" s="116">
        <v>136.19999999999999</v>
      </c>
      <c r="O294" s="116">
        <v>131.5</v>
      </c>
      <c r="P294" s="116">
        <v>134</v>
      </c>
      <c r="Q294" s="116">
        <v>132.75</v>
      </c>
      <c r="R294">
        <v>20581</v>
      </c>
    </row>
    <row r="295" spans="1:18" x14ac:dyDescent="0.25">
      <c r="A295" s="169">
        <v>42432</v>
      </c>
      <c r="B295" s="116">
        <v>134.69999999999999</v>
      </c>
      <c r="C295" s="116">
        <v>132.69999999999999</v>
      </c>
      <c r="D295" s="116">
        <v>132.19999999999999</v>
      </c>
      <c r="E295" s="116">
        <v>134.5</v>
      </c>
      <c r="F295" s="116">
        <v>132.69999999999999</v>
      </c>
      <c r="G295">
        <v>5109</v>
      </c>
      <c r="H295" s="116"/>
      <c r="I295" s="116"/>
      <c r="L295" s="169">
        <v>42432</v>
      </c>
      <c r="M295" s="116">
        <v>133.55000000000001</v>
      </c>
      <c r="N295" s="116">
        <v>135.9</v>
      </c>
      <c r="O295" s="116">
        <v>132.5</v>
      </c>
      <c r="P295" s="116">
        <v>134.05000000000001</v>
      </c>
      <c r="Q295" s="116">
        <v>133.55000000000001</v>
      </c>
      <c r="R295">
        <v>15038</v>
      </c>
    </row>
    <row r="296" spans="1:18" x14ac:dyDescent="0.25">
      <c r="A296" s="169">
        <v>42433</v>
      </c>
      <c r="B296" s="116">
        <v>137.69999999999999</v>
      </c>
      <c r="C296" s="116">
        <v>136.6</v>
      </c>
      <c r="D296" s="116">
        <v>132</v>
      </c>
      <c r="E296" s="116">
        <v>133</v>
      </c>
      <c r="F296" s="116">
        <v>136.6</v>
      </c>
      <c r="G296">
        <v>11397</v>
      </c>
      <c r="H296" s="116"/>
      <c r="I296" s="116"/>
      <c r="L296" s="169">
        <v>42433</v>
      </c>
      <c r="M296" s="116">
        <v>136.15</v>
      </c>
      <c r="N296" s="116">
        <v>137.69999999999999</v>
      </c>
      <c r="O296" s="116">
        <v>131.5</v>
      </c>
      <c r="P296" s="116">
        <v>132.05000000000001</v>
      </c>
      <c r="Q296" s="116">
        <v>136.15</v>
      </c>
      <c r="R296">
        <v>15236</v>
      </c>
    </row>
    <row r="297" spans="1:18" x14ac:dyDescent="0.25">
      <c r="A297" s="169">
        <v>42437</v>
      </c>
      <c r="B297" s="116">
        <v>142</v>
      </c>
      <c r="C297" s="116">
        <v>136</v>
      </c>
      <c r="D297" s="116">
        <v>135.69999999999999</v>
      </c>
      <c r="E297" s="116">
        <v>136.69999999999999</v>
      </c>
      <c r="F297" s="116">
        <v>136</v>
      </c>
      <c r="G297">
        <v>14465</v>
      </c>
      <c r="H297" s="116"/>
      <c r="I297" s="116"/>
      <c r="L297" s="169">
        <v>42437</v>
      </c>
      <c r="M297" s="116">
        <v>135.65</v>
      </c>
      <c r="N297" s="116">
        <v>142.4</v>
      </c>
      <c r="O297" s="116">
        <v>135.19999999999999</v>
      </c>
      <c r="P297" s="116">
        <v>136</v>
      </c>
      <c r="Q297" s="116">
        <v>135.65</v>
      </c>
      <c r="R297">
        <v>15968</v>
      </c>
    </row>
    <row r="298" spans="1:18" x14ac:dyDescent="0.25">
      <c r="A298" s="169">
        <v>42438</v>
      </c>
      <c r="B298" s="116">
        <v>139</v>
      </c>
      <c r="C298" s="116">
        <v>136.5</v>
      </c>
      <c r="D298" s="116">
        <v>133.4</v>
      </c>
      <c r="E298" s="116">
        <v>134</v>
      </c>
      <c r="F298" s="116">
        <v>136.5</v>
      </c>
      <c r="G298">
        <v>7715</v>
      </c>
      <c r="H298" s="116"/>
      <c r="I298" s="116"/>
      <c r="L298" s="169">
        <v>42438</v>
      </c>
      <c r="M298" s="116">
        <v>136.69999999999999</v>
      </c>
      <c r="N298" s="116">
        <v>139.9</v>
      </c>
      <c r="O298" s="116">
        <v>134.1</v>
      </c>
      <c r="P298" s="116">
        <v>134.1</v>
      </c>
      <c r="Q298" s="116">
        <v>136.69999999999999</v>
      </c>
      <c r="R298">
        <v>15365</v>
      </c>
    </row>
    <row r="299" spans="1:18" x14ac:dyDescent="0.25">
      <c r="A299" s="169">
        <v>42439</v>
      </c>
      <c r="B299" s="116">
        <v>141.1</v>
      </c>
      <c r="C299" s="116">
        <v>134</v>
      </c>
      <c r="D299" s="116">
        <v>133.19999999999999</v>
      </c>
      <c r="E299" s="116">
        <v>139.9</v>
      </c>
      <c r="F299" s="116">
        <v>134</v>
      </c>
      <c r="G299">
        <v>6632</v>
      </c>
      <c r="H299" s="116"/>
      <c r="I299" s="116"/>
      <c r="L299" s="169">
        <v>42439</v>
      </c>
      <c r="M299" s="116">
        <v>134.6</v>
      </c>
      <c r="N299" s="116">
        <v>141.5</v>
      </c>
      <c r="O299" s="116">
        <v>132.25</v>
      </c>
      <c r="P299" s="116">
        <v>139.9</v>
      </c>
      <c r="Q299" s="116">
        <v>134.6</v>
      </c>
      <c r="R299">
        <v>19999</v>
      </c>
    </row>
    <row r="300" spans="1:18" x14ac:dyDescent="0.25">
      <c r="A300" s="169">
        <v>42440</v>
      </c>
      <c r="B300" s="116">
        <v>137</v>
      </c>
      <c r="C300" s="116">
        <v>135</v>
      </c>
      <c r="D300" s="116">
        <v>134.19999999999999</v>
      </c>
      <c r="E300" s="116">
        <v>135.1</v>
      </c>
      <c r="F300" s="116">
        <v>135</v>
      </c>
      <c r="G300">
        <v>12376</v>
      </c>
      <c r="H300" s="116"/>
      <c r="I300" s="116"/>
      <c r="L300" s="169">
        <v>42440</v>
      </c>
      <c r="M300" s="116">
        <v>134.9</v>
      </c>
      <c r="N300" s="116">
        <v>137.5</v>
      </c>
      <c r="O300" s="116">
        <v>134</v>
      </c>
      <c r="P300" s="116">
        <v>136</v>
      </c>
      <c r="Q300" s="116">
        <v>134.9</v>
      </c>
      <c r="R300">
        <v>18988</v>
      </c>
    </row>
    <row r="301" spans="1:18" x14ac:dyDescent="0.25">
      <c r="A301" s="169">
        <v>42443</v>
      </c>
      <c r="B301" s="116">
        <v>137.4</v>
      </c>
      <c r="C301" s="116">
        <v>135.4</v>
      </c>
      <c r="D301" s="116">
        <v>134</v>
      </c>
      <c r="E301" s="116">
        <v>134.9</v>
      </c>
      <c r="F301" s="116">
        <v>135.4</v>
      </c>
      <c r="G301">
        <v>1712</v>
      </c>
      <c r="H301" s="116"/>
      <c r="I301" s="116"/>
      <c r="L301" s="169">
        <v>42443</v>
      </c>
      <c r="M301" s="116">
        <v>133.5</v>
      </c>
      <c r="N301" s="116">
        <v>137.35</v>
      </c>
      <c r="O301" s="116">
        <v>132.30000000000001</v>
      </c>
      <c r="P301" s="116">
        <v>136.94999999999999</v>
      </c>
      <c r="Q301" s="116">
        <v>133.5</v>
      </c>
      <c r="R301">
        <v>8108</v>
      </c>
    </row>
    <row r="302" spans="1:18" x14ac:dyDescent="0.25">
      <c r="A302" s="169">
        <v>42444</v>
      </c>
      <c r="B302" s="116">
        <v>139.80000000000001</v>
      </c>
      <c r="C302" s="116">
        <v>136.69999999999999</v>
      </c>
      <c r="D302" s="116">
        <v>134.19999999999999</v>
      </c>
      <c r="E302" s="116">
        <v>135</v>
      </c>
      <c r="F302" s="116">
        <v>136.69999999999999</v>
      </c>
      <c r="G302">
        <v>5599</v>
      </c>
      <c r="H302" s="116"/>
      <c r="I302" s="116"/>
      <c r="L302" s="169">
        <v>42444</v>
      </c>
      <c r="M302" s="116">
        <v>137.15</v>
      </c>
      <c r="N302" s="116">
        <v>141.6</v>
      </c>
      <c r="O302" s="116">
        <v>134.19999999999999</v>
      </c>
      <c r="P302" s="116">
        <v>134.19999999999999</v>
      </c>
      <c r="Q302" s="116">
        <v>137.15</v>
      </c>
      <c r="R302">
        <v>20399</v>
      </c>
    </row>
    <row r="303" spans="1:18" x14ac:dyDescent="0.25">
      <c r="A303" s="169">
        <v>42445</v>
      </c>
      <c r="B303" s="116">
        <v>138</v>
      </c>
      <c r="C303" s="116">
        <v>137.30000000000001</v>
      </c>
      <c r="D303" s="116">
        <v>135</v>
      </c>
      <c r="E303" s="116">
        <v>136</v>
      </c>
      <c r="F303" s="116">
        <v>137.30000000000001</v>
      </c>
      <c r="G303">
        <v>4611</v>
      </c>
      <c r="H303" s="116"/>
      <c r="I303" s="116"/>
      <c r="L303" s="169">
        <v>42445</v>
      </c>
      <c r="M303" s="116">
        <v>137.35</v>
      </c>
      <c r="N303" s="116">
        <v>139.85</v>
      </c>
      <c r="O303" s="116">
        <v>135</v>
      </c>
      <c r="P303" s="116">
        <v>137</v>
      </c>
      <c r="Q303" s="116">
        <v>137.35</v>
      </c>
      <c r="R303">
        <v>19202</v>
      </c>
    </row>
    <row r="304" spans="1:18" x14ac:dyDescent="0.25">
      <c r="A304" s="169">
        <v>42446</v>
      </c>
      <c r="B304" s="116">
        <v>151</v>
      </c>
      <c r="C304" s="116">
        <v>141.6</v>
      </c>
      <c r="D304" s="116">
        <v>136</v>
      </c>
      <c r="E304" s="116">
        <v>139.4</v>
      </c>
      <c r="F304" s="116">
        <v>141.6</v>
      </c>
      <c r="G304">
        <v>53726</v>
      </c>
      <c r="H304" s="116"/>
      <c r="I304" s="116"/>
      <c r="L304" s="169">
        <v>42446</v>
      </c>
      <c r="M304" s="116">
        <v>141.6</v>
      </c>
      <c r="N304" s="116">
        <v>151</v>
      </c>
      <c r="O304" s="116">
        <v>135.19999999999999</v>
      </c>
      <c r="P304" s="116">
        <v>137</v>
      </c>
      <c r="Q304" s="116">
        <v>141.6</v>
      </c>
      <c r="R304">
        <v>148903</v>
      </c>
    </row>
    <row r="305" spans="1:18" x14ac:dyDescent="0.25">
      <c r="A305" s="169">
        <v>42447</v>
      </c>
      <c r="B305" s="116">
        <v>162.5</v>
      </c>
      <c r="C305" s="116">
        <v>158.6</v>
      </c>
      <c r="D305" s="116">
        <v>142</v>
      </c>
      <c r="E305" s="116">
        <v>144.30000000000001</v>
      </c>
      <c r="F305" s="116">
        <v>158.6</v>
      </c>
      <c r="G305">
        <v>195610</v>
      </c>
      <c r="H305" s="116"/>
      <c r="I305" s="116"/>
      <c r="L305" s="169">
        <v>42447</v>
      </c>
      <c r="M305" s="116">
        <v>156.5</v>
      </c>
      <c r="N305" s="116">
        <v>161.80000000000001</v>
      </c>
      <c r="O305" s="116">
        <v>141.6</v>
      </c>
      <c r="P305" s="116">
        <v>141.6</v>
      </c>
      <c r="Q305" s="116">
        <v>156.5</v>
      </c>
      <c r="R305">
        <v>581267</v>
      </c>
    </row>
    <row r="306" spans="1:18" x14ac:dyDescent="0.25">
      <c r="A306" s="169">
        <v>42450</v>
      </c>
      <c r="B306" s="116">
        <v>165.7</v>
      </c>
      <c r="C306" s="116">
        <v>158.9</v>
      </c>
      <c r="D306" s="116">
        <v>155.1</v>
      </c>
      <c r="E306" s="116">
        <v>159.9</v>
      </c>
      <c r="F306" s="116">
        <v>158.9</v>
      </c>
      <c r="G306">
        <v>73368</v>
      </c>
      <c r="H306" s="116"/>
      <c r="I306" s="116"/>
      <c r="L306" s="169">
        <v>42450</v>
      </c>
      <c r="M306" s="116">
        <v>159.15</v>
      </c>
      <c r="N306" s="116">
        <v>165.8</v>
      </c>
      <c r="O306" s="116">
        <v>155</v>
      </c>
      <c r="P306" s="116">
        <v>159.69999999999999</v>
      </c>
      <c r="Q306" s="116">
        <v>159.15</v>
      </c>
      <c r="R306">
        <v>296856</v>
      </c>
    </row>
    <row r="307" spans="1:18" x14ac:dyDescent="0.25">
      <c r="A307" s="169">
        <v>42451</v>
      </c>
      <c r="B307" s="116">
        <v>162.80000000000001</v>
      </c>
      <c r="C307" s="116">
        <v>157.4</v>
      </c>
      <c r="D307" s="116">
        <v>155.6</v>
      </c>
      <c r="E307" s="116">
        <v>160</v>
      </c>
      <c r="F307" s="116">
        <v>157.4</v>
      </c>
      <c r="G307">
        <v>21370</v>
      </c>
      <c r="H307" s="116"/>
      <c r="I307" s="116"/>
      <c r="L307" s="169">
        <v>42451</v>
      </c>
      <c r="M307" s="116">
        <v>156.19999999999999</v>
      </c>
      <c r="N307" s="116">
        <v>162.9</v>
      </c>
      <c r="O307" s="116">
        <v>154.4</v>
      </c>
      <c r="P307" s="116">
        <v>159.15</v>
      </c>
      <c r="Q307" s="116">
        <v>156.19999999999999</v>
      </c>
      <c r="R307">
        <v>120916</v>
      </c>
    </row>
    <row r="308" spans="1:18" x14ac:dyDescent="0.25">
      <c r="A308" s="169">
        <v>42452</v>
      </c>
      <c r="B308" s="116">
        <v>164.4</v>
      </c>
      <c r="C308" s="116">
        <v>160.30000000000001</v>
      </c>
      <c r="D308" s="116">
        <v>156</v>
      </c>
      <c r="E308" s="116">
        <v>156</v>
      </c>
      <c r="F308" s="116">
        <v>160.30000000000001</v>
      </c>
      <c r="G308">
        <v>19826</v>
      </c>
      <c r="H308" s="116"/>
      <c r="I308" s="116"/>
      <c r="L308" s="169">
        <v>42452</v>
      </c>
      <c r="M308" s="116">
        <v>159.4</v>
      </c>
      <c r="N308" s="116">
        <v>163.30000000000001</v>
      </c>
      <c r="O308" s="116">
        <v>156.55000000000001</v>
      </c>
      <c r="P308" s="116">
        <v>158</v>
      </c>
      <c r="Q308" s="116">
        <v>159.4</v>
      </c>
      <c r="R308">
        <v>47353</v>
      </c>
    </row>
    <row r="309" spans="1:18" x14ac:dyDescent="0.25">
      <c r="A309" s="169">
        <v>42457</v>
      </c>
      <c r="B309" s="116">
        <v>180</v>
      </c>
      <c r="C309" s="116">
        <v>170.2</v>
      </c>
      <c r="D309" s="116">
        <v>160.80000000000001</v>
      </c>
      <c r="E309" s="116">
        <v>160.80000000000001</v>
      </c>
      <c r="F309" s="116">
        <v>170.2</v>
      </c>
      <c r="G309">
        <v>226845</v>
      </c>
      <c r="H309" s="116"/>
      <c r="I309" s="116"/>
      <c r="L309" s="169">
        <v>42457</v>
      </c>
      <c r="M309" s="116">
        <v>170.85</v>
      </c>
      <c r="N309" s="116">
        <v>180.7</v>
      </c>
      <c r="O309" s="116">
        <v>161.15</v>
      </c>
      <c r="P309" s="116">
        <v>163.9</v>
      </c>
      <c r="Q309" s="116">
        <v>170.85</v>
      </c>
      <c r="R309">
        <v>696734</v>
      </c>
    </row>
    <row r="310" spans="1:18" x14ac:dyDescent="0.25">
      <c r="A310" s="169">
        <v>42458</v>
      </c>
      <c r="B310" s="116">
        <v>183.5</v>
      </c>
      <c r="C310" s="116">
        <v>178.1</v>
      </c>
      <c r="D310" s="116">
        <v>171</v>
      </c>
      <c r="E310" s="116">
        <v>171</v>
      </c>
      <c r="F310" s="116">
        <v>178.1</v>
      </c>
      <c r="G310">
        <v>127301</v>
      </c>
      <c r="H310" s="116"/>
      <c r="I310" s="116"/>
      <c r="L310" s="169">
        <v>42458</v>
      </c>
      <c r="M310" s="116">
        <v>179.3</v>
      </c>
      <c r="N310" s="116">
        <v>183.5</v>
      </c>
      <c r="O310" s="116">
        <v>171.1</v>
      </c>
      <c r="P310" s="116">
        <v>174.5</v>
      </c>
      <c r="Q310" s="116">
        <v>179.3</v>
      </c>
      <c r="R310">
        <v>401268</v>
      </c>
    </row>
    <row r="311" spans="1:18" x14ac:dyDescent="0.25">
      <c r="A311" s="169">
        <v>42459</v>
      </c>
      <c r="B311" s="116">
        <v>184.9</v>
      </c>
      <c r="C311" s="116">
        <v>179.7</v>
      </c>
      <c r="D311" s="116">
        <v>177.2</v>
      </c>
      <c r="E311" s="116">
        <v>179.2</v>
      </c>
      <c r="F311" s="116">
        <v>179.7</v>
      </c>
      <c r="G311">
        <v>39824</v>
      </c>
      <c r="H311" s="116"/>
      <c r="I311" s="116"/>
      <c r="L311" s="169">
        <v>42459</v>
      </c>
      <c r="M311" s="116">
        <v>179.65</v>
      </c>
      <c r="N311" s="116">
        <v>184.8</v>
      </c>
      <c r="O311" s="116">
        <v>178</v>
      </c>
      <c r="P311" s="116">
        <v>180.1</v>
      </c>
      <c r="Q311" s="116">
        <v>179.65</v>
      </c>
      <c r="R311">
        <v>98186</v>
      </c>
    </row>
    <row r="312" spans="1:18" x14ac:dyDescent="0.25">
      <c r="A312" s="169">
        <v>42460</v>
      </c>
      <c r="B312" s="116">
        <v>180</v>
      </c>
      <c r="C312" s="116">
        <v>178.5</v>
      </c>
      <c r="D312" s="116">
        <v>172</v>
      </c>
      <c r="E312" s="116">
        <v>178.4</v>
      </c>
      <c r="F312" s="116">
        <v>178.5</v>
      </c>
      <c r="G312">
        <v>16678</v>
      </c>
      <c r="H312" s="116"/>
      <c r="I312" s="116"/>
      <c r="L312" s="169">
        <v>42460</v>
      </c>
      <c r="M312" s="116">
        <v>178.1</v>
      </c>
      <c r="N312" s="116">
        <v>181.9</v>
      </c>
      <c r="O312" s="116">
        <v>170.7</v>
      </c>
      <c r="P312" s="116">
        <v>179.95</v>
      </c>
      <c r="Q312" s="116">
        <v>178.1</v>
      </c>
      <c r="R312">
        <v>59750</v>
      </c>
    </row>
    <row r="313" spans="1:18" x14ac:dyDescent="0.25">
      <c r="A313" s="169">
        <v>42461</v>
      </c>
      <c r="B313" s="116">
        <v>179.8</v>
      </c>
      <c r="C313" s="116">
        <v>176.7</v>
      </c>
      <c r="D313" s="116">
        <v>174.1</v>
      </c>
      <c r="E313" s="116">
        <v>176.1</v>
      </c>
      <c r="F313" s="116">
        <v>176.7</v>
      </c>
      <c r="G313">
        <v>6937</v>
      </c>
      <c r="H313" s="116"/>
      <c r="I313" s="116"/>
      <c r="L313" s="169">
        <v>42461</v>
      </c>
      <c r="M313" s="116">
        <v>177.3</v>
      </c>
      <c r="N313" s="116">
        <v>179.8</v>
      </c>
      <c r="O313" s="116">
        <v>174</v>
      </c>
      <c r="P313" s="116">
        <v>175.65</v>
      </c>
      <c r="Q313" s="116">
        <v>177.3</v>
      </c>
      <c r="R313">
        <v>28424</v>
      </c>
    </row>
    <row r="314" spans="1:18" x14ac:dyDescent="0.25">
      <c r="A314" s="169">
        <v>42464</v>
      </c>
      <c r="B314" s="116">
        <v>181.8</v>
      </c>
      <c r="C314" s="116">
        <v>174.5</v>
      </c>
      <c r="D314" s="116">
        <v>173.1</v>
      </c>
      <c r="E314" s="116">
        <v>176.7</v>
      </c>
      <c r="F314" s="116">
        <v>174.5</v>
      </c>
      <c r="G314">
        <v>13344</v>
      </c>
      <c r="H314" s="116"/>
      <c r="I314" s="116"/>
      <c r="L314" s="169">
        <v>42464</v>
      </c>
      <c r="M314" s="116">
        <v>175.55</v>
      </c>
      <c r="N314" s="116">
        <v>182</v>
      </c>
      <c r="O314" s="116">
        <v>175</v>
      </c>
      <c r="P314" s="116">
        <v>178</v>
      </c>
      <c r="Q314" s="116">
        <v>175.55</v>
      </c>
      <c r="R314">
        <v>26434</v>
      </c>
    </row>
    <row r="315" spans="1:18" x14ac:dyDescent="0.25">
      <c r="A315" s="169">
        <v>42465</v>
      </c>
      <c r="B315" s="116">
        <v>196.6</v>
      </c>
      <c r="C315" s="116">
        <v>189.9</v>
      </c>
      <c r="D315" s="116">
        <v>176.6</v>
      </c>
      <c r="E315" s="116">
        <v>176.6</v>
      </c>
      <c r="F315" s="116">
        <v>189.9</v>
      </c>
      <c r="G315">
        <v>164474</v>
      </c>
      <c r="H315" s="116"/>
      <c r="I315" s="116"/>
      <c r="L315" s="169">
        <v>42465</v>
      </c>
      <c r="M315" s="116">
        <v>189.85</v>
      </c>
      <c r="N315" s="116">
        <v>196.4</v>
      </c>
      <c r="O315" s="116">
        <v>175.5</v>
      </c>
      <c r="P315" s="116">
        <v>175.5</v>
      </c>
      <c r="Q315" s="116">
        <v>189.85</v>
      </c>
      <c r="R315">
        <v>502441</v>
      </c>
    </row>
    <row r="316" spans="1:18" x14ac:dyDescent="0.25">
      <c r="A316" s="169">
        <v>42466</v>
      </c>
      <c r="B316" s="116">
        <v>197</v>
      </c>
      <c r="C316" s="116">
        <v>193.1</v>
      </c>
      <c r="D316" s="116">
        <v>191</v>
      </c>
      <c r="E316" s="116">
        <v>194.2</v>
      </c>
      <c r="F316" s="116">
        <v>193.1</v>
      </c>
      <c r="G316">
        <v>60438</v>
      </c>
      <c r="H316" s="116"/>
      <c r="I316" s="116"/>
      <c r="L316" s="169">
        <v>42466</v>
      </c>
      <c r="M316" s="116">
        <v>192.85</v>
      </c>
      <c r="N316" s="116">
        <v>198.6</v>
      </c>
      <c r="O316" s="116">
        <v>190.6</v>
      </c>
      <c r="P316" s="116">
        <v>194.7</v>
      </c>
      <c r="Q316" s="116">
        <v>192.85</v>
      </c>
      <c r="R316">
        <v>217078</v>
      </c>
    </row>
    <row r="317" spans="1:18" x14ac:dyDescent="0.25">
      <c r="A317" s="169">
        <v>42467</v>
      </c>
      <c r="B317" s="116">
        <v>193.8</v>
      </c>
      <c r="C317" s="116">
        <v>185.8</v>
      </c>
      <c r="D317" s="116">
        <v>184</v>
      </c>
      <c r="E317" s="116">
        <v>193.1</v>
      </c>
      <c r="F317" s="116">
        <v>185.8</v>
      </c>
      <c r="G317">
        <v>24814</v>
      </c>
      <c r="H317" s="116"/>
      <c r="I317" s="116"/>
      <c r="L317" s="169">
        <v>42467</v>
      </c>
      <c r="M317" s="116">
        <v>184.95</v>
      </c>
      <c r="N317" s="116">
        <v>194</v>
      </c>
      <c r="O317" s="116">
        <v>182.6</v>
      </c>
      <c r="P317" s="116">
        <v>191.2</v>
      </c>
      <c r="Q317" s="116">
        <v>184.95</v>
      </c>
      <c r="R317">
        <v>79344</v>
      </c>
    </row>
    <row r="318" spans="1:18" x14ac:dyDescent="0.25">
      <c r="A318" s="169">
        <v>42468</v>
      </c>
      <c r="B318" s="116">
        <v>191</v>
      </c>
      <c r="C318" s="116">
        <v>187.2</v>
      </c>
      <c r="D318" s="116">
        <v>182.1</v>
      </c>
      <c r="E318" s="116">
        <v>182.1</v>
      </c>
      <c r="F318" s="116">
        <v>187.2</v>
      </c>
      <c r="G318">
        <v>16352</v>
      </c>
      <c r="H318" s="116"/>
      <c r="I318" s="116"/>
      <c r="L318" s="169">
        <v>42468</v>
      </c>
      <c r="M318" s="116">
        <v>187.05</v>
      </c>
      <c r="N318" s="116">
        <v>191</v>
      </c>
      <c r="O318" s="116">
        <v>182</v>
      </c>
      <c r="P318" s="116">
        <v>182.05</v>
      </c>
      <c r="Q318" s="116">
        <v>187.05</v>
      </c>
      <c r="R318">
        <v>52063</v>
      </c>
    </row>
    <row r="319" spans="1:18" x14ac:dyDescent="0.25">
      <c r="A319" s="169">
        <v>42471</v>
      </c>
      <c r="B319" s="116">
        <v>189.9</v>
      </c>
      <c r="C319" s="116">
        <v>187.9</v>
      </c>
      <c r="D319" s="116">
        <v>185.4</v>
      </c>
      <c r="E319" s="116">
        <v>188</v>
      </c>
      <c r="F319" s="116">
        <v>187.9</v>
      </c>
      <c r="G319">
        <v>6258</v>
      </c>
      <c r="H319" s="116"/>
      <c r="I319" s="116"/>
      <c r="L319" s="169">
        <v>42471</v>
      </c>
      <c r="M319" s="116">
        <v>187.1</v>
      </c>
      <c r="N319" s="116">
        <v>189.5</v>
      </c>
      <c r="O319" s="116">
        <v>184</v>
      </c>
      <c r="P319" s="116">
        <v>189.5</v>
      </c>
      <c r="Q319" s="116">
        <v>187.1</v>
      </c>
      <c r="R319">
        <v>40445</v>
      </c>
    </row>
    <row r="320" spans="1:18" x14ac:dyDescent="0.25">
      <c r="A320" s="169">
        <v>42472</v>
      </c>
      <c r="B320" s="116">
        <v>202</v>
      </c>
      <c r="C320" s="116">
        <v>196.6</v>
      </c>
      <c r="D320" s="116">
        <v>186.1</v>
      </c>
      <c r="E320" s="116">
        <v>186.1</v>
      </c>
      <c r="F320" s="116">
        <v>196.6</v>
      </c>
      <c r="G320">
        <v>86664</v>
      </c>
      <c r="H320" s="116"/>
      <c r="I320" s="116"/>
      <c r="L320" s="169">
        <v>42472</v>
      </c>
      <c r="M320" s="116">
        <v>197.8</v>
      </c>
      <c r="N320" s="116">
        <v>202</v>
      </c>
      <c r="O320" s="116">
        <v>186</v>
      </c>
      <c r="P320" s="116">
        <v>188.5</v>
      </c>
      <c r="Q320" s="116">
        <v>197.8</v>
      </c>
      <c r="R320">
        <v>293192</v>
      </c>
    </row>
    <row r="321" spans="1:18" x14ac:dyDescent="0.25">
      <c r="A321" s="169">
        <v>42473</v>
      </c>
      <c r="B321" s="116">
        <v>199</v>
      </c>
      <c r="C321" s="116">
        <v>191.7</v>
      </c>
      <c r="D321" s="116">
        <v>191</v>
      </c>
      <c r="E321" s="116">
        <v>198.4</v>
      </c>
      <c r="F321" s="116">
        <v>191.7</v>
      </c>
      <c r="G321">
        <v>25864</v>
      </c>
      <c r="H321" s="116"/>
      <c r="I321" s="116"/>
      <c r="L321" s="169">
        <v>42473</v>
      </c>
      <c r="M321" s="116">
        <v>192.8</v>
      </c>
      <c r="N321" s="116">
        <v>199.4</v>
      </c>
      <c r="O321" s="116">
        <v>191.45</v>
      </c>
      <c r="P321" s="116">
        <v>198</v>
      </c>
      <c r="Q321" s="116">
        <v>192.8</v>
      </c>
      <c r="R321">
        <v>58318</v>
      </c>
    </row>
    <row r="322" spans="1:18" x14ac:dyDescent="0.25">
      <c r="A322" s="169">
        <v>42478</v>
      </c>
      <c r="B322" s="116">
        <v>193.9</v>
      </c>
      <c r="C322" s="116">
        <v>192.6</v>
      </c>
      <c r="D322" s="116">
        <v>186</v>
      </c>
      <c r="E322" s="116">
        <v>193.4</v>
      </c>
      <c r="F322" s="116">
        <v>192.6</v>
      </c>
      <c r="G322">
        <v>10121</v>
      </c>
      <c r="H322" s="116"/>
      <c r="I322" s="116"/>
      <c r="L322" s="169">
        <v>42478</v>
      </c>
      <c r="M322" s="116">
        <v>192.65</v>
      </c>
      <c r="N322" s="116">
        <v>195.9</v>
      </c>
      <c r="O322" s="116">
        <v>186.1</v>
      </c>
      <c r="P322" s="116">
        <v>193</v>
      </c>
      <c r="Q322" s="116">
        <v>192.65</v>
      </c>
      <c r="R322">
        <v>28791</v>
      </c>
    </row>
    <row r="323" spans="1:18" x14ac:dyDescent="0.25">
      <c r="A323" s="169">
        <v>42480</v>
      </c>
      <c r="B323" s="116">
        <v>191.4</v>
      </c>
      <c r="C323" s="116">
        <v>186.9</v>
      </c>
      <c r="D323" s="116">
        <v>183.7</v>
      </c>
      <c r="E323" s="116">
        <v>190.3</v>
      </c>
      <c r="F323" s="116">
        <v>186.9</v>
      </c>
      <c r="G323">
        <v>23142</v>
      </c>
      <c r="H323" s="116"/>
      <c r="I323" s="116"/>
      <c r="L323" s="169">
        <v>42480</v>
      </c>
      <c r="M323" s="116">
        <v>186.3</v>
      </c>
      <c r="N323" s="116">
        <v>193</v>
      </c>
      <c r="O323" s="116">
        <v>182.7</v>
      </c>
      <c r="P323" s="116">
        <v>193</v>
      </c>
      <c r="Q323" s="116">
        <v>186.3</v>
      </c>
      <c r="R323">
        <v>47632</v>
      </c>
    </row>
    <row r="324" spans="1:18" x14ac:dyDescent="0.25">
      <c r="A324" s="169">
        <v>42481</v>
      </c>
      <c r="B324" s="116">
        <v>190.7</v>
      </c>
      <c r="C324" s="116">
        <v>186</v>
      </c>
      <c r="D324" s="116">
        <v>184</v>
      </c>
      <c r="E324" s="116">
        <v>188.3</v>
      </c>
      <c r="F324" s="116">
        <v>186</v>
      </c>
      <c r="G324">
        <v>14124</v>
      </c>
      <c r="H324" s="116"/>
      <c r="I324" s="116"/>
      <c r="L324" s="169">
        <v>42481</v>
      </c>
      <c r="M324" s="116">
        <v>186.2</v>
      </c>
      <c r="N324" s="116">
        <v>190.9</v>
      </c>
      <c r="O324" s="116">
        <v>183</v>
      </c>
      <c r="P324" s="116">
        <v>186.5</v>
      </c>
      <c r="Q324" s="116">
        <v>186.2</v>
      </c>
      <c r="R324">
        <v>25658</v>
      </c>
    </row>
    <row r="325" spans="1:18" x14ac:dyDescent="0.25">
      <c r="A325" s="169">
        <v>42482</v>
      </c>
      <c r="B325" s="116">
        <v>204.6</v>
      </c>
      <c r="C325" s="116">
        <v>201.3</v>
      </c>
      <c r="D325" s="116">
        <v>185</v>
      </c>
      <c r="E325" s="116">
        <v>188.9</v>
      </c>
      <c r="F325" s="116">
        <v>201.3</v>
      </c>
      <c r="G325">
        <v>90117</v>
      </c>
      <c r="H325" s="116"/>
      <c r="I325" s="116"/>
      <c r="L325" s="169">
        <v>42482</v>
      </c>
      <c r="M325" s="116">
        <v>201.2</v>
      </c>
      <c r="N325" s="116">
        <v>205.9</v>
      </c>
      <c r="O325" s="116">
        <v>185</v>
      </c>
      <c r="P325" s="116">
        <v>186</v>
      </c>
      <c r="Q325" s="116">
        <v>201.2</v>
      </c>
      <c r="R325">
        <v>334863</v>
      </c>
    </row>
    <row r="326" spans="1:18" x14ac:dyDescent="0.25">
      <c r="A326" s="169">
        <v>42485</v>
      </c>
      <c r="B326" s="116">
        <v>208.9</v>
      </c>
      <c r="C326" s="116">
        <v>203.3</v>
      </c>
      <c r="D326" s="116">
        <v>201.6</v>
      </c>
      <c r="E326" s="116">
        <v>202.9</v>
      </c>
      <c r="F326" s="116">
        <v>203.3</v>
      </c>
      <c r="G326">
        <v>34615</v>
      </c>
      <c r="H326" s="116"/>
      <c r="I326" s="116"/>
      <c r="L326" s="169">
        <v>42485</v>
      </c>
      <c r="M326" s="116">
        <v>203.8</v>
      </c>
      <c r="N326" s="116">
        <v>208.7</v>
      </c>
      <c r="O326" s="116">
        <v>202</v>
      </c>
      <c r="P326" s="116">
        <v>204</v>
      </c>
      <c r="Q326" s="116">
        <v>203.8</v>
      </c>
      <c r="R326">
        <v>118776</v>
      </c>
    </row>
    <row r="327" spans="1:18" x14ac:dyDescent="0.25">
      <c r="A327" s="169">
        <v>42486</v>
      </c>
      <c r="B327" s="116">
        <v>202.7</v>
      </c>
      <c r="C327" s="116">
        <v>201.4</v>
      </c>
      <c r="D327" s="116">
        <v>199</v>
      </c>
      <c r="E327" s="116">
        <v>201.9</v>
      </c>
      <c r="F327" s="116">
        <v>201.4</v>
      </c>
      <c r="G327">
        <v>5597</v>
      </c>
      <c r="H327" s="116"/>
      <c r="I327" s="116"/>
      <c r="L327" s="169">
        <v>42486</v>
      </c>
      <c r="M327" s="116">
        <v>201.35</v>
      </c>
      <c r="N327" s="116">
        <v>205</v>
      </c>
      <c r="O327" s="116">
        <v>199.25</v>
      </c>
      <c r="P327" s="116">
        <v>201.55</v>
      </c>
      <c r="Q327" s="116">
        <v>201.35</v>
      </c>
      <c r="R327">
        <v>31466</v>
      </c>
    </row>
    <row r="328" spans="1:18" x14ac:dyDescent="0.25">
      <c r="A328" s="169">
        <v>42487</v>
      </c>
      <c r="B328" s="116">
        <v>210.4</v>
      </c>
      <c r="C328" s="116">
        <v>204.1</v>
      </c>
      <c r="D328" s="116">
        <v>202.4</v>
      </c>
      <c r="E328" s="116">
        <v>203.9</v>
      </c>
      <c r="F328" s="116">
        <v>204.1</v>
      </c>
      <c r="G328">
        <v>33028</v>
      </c>
      <c r="H328" s="116"/>
      <c r="I328" s="116"/>
      <c r="L328" s="169">
        <v>42487</v>
      </c>
      <c r="M328" s="116">
        <v>204.85</v>
      </c>
      <c r="N328" s="116">
        <v>210</v>
      </c>
      <c r="O328" s="116">
        <v>201.1</v>
      </c>
      <c r="P328" s="116">
        <v>201.15</v>
      </c>
      <c r="Q328" s="116">
        <v>204.85</v>
      </c>
      <c r="R328">
        <v>115069</v>
      </c>
    </row>
    <row r="329" spans="1:18" x14ac:dyDescent="0.25">
      <c r="A329" s="169">
        <v>42488</v>
      </c>
      <c r="B329" s="116">
        <v>206.5</v>
      </c>
      <c r="C329" s="116">
        <v>203</v>
      </c>
      <c r="D329" s="116">
        <v>201.6</v>
      </c>
      <c r="E329" s="116">
        <v>203</v>
      </c>
      <c r="F329" s="116">
        <v>203</v>
      </c>
      <c r="G329">
        <v>8835</v>
      </c>
      <c r="H329" s="116"/>
      <c r="I329" s="116"/>
      <c r="L329" s="169">
        <v>42488</v>
      </c>
      <c r="M329" s="116">
        <v>204</v>
      </c>
      <c r="N329" s="116">
        <v>206.9</v>
      </c>
      <c r="O329" s="116">
        <v>201.75</v>
      </c>
      <c r="P329" s="116">
        <v>205</v>
      </c>
      <c r="Q329" s="116">
        <v>204</v>
      </c>
      <c r="R329">
        <v>37543</v>
      </c>
    </row>
    <row r="330" spans="1:18" x14ac:dyDescent="0.25">
      <c r="A330" s="169">
        <v>42489</v>
      </c>
      <c r="B330" s="116">
        <v>206.4</v>
      </c>
      <c r="C330" s="116">
        <v>202.6</v>
      </c>
      <c r="D330" s="116">
        <v>199.5</v>
      </c>
      <c r="E330" s="116">
        <v>202.4</v>
      </c>
      <c r="F330" s="116">
        <v>202.6</v>
      </c>
      <c r="G330">
        <v>10286</v>
      </c>
      <c r="H330" s="116"/>
      <c r="I330" s="116"/>
      <c r="L330" s="169">
        <v>42489</v>
      </c>
      <c r="M330" s="116">
        <v>202.6</v>
      </c>
      <c r="N330" s="116">
        <v>206</v>
      </c>
      <c r="O330" s="116">
        <v>199.55</v>
      </c>
      <c r="P330" s="116">
        <v>202</v>
      </c>
      <c r="Q330" s="116">
        <v>202.6</v>
      </c>
      <c r="R330">
        <v>28747</v>
      </c>
    </row>
    <row r="331" spans="1:18" x14ac:dyDescent="0.25">
      <c r="A331" s="169">
        <v>42492</v>
      </c>
      <c r="B331" s="116">
        <v>217.7</v>
      </c>
      <c r="C331" s="116">
        <v>215.6</v>
      </c>
      <c r="D331" s="116">
        <v>199.4</v>
      </c>
      <c r="E331" s="116">
        <v>201</v>
      </c>
      <c r="F331" s="116">
        <v>215.6</v>
      </c>
      <c r="G331">
        <v>56949</v>
      </c>
      <c r="H331" s="116"/>
      <c r="I331" s="116"/>
      <c r="L331" s="169">
        <v>42492</v>
      </c>
      <c r="M331" s="116">
        <v>215.75</v>
      </c>
      <c r="N331" s="116">
        <v>217.7</v>
      </c>
      <c r="O331" s="116">
        <v>197.25</v>
      </c>
      <c r="P331" s="116">
        <v>201.05</v>
      </c>
      <c r="Q331" s="116">
        <v>215.75</v>
      </c>
      <c r="R331">
        <v>185188</v>
      </c>
    </row>
    <row r="332" spans="1:18" x14ac:dyDescent="0.25">
      <c r="A332" s="169">
        <v>42493</v>
      </c>
      <c r="B332" s="116">
        <v>216.9</v>
      </c>
      <c r="C332" s="116">
        <v>211</v>
      </c>
      <c r="D332" s="116">
        <v>210</v>
      </c>
      <c r="E332" s="116">
        <v>214.5</v>
      </c>
      <c r="F332" s="116">
        <v>211</v>
      </c>
      <c r="G332">
        <v>17988</v>
      </c>
      <c r="H332" s="116"/>
      <c r="I332" s="116"/>
      <c r="L332" s="169">
        <v>42493</v>
      </c>
      <c r="M332" s="116">
        <v>211.25</v>
      </c>
      <c r="N332" s="116">
        <v>216.95</v>
      </c>
      <c r="O332" s="116">
        <v>210</v>
      </c>
      <c r="P332" s="116">
        <v>215</v>
      </c>
      <c r="Q332" s="116">
        <v>211.25</v>
      </c>
      <c r="R332">
        <v>47818</v>
      </c>
    </row>
    <row r="333" spans="1:18" x14ac:dyDescent="0.25">
      <c r="A333" s="169">
        <v>42494</v>
      </c>
      <c r="B333" s="116">
        <v>209.7</v>
      </c>
      <c r="C333" s="116">
        <v>205.2</v>
      </c>
      <c r="D333" s="116">
        <v>203.1</v>
      </c>
      <c r="E333" s="116">
        <v>208.1</v>
      </c>
      <c r="F333" s="116">
        <v>205.2</v>
      </c>
      <c r="G333">
        <v>10014</v>
      </c>
      <c r="H333" s="116"/>
      <c r="I333" s="116"/>
      <c r="L333" s="169">
        <v>42494</v>
      </c>
      <c r="M333" s="116">
        <v>206.05</v>
      </c>
      <c r="N333" s="116">
        <v>210.5</v>
      </c>
      <c r="O333" s="116">
        <v>205</v>
      </c>
      <c r="P333" s="116">
        <v>210.5</v>
      </c>
      <c r="Q333" s="116">
        <v>206.05</v>
      </c>
      <c r="R333">
        <v>18667</v>
      </c>
    </row>
    <row r="334" spans="1:18" x14ac:dyDescent="0.25">
      <c r="A334" s="169">
        <v>42495</v>
      </c>
      <c r="B334" s="116">
        <v>209.8</v>
      </c>
      <c r="C334" s="116">
        <v>208.3</v>
      </c>
      <c r="D334" s="116">
        <v>202.5</v>
      </c>
      <c r="E334" s="116">
        <v>205</v>
      </c>
      <c r="F334" s="116">
        <v>208.3</v>
      </c>
      <c r="G334">
        <v>2745</v>
      </c>
      <c r="H334" s="116"/>
      <c r="I334" s="116"/>
      <c r="L334" s="169">
        <v>42495</v>
      </c>
      <c r="M334" s="116">
        <v>208.25</v>
      </c>
      <c r="N334" s="116">
        <v>209.8</v>
      </c>
      <c r="O334" s="116">
        <v>200.15</v>
      </c>
      <c r="P334" s="116">
        <v>205.1</v>
      </c>
      <c r="Q334" s="116">
        <v>208.25</v>
      </c>
      <c r="R334">
        <v>13696</v>
      </c>
    </row>
    <row r="335" spans="1:18" x14ac:dyDescent="0.25">
      <c r="A335" s="169">
        <v>42496</v>
      </c>
      <c r="B335" s="116">
        <v>209.5</v>
      </c>
      <c r="C335" s="116">
        <v>204.4</v>
      </c>
      <c r="D335" s="116">
        <v>202</v>
      </c>
      <c r="E335" s="116">
        <v>209.5</v>
      </c>
      <c r="F335" s="116">
        <v>204.4</v>
      </c>
      <c r="G335">
        <v>2505</v>
      </c>
      <c r="H335" s="116"/>
      <c r="I335" s="116"/>
      <c r="L335" s="169">
        <v>42496</v>
      </c>
      <c r="M335" s="116">
        <v>203.85</v>
      </c>
      <c r="N335" s="116">
        <v>215</v>
      </c>
      <c r="O335" s="116">
        <v>202</v>
      </c>
      <c r="P335" s="116">
        <v>215</v>
      </c>
      <c r="Q335" s="116">
        <v>203.85</v>
      </c>
      <c r="R335">
        <v>15327</v>
      </c>
    </row>
    <row r="336" spans="1:18" x14ac:dyDescent="0.25">
      <c r="A336" s="169">
        <v>42499</v>
      </c>
      <c r="B336" s="116">
        <v>209.8</v>
      </c>
      <c r="C336" s="116">
        <v>201.6</v>
      </c>
      <c r="D336" s="116">
        <v>199.3</v>
      </c>
      <c r="E336" s="116">
        <v>204.2</v>
      </c>
      <c r="F336" s="116">
        <v>201.6</v>
      </c>
      <c r="G336">
        <v>2108</v>
      </c>
      <c r="H336" s="116"/>
      <c r="I336" s="116"/>
      <c r="L336" s="169">
        <v>42499</v>
      </c>
      <c r="M336" s="116">
        <v>200.75</v>
      </c>
      <c r="N336" s="116">
        <v>209.7</v>
      </c>
      <c r="O336" s="116">
        <v>198.35</v>
      </c>
      <c r="P336" s="116">
        <v>204</v>
      </c>
      <c r="Q336" s="116">
        <v>200.75</v>
      </c>
      <c r="R336">
        <v>34143</v>
      </c>
    </row>
    <row r="337" spans="1:18" x14ac:dyDescent="0.25">
      <c r="A337" s="169">
        <v>42500</v>
      </c>
      <c r="B337" s="116">
        <v>210</v>
      </c>
      <c r="C337" s="116">
        <v>206</v>
      </c>
      <c r="D337" s="116">
        <v>198</v>
      </c>
      <c r="E337" s="116">
        <v>198</v>
      </c>
      <c r="F337" s="116">
        <v>206</v>
      </c>
      <c r="G337">
        <v>10735</v>
      </c>
      <c r="H337" s="116"/>
      <c r="I337" s="116"/>
      <c r="L337" s="169">
        <v>42500</v>
      </c>
      <c r="M337" s="116">
        <v>205.7</v>
      </c>
      <c r="N337" s="116">
        <v>209.7</v>
      </c>
      <c r="O337" s="116">
        <v>196.2</v>
      </c>
      <c r="P337" s="116">
        <v>200.75</v>
      </c>
      <c r="Q337" s="116">
        <v>205.7</v>
      </c>
      <c r="R337">
        <v>38937</v>
      </c>
    </row>
    <row r="338" spans="1:18" x14ac:dyDescent="0.25">
      <c r="A338" s="169">
        <v>42501</v>
      </c>
      <c r="B338" s="116">
        <v>209.7</v>
      </c>
      <c r="C338" s="116">
        <v>203</v>
      </c>
      <c r="D338" s="116">
        <v>200</v>
      </c>
      <c r="E338" s="116">
        <v>200</v>
      </c>
      <c r="F338" s="116">
        <v>203</v>
      </c>
      <c r="G338">
        <v>5511</v>
      </c>
      <c r="H338" s="116"/>
      <c r="I338" s="116"/>
      <c r="L338" s="169">
        <v>42501</v>
      </c>
      <c r="M338" s="116">
        <v>202.95</v>
      </c>
      <c r="N338" s="116">
        <v>209.9</v>
      </c>
      <c r="O338" s="116">
        <v>200</v>
      </c>
      <c r="P338" s="116">
        <v>203.15</v>
      </c>
      <c r="Q338" s="116">
        <v>202.95</v>
      </c>
      <c r="R338">
        <v>27894</v>
      </c>
    </row>
    <row r="339" spans="1:18" x14ac:dyDescent="0.25">
      <c r="A339" s="169">
        <v>42502</v>
      </c>
      <c r="B339" s="116">
        <v>206.4</v>
      </c>
      <c r="C339" s="116">
        <v>205</v>
      </c>
      <c r="D339" s="116">
        <v>203.4</v>
      </c>
      <c r="E339" s="116">
        <v>204</v>
      </c>
      <c r="F339" s="116">
        <v>205</v>
      </c>
      <c r="G339">
        <v>2460</v>
      </c>
      <c r="H339" s="116"/>
      <c r="I339" s="116"/>
      <c r="L339" s="169">
        <v>42502</v>
      </c>
      <c r="M339" s="116">
        <v>204.4</v>
      </c>
      <c r="N339" s="116">
        <v>206.8</v>
      </c>
      <c r="O339" s="116">
        <v>202</v>
      </c>
      <c r="P339" s="116">
        <v>204.2</v>
      </c>
      <c r="Q339" s="116">
        <v>204.4</v>
      </c>
      <c r="R339">
        <v>15154</v>
      </c>
    </row>
    <row r="340" spans="1:18" x14ac:dyDescent="0.25">
      <c r="A340" s="169">
        <v>42503</v>
      </c>
      <c r="B340" s="116">
        <v>209</v>
      </c>
      <c r="C340" s="116">
        <v>199.3</v>
      </c>
      <c r="D340" s="116">
        <v>195.4</v>
      </c>
      <c r="E340" s="116">
        <v>209</v>
      </c>
      <c r="F340" s="116">
        <v>199.3</v>
      </c>
      <c r="G340">
        <v>13338</v>
      </c>
      <c r="H340" s="116"/>
      <c r="I340" s="116"/>
      <c r="L340" s="169">
        <v>42503</v>
      </c>
      <c r="M340" s="116">
        <v>199.35</v>
      </c>
      <c r="N340" s="116">
        <v>209.7</v>
      </c>
      <c r="O340" s="116">
        <v>195.1</v>
      </c>
      <c r="P340" s="116">
        <v>203.05</v>
      </c>
      <c r="Q340" s="116">
        <v>199.35</v>
      </c>
      <c r="R340">
        <v>45955</v>
      </c>
    </row>
    <row r="341" spans="1:18" x14ac:dyDescent="0.25">
      <c r="A341" s="169">
        <v>42506</v>
      </c>
      <c r="B341" s="116">
        <v>209</v>
      </c>
      <c r="C341" s="116">
        <v>205.2</v>
      </c>
      <c r="D341" s="116">
        <v>197</v>
      </c>
      <c r="E341" s="116">
        <v>201.2</v>
      </c>
      <c r="F341" s="116">
        <v>205.2</v>
      </c>
      <c r="G341">
        <v>7224</v>
      </c>
      <c r="H341" s="116"/>
      <c r="I341" s="116"/>
      <c r="L341" s="169">
        <v>42506</v>
      </c>
      <c r="M341" s="116">
        <v>203.05</v>
      </c>
      <c r="N341" s="116">
        <v>205</v>
      </c>
      <c r="O341" s="116">
        <v>198.1</v>
      </c>
      <c r="P341" s="116">
        <v>201.3</v>
      </c>
      <c r="Q341" s="116">
        <v>203.05</v>
      </c>
      <c r="R341">
        <v>42398</v>
      </c>
    </row>
    <row r="342" spans="1:18" x14ac:dyDescent="0.25">
      <c r="A342" s="169">
        <v>42507</v>
      </c>
      <c r="B342" s="116">
        <v>204.8</v>
      </c>
      <c r="C342" s="116">
        <v>198.8</v>
      </c>
      <c r="D342" s="116">
        <v>197</v>
      </c>
      <c r="E342" s="116">
        <v>202.8</v>
      </c>
      <c r="F342" s="116">
        <v>198.8</v>
      </c>
      <c r="G342">
        <v>6235</v>
      </c>
      <c r="H342" s="116"/>
      <c r="I342" s="116"/>
      <c r="L342" s="169">
        <v>42507</v>
      </c>
      <c r="M342" s="116">
        <v>198.35</v>
      </c>
      <c r="N342" s="116">
        <v>205</v>
      </c>
      <c r="O342" s="116">
        <v>196.3</v>
      </c>
      <c r="P342" s="116">
        <v>204.5</v>
      </c>
      <c r="Q342" s="116">
        <v>198.35</v>
      </c>
      <c r="R342">
        <v>18781</v>
      </c>
    </row>
    <row r="343" spans="1:18" x14ac:dyDescent="0.25">
      <c r="A343" s="169">
        <v>42508</v>
      </c>
      <c r="B343" s="116">
        <v>219</v>
      </c>
      <c r="C343" s="116">
        <v>213.4</v>
      </c>
      <c r="D343" s="116">
        <v>197.1</v>
      </c>
      <c r="E343" s="116">
        <v>201</v>
      </c>
      <c r="F343" s="116">
        <v>213.4</v>
      </c>
      <c r="G343">
        <v>43591</v>
      </c>
      <c r="H343" s="116"/>
      <c r="I343" s="116"/>
      <c r="L343" s="169">
        <v>42508</v>
      </c>
      <c r="M343" s="116">
        <v>213.95</v>
      </c>
      <c r="N343" s="116">
        <v>219.1</v>
      </c>
      <c r="O343" s="116">
        <v>197.05</v>
      </c>
      <c r="P343" s="116">
        <v>199.6</v>
      </c>
      <c r="Q343" s="116">
        <v>213.95</v>
      </c>
      <c r="R343">
        <v>126607</v>
      </c>
    </row>
    <row r="344" spans="1:18" x14ac:dyDescent="0.25">
      <c r="A344" s="169">
        <v>42509</v>
      </c>
      <c r="B344" s="116">
        <v>219.7</v>
      </c>
      <c r="C344" s="116">
        <v>209.8</v>
      </c>
      <c r="D344" s="116">
        <v>208.2</v>
      </c>
      <c r="E344" s="116">
        <v>216.2</v>
      </c>
      <c r="F344" s="116">
        <v>209.8</v>
      </c>
      <c r="G344">
        <v>35129</v>
      </c>
      <c r="H344" s="116"/>
      <c r="I344" s="116"/>
      <c r="L344" s="169">
        <v>42509</v>
      </c>
      <c r="M344" s="116">
        <v>209.85</v>
      </c>
      <c r="N344" s="116">
        <v>221.7</v>
      </c>
      <c r="O344" s="116">
        <v>207.65</v>
      </c>
      <c r="P344" s="116">
        <v>215</v>
      </c>
      <c r="Q344" s="116">
        <v>209.85</v>
      </c>
      <c r="R344">
        <v>114735</v>
      </c>
    </row>
    <row r="345" spans="1:18" x14ac:dyDescent="0.25">
      <c r="A345" s="169">
        <v>42510</v>
      </c>
      <c r="B345" s="116">
        <v>219.9</v>
      </c>
      <c r="C345" s="116">
        <v>217.2</v>
      </c>
      <c r="D345" s="116">
        <v>210</v>
      </c>
      <c r="E345" s="116">
        <v>212</v>
      </c>
      <c r="F345" s="116">
        <v>217.2</v>
      </c>
      <c r="G345">
        <v>56500</v>
      </c>
      <c r="H345" s="116"/>
      <c r="I345" s="116"/>
      <c r="L345" s="169">
        <v>42510</v>
      </c>
      <c r="M345" s="116">
        <v>218.15</v>
      </c>
      <c r="N345" s="116">
        <v>220.95</v>
      </c>
      <c r="O345" s="116">
        <v>210</v>
      </c>
      <c r="P345" s="116">
        <v>213</v>
      </c>
      <c r="Q345" s="116">
        <v>218.15</v>
      </c>
      <c r="R345">
        <v>166151</v>
      </c>
    </row>
    <row r="346" spans="1:18" x14ac:dyDescent="0.25">
      <c r="A346" s="169">
        <v>42513</v>
      </c>
      <c r="B346" s="116">
        <v>237.6</v>
      </c>
      <c r="C346" s="116">
        <v>230.05</v>
      </c>
      <c r="D346" s="116">
        <v>226</v>
      </c>
      <c r="E346" s="116">
        <v>231</v>
      </c>
      <c r="F346" s="116">
        <v>230.05</v>
      </c>
      <c r="G346">
        <v>105657</v>
      </c>
      <c r="H346" s="116"/>
      <c r="I346" s="116"/>
      <c r="L346" s="169">
        <v>42513</v>
      </c>
      <c r="M346" s="116">
        <v>230.35</v>
      </c>
      <c r="N346" s="116">
        <v>237.8</v>
      </c>
      <c r="O346" s="116">
        <v>225.5</v>
      </c>
      <c r="P346" s="116">
        <v>230</v>
      </c>
      <c r="Q346" s="116">
        <v>230.35</v>
      </c>
      <c r="R346">
        <v>438603</v>
      </c>
    </row>
    <row r="347" spans="1:18" x14ac:dyDescent="0.25">
      <c r="A347" s="169">
        <v>42514</v>
      </c>
      <c r="B347" s="116">
        <v>233</v>
      </c>
      <c r="C347" s="116">
        <v>228.05</v>
      </c>
      <c r="D347" s="116">
        <v>224</v>
      </c>
      <c r="E347" s="116">
        <v>231.75</v>
      </c>
      <c r="F347" s="116">
        <v>228.05</v>
      </c>
      <c r="G347">
        <v>14294</v>
      </c>
      <c r="H347" s="116"/>
      <c r="I347" s="116"/>
      <c r="L347" s="169">
        <v>42514</v>
      </c>
      <c r="M347" s="116">
        <v>228.55</v>
      </c>
      <c r="N347" s="116">
        <v>232.5</v>
      </c>
      <c r="O347" s="116">
        <v>224</v>
      </c>
      <c r="P347" s="116">
        <v>231</v>
      </c>
      <c r="Q347" s="116">
        <v>228.55</v>
      </c>
      <c r="R347">
        <v>91686</v>
      </c>
    </row>
    <row r="348" spans="1:18" x14ac:dyDescent="0.25">
      <c r="A348" s="169">
        <v>42515</v>
      </c>
      <c r="B348" s="116">
        <v>235.95</v>
      </c>
      <c r="C348" s="116">
        <v>234.2</v>
      </c>
      <c r="D348" s="116">
        <v>224</v>
      </c>
      <c r="E348" s="116">
        <v>229.9</v>
      </c>
      <c r="F348" s="116">
        <v>234.2</v>
      </c>
      <c r="G348">
        <v>17265</v>
      </c>
      <c r="H348" s="116"/>
      <c r="I348" s="116"/>
      <c r="L348" s="169">
        <v>42515</v>
      </c>
      <c r="M348" s="116">
        <v>234.65</v>
      </c>
      <c r="N348" s="116">
        <v>236.4</v>
      </c>
      <c r="O348" s="116">
        <v>224.35</v>
      </c>
      <c r="P348" s="116">
        <v>228.55</v>
      </c>
      <c r="Q348" s="116">
        <v>234.65</v>
      </c>
      <c r="R348">
        <v>126236</v>
      </c>
    </row>
    <row r="349" spans="1:18" x14ac:dyDescent="0.25">
      <c r="A349" s="169">
        <v>42516</v>
      </c>
      <c r="B349" s="116">
        <v>239.05</v>
      </c>
      <c r="C349" s="116">
        <v>226.55</v>
      </c>
      <c r="D349" s="116">
        <v>225.1</v>
      </c>
      <c r="E349" s="116">
        <v>233</v>
      </c>
      <c r="F349" s="116">
        <v>226.55</v>
      </c>
      <c r="G349">
        <v>47243</v>
      </c>
      <c r="H349" s="116"/>
      <c r="I349" s="116"/>
      <c r="L349" s="169">
        <v>42516</v>
      </c>
      <c r="M349" s="116">
        <v>226.65</v>
      </c>
      <c r="N349" s="116">
        <v>239.8</v>
      </c>
      <c r="O349" s="116">
        <v>225.1</v>
      </c>
      <c r="P349" s="116">
        <v>233</v>
      </c>
      <c r="Q349" s="116">
        <v>226.65</v>
      </c>
      <c r="R349">
        <v>132049</v>
      </c>
    </row>
    <row r="350" spans="1:18" x14ac:dyDescent="0.25">
      <c r="A350" s="169">
        <v>42517</v>
      </c>
      <c r="B350" s="116">
        <v>228.4</v>
      </c>
      <c r="C350" s="116">
        <v>219.05</v>
      </c>
      <c r="D350" s="116">
        <v>217</v>
      </c>
      <c r="E350" s="116">
        <v>228.4</v>
      </c>
      <c r="F350" s="116">
        <v>219.05</v>
      </c>
      <c r="G350">
        <v>22285</v>
      </c>
      <c r="H350" s="116"/>
      <c r="I350" s="116"/>
      <c r="L350" s="169">
        <v>42517</v>
      </c>
      <c r="M350" s="116">
        <v>221.15</v>
      </c>
      <c r="N350" s="116">
        <v>229</v>
      </c>
      <c r="O350" s="116">
        <v>219.4</v>
      </c>
      <c r="P350" s="116">
        <v>226.65</v>
      </c>
      <c r="Q350" s="116">
        <v>221.15</v>
      </c>
      <c r="R350">
        <v>62254</v>
      </c>
    </row>
    <row r="351" spans="1:18" x14ac:dyDescent="0.25">
      <c r="A351" s="169">
        <v>42520</v>
      </c>
      <c r="B351" s="116">
        <v>225.7</v>
      </c>
      <c r="C351" s="116">
        <v>218.9</v>
      </c>
      <c r="D351" s="116">
        <v>218.05</v>
      </c>
      <c r="E351" s="116">
        <v>222.15</v>
      </c>
      <c r="F351" s="116">
        <v>218.9</v>
      </c>
      <c r="G351">
        <v>15531</v>
      </c>
      <c r="H351" s="116"/>
      <c r="I351" s="116"/>
      <c r="L351" s="169">
        <v>42520</v>
      </c>
      <c r="M351" s="116">
        <v>219.45</v>
      </c>
      <c r="N351" s="116">
        <v>226.5</v>
      </c>
      <c r="O351" s="116">
        <v>218.15</v>
      </c>
      <c r="P351" s="116">
        <v>221.5</v>
      </c>
      <c r="Q351" s="116">
        <v>219.45</v>
      </c>
      <c r="R351">
        <v>69331</v>
      </c>
    </row>
    <row r="352" spans="1:18" x14ac:dyDescent="0.25">
      <c r="A352" s="169">
        <v>42521</v>
      </c>
      <c r="B352" s="116">
        <v>220.75</v>
      </c>
      <c r="C352" s="116">
        <v>214.2</v>
      </c>
      <c r="D352" s="116">
        <v>213.55</v>
      </c>
      <c r="E352" s="116">
        <v>220.2</v>
      </c>
      <c r="F352" s="116">
        <v>214.2</v>
      </c>
      <c r="G352">
        <v>11204</v>
      </c>
      <c r="H352" s="116"/>
      <c r="I352" s="116"/>
      <c r="L352" s="169">
        <v>42521</v>
      </c>
      <c r="M352" s="116">
        <v>215.35</v>
      </c>
      <c r="N352" s="116">
        <v>220.85</v>
      </c>
      <c r="O352" s="116">
        <v>213</v>
      </c>
      <c r="P352" s="116">
        <v>220.85</v>
      </c>
      <c r="Q352" s="116">
        <v>215.35</v>
      </c>
      <c r="R352">
        <v>35493</v>
      </c>
    </row>
    <row r="353" spans="1:18" x14ac:dyDescent="0.25">
      <c r="A353" s="169">
        <v>42522</v>
      </c>
      <c r="B353" s="116">
        <v>224.5</v>
      </c>
      <c r="C353" s="116">
        <v>219.25</v>
      </c>
      <c r="D353" s="116">
        <v>216.2</v>
      </c>
      <c r="E353" s="116">
        <v>219.95</v>
      </c>
      <c r="F353" s="116">
        <v>219.25</v>
      </c>
      <c r="G353">
        <v>17406</v>
      </c>
      <c r="H353" s="116"/>
      <c r="I353" s="116"/>
      <c r="L353" s="169">
        <v>42522</v>
      </c>
      <c r="M353" s="116">
        <v>219.1</v>
      </c>
      <c r="N353" s="116">
        <v>224.5</v>
      </c>
      <c r="O353" s="116">
        <v>215.8</v>
      </c>
      <c r="P353" s="116">
        <v>219</v>
      </c>
      <c r="Q353" s="116">
        <v>219.1</v>
      </c>
      <c r="R353">
        <v>51969</v>
      </c>
    </row>
    <row r="354" spans="1:18" x14ac:dyDescent="0.25">
      <c r="A354" s="169">
        <v>42523</v>
      </c>
      <c r="B354" s="116">
        <v>222.05</v>
      </c>
      <c r="C354" s="116">
        <v>220</v>
      </c>
      <c r="D354" s="116">
        <v>217</v>
      </c>
      <c r="E354" s="116">
        <v>217.15</v>
      </c>
      <c r="F354" s="116">
        <v>220</v>
      </c>
      <c r="G354">
        <v>5628</v>
      </c>
      <c r="H354" s="116"/>
      <c r="I354" s="116"/>
      <c r="L354" s="169">
        <v>42523</v>
      </c>
      <c r="M354" s="116">
        <v>220.85</v>
      </c>
      <c r="N354" s="116">
        <v>222</v>
      </c>
      <c r="O354" s="116">
        <v>217.2</v>
      </c>
      <c r="P354" s="116">
        <v>219.85</v>
      </c>
      <c r="Q354" s="116">
        <v>220.85</v>
      </c>
      <c r="R354">
        <v>13481</v>
      </c>
    </row>
    <row r="355" spans="1:18" x14ac:dyDescent="0.25">
      <c r="A355" s="169">
        <v>42524</v>
      </c>
      <c r="B355" s="116">
        <v>225</v>
      </c>
      <c r="C355" s="116">
        <v>221.3</v>
      </c>
      <c r="D355" s="116">
        <v>216.7</v>
      </c>
      <c r="E355" s="116">
        <v>222.4</v>
      </c>
      <c r="F355" s="116">
        <v>221.3</v>
      </c>
      <c r="G355">
        <v>25446</v>
      </c>
      <c r="H355" s="116"/>
      <c r="I355" s="116"/>
      <c r="L355" s="169">
        <v>42524</v>
      </c>
      <c r="M355" s="116">
        <v>222.35</v>
      </c>
      <c r="N355" s="116">
        <v>227</v>
      </c>
      <c r="O355" s="116">
        <v>216.3</v>
      </c>
      <c r="P355" s="116">
        <v>227</v>
      </c>
      <c r="Q355" s="116">
        <v>222.35</v>
      </c>
      <c r="R355">
        <v>63286</v>
      </c>
    </row>
    <row r="356" spans="1:18" x14ac:dyDescent="0.25">
      <c r="A356" s="169">
        <v>42527</v>
      </c>
      <c r="B356" s="116">
        <v>225</v>
      </c>
      <c r="C356" s="116">
        <v>223.4</v>
      </c>
      <c r="D356" s="116">
        <v>218</v>
      </c>
      <c r="E356" s="116">
        <v>225</v>
      </c>
      <c r="F356" s="116">
        <v>223.4</v>
      </c>
      <c r="G356">
        <v>12250</v>
      </c>
      <c r="H356" s="116"/>
      <c r="I356" s="116"/>
      <c r="L356" s="169">
        <v>42527</v>
      </c>
      <c r="M356" s="116">
        <v>223.9</v>
      </c>
      <c r="N356" s="116">
        <v>225.85</v>
      </c>
      <c r="O356" s="116">
        <v>221.55</v>
      </c>
      <c r="P356" s="116">
        <v>223.95</v>
      </c>
      <c r="Q356" s="116">
        <v>223.9</v>
      </c>
      <c r="R356">
        <v>26952</v>
      </c>
    </row>
    <row r="357" spans="1:18" x14ac:dyDescent="0.25">
      <c r="A357" s="169">
        <v>42528</v>
      </c>
      <c r="B357" s="116">
        <v>248.7</v>
      </c>
      <c r="C357" s="116">
        <v>246.7</v>
      </c>
      <c r="D357" s="116">
        <v>224.85</v>
      </c>
      <c r="E357" s="116">
        <v>224.85</v>
      </c>
      <c r="F357" s="116">
        <v>246.7</v>
      </c>
      <c r="G357">
        <v>78303</v>
      </c>
      <c r="H357" s="116"/>
      <c r="I357" s="116"/>
      <c r="L357" s="169">
        <v>42528</v>
      </c>
      <c r="M357" s="116">
        <v>246.35</v>
      </c>
      <c r="N357" s="116">
        <v>249</v>
      </c>
      <c r="O357" s="116">
        <v>223</v>
      </c>
      <c r="P357" s="116">
        <v>223.05</v>
      </c>
      <c r="Q357" s="116">
        <v>246.35</v>
      </c>
      <c r="R357">
        <v>234344</v>
      </c>
    </row>
    <row r="358" spans="1:18" x14ac:dyDescent="0.25">
      <c r="A358" s="169">
        <v>42529</v>
      </c>
      <c r="B358" s="116">
        <v>247.5</v>
      </c>
      <c r="C358" s="116">
        <v>239.95</v>
      </c>
      <c r="D358" s="116">
        <v>238</v>
      </c>
      <c r="E358" s="116">
        <v>245</v>
      </c>
      <c r="F358" s="116">
        <v>239.95</v>
      </c>
      <c r="G358">
        <v>30966</v>
      </c>
      <c r="H358" s="116"/>
      <c r="I358" s="116"/>
      <c r="L358" s="169">
        <v>42529</v>
      </c>
      <c r="M358" s="116">
        <v>240.2</v>
      </c>
      <c r="N358" s="116">
        <v>247.9</v>
      </c>
      <c r="O358" s="116">
        <v>237.45</v>
      </c>
      <c r="P358" s="116">
        <v>246.45</v>
      </c>
      <c r="Q358" s="116">
        <v>240.2</v>
      </c>
      <c r="R358">
        <v>90382</v>
      </c>
    </row>
    <row r="359" spans="1:18" x14ac:dyDescent="0.25">
      <c r="A359" s="169">
        <v>42530</v>
      </c>
      <c r="B359" s="116">
        <v>241.95</v>
      </c>
      <c r="C359" s="116">
        <v>236.9</v>
      </c>
      <c r="D359" s="116">
        <v>234.35</v>
      </c>
      <c r="E359" s="116">
        <v>241.95</v>
      </c>
      <c r="F359" s="116">
        <v>236.9</v>
      </c>
      <c r="G359">
        <v>15665</v>
      </c>
      <c r="H359" s="116"/>
      <c r="I359" s="116"/>
      <c r="L359" s="169">
        <v>42530</v>
      </c>
      <c r="M359" s="116">
        <v>237.4</v>
      </c>
      <c r="N359" s="116">
        <v>241.2</v>
      </c>
      <c r="O359" s="116">
        <v>234.25</v>
      </c>
      <c r="P359" s="116">
        <v>240</v>
      </c>
      <c r="Q359" s="116">
        <v>237.4</v>
      </c>
      <c r="R359">
        <v>25047</v>
      </c>
    </row>
    <row r="360" spans="1:18" x14ac:dyDescent="0.25">
      <c r="A360" s="169">
        <v>42531</v>
      </c>
      <c r="B360" s="116">
        <v>242</v>
      </c>
      <c r="C360" s="116">
        <v>232.25</v>
      </c>
      <c r="D360" s="116">
        <v>230.05</v>
      </c>
      <c r="E360" s="116">
        <v>237.05</v>
      </c>
      <c r="F360" s="116">
        <v>232.25</v>
      </c>
      <c r="G360">
        <v>24590</v>
      </c>
      <c r="H360" s="116"/>
      <c r="I360" s="116"/>
      <c r="L360" s="169">
        <v>42531</v>
      </c>
      <c r="M360" s="116">
        <v>232.65</v>
      </c>
      <c r="N360" s="116">
        <v>242.55</v>
      </c>
      <c r="O360" s="116">
        <v>230.4</v>
      </c>
      <c r="P360" s="116">
        <v>236.95</v>
      </c>
      <c r="Q360" s="116">
        <v>232.65</v>
      </c>
      <c r="R360">
        <v>115552</v>
      </c>
    </row>
    <row r="361" spans="1:18" x14ac:dyDescent="0.25">
      <c r="A361" s="169">
        <v>42534</v>
      </c>
      <c r="B361" s="116">
        <v>239</v>
      </c>
      <c r="C361" s="116">
        <v>237.15</v>
      </c>
      <c r="D361" s="116">
        <v>215</v>
      </c>
      <c r="E361" s="116">
        <v>230</v>
      </c>
      <c r="F361" s="116">
        <v>237.15</v>
      </c>
      <c r="G361">
        <v>21462</v>
      </c>
      <c r="H361" s="116"/>
      <c r="I361" s="116"/>
      <c r="L361" s="169">
        <v>42534</v>
      </c>
      <c r="M361" s="116">
        <v>237.6</v>
      </c>
      <c r="N361" s="116">
        <v>238.9</v>
      </c>
      <c r="O361" s="116">
        <v>230.3</v>
      </c>
      <c r="P361" s="116">
        <v>234.9</v>
      </c>
      <c r="Q361" s="116">
        <v>237.6</v>
      </c>
      <c r="R361">
        <v>90998</v>
      </c>
    </row>
    <row r="362" spans="1:18" x14ac:dyDescent="0.25">
      <c r="A362" s="169">
        <v>42535</v>
      </c>
      <c r="B362" s="116">
        <v>246.5</v>
      </c>
      <c r="C362" s="116">
        <v>241.95</v>
      </c>
      <c r="D362" s="116">
        <v>237</v>
      </c>
      <c r="E362" s="116">
        <v>237</v>
      </c>
      <c r="F362" s="116">
        <v>241.95</v>
      </c>
      <c r="G362">
        <v>28762</v>
      </c>
      <c r="H362" s="116"/>
      <c r="I362" s="116"/>
      <c r="L362" s="169">
        <v>42535</v>
      </c>
      <c r="M362" s="116">
        <v>242.25</v>
      </c>
      <c r="N362" s="116">
        <v>248</v>
      </c>
      <c r="O362" s="116">
        <v>237.95</v>
      </c>
      <c r="P362" s="116">
        <v>239.9</v>
      </c>
      <c r="Q362" s="116">
        <v>242.25</v>
      </c>
      <c r="R362">
        <v>119549</v>
      </c>
    </row>
    <row r="363" spans="1:18" x14ac:dyDescent="0.25">
      <c r="A363" s="169">
        <v>42536</v>
      </c>
      <c r="B363" s="116">
        <v>246</v>
      </c>
      <c r="C363" s="116">
        <v>241.3</v>
      </c>
      <c r="D363" s="116">
        <v>239.05</v>
      </c>
      <c r="E363" s="116">
        <v>243.1</v>
      </c>
      <c r="F363" s="116">
        <v>241.3</v>
      </c>
      <c r="G363">
        <v>13865</v>
      </c>
      <c r="H363" s="116"/>
      <c r="I363" s="116"/>
      <c r="L363" s="169">
        <v>42536</v>
      </c>
      <c r="M363" s="116">
        <v>242.3</v>
      </c>
      <c r="N363" s="116">
        <v>247.25</v>
      </c>
      <c r="O363" s="116">
        <v>239</v>
      </c>
      <c r="P363" s="116">
        <v>245</v>
      </c>
      <c r="Q363" s="116">
        <v>242.3</v>
      </c>
      <c r="R363">
        <v>45228</v>
      </c>
    </row>
    <row r="364" spans="1:18" x14ac:dyDescent="0.25">
      <c r="A364" s="169">
        <v>42537</v>
      </c>
      <c r="B364" s="116">
        <v>243.4</v>
      </c>
      <c r="C364" s="116">
        <v>242.35</v>
      </c>
      <c r="D364" s="116">
        <v>238.8</v>
      </c>
      <c r="E364" s="116">
        <v>243.35</v>
      </c>
      <c r="F364" s="116">
        <v>242.35</v>
      </c>
      <c r="G364">
        <v>19295</v>
      </c>
      <c r="H364" s="116"/>
      <c r="I364" s="116"/>
      <c r="L364" s="169">
        <v>42537</v>
      </c>
      <c r="M364" s="116">
        <v>242.6</v>
      </c>
      <c r="N364" s="116">
        <v>244.9</v>
      </c>
      <c r="O364" s="116">
        <v>238.1</v>
      </c>
      <c r="P364" s="116">
        <v>244.9</v>
      </c>
      <c r="Q364" s="116">
        <v>242.6</v>
      </c>
      <c r="R364">
        <v>68015</v>
      </c>
    </row>
    <row r="365" spans="1:18" x14ac:dyDescent="0.25">
      <c r="A365" s="169">
        <v>42538</v>
      </c>
      <c r="B365" s="116">
        <v>257.39999999999998</v>
      </c>
      <c r="C365" s="116">
        <v>248.75</v>
      </c>
      <c r="D365" s="116">
        <v>240</v>
      </c>
      <c r="E365" s="116">
        <v>243.35</v>
      </c>
      <c r="F365" s="116">
        <v>248.75</v>
      </c>
      <c r="G365">
        <v>40337</v>
      </c>
      <c r="H365" s="116"/>
      <c r="I365" s="116"/>
      <c r="L365" s="169">
        <v>42538</v>
      </c>
      <c r="M365" s="116">
        <v>249.55</v>
      </c>
      <c r="N365" s="116">
        <v>257.5</v>
      </c>
      <c r="O365" s="116">
        <v>240.3</v>
      </c>
      <c r="P365" s="116">
        <v>241.9</v>
      </c>
      <c r="Q365" s="116">
        <v>249.55</v>
      </c>
      <c r="R365">
        <v>141207</v>
      </c>
    </row>
    <row r="366" spans="1:18" x14ac:dyDescent="0.25">
      <c r="A366" s="169">
        <v>42541</v>
      </c>
      <c r="B366" s="116">
        <v>256</v>
      </c>
      <c r="C366" s="116">
        <v>254.55</v>
      </c>
      <c r="D366" s="116">
        <v>246.85</v>
      </c>
      <c r="E366" s="116">
        <v>248.7</v>
      </c>
      <c r="F366" s="116">
        <v>254.55</v>
      </c>
      <c r="G366">
        <v>25349</v>
      </c>
      <c r="H366" s="116"/>
      <c r="I366" s="116"/>
      <c r="L366" s="169">
        <v>42541</v>
      </c>
      <c r="M366" s="116">
        <v>255.25</v>
      </c>
      <c r="N366" s="116">
        <v>256.7</v>
      </c>
      <c r="O366" s="116">
        <v>247.8</v>
      </c>
      <c r="P366" s="116">
        <v>248</v>
      </c>
      <c r="Q366" s="116">
        <v>255.25</v>
      </c>
      <c r="R366">
        <v>83992</v>
      </c>
    </row>
    <row r="367" spans="1:18" x14ac:dyDescent="0.25">
      <c r="A367" s="169">
        <v>42542</v>
      </c>
      <c r="B367" s="116">
        <v>260</v>
      </c>
      <c r="C367" s="116">
        <v>258.39999999999998</v>
      </c>
      <c r="D367" s="116">
        <v>250.25</v>
      </c>
      <c r="E367" s="116">
        <v>250.25</v>
      </c>
      <c r="F367" s="116">
        <v>258.39999999999998</v>
      </c>
      <c r="G367">
        <v>17111</v>
      </c>
      <c r="H367" s="116"/>
      <c r="I367" s="116"/>
      <c r="L367" s="169">
        <v>42542</v>
      </c>
      <c r="M367" s="116">
        <v>258.7</v>
      </c>
      <c r="N367" s="116">
        <v>261</v>
      </c>
      <c r="O367" s="116">
        <v>253</v>
      </c>
      <c r="P367" s="116">
        <v>256</v>
      </c>
      <c r="Q367" s="116">
        <v>258.7</v>
      </c>
      <c r="R367">
        <v>62865</v>
      </c>
    </row>
    <row r="368" spans="1:18" x14ac:dyDescent="0.25">
      <c r="A368" s="169">
        <v>42543</v>
      </c>
      <c r="B368" s="116">
        <v>263.14999999999998</v>
      </c>
      <c r="C368" s="116">
        <v>259.89999999999998</v>
      </c>
      <c r="D368" s="116">
        <v>255.9</v>
      </c>
      <c r="E368" s="116">
        <v>259.85000000000002</v>
      </c>
      <c r="F368" s="116">
        <v>259.89999999999998</v>
      </c>
      <c r="G368">
        <v>8848</v>
      </c>
      <c r="H368" s="116"/>
      <c r="I368" s="116"/>
      <c r="L368" s="169">
        <v>42543</v>
      </c>
      <c r="M368" s="116">
        <v>260.2</v>
      </c>
      <c r="N368" s="116">
        <v>264</v>
      </c>
      <c r="O368" s="116">
        <v>258</v>
      </c>
      <c r="P368" s="116">
        <v>260.75</v>
      </c>
      <c r="Q368" s="116">
        <v>260.2</v>
      </c>
      <c r="R368">
        <v>44016</v>
      </c>
    </row>
    <row r="369" spans="1:18" x14ac:dyDescent="0.25">
      <c r="A369" s="169">
        <v>42544</v>
      </c>
      <c r="B369" s="116">
        <v>260.3</v>
      </c>
      <c r="C369" s="116">
        <v>257.14999999999998</v>
      </c>
      <c r="D369" s="116">
        <v>252</v>
      </c>
      <c r="E369" s="116">
        <v>260.3</v>
      </c>
      <c r="F369" s="116">
        <v>257.14999999999998</v>
      </c>
      <c r="G369">
        <v>10373</v>
      </c>
      <c r="H369" s="116"/>
      <c r="I369" s="116"/>
      <c r="L369" s="169">
        <v>42544</v>
      </c>
      <c r="M369" s="116">
        <v>257.3</v>
      </c>
      <c r="N369" s="116">
        <v>262</v>
      </c>
      <c r="O369" s="116">
        <v>250.3</v>
      </c>
      <c r="P369" s="116">
        <v>260.10000000000002</v>
      </c>
      <c r="Q369" s="116">
        <v>257.3</v>
      </c>
      <c r="R369">
        <v>48893</v>
      </c>
    </row>
    <row r="370" spans="1:18" x14ac:dyDescent="0.25">
      <c r="A370" s="169">
        <v>42545</v>
      </c>
      <c r="B370" s="116">
        <v>250</v>
      </c>
      <c r="C370" s="116">
        <v>245.3</v>
      </c>
      <c r="D370" s="116">
        <v>237</v>
      </c>
      <c r="E370" s="116">
        <v>250</v>
      </c>
      <c r="F370" s="116">
        <v>245.3</v>
      </c>
      <c r="G370">
        <v>35738</v>
      </c>
      <c r="H370" s="116"/>
      <c r="I370" s="116"/>
      <c r="L370" s="169">
        <v>42545</v>
      </c>
      <c r="M370" s="116">
        <v>244.85</v>
      </c>
      <c r="N370" s="116">
        <v>253</v>
      </c>
      <c r="O370" s="116">
        <v>236</v>
      </c>
      <c r="P370" s="116">
        <v>253</v>
      </c>
      <c r="Q370" s="116">
        <v>244.85</v>
      </c>
      <c r="R370">
        <v>105090</v>
      </c>
    </row>
    <row r="371" spans="1:18" x14ac:dyDescent="0.25">
      <c r="A371" s="169">
        <v>42548</v>
      </c>
      <c r="B371" s="116">
        <v>253.15</v>
      </c>
      <c r="C371" s="116">
        <v>249.95</v>
      </c>
      <c r="D371" s="116">
        <v>245.3</v>
      </c>
      <c r="E371" s="116">
        <v>245.3</v>
      </c>
      <c r="F371" s="116">
        <v>249.95</v>
      </c>
      <c r="G371">
        <v>8508</v>
      </c>
      <c r="H371" s="116"/>
      <c r="I371" s="116"/>
      <c r="L371" s="169">
        <v>42548</v>
      </c>
      <c r="M371" s="116">
        <v>250.3</v>
      </c>
      <c r="N371" s="116">
        <v>255</v>
      </c>
      <c r="O371" s="116">
        <v>246.35</v>
      </c>
      <c r="P371" s="116">
        <v>247</v>
      </c>
      <c r="Q371" s="116">
        <v>250.3</v>
      </c>
      <c r="R371">
        <v>21805</v>
      </c>
    </row>
    <row r="372" spans="1:18" x14ac:dyDescent="0.25">
      <c r="A372" s="169">
        <v>42549</v>
      </c>
      <c r="B372" s="116">
        <v>256.7</v>
      </c>
      <c r="C372" s="116">
        <v>255.05</v>
      </c>
      <c r="D372" s="116">
        <v>251.25</v>
      </c>
      <c r="E372" s="116">
        <v>251.3</v>
      </c>
      <c r="F372" s="116">
        <v>255.05</v>
      </c>
      <c r="G372">
        <v>5204</v>
      </c>
      <c r="H372" s="116"/>
      <c r="I372" s="116"/>
      <c r="L372" s="169">
        <v>42549</v>
      </c>
      <c r="M372" s="116">
        <v>254.8</v>
      </c>
      <c r="N372" s="116">
        <v>257.05</v>
      </c>
      <c r="O372" s="116">
        <v>250.95</v>
      </c>
      <c r="P372" s="116">
        <v>250.95</v>
      </c>
      <c r="Q372" s="116">
        <v>254.8</v>
      </c>
      <c r="R372">
        <v>36452</v>
      </c>
    </row>
    <row r="373" spans="1:18" x14ac:dyDescent="0.25">
      <c r="A373" s="169">
        <v>42550</v>
      </c>
      <c r="B373" s="116">
        <v>265.75</v>
      </c>
      <c r="C373" s="116">
        <v>264.39999999999998</v>
      </c>
      <c r="D373" s="116">
        <v>256.05</v>
      </c>
      <c r="E373" s="116">
        <v>256.05</v>
      </c>
      <c r="F373" s="116">
        <v>264.39999999999998</v>
      </c>
      <c r="G373">
        <v>19914</v>
      </c>
      <c r="H373" s="116"/>
      <c r="I373" s="116"/>
      <c r="L373" s="169">
        <v>42550</v>
      </c>
      <c r="M373" s="116">
        <v>263.75</v>
      </c>
      <c r="N373" s="116">
        <v>266.60000000000002</v>
      </c>
      <c r="O373" s="116">
        <v>255</v>
      </c>
      <c r="P373" s="116">
        <v>255</v>
      </c>
      <c r="Q373" s="116">
        <v>263.75</v>
      </c>
      <c r="R373">
        <v>68821</v>
      </c>
    </row>
    <row r="374" spans="1:18" x14ac:dyDescent="0.25">
      <c r="A374" s="169">
        <v>42551</v>
      </c>
      <c r="B374" s="116">
        <v>282.5</v>
      </c>
      <c r="C374" s="116">
        <v>277.89999999999998</v>
      </c>
      <c r="D374" s="116">
        <v>265</v>
      </c>
      <c r="E374" s="116">
        <v>265</v>
      </c>
      <c r="F374" s="116">
        <v>277.89999999999998</v>
      </c>
      <c r="G374">
        <v>32795</v>
      </c>
      <c r="H374" s="116"/>
      <c r="I374" s="116"/>
      <c r="L374" s="169">
        <v>42551</v>
      </c>
      <c r="M374" s="116">
        <v>277.7</v>
      </c>
      <c r="N374" s="116">
        <v>282.5</v>
      </c>
      <c r="O374" s="116">
        <v>264.8</v>
      </c>
      <c r="P374" s="116">
        <v>265.05</v>
      </c>
      <c r="Q374" s="116">
        <v>277.7</v>
      </c>
      <c r="R374">
        <v>139393</v>
      </c>
    </row>
    <row r="375" spans="1:18" x14ac:dyDescent="0.25">
      <c r="A375" s="169">
        <v>42552</v>
      </c>
      <c r="B375" s="116">
        <v>287.39999999999998</v>
      </c>
      <c r="C375" s="116">
        <v>267.64999999999998</v>
      </c>
      <c r="D375" s="116">
        <v>265.5</v>
      </c>
      <c r="E375" s="116">
        <v>280.95</v>
      </c>
      <c r="F375" s="116">
        <v>267.64999999999998</v>
      </c>
      <c r="G375">
        <v>116022</v>
      </c>
      <c r="H375" s="116"/>
      <c r="I375" s="116"/>
      <c r="L375" s="169">
        <v>42552</v>
      </c>
      <c r="M375" s="116">
        <v>268.55</v>
      </c>
      <c r="N375" s="116">
        <v>288</v>
      </c>
      <c r="O375" s="116">
        <v>265</v>
      </c>
      <c r="P375" s="116">
        <v>278</v>
      </c>
      <c r="Q375" s="116">
        <v>268.55</v>
      </c>
      <c r="R375">
        <v>440648</v>
      </c>
    </row>
    <row r="376" spans="1:18" x14ac:dyDescent="0.25">
      <c r="A376" s="169">
        <v>42555</v>
      </c>
      <c r="B376" s="116">
        <v>276.45</v>
      </c>
      <c r="C376" s="116">
        <v>270.7</v>
      </c>
      <c r="D376" s="116">
        <v>268.75</v>
      </c>
      <c r="E376" s="116">
        <v>270.39999999999998</v>
      </c>
      <c r="F376" s="116">
        <v>270.7</v>
      </c>
      <c r="G376">
        <v>12746</v>
      </c>
      <c r="H376" s="116"/>
      <c r="I376" s="116"/>
      <c r="L376" s="169">
        <v>42555</v>
      </c>
      <c r="M376" s="116">
        <v>272.14999999999998</v>
      </c>
      <c r="N376" s="116">
        <v>276.45</v>
      </c>
      <c r="O376" s="116">
        <v>268.05</v>
      </c>
      <c r="P376" s="116">
        <v>268.05</v>
      </c>
      <c r="Q376" s="116">
        <v>272.14999999999998</v>
      </c>
      <c r="R376">
        <v>76316</v>
      </c>
    </row>
    <row r="377" spans="1:18" x14ac:dyDescent="0.25">
      <c r="A377" s="169">
        <v>42556</v>
      </c>
      <c r="B377" s="116">
        <v>275.35000000000002</v>
      </c>
      <c r="C377" s="116">
        <v>273.35000000000002</v>
      </c>
      <c r="D377" s="116">
        <v>269.10000000000002</v>
      </c>
      <c r="E377" s="116">
        <v>274.5</v>
      </c>
      <c r="F377" s="116">
        <v>273.35000000000002</v>
      </c>
      <c r="G377">
        <v>10756</v>
      </c>
      <c r="H377" s="116"/>
      <c r="I377" s="116"/>
      <c r="L377" s="169">
        <v>42556</v>
      </c>
      <c r="M377" s="116">
        <v>274.25</v>
      </c>
      <c r="N377" s="116">
        <v>276.60000000000002</v>
      </c>
      <c r="O377" s="116">
        <v>270</v>
      </c>
      <c r="P377" s="116">
        <v>274.64999999999998</v>
      </c>
      <c r="Q377" s="116">
        <v>274.25</v>
      </c>
      <c r="R377">
        <v>42250</v>
      </c>
    </row>
    <row r="378" spans="1:18" x14ac:dyDescent="0.25">
      <c r="A378" s="169">
        <v>42558</v>
      </c>
      <c r="B378" s="116">
        <v>276</v>
      </c>
      <c r="C378" s="116">
        <v>271.60000000000002</v>
      </c>
      <c r="D378" s="116">
        <v>270</v>
      </c>
      <c r="E378" s="116">
        <v>273.3</v>
      </c>
      <c r="F378" s="116">
        <v>271.60000000000002</v>
      </c>
      <c r="G378">
        <v>5760</v>
      </c>
      <c r="H378" s="116"/>
      <c r="I378" s="116"/>
      <c r="L378" s="169">
        <v>42558</v>
      </c>
      <c r="M378" s="116">
        <v>273.10000000000002</v>
      </c>
      <c r="N378" s="116">
        <v>276</v>
      </c>
      <c r="O378" s="116">
        <v>270</v>
      </c>
      <c r="P378" s="116">
        <v>271.10000000000002</v>
      </c>
      <c r="Q378" s="116">
        <v>273.10000000000002</v>
      </c>
      <c r="R378">
        <v>32046</v>
      </c>
    </row>
    <row r="379" spans="1:18" x14ac:dyDescent="0.25">
      <c r="A379" s="169">
        <v>42559</v>
      </c>
      <c r="B379" s="116">
        <v>276.89999999999998</v>
      </c>
      <c r="C379" s="116">
        <v>273.95</v>
      </c>
      <c r="D379" s="116">
        <v>270</v>
      </c>
      <c r="E379" s="116">
        <v>276.89999999999998</v>
      </c>
      <c r="F379" s="116">
        <v>273.95</v>
      </c>
      <c r="G379">
        <v>7264</v>
      </c>
      <c r="H379" s="116"/>
      <c r="I379" s="116"/>
      <c r="L379" s="169">
        <v>42559</v>
      </c>
      <c r="M379" s="116">
        <v>274.39999999999998</v>
      </c>
      <c r="N379" s="116">
        <v>276</v>
      </c>
      <c r="O379" s="116">
        <v>270.05</v>
      </c>
      <c r="P379" s="116">
        <v>274.85000000000002</v>
      </c>
      <c r="Q379" s="116">
        <v>274.39999999999998</v>
      </c>
      <c r="R379">
        <v>40362</v>
      </c>
    </row>
    <row r="380" spans="1:18" x14ac:dyDescent="0.25">
      <c r="A380" s="169">
        <v>42562</v>
      </c>
      <c r="B380" s="116">
        <v>279.8</v>
      </c>
      <c r="C380" s="116">
        <v>276.39999999999998</v>
      </c>
      <c r="D380" s="116">
        <v>271.45</v>
      </c>
      <c r="E380" s="116">
        <v>273.95</v>
      </c>
      <c r="F380" s="116">
        <v>276.39999999999998</v>
      </c>
      <c r="G380">
        <v>18869</v>
      </c>
      <c r="H380" s="116"/>
      <c r="I380" s="116"/>
      <c r="L380" s="169">
        <v>42562</v>
      </c>
      <c r="M380" s="116">
        <v>277.8</v>
      </c>
      <c r="N380" s="116">
        <v>281</v>
      </c>
      <c r="O380" s="116">
        <v>270.5</v>
      </c>
      <c r="P380" s="116">
        <v>277.25</v>
      </c>
      <c r="Q380" s="116">
        <v>277.8</v>
      </c>
      <c r="R380">
        <v>45210</v>
      </c>
    </row>
    <row r="381" spans="1:18" x14ac:dyDescent="0.25">
      <c r="A381" s="169">
        <v>42563</v>
      </c>
      <c r="B381" s="116">
        <v>280</v>
      </c>
      <c r="C381" s="116">
        <v>277</v>
      </c>
      <c r="D381" s="116">
        <v>275</v>
      </c>
      <c r="E381" s="116">
        <v>279.3</v>
      </c>
      <c r="F381" s="116">
        <v>277</v>
      </c>
      <c r="G381">
        <v>7770</v>
      </c>
      <c r="H381" s="116"/>
      <c r="I381" s="116"/>
      <c r="L381" s="169">
        <v>42563</v>
      </c>
      <c r="M381" s="116">
        <v>277.2</v>
      </c>
      <c r="N381" s="116">
        <v>280.75</v>
      </c>
      <c r="O381" s="116">
        <v>276</v>
      </c>
      <c r="P381" s="116">
        <v>276.7</v>
      </c>
      <c r="Q381" s="116">
        <v>277.2</v>
      </c>
      <c r="R381">
        <v>29033</v>
      </c>
    </row>
    <row r="382" spans="1:18" x14ac:dyDescent="0.25">
      <c r="A382" s="169">
        <v>42564</v>
      </c>
      <c r="B382" s="116">
        <v>280</v>
      </c>
      <c r="C382" s="116">
        <v>274.45</v>
      </c>
      <c r="D382" s="116">
        <v>272.25</v>
      </c>
      <c r="E382" s="116">
        <v>277.14999999999998</v>
      </c>
      <c r="F382" s="116">
        <v>274.45</v>
      </c>
      <c r="G382">
        <v>9556</v>
      </c>
      <c r="H382" s="116"/>
      <c r="I382" s="116"/>
      <c r="L382" s="169">
        <v>42564</v>
      </c>
      <c r="M382" s="116">
        <v>274.95</v>
      </c>
      <c r="N382" s="116">
        <v>279</v>
      </c>
      <c r="O382" s="116">
        <v>273.14999999999998</v>
      </c>
      <c r="P382" s="116">
        <v>278.10000000000002</v>
      </c>
      <c r="Q382" s="116">
        <v>274.95</v>
      </c>
      <c r="R382">
        <v>16864</v>
      </c>
    </row>
    <row r="383" spans="1:18" x14ac:dyDescent="0.25">
      <c r="A383" s="169">
        <v>42565</v>
      </c>
      <c r="B383" s="116">
        <v>276.39999999999998</v>
      </c>
      <c r="C383" s="116">
        <v>263.39999999999998</v>
      </c>
      <c r="D383" s="116">
        <v>249.2</v>
      </c>
      <c r="E383" s="116">
        <v>276.35000000000002</v>
      </c>
      <c r="F383" s="116">
        <v>263.39999999999998</v>
      </c>
      <c r="G383">
        <v>42134</v>
      </c>
      <c r="H383" s="116"/>
      <c r="I383" s="116"/>
      <c r="L383" s="169">
        <v>42565</v>
      </c>
      <c r="M383" s="116">
        <v>262.7</v>
      </c>
      <c r="N383" s="116">
        <v>276.95</v>
      </c>
      <c r="O383" s="116">
        <v>249.75</v>
      </c>
      <c r="P383" s="116">
        <v>272.14999999999998</v>
      </c>
      <c r="Q383" s="116">
        <v>262.7</v>
      </c>
      <c r="R383">
        <v>125905</v>
      </c>
    </row>
    <row r="384" spans="1:18" x14ac:dyDescent="0.25">
      <c r="A384" s="169">
        <v>42566</v>
      </c>
      <c r="B384" s="116">
        <v>268</v>
      </c>
      <c r="C384" s="116">
        <v>261.2</v>
      </c>
      <c r="D384" s="116">
        <v>259</v>
      </c>
      <c r="E384" s="116">
        <v>267.75</v>
      </c>
      <c r="F384" s="116">
        <v>261.2</v>
      </c>
      <c r="G384">
        <v>16564</v>
      </c>
      <c r="H384" s="116"/>
      <c r="I384" s="116"/>
      <c r="L384" s="169">
        <v>42566</v>
      </c>
      <c r="M384" s="116">
        <v>263.25</v>
      </c>
      <c r="N384" s="116">
        <v>268.8</v>
      </c>
      <c r="O384" s="116">
        <v>259.14999999999998</v>
      </c>
      <c r="P384" s="116">
        <v>264.60000000000002</v>
      </c>
      <c r="Q384" s="116">
        <v>263.25</v>
      </c>
      <c r="R384">
        <v>29092</v>
      </c>
    </row>
    <row r="385" spans="1:18" x14ac:dyDescent="0.25">
      <c r="A385" s="169">
        <v>42569</v>
      </c>
      <c r="B385" s="116">
        <v>271.8</v>
      </c>
      <c r="C385" s="116">
        <v>267.7</v>
      </c>
      <c r="D385" s="116">
        <v>264.95</v>
      </c>
      <c r="E385" s="116">
        <v>265.45</v>
      </c>
      <c r="F385" s="116">
        <v>267.7</v>
      </c>
      <c r="G385">
        <v>9123</v>
      </c>
      <c r="H385" s="116"/>
      <c r="I385" s="116"/>
      <c r="L385" s="169">
        <v>42569</v>
      </c>
      <c r="M385" s="116">
        <v>267.35000000000002</v>
      </c>
      <c r="N385" s="116">
        <v>275.64999999999998</v>
      </c>
      <c r="O385" s="116">
        <v>264.10000000000002</v>
      </c>
      <c r="P385" s="116">
        <v>264.55</v>
      </c>
      <c r="Q385" s="116">
        <v>267.35000000000002</v>
      </c>
      <c r="R385">
        <v>63690</v>
      </c>
    </row>
    <row r="386" spans="1:18" x14ac:dyDescent="0.25">
      <c r="A386" s="169">
        <v>42570</v>
      </c>
      <c r="B386" s="116">
        <v>271.95</v>
      </c>
      <c r="C386" s="116">
        <v>268.75</v>
      </c>
      <c r="D386" s="116">
        <v>265</v>
      </c>
      <c r="E386" s="116">
        <v>265</v>
      </c>
      <c r="F386" s="116">
        <v>268.75</v>
      </c>
      <c r="G386">
        <v>2250</v>
      </c>
      <c r="H386" s="116"/>
      <c r="I386" s="116"/>
      <c r="L386" s="169">
        <v>42570</v>
      </c>
      <c r="M386" s="116">
        <v>269.10000000000002</v>
      </c>
      <c r="N386" s="116">
        <v>272</v>
      </c>
      <c r="O386" s="116">
        <v>265</v>
      </c>
      <c r="P386" s="116">
        <v>268</v>
      </c>
      <c r="Q386" s="116">
        <v>269.10000000000002</v>
      </c>
      <c r="R386">
        <v>44073</v>
      </c>
    </row>
    <row r="387" spans="1:18" x14ac:dyDescent="0.25">
      <c r="A387" s="169">
        <v>42571</v>
      </c>
      <c r="B387" s="116">
        <v>270.85000000000002</v>
      </c>
      <c r="C387" s="116">
        <v>268.95</v>
      </c>
      <c r="D387" s="116">
        <v>266.7</v>
      </c>
      <c r="E387" s="116">
        <v>269</v>
      </c>
      <c r="F387" s="116">
        <v>268.95</v>
      </c>
      <c r="G387">
        <v>3398</v>
      </c>
      <c r="H387" s="116"/>
      <c r="I387" s="116"/>
      <c r="L387" s="169">
        <v>42571</v>
      </c>
      <c r="M387" s="116">
        <v>270.2</v>
      </c>
      <c r="N387" s="116">
        <v>271.89999999999998</v>
      </c>
      <c r="O387" s="116">
        <v>266.85000000000002</v>
      </c>
      <c r="P387" s="116">
        <v>266.85000000000002</v>
      </c>
      <c r="Q387" s="116">
        <v>270.2</v>
      </c>
      <c r="R387">
        <v>16928</v>
      </c>
    </row>
    <row r="388" spans="1:18" x14ac:dyDescent="0.25">
      <c r="A388" s="169">
        <v>42572</v>
      </c>
      <c r="B388" s="116">
        <v>274.14999999999998</v>
      </c>
      <c r="C388" s="116">
        <v>266.25</v>
      </c>
      <c r="D388" s="116">
        <v>265.5</v>
      </c>
      <c r="E388" s="116">
        <v>270.95</v>
      </c>
      <c r="F388" s="116">
        <v>266.25</v>
      </c>
      <c r="G388">
        <v>4349</v>
      </c>
      <c r="H388" s="116"/>
      <c r="I388" s="116"/>
      <c r="L388" s="169">
        <v>42572</v>
      </c>
      <c r="M388" s="116">
        <v>266.7</v>
      </c>
      <c r="N388" s="116">
        <v>273.60000000000002</v>
      </c>
      <c r="O388" s="116">
        <v>265</v>
      </c>
      <c r="P388" s="116">
        <v>269.95</v>
      </c>
      <c r="Q388" s="116">
        <v>266.7</v>
      </c>
      <c r="R388">
        <v>21084</v>
      </c>
    </row>
    <row r="389" spans="1:18" x14ac:dyDescent="0.25">
      <c r="A389" s="169">
        <v>42573</v>
      </c>
      <c r="B389" s="116">
        <v>268.64999999999998</v>
      </c>
      <c r="C389" s="116">
        <v>265.85000000000002</v>
      </c>
      <c r="D389" s="116">
        <v>265</v>
      </c>
      <c r="E389" s="116">
        <v>267.60000000000002</v>
      </c>
      <c r="F389" s="116">
        <v>265.85000000000002</v>
      </c>
      <c r="G389">
        <v>3057</v>
      </c>
      <c r="H389" s="116"/>
      <c r="I389" s="116"/>
      <c r="L389" s="169">
        <v>42573</v>
      </c>
      <c r="M389" s="116">
        <v>267.10000000000002</v>
      </c>
      <c r="N389" s="116">
        <v>272.89999999999998</v>
      </c>
      <c r="O389" s="116">
        <v>266</v>
      </c>
      <c r="P389" s="116">
        <v>272.89999999999998</v>
      </c>
      <c r="Q389" s="116">
        <v>267.10000000000002</v>
      </c>
      <c r="R389">
        <v>17494</v>
      </c>
    </row>
    <row r="390" spans="1:18" x14ac:dyDescent="0.25">
      <c r="A390" s="169">
        <v>42576</v>
      </c>
      <c r="B390" s="116">
        <v>274</v>
      </c>
      <c r="C390" s="116">
        <v>267.85000000000002</v>
      </c>
      <c r="D390" s="116">
        <v>267</v>
      </c>
      <c r="E390" s="116">
        <v>269.35000000000002</v>
      </c>
      <c r="F390" s="116">
        <v>267.85000000000002</v>
      </c>
      <c r="G390">
        <v>8027</v>
      </c>
      <c r="H390" s="116"/>
      <c r="I390" s="116"/>
      <c r="L390" s="169">
        <v>42576</v>
      </c>
      <c r="M390" s="116">
        <v>266.7</v>
      </c>
      <c r="N390" s="116">
        <v>276.45</v>
      </c>
      <c r="O390" s="116">
        <v>265.64999999999998</v>
      </c>
      <c r="P390" s="116">
        <v>269.7</v>
      </c>
      <c r="Q390" s="116">
        <v>266.7</v>
      </c>
      <c r="R390">
        <v>42678</v>
      </c>
    </row>
    <row r="391" spans="1:18" x14ac:dyDescent="0.25">
      <c r="A391" s="169">
        <v>42577</v>
      </c>
      <c r="B391" s="116">
        <v>272.35000000000002</v>
      </c>
      <c r="C391" s="116">
        <v>270.35000000000002</v>
      </c>
      <c r="D391" s="116">
        <v>268.05</v>
      </c>
      <c r="E391" s="116">
        <v>270.10000000000002</v>
      </c>
      <c r="F391" s="116">
        <v>270.35000000000002</v>
      </c>
      <c r="G391">
        <v>5117</v>
      </c>
      <c r="H391" s="116"/>
      <c r="I391" s="116"/>
      <c r="L391" s="169">
        <v>42577</v>
      </c>
      <c r="M391" s="116">
        <v>270.35000000000002</v>
      </c>
      <c r="N391" s="116">
        <v>272.39999999999998</v>
      </c>
      <c r="O391" s="116">
        <v>267</v>
      </c>
      <c r="P391" s="116">
        <v>268.8</v>
      </c>
      <c r="Q391" s="116">
        <v>270.35000000000002</v>
      </c>
      <c r="R391">
        <v>35032</v>
      </c>
    </row>
    <row r="392" spans="1:18" x14ac:dyDescent="0.25">
      <c r="A392" s="169">
        <v>42578</v>
      </c>
      <c r="B392" s="116">
        <v>272.3</v>
      </c>
      <c r="C392" s="116">
        <v>271.5</v>
      </c>
      <c r="D392" s="116">
        <v>269.39999999999998</v>
      </c>
      <c r="E392" s="116">
        <v>270.60000000000002</v>
      </c>
      <c r="F392" s="116">
        <v>271.5</v>
      </c>
      <c r="G392">
        <v>2623</v>
      </c>
      <c r="H392" s="116"/>
      <c r="I392" s="116"/>
      <c r="L392" s="169">
        <v>42578</v>
      </c>
      <c r="M392" s="116">
        <v>272.35000000000002</v>
      </c>
      <c r="N392" s="116">
        <v>273</v>
      </c>
      <c r="O392" s="116">
        <v>269.14999999999998</v>
      </c>
      <c r="P392" s="116">
        <v>270</v>
      </c>
      <c r="Q392" s="116">
        <v>272.35000000000002</v>
      </c>
      <c r="R392">
        <v>21280</v>
      </c>
    </row>
    <row r="393" spans="1:18" x14ac:dyDescent="0.25">
      <c r="A393" s="169">
        <v>42579</v>
      </c>
      <c r="B393" s="116">
        <v>284.85000000000002</v>
      </c>
      <c r="C393" s="116">
        <v>282.60000000000002</v>
      </c>
      <c r="D393" s="116">
        <v>272.5</v>
      </c>
      <c r="E393" s="116">
        <v>273.5</v>
      </c>
      <c r="F393" s="116">
        <v>282.60000000000002</v>
      </c>
      <c r="G393">
        <v>15788</v>
      </c>
      <c r="H393" s="116"/>
      <c r="I393" s="116"/>
      <c r="L393" s="169">
        <v>42579</v>
      </c>
      <c r="M393" s="116">
        <v>282.14999999999998</v>
      </c>
      <c r="N393" s="116">
        <v>284</v>
      </c>
      <c r="O393" s="116">
        <v>270.75</v>
      </c>
      <c r="P393" s="116">
        <v>270.75</v>
      </c>
      <c r="Q393" s="116">
        <v>282.14999999999998</v>
      </c>
      <c r="R393">
        <v>52426</v>
      </c>
    </row>
    <row r="394" spans="1:18" x14ac:dyDescent="0.25">
      <c r="A394" s="169">
        <v>42580</v>
      </c>
      <c r="B394" s="116">
        <v>300</v>
      </c>
      <c r="C394" s="116">
        <v>296.35000000000002</v>
      </c>
      <c r="D394" s="116">
        <v>281.45</v>
      </c>
      <c r="E394" s="116">
        <v>285</v>
      </c>
      <c r="F394" s="116">
        <v>296.35000000000002</v>
      </c>
      <c r="G394">
        <v>33806</v>
      </c>
      <c r="H394" s="116"/>
      <c r="I394" s="116"/>
      <c r="L394" s="169">
        <v>42580</v>
      </c>
      <c r="M394" s="116">
        <v>294.39999999999998</v>
      </c>
      <c r="N394" s="116">
        <v>296.5</v>
      </c>
      <c r="O394" s="116">
        <v>280.55</v>
      </c>
      <c r="P394" s="116">
        <v>282.14999999999998</v>
      </c>
      <c r="Q394" s="116">
        <v>294.39999999999998</v>
      </c>
      <c r="R394">
        <v>118938</v>
      </c>
    </row>
    <row r="395" spans="1:18" x14ac:dyDescent="0.25">
      <c r="A395" s="169">
        <v>42583</v>
      </c>
      <c r="B395" s="116">
        <v>310.5</v>
      </c>
      <c r="C395" s="116">
        <v>298.5</v>
      </c>
      <c r="D395" s="116">
        <v>291.3</v>
      </c>
      <c r="E395" s="116">
        <v>305</v>
      </c>
      <c r="F395" s="116">
        <v>298.5</v>
      </c>
      <c r="G395">
        <v>53971</v>
      </c>
      <c r="H395" s="116"/>
      <c r="I395" s="116"/>
      <c r="L395" s="169">
        <v>42583</v>
      </c>
      <c r="M395" s="116">
        <v>299.14999999999998</v>
      </c>
      <c r="N395" s="116">
        <v>314</v>
      </c>
      <c r="O395" s="116">
        <v>293.39999999999998</v>
      </c>
      <c r="P395" s="116">
        <v>310</v>
      </c>
      <c r="Q395" s="116">
        <v>299.14999999999998</v>
      </c>
      <c r="R395">
        <v>149128</v>
      </c>
    </row>
    <row r="396" spans="1:18" x14ac:dyDescent="0.25">
      <c r="A396" s="169">
        <v>42584</v>
      </c>
      <c r="B396" s="116">
        <v>303.85000000000002</v>
      </c>
      <c r="C396" s="116">
        <v>300.64999999999998</v>
      </c>
      <c r="D396" s="116">
        <v>296.64999999999998</v>
      </c>
      <c r="E396" s="116">
        <v>303</v>
      </c>
      <c r="F396" s="116">
        <v>300.64999999999998</v>
      </c>
      <c r="G396">
        <v>10183</v>
      </c>
      <c r="H396" s="116"/>
      <c r="I396" s="116"/>
      <c r="L396" s="169">
        <v>42584</v>
      </c>
      <c r="M396" s="116">
        <v>301.25</v>
      </c>
      <c r="N396" s="116">
        <v>304</v>
      </c>
      <c r="O396" s="116">
        <v>296</v>
      </c>
      <c r="P396" s="116">
        <v>298</v>
      </c>
      <c r="Q396" s="116">
        <v>301.25</v>
      </c>
      <c r="R396">
        <v>36953</v>
      </c>
    </row>
    <row r="397" spans="1:18" x14ac:dyDescent="0.25">
      <c r="A397" s="169">
        <v>42585</v>
      </c>
      <c r="B397" s="116">
        <v>298.5</v>
      </c>
      <c r="C397" s="116">
        <v>291.95</v>
      </c>
      <c r="D397" s="116">
        <v>285</v>
      </c>
      <c r="E397" s="116">
        <v>296.55</v>
      </c>
      <c r="F397" s="116">
        <v>291.95</v>
      </c>
      <c r="G397">
        <v>10475</v>
      </c>
      <c r="H397" s="116"/>
      <c r="I397" s="116"/>
      <c r="L397" s="169">
        <v>42585</v>
      </c>
      <c r="M397" s="116">
        <v>292.89999999999998</v>
      </c>
      <c r="N397" s="116">
        <v>303.8</v>
      </c>
      <c r="O397" s="116">
        <v>291.05</v>
      </c>
      <c r="P397" s="116">
        <v>303.8</v>
      </c>
      <c r="Q397" s="116">
        <v>292.89999999999998</v>
      </c>
      <c r="R397">
        <v>30953</v>
      </c>
    </row>
    <row r="398" spans="1:18" x14ac:dyDescent="0.25">
      <c r="A398" s="169">
        <v>42586</v>
      </c>
      <c r="B398" s="116">
        <v>297.5</v>
      </c>
      <c r="C398" s="116">
        <v>290.10000000000002</v>
      </c>
      <c r="D398" s="116">
        <v>285.5</v>
      </c>
      <c r="E398" s="116">
        <v>285.5</v>
      </c>
      <c r="F398" s="116">
        <v>290.10000000000002</v>
      </c>
      <c r="G398">
        <v>5365</v>
      </c>
      <c r="H398" s="116"/>
      <c r="I398" s="116"/>
      <c r="L398" s="169">
        <v>42586</v>
      </c>
      <c r="M398" s="116">
        <v>290.35000000000002</v>
      </c>
      <c r="N398" s="116">
        <v>299.95</v>
      </c>
      <c r="O398" s="116">
        <v>287.8</v>
      </c>
      <c r="P398" s="116">
        <v>299.95</v>
      </c>
      <c r="Q398" s="116">
        <v>290.35000000000002</v>
      </c>
      <c r="R398">
        <v>33192</v>
      </c>
    </row>
    <row r="399" spans="1:18" x14ac:dyDescent="0.25">
      <c r="A399" s="169">
        <v>42587</v>
      </c>
      <c r="B399" s="116">
        <v>296</v>
      </c>
      <c r="C399" s="116">
        <v>292.5</v>
      </c>
      <c r="D399" s="116">
        <v>289.55</v>
      </c>
      <c r="E399" s="116">
        <v>296</v>
      </c>
      <c r="F399" s="116">
        <v>292.5</v>
      </c>
      <c r="G399">
        <v>2814</v>
      </c>
      <c r="H399" s="116"/>
      <c r="I399" s="116"/>
      <c r="L399" s="169">
        <v>42587</v>
      </c>
      <c r="M399" s="116">
        <v>291.7</v>
      </c>
      <c r="N399" s="116">
        <v>298.3</v>
      </c>
      <c r="O399" s="116">
        <v>288.5</v>
      </c>
      <c r="P399" s="116">
        <v>292</v>
      </c>
      <c r="Q399" s="116">
        <v>291.7</v>
      </c>
      <c r="R399">
        <v>21989</v>
      </c>
    </row>
    <row r="400" spans="1:18" x14ac:dyDescent="0.25">
      <c r="A400" s="169">
        <v>42590</v>
      </c>
      <c r="B400" s="116">
        <v>306</v>
      </c>
      <c r="C400" s="116">
        <v>304.55</v>
      </c>
      <c r="D400" s="116">
        <v>294.14999999999998</v>
      </c>
      <c r="E400" s="116">
        <v>295.25</v>
      </c>
      <c r="F400" s="116">
        <v>304.55</v>
      </c>
      <c r="G400">
        <v>18373</v>
      </c>
      <c r="H400" s="116"/>
      <c r="I400" s="116"/>
      <c r="L400" s="169">
        <v>42590</v>
      </c>
      <c r="M400" s="116">
        <v>305.95</v>
      </c>
      <c r="N400" s="116">
        <v>307.64999999999998</v>
      </c>
      <c r="O400" s="116">
        <v>291.45</v>
      </c>
      <c r="P400" s="116">
        <v>291.45</v>
      </c>
      <c r="Q400" s="116">
        <v>305.95</v>
      </c>
      <c r="R400">
        <v>82615</v>
      </c>
    </row>
    <row r="401" spans="1:18" x14ac:dyDescent="0.25">
      <c r="A401" s="169">
        <v>42591</v>
      </c>
      <c r="B401" s="116">
        <v>307.25</v>
      </c>
      <c r="C401" s="116">
        <v>298.60000000000002</v>
      </c>
      <c r="D401" s="116">
        <v>296</v>
      </c>
      <c r="E401" s="116">
        <v>307.10000000000002</v>
      </c>
      <c r="F401" s="116">
        <v>298.60000000000002</v>
      </c>
      <c r="G401">
        <v>6646</v>
      </c>
      <c r="H401" s="116"/>
      <c r="I401" s="116"/>
      <c r="L401" s="169">
        <v>42591</v>
      </c>
      <c r="M401" s="116">
        <v>299.35000000000002</v>
      </c>
      <c r="N401" s="116">
        <v>306.95</v>
      </c>
      <c r="O401" s="116">
        <v>296.10000000000002</v>
      </c>
      <c r="P401" s="116">
        <v>306.95</v>
      </c>
      <c r="Q401" s="116">
        <v>299.35000000000002</v>
      </c>
      <c r="R401">
        <v>31200</v>
      </c>
    </row>
    <row r="402" spans="1:18" x14ac:dyDescent="0.25">
      <c r="A402" s="169">
        <v>42592</v>
      </c>
      <c r="B402" s="116">
        <v>300.3</v>
      </c>
      <c r="C402" s="116">
        <v>297.7</v>
      </c>
      <c r="D402" s="116">
        <v>295.2</v>
      </c>
      <c r="E402" s="116">
        <v>298.75</v>
      </c>
      <c r="F402" s="116">
        <v>297.7</v>
      </c>
      <c r="G402">
        <v>4371</v>
      </c>
      <c r="H402" s="116"/>
      <c r="I402" s="116"/>
      <c r="L402" s="169">
        <v>42592</v>
      </c>
      <c r="M402" s="116">
        <v>298.5</v>
      </c>
      <c r="N402" s="116">
        <v>301.95</v>
      </c>
      <c r="O402" s="116">
        <v>292.60000000000002</v>
      </c>
      <c r="P402" s="116">
        <v>299</v>
      </c>
      <c r="Q402" s="116">
        <v>298.5</v>
      </c>
      <c r="R402">
        <v>25449</v>
      </c>
    </row>
    <row r="403" spans="1:18" x14ac:dyDescent="0.25">
      <c r="A403" s="169">
        <v>42593</v>
      </c>
      <c r="B403" s="116">
        <v>300.25</v>
      </c>
      <c r="C403" s="116">
        <v>299.45</v>
      </c>
      <c r="D403" s="116">
        <v>295.8</v>
      </c>
      <c r="E403" s="116">
        <v>295.8</v>
      </c>
      <c r="F403" s="116">
        <v>299.45</v>
      </c>
      <c r="G403">
        <v>3161</v>
      </c>
      <c r="H403" s="116"/>
      <c r="I403" s="116"/>
      <c r="L403" s="169">
        <v>42593</v>
      </c>
      <c r="M403" s="116">
        <v>299.8</v>
      </c>
      <c r="N403" s="116">
        <v>300.25</v>
      </c>
      <c r="O403" s="116">
        <v>296.85000000000002</v>
      </c>
      <c r="P403" s="116">
        <v>296.85000000000002</v>
      </c>
      <c r="Q403" s="116">
        <v>299.8</v>
      </c>
      <c r="R403">
        <v>14816</v>
      </c>
    </row>
    <row r="404" spans="1:18" x14ac:dyDescent="0.25">
      <c r="A404" s="169">
        <v>42594</v>
      </c>
      <c r="B404" s="116">
        <v>302.10000000000002</v>
      </c>
      <c r="C404" s="116">
        <v>294.64999999999998</v>
      </c>
      <c r="D404" s="116">
        <v>290.5</v>
      </c>
      <c r="E404" s="116">
        <v>300</v>
      </c>
      <c r="F404" s="116">
        <v>294.64999999999998</v>
      </c>
      <c r="G404">
        <v>4918</v>
      </c>
      <c r="H404" s="116"/>
      <c r="I404" s="116"/>
      <c r="L404" s="169">
        <v>42594</v>
      </c>
      <c r="M404" s="116">
        <v>293.10000000000002</v>
      </c>
      <c r="N404" s="116">
        <v>301.95</v>
      </c>
      <c r="O404" s="116">
        <v>290</v>
      </c>
      <c r="P404" s="116">
        <v>299.8</v>
      </c>
      <c r="Q404" s="116">
        <v>293.10000000000002</v>
      </c>
      <c r="R404">
        <v>29851</v>
      </c>
    </row>
    <row r="405" spans="1:18" x14ac:dyDescent="0.25">
      <c r="A405" s="169">
        <v>42598</v>
      </c>
      <c r="B405" s="116">
        <v>299</v>
      </c>
      <c r="C405" s="116">
        <v>289.89999999999998</v>
      </c>
      <c r="D405" s="116">
        <v>288.75</v>
      </c>
      <c r="E405" s="116">
        <v>296.14999999999998</v>
      </c>
      <c r="F405" s="116">
        <v>289.89999999999998</v>
      </c>
      <c r="G405">
        <v>2396</v>
      </c>
      <c r="H405" s="116"/>
      <c r="I405" s="116"/>
      <c r="L405" s="169">
        <v>42598</v>
      </c>
      <c r="M405" s="116">
        <v>290.3</v>
      </c>
      <c r="N405" s="116">
        <v>299.89999999999998</v>
      </c>
      <c r="O405" s="116">
        <v>289.10000000000002</v>
      </c>
      <c r="P405" s="116">
        <v>293.85000000000002</v>
      </c>
      <c r="Q405" s="116">
        <v>290.3</v>
      </c>
      <c r="R405">
        <v>21962</v>
      </c>
    </row>
    <row r="406" spans="1:18" x14ac:dyDescent="0.25">
      <c r="A406" s="169">
        <v>42599</v>
      </c>
      <c r="B406" s="116">
        <v>297.89999999999998</v>
      </c>
      <c r="C406" s="116">
        <v>294.55</v>
      </c>
      <c r="D406" s="116">
        <v>290</v>
      </c>
      <c r="E406" s="116">
        <v>290</v>
      </c>
      <c r="F406" s="116">
        <v>294.55</v>
      </c>
      <c r="G406">
        <v>2277</v>
      </c>
      <c r="H406" s="116"/>
      <c r="I406" s="116"/>
      <c r="L406" s="169">
        <v>42599</v>
      </c>
      <c r="M406" s="116">
        <v>295.14999999999998</v>
      </c>
      <c r="N406" s="116">
        <v>300</v>
      </c>
      <c r="O406" s="116">
        <v>286</v>
      </c>
      <c r="P406" s="116">
        <v>286</v>
      </c>
      <c r="Q406" s="116">
        <v>295.14999999999998</v>
      </c>
      <c r="R406">
        <v>10054</v>
      </c>
    </row>
    <row r="407" spans="1:18" x14ac:dyDescent="0.25">
      <c r="A407" s="169">
        <v>42600</v>
      </c>
      <c r="B407" s="116">
        <v>298.5</v>
      </c>
      <c r="C407" s="116">
        <v>295.45</v>
      </c>
      <c r="D407" s="116">
        <v>294.10000000000002</v>
      </c>
      <c r="E407" s="116">
        <v>297.60000000000002</v>
      </c>
      <c r="F407" s="116">
        <v>295.45</v>
      </c>
      <c r="G407">
        <v>4639</v>
      </c>
      <c r="H407" s="116"/>
      <c r="I407" s="116"/>
      <c r="L407" s="169">
        <v>42600</v>
      </c>
      <c r="M407" s="116">
        <v>296</v>
      </c>
      <c r="N407" s="116">
        <v>298.95</v>
      </c>
      <c r="O407" s="116">
        <v>295</v>
      </c>
      <c r="P407" s="116">
        <v>295.39999999999998</v>
      </c>
      <c r="Q407" s="116">
        <v>296</v>
      </c>
      <c r="R407">
        <v>15357</v>
      </c>
    </row>
    <row r="408" spans="1:18" x14ac:dyDescent="0.25">
      <c r="A408" s="169">
        <v>42601</v>
      </c>
      <c r="B408" s="116">
        <v>298.5</v>
      </c>
      <c r="C408" s="116">
        <v>295.2</v>
      </c>
      <c r="D408" s="116">
        <v>294.2</v>
      </c>
      <c r="E408" s="116">
        <v>298.5</v>
      </c>
      <c r="F408" s="116">
        <v>295.2</v>
      </c>
      <c r="G408">
        <v>802</v>
      </c>
      <c r="H408" s="116"/>
      <c r="I408" s="116"/>
      <c r="L408" s="169">
        <v>42601</v>
      </c>
      <c r="M408" s="116">
        <v>296</v>
      </c>
      <c r="N408" s="116">
        <v>298.8</v>
      </c>
      <c r="O408" s="116">
        <v>294</v>
      </c>
      <c r="P408" s="116">
        <v>296.05</v>
      </c>
      <c r="Q408" s="116">
        <v>296</v>
      </c>
      <c r="R408">
        <v>12429</v>
      </c>
    </row>
    <row r="409" spans="1:18" x14ac:dyDescent="0.25">
      <c r="A409" s="169">
        <v>42604</v>
      </c>
      <c r="B409" s="116">
        <v>298.5</v>
      </c>
      <c r="C409" s="116">
        <v>290.45</v>
      </c>
      <c r="D409" s="116">
        <v>289</v>
      </c>
      <c r="E409" s="116">
        <v>298.5</v>
      </c>
      <c r="F409" s="116">
        <v>290.45</v>
      </c>
      <c r="G409">
        <v>8306</v>
      </c>
      <c r="H409" s="116"/>
      <c r="I409" s="116"/>
      <c r="L409" s="169">
        <v>42604</v>
      </c>
      <c r="M409" s="116">
        <v>290.60000000000002</v>
      </c>
      <c r="N409" s="116">
        <v>299</v>
      </c>
      <c r="O409" s="116">
        <v>289.35000000000002</v>
      </c>
      <c r="P409" s="116">
        <v>294.05</v>
      </c>
      <c r="Q409" s="116">
        <v>290.60000000000002</v>
      </c>
      <c r="R409">
        <v>24767</v>
      </c>
    </row>
    <row r="410" spans="1:18" x14ac:dyDescent="0.25">
      <c r="A410" s="169">
        <v>42605</v>
      </c>
      <c r="B410" s="116">
        <v>297.05</v>
      </c>
      <c r="C410" s="116">
        <v>295.8</v>
      </c>
      <c r="D410" s="116">
        <v>290</v>
      </c>
      <c r="E410" s="116">
        <v>293.5</v>
      </c>
      <c r="F410" s="116">
        <v>295.8</v>
      </c>
      <c r="G410">
        <v>5211</v>
      </c>
      <c r="H410" s="116"/>
      <c r="I410" s="116"/>
      <c r="L410" s="169">
        <v>42605</v>
      </c>
      <c r="M410" s="116">
        <v>295.7</v>
      </c>
      <c r="N410" s="116">
        <v>297.89999999999998</v>
      </c>
      <c r="O410" s="116">
        <v>286.10000000000002</v>
      </c>
      <c r="P410" s="116">
        <v>286.10000000000002</v>
      </c>
      <c r="Q410" s="116">
        <v>295.7</v>
      </c>
      <c r="R410">
        <v>21757</v>
      </c>
    </row>
    <row r="411" spans="1:18" x14ac:dyDescent="0.25">
      <c r="A411" s="169">
        <v>42606</v>
      </c>
      <c r="B411" s="116">
        <v>299</v>
      </c>
      <c r="C411" s="116">
        <v>292.64999999999998</v>
      </c>
      <c r="D411" s="116">
        <v>290</v>
      </c>
      <c r="E411" s="116">
        <v>298.39999999999998</v>
      </c>
      <c r="F411" s="116">
        <v>292.64999999999998</v>
      </c>
      <c r="G411">
        <v>6379</v>
      </c>
      <c r="H411" s="116"/>
      <c r="I411" s="116"/>
      <c r="L411" s="169">
        <v>42606</v>
      </c>
      <c r="M411" s="116">
        <v>294.25</v>
      </c>
      <c r="N411" s="116">
        <v>300</v>
      </c>
      <c r="O411" s="116">
        <v>291.10000000000002</v>
      </c>
      <c r="P411" s="116">
        <v>297.55</v>
      </c>
      <c r="Q411" s="116">
        <v>294.25</v>
      </c>
      <c r="R411">
        <v>15284</v>
      </c>
    </row>
    <row r="412" spans="1:18" x14ac:dyDescent="0.25">
      <c r="A412" s="169">
        <v>42607</v>
      </c>
      <c r="B412" s="116">
        <v>305.10000000000002</v>
      </c>
      <c r="C412" s="116">
        <v>298.05</v>
      </c>
      <c r="D412" s="116">
        <v>293.8</v>
      </c>
      <c r="E412" s="116">
        <v>293.8</v>
      </c>
      <c r="F412" s="116">
        <v>298.05</v>
      </c>
      <c r="G412">
        <v>6452</v>
      </c>
      <c r="H412" s="116"/>
      <c r="I412" s="116"/>
      <c r="L412" s="169">
        <v>42607</v>
      </c>
      <c r="M412" s="116">
        <v>298.3</v>
      </c>
      <c r="N412" s="116">
        <v>306.95</v>
      </c>
      <c r="O412" s="116">
        <v>292</v>
      </c>
      <c r="P412" s="116">
        <v>292</v>
      </c>
      <c r="Q412" s="116">
        <v>298.3</v>
      </c>
      <c r="R412">
        <v>36626</v>
      </c>
    </row>
    <row r="413" spans="1:18" x14ac:dyDescent="0.25">
      <c r="A413" s="169">
        <v>42608</v>
      </c>
      <c r="B413" s="116">
        <v>301.5</v>
      </c>
      <c r="C413" s="116">
        <v>298.3</v>
      </c>
      <c r="D413" s="116">
        <v>294.5</v>
      </c>
      <c r="E413" s="116">
        <v>299</v>
      </c>
      <c r="F413" s="116">
        <v>298.3</v>
      </c>
      <c r="G413">
        <v>3201</v>
      </c>
      <c r="H413" s="116"/>
      <c r="I413" s="116"/>
      <c r="L413" s="169">
        <v>42608</v>
      </c>
      <c r="M413" s="116">
        <v>298.14999999999998</v>
      </c>
      <c r="N413" s="116">
        <v>302.05</v>
      </c>
      <c r="O413" s="116">
        <v>294</v>
      </c>
      <c r="P413" s="116">
        <v>299.25</v>
      </c>
      <c r="Q413" s="116">
        <v>298.14999999999998</v>
      </c>
      <c r="R413">
        <v>19936</v>
      </c>
    </row>
    <row r="414" spans="1:18" x14ac:dyDescent="0.25">
      <c r="A414" s="169">
        <v>42611</v>
      </c>
      <c r="B414" s="116">
        <v>296.75</v>
      </c>
      <c r="C414" s="116">
        <v>290.55</v>
      </c>
      <c r="D414" s="116">
        <v>288</v>
      </c>
      <c r="E414" s="116">
        <v>296.75</v>
      </c>
      <c r="F414" s="116">
        <v>290.55</v>
      </c>
      <c r="G414">
        <v>7347</v>
      </c>
      <c r="H414" s="116"/>
      <c r="I414" s="116"/>
      <c r="L414" s="169">
        <v>42611</v>
      </c>
      <c r="M414" s="116">
        <v>291.75</v>
      </c>
      <c r="N414" s="116">
        <v>304.10000000000002</v>
      </c>
      <c r="O414" s="116">
        <v>288.10000000000002</v>
      </c>
      <c r="P414" s="116">
        <v>301</v>
      </c>
      <c r="Q414" s="116">
        <v>291.75</v>
      </c>
      <c r="R414">
        <v>20141</v>
      </c>
    </row>
    <row r="415" spans="1:18" x14ac:dyDescent="0.25">
      <c r="A415" s="169">
        <v>42612</v>
      </c>
      <c r="B415" s="116">
        <v>297</v>
      </c>
      <c r="C415" s="116">
        <v>289.14999999999998</v>
      </c>
      <c r="D415" s="116">
        <v>288</v>
      </c>
      <c r="E415" s="116">
        <v>294.89999999999998</v>
      </c>
      <c r="F415" s="116">
        <v>289.14999999999998</v>
      </c>
      <c r="G415">
        <v>4430</v>
      </c>
      <c r="H415" s="116"/>
      <c r="I415" s="116"/>
      <c r="L415" s="169">
        <v>42612</v>
      </c>
      <c r="M415" s="116">
        <v>289.60000000000002</v>
      </c>
      <c r="N415" s="116">
        <v>296.5</v>
      </c>
      <c r="O415" s="116">
        <v>286.10000000000002</v>
      </c>
      <c r="P415" s="116">
        <v>293</v>
      </c>
      <c r="Q415" s="116">
        <v>289.60000000000002</v>
      </c>
      <c r="R415">
        <v>20854</v>
      </c>
    </row>
    <row r="416" spans="1:18" x14ac:dyDescent="0.25">
      <c r="A416" s="169">
        <v>42613</v>
      </c>
      <c r="B416" s="116">
        <v>291.85000000000002</v>
      </c>
      <c r="C416" s="116">
        <v>288.7</v>
      </c>
      <c r="D416" s="116">
        <v>287.55</v>
      </c>
      <c r="E416" s="116">
        <v>291.85000000000002</v>
      </c>
      <c r="F416" s="116">
        <v>288.7</v>
      </c>
      <c r="G416">
        <v>1439</v>
      </c>
      <c r="H416" s="116"/>
      <c r="I416" s="116"/>
      <c r="L416" s="169">
        <v>42613</v>
      </c>
      <c r="M416" s="116">
        <v>287.64999999999998</v>
      </c>
      <c r="N416" s="116">
        <v>293.05</v>
      </c>
      <c r="O416" s="116">
        <v>286.10000000000002</v>
      </c>
      <c r="P416" s="116">
        <v>290</v>
      </c>
      <c r="Q416" s="116">
        <v>287.64999999999998</v>
      </c>
      <c r="R416">
        <v>14530</v>
      </c>
    </row>
    <row r="417" spans="1:18" x14ac:dyDescent="0.25">
      <c r="A417" s="169">
        <v>42614</v>
      </c>
      <c r="B417" s="116">
        <v>291</v>
      </c>
      <c r="C417" s="116">
        <v>283.14999999999998</v>
      </c>
      <c r="D417" s="116">
        <v>280.05</v>
      </c>
      <c r="E417" s="116">
        <v>288.95</v>
      </c>
      <c r="F417" s="116">
        <v>283.14999999999998</v>
      </c>
      <c r="G417">
        <v>4972</v>
      </c>
      <c r="H417" s="116"/>
      <c r="I417" s="116"/>
      <c r="L417" s="169">
        <v>42614</v>
      </c>
      <c r="M417" s="116">
        <v>284.55</v>
      </c>
      <c r="N417" s="116">
        <v>292.95</v>
      </c>
      <c r="O417" s="116">
        <v>283</v>
      </c>
      <c r="P417" s="116">
        <v>287</v>
      </c>
      <c r="Q417" s="116">
        <v>284.55</v>
      </c>
      <c r="R417">
        <v>15365</v>
      </c>
    </row>
    <row r="418" spans="1:18" x14ac:dyDescent="0.25">
      <c r="A418" s="169">
        <v>42615</v>
      </c>
      <c r="B418" s="116">
        <v>286.89999999999998</v>
      </c>
      <c r="C418" s="116">
        <v>284.14999999999998</v>
      </c>
      <c r="D418" s="116">
        <v>280</v>
      </c>
      <c r="E418" s="116">
        <v>281.85000000000002</v>
      </c>
      <c r="F418" s="116">
        <v>284.14999999999998</v>
      </c>
      <c r="G418">
        <v>1492</v>
      </c>
      <c r="H418" s="116"/>
      <c r="I418" s="116"/>
      <c r="L418" s="169">
        <v>42615</v>
      </c>
      <c r="M418" s="116">
        <v>283.75</v>
      </c>
      <c r="N418" s="116">
        <v>289</v>
      </c>
      <c r="O418" s="116">
        <v>281.55</v>
      </c>
      <c r="P418" s="116">
        <v>283.14999999999998</v>
      </c>
      <c r="Q418" s="116">
        <v>283.75</v>
      </c>
      <c r="R418">
        <v>9310</v>
      </c>
    </row>
    <row r="419" spans="1:18" x14ac:dyDescent="0.25">
      <c r="A419" s="169">
        <v>42619</v>
      </c>
      <c r="B419" s="116">
        <v>289</v>
      </c>
      <c r="C419" s="116">
        <v>283.45</v>
      </c>
      <c r="D419" s="116">
        <v>280</v>
      </c>
      <c r="E419" s="116">
        <v>280.2</v>
      </c>
      <c r="F419" s="116">
        <v>283.45</v>
      </c>
      <c r="G419">
        <v>2442</v>
      </c>
      <c r="H419" s="116"/>
      <c r="I419" s="116"/>
      <c r="L419" s="169">
        <v>42619</v>
      </c>
      <c r="M419" s="116">
        <v>284</v>
      </c>
      <c r="N419" s="116">
        <v>289</v>
      </c>
      <c r="O419" s="116">
        <v>278.14999999999998</v>
      </c>
      <c r="P419" s="116">
        <v>282.95</v>
      </c>
      <c r="Q419" s="116">
        <v>284</v>
      </c>
      <c r="R419">
        <v>13243</v>
      </c>
    </row>
    <row r="420" spans="1:18" x14ac:dyDescent="0.25">
      <c r="A420" s="169">
        <v>42620</v>
      </c>
      <c r="B420" s="116">
        <v>290.14999999999998</v>
      </c>
      <c r="C420" s="116">
        <v>286.95</v>
      </c>
      <c r="D420" s="116">
        <v>283.60000000000002</v>
      </c>
      <c r="E420" s="116">
        <v>286.10000000000002</v>
      </c>
      <c r="F420" s="116">
        <v>286.95</v>
      </c>
      <c r="G420">
        <v>34454</v>
      </c>
      <c r="H420" s="116"/>
      <c r="I420" s="116"/>
      <c r="L420" s="169">
        <v>42620</v>
      </c>
      <c r="M420" s="116">
        <v>287.35000000000002</v>
      </c>
      <c r="N420" s="116">
        <v>291.55</v>
      </c>
      <c r="O420" s="116">
        <v>284</v>
      </c>
      <c r="P420" s="116">
        <v>284.05</v>
      </c>
      <c r="Q420" s="116">
        <v>287.35000000000002</v>
      </c>
      <c r="R420">
        <v>51459</v>
      </c>
    </row>
    <row r="421" spans="1:18" x14ac:dyDescent="0.25">
      <c r="A421" s="169">
        <v>42621</v>
      </c>
      <c r="B421" s="116">
        <v>290</v>
      </c>
      <c r="C421" s="116">
        <v>286.64999999999998</v>
      </c>
      <c r="D421" s="116">
        <v>285</v>
      </c>
      <c r="E421" s="116">
        <v>286.95</v>
      </c>
      <c r="F421" s="116">
        <v>286.64999999999998</v>
      </c>
      <c r="G421">
        <v>7617</v>
      </c>
      <c r="H421" s="116"/>
      <c r="I421" s="116"/>
      <c r="L421" s="169">
        <v>42621</v>
      </c>
      <c r="M421" s="116">
        <v>287.14999999999998</v>
      </c>
      <c r="N421" s="116">
        <v>291</v>
      </c>
      <c r="O421" s="116">
        <v>285.25</v>
      </c>
      <c r="P421" s="116">
        <v>285.45</v>
      </c>
      <c r="Q421" s="116">
        <v>287.14999999999998</v>
      </c>
      <c r="R421">
        <v>14609</v>
      </c>
    </row>
    <row r="422" spans="1:18" x14ac:dyDescent="0.25">
      <c r="A422" s="169">
        <v>42622</v>
      </c>
      <c r="B422" s="116">
        <v>289</v>
      </c>
      <c r="C422" s="116">
        <v>287.89999999999998</v>
      </c>
      <c r="D422" s="116">
        <v>281.5</v>
      </c>
      <c r="E422" s="116">
        <v>283.95</v>
      </c>
      <c r="F422" s="116">
        <v>287.89999999999998</v>
      </c>
      <c r="G422">
        <v>4240</v>
      </c>
      <c r="H422" s="116"/>
      <c r="I422" s="116"/>
      <c r="L422" s="169">
        <v>42622</v>
      </c>
      <c r="M422" s="116">
        <v>288.75</v>
      </c>
      <c r="N422" s="116">
        <v>289.95</v>
      </c>
      <c r="O422" s="116">
        <v>285</v>
      </c>
      <c r="P422" s="116">
        <v>285</v>
      </c>
      <c r="Q422" s="116">
        <v>288.75</v>
      </c>
      <c r="R422">
        <v>15755</v>
      </c>
    </row>
    <row r="423" spans="1:18" x14ac:dyDescent="0.25">
      <c r="A423" s="169">
        <v>42625</v>
      </c>
      <c r="B423" s="116">
        <v>289.39999999999998</v>
      </c>
      <c r="C423" s="116">
        <v>279.95</v>
      </c>
      <c r="D423" s="116">
        <v>273.10000000000002</v>
      </c>
      <c r="E423" s="116">
        <v>283.8</v>
      </c>
      <c r="F423" s="116">
        <v>279.95</v>
      </c>
      <c r="G423">
        <v>3271</v>
      </c>
      <c r="H423" s="116"/>
      <c r="I423" s="116"/>
      <c r="L423" s="169">
        <v>42625</v>
      </c>
      <c r="M423" s="116">
        <v>278.3</v>
      </c>
      <c r="N423" s="116">
        <v>288.89999999999998</v>
      </c>
      <c r="O423" s="116">
        <v>266</v>
      </c>
      <c r="P423" s="116">
        <v>288.75</v>
      </c>
      <c r="Q423" s="116">
        <v>278.3</v>
      </c>
      <c r="R423">
        <v>24599</v>
      </c>
    </row>
    <row r="424" spans="1:18" x14ac:dyDescent="0.25">
      <c r="A424" s="169">
        <v>42627</v>
      </c>
      <c r="B424" s="116">
        <v>288.7</v>
      </c>
      <c r="C424" s="116">
        <v>286.5</v>
      </c>
      <c r="D424" s="116">
        <v>273.05</v>
      </c>
      <c r="E424" s="116">
        <v>279.95</v>
      </c>
      <c r="F424" s="116">
        <v>286.5</v>
      </c>
      <c r="G424">
        <v>2013</v>
      </c>
      <c r="H424" s="116"/>
      <c r="I424" s="116"/>
      <c r="L424" s="169">
        <v>42627</v>
      </c>
      <c r="M424" s="116">
        <v>288.10000000000002</v>
      </c>
      <c r="N424" s="116">
        <v>290</v>
      </c>
      <c r="O424" s="116">
        <v>272</v>
      </c>
      <c r="P424" s="116">
        <v>272</v>
      </c>
      <c r="Q424" s="116">
        <v>288.10000000000002</v>
      </c>
      <c r="R424">
        <v>12217</v>
      </c>
    </row>
    <row r="425" spans="1:18" x14ac:dyDescent="0.25">
      <c r="A425" s="169">
        <v>42628</v>
      </c>
      <c r="B425" s="116">
        <v>293.3</v>
      </c>
      <c r="C425" s="116">
        <v>289.64999999999998</v>
      </c>
      <c r="D425" s="116">
        <v>288.7</v>
      </c>
      <c r="E425" s="116">
        <v>289.2</v>
      </c>
      <c r="F425" s="116">
        <v>289.64999999999998</v>
      </c>
      <c r="G425">
        <v>3623</v>
      </c>
      <c r="H425" s="116"/>
      <c r="I425" s="116"/>
      <c r="L425" s="169">
        <v>42628</v>
      </c>
      <c r="M425" s="116">
        <v>290</v>
      </c>
      <c r="N425" s="116">
        <v>295</v>
      </c>
      <c r="O425" s="116">
        <v>288.05</v>
      </c>
      <c r="P425" s="116">
        <v>288.55</v>
      </c>
      <c r="Q425" s="116">
        <v>290</v>
      </c>
      <c r="R425">
        <v>9843</v>
      </c>
    </row>
    <row r="426" spans="1:18" x14ac:dyDescent="0.25">
      <c r="A426" s="169">
        <v>42629</v>
      </c>
      <c r="B426" s="116">
        <v>300.95</v>
      </c>
      <c r="C426" s="116">
        <v>299.3</v>
      </c>
      <c r="D426" s="116">
        <v>291.95</v>
      </c>
      <c r="E426" s="116">
        <v>291.95</v>
      </c>
      <c r="F426" s="116">
        <v>299.3</v>
      </c>
      <c r="G426">
        <v>8072</v>
      </c>
      <c r="H426" s="116"/>
      <c r="I426" s="116"/>
      <c r="L426" s="169">
        <v>42629</v>
      </c>
      <c r="M426" s="116">
        <v>298.39999999999998</v>
      </c>
      <c r="N426" s="116">
        <v>300</v>
      </c>
      <c r="O426" s="116">
        <v>290.2</v>
      </c>
      <c r="P426" s="116">
        <v>291.95</v>
      </c>
      <c r="Q426" s="116">
        <v>298.39999999999998</v>
      </c>
      <c r="R426">
        <v>50559</v>
      </c>
    </row>
    <row r="427" spans="1:18" x14ac:dyDescent="0.25">
      <c r="A427" s="169">
        <v>42632</v>
      </c>
      <c r="B427" s="116">
        <v>329</v>
      </c>
      <c r="C427" s="116">
        <v>318.5</v>
      </c>
      <c r="D427" s="116">
        <v>293</v>
      </c>
      <c r="E427" s="116">
        <v>298</v>
      </c>
      <c r="F427" s="116">
        <v>318.5</v>
      </c>
      <c r="G427">
        <v>67118</v>
      </c>
      <c r="H427" s="116"/>
      <c r="I427" s="116"/>
      <c r="L427" s="169">
        <v>42632</v>
      </c>
      <c r="M427" s="116">
        <v>319.7</v>
      </c>
      <c r="N427" s="116">
        <v>328.8</v>
      </c>
      <c r="O427" s="116">
        <v>293.3</v>
      </c>
      <c r="P427" s="116">
        <v>293.3</v>
      </c>
      <c r="Q427" s="116">
        <v>319.7</v>
      </c>
      <c r="R427">
        <v>309972</v>
      </c>
    </row>
    <row r="428" spans="1:18" x14ac:dyDescent="0.25">
      <c r="A428" s="169">
        <v>42633</v>
      </c>
      <c r="B428" s="116">
        <v>324</v>
      </c>
      <c r="C428" s="116">
        <v>315.64999999999998</v>
      </c>
      <c r="D428" s="116">
        <v>313.05</v>
      </c>
      <c r="E428" s="116">
        <v>322</v>
      </c>
      <c r="F428" s="116">
        <v>315.64999999999998</v>
      </c>
      <c r="G428">
        <v>22067</v>
      </c>
      <c r="H428" s="116"/>
      <c r="I428" s="116"/>
      <c r="L428" s="169">
        <v>42633</v>
      </c>
      <c r="M428" s="116">
        <v>315.14999999999998</v>
      </c>
      <c r="N428" s="116">
        <v>323.8</v>
      </c>
      <c r="O428" s="116">
        <v>312</v>
      </c>
      <c r="P428" s="116">
        <v>320.8</v>
      </c>
      <c r="Q428" s="116">
        <v>315.14999999999998</v>
      </c>
      <c r="R428">
        <v>76063</v>
      </c>
    </row>
    <row r="429" spans="1:18" x14ac:dyDescent="0.25">
      <c r="A429" s="169">
        <v>42634</v>
      </c>
      <c r="B429" s="116">
        <v>322.89999999999998</v>
      </c>
      <c r="C429" s="116">
        <v>313.5</v>
      </c>
      <c r="D429" s="116">
        <v>311</v>
      </c>
      <c r="E429" s="116">
        <v>313</v>
      </c>
      <c r="F429" s="116">
        <v>313.5</v>
      </c>
      <c r="G429">
        <v>6852</v>
      </c>
      <c r="H429" s="116"/>
      <c r="I429" s="116"/>
      <c r="L429" s="169">
        <v>42634</v>
      </c>
      <c r="M429" s="116">
        <v>313</v>
      </c>
      <c r="N429" s="116">
        <v>322</v>
      </c>
      <c r="O429" s="116">
        <v>311.5</v>
      </c>
      <c r="P429" s="116">
        <v>317.89999999999998</v>
      </c>
      <c r="Q429" s="116">
        <v>313</v>
      </c>
      <c r="R429">
        <v>32963</v>
      </c>
    </row>
    <row r="430" spans="1:18" x14ac:dyDescent="0.25">
      <c r="A430" s="169">
        <v>42635</v>
      </c>
      <c r="B430" s="116">
        <v>318.5</v>
      </c>
      <c r="C430" s="116">
        <v>316.8</v>
      </c>
      <c r="D430" s="116">
        <v>312.5</v>
      </c>
      <c r="E430" s="116">
        <v>318</v>
      </c>
      <c r="F430" s="116">
        <v>316.8</v>
      </c>
      <c r="G430">
        <v>4021</v>
      </c>
      <c r="H430" s="116"/>
      <c r="I430" s="116"/>
      <c r="L430" s="169">
        <v>42635</v>
      </c>
      <c r="M430" s="116">
        <v>315.5</v>
      </c>
      <c r="N430" s="116">
        <v>319</v>
      </c>
      <c r="O430" s="116">
        <v>314.10000000000002</v>
      </c>
      <c r="P430" s="116">
        <v>319</v>
      </c>
      <c r="Q430" s="116">
        <v>315.5</v>
      </c>
      <c r="R430">
        <v>25231</v>
      </c>
    </row>
    <row r="431" spans="1:18" x14ac:dyDescent="0.25">
      <c r="A431" s="169">
        <v>42636</v>
      </c>
      <c r="B431" s="116">
        <v>323</v>
      </c>
      <c r="C431" s="116">
        <v>312.05</v>
      </c>
      <c r="D431" s="116">
        <v>303.2</v>
      </c>
      <c r="E431" s="116">
        <v>317.75</v>
      </c>
      <c r="F431" s="116">
        <v>312.05</v>
      </c>
      <c r="G431">
        <v>10541</v>
      </c>
      <c r="H431" s="116"/>
      <c r="I431" s="116"/>
      <c r="L431" s="169">
        <v>42636</v>
      </c>
      <c r="M431" s="116">
        <v>313.3</v>
      </c>
      <c r="N431" s="116">
        <v>322.8</v>
      </c>
      <c r="O431" s="116">
        <v>302.89999999999998</v>
      </c>
      <c r="P431" s="116">
        <v>319</v>
      </c>
      <c r="Q431" s="116">
        <v>313.3</v>
      </c>
      <c r="R431">
        <v>39199</v>
      </c>
    </row>
    <row r="432" spans="1:18" x14ac:dyDescent="0.25">
      <c r="A432" s="169">
        <v>42639</v>
      </c>
      <c r="B432" s="116">
        <v>318.5</v>
      </c>
      <c r="C432" s="116">
        <v>315.5</v>
      </c>
      <c r="D432" s="116">
        <v>313</v>
      </c>
      <c r="E432" s="116">
        <v>314.05</v>
      </c>
      <c r="F432" s="116">
        <v>315.5</v>
      </c>
      <c r="G432">
        <v>2931</v>
      </c>
      <c r="H432" s="116"/>
      <c r="I432" s="116"/>
      <c r="L432" s="169">
        <v>42639</v>
      </c>
      <c r="M432" s="116">
        <v>315.05</v>
      </c>
      <c r="N432" s="116">
        <v>321.89999999999998</v>
      </c>
      <c r="O432" s="116">
        <v>311.89999999999998</v>
      </c>
      <c r="P432" s="116">
        <v>321</v>
      </c>
      <c r="Q432" s="116">
        <v>315.05</v>
      </c>
      <c r="R432">
        <v>13044</v>
      </c>
    </row>
    <row r="433" spans="1:18" x14ac:dyDescent="0.25">
      <c r="A433" s="169">
        <v>42640</v>
      </c>
      <c r="B433" s="116">
        <v>315.5</v>
      </c>
      <c r="C433" s="116">
        <v>312.64999999999998</v>
      </c>
      <c r="D433" s="116">
        <v>310.05</v>
      </c>
      <c r="E433" s="116">
        <v>315.5</v>
      </c>
      <c r="F433" s="116">
        <v>312.64999999999998</v>
      </c>
      <c r="G433">
        <v>2770</v>
      </c>
      <c r="H433" s="116"/>
      <c r="I433" s="116"/>
      <c r="L433" s="169">
        <v>42640</v>
      </c>
      <c r="M433" s="116">
        <v>312.8</v>
      </c>
      <c r="N433" s="116">
        <v>316.10000000000002</v>
      </c>
      <c r="O433" s="116">
        <v>309.75</v>
      </c>
      <c r="P433" s="116">
        <v>316.10000000000002</v>
      </c>
      <c r="Q433" s="116">
        <v>312.8</v>
      </c>
      <c r="R433">
        <v>18020</v>
      </c>
    </row>
    <row r="434" spans="1:18" x14ac:dyDescent="0.25">
      <c r="A434" s="169">
        <v>42641</v>
      </c>
      <c r="B434" s="116">
        <v>320</v>
      </c>
      <c r="C434" s="116">
        <v>316.55</v>
      </c>
      <c r="D434" s="116">
        <v>312.60000000000002</v>
      </c>
      <c r="E434" s="116">
        <v>315.64999999999998</v>
      </c>
      <c r="F434" s="116">
        <v>316.55</v>
      </c>
      <c r="G434">
        <v>2845</v>
      </c>
      <c r="H434" s="116"/>
      <c r="I434" s="116"/>
      <c r="L434" s="169">
        <v>42641</v>
      </c>
      <c r="M434" s="116">
        <v>317.55</v>
      </c>
      <c r="N434" s="116">
        <v>319.89999999999998</v>
      </c>
      <c r="O434" s="116">
        <v>311.10000000000002</v>
      </c>
      <c r="P434" s="116">
        <v>313.75</v>
      </c>
      <c r="Q434" s="116">
        <v>317.55</v>
      </c>
      <c r="R434">
        <v>19387</v>
      </c>
    </row>
    <row r="435" spans="1:18" x14ac:dyDescent="0.25">
      <c r="A435" s="169">
        <v>42642</v>
      </c>
      <c r="B435" s="116">
        <v>325</v>
      </c>
      <c r="C435" s="116">
        <v>289.35000000000002</v>
      </c>
      <c r="D435" s="116">
        <v>279</v>
      </c>
      <c r="E435" s="116">
        <v>325</v>
      </c>
      <c r="F435" s="116">
        <v>289.35000000000002</v>
      </c>
      <c r="G435">
        <v>8412</v>
      </c>
      <c r="H435" s="116"/>
      <c r="I435" s="116"/>
      <c r="L435" s="169">
        <v>42642</v>
      </c>
      <c r="M435" s="116">
        <v>290.85000000000002</v>
      </c>
      <c r="N435" s="116">
        <v>319</v>
      </c>
      <c r="O435" s="116">
        <v>281</v>
      </c>
      <c r="P435" s="116">
        <v>317.45</v>
      </c>
      <c r="Q435" s="116">
        <v>290.85000000000002</v>
      </c>
      <c r="R435">
        <v>51362</v>
      </c>
    </row>
    <row r="436" spans="1:18" x14ac:dyDescent="0.25">
      <c r="A436" s="169">
        <v>42643</v>
      </c>
      <c r="B436" s="116">
        <v>303</v>
      </c>
      <c r="C436" s="116">
        <v>295.89999999999998</v>
      </c>
      <c r="D436" s="116">
        <v>287.85000000000002</v>
      </c>
      <c r="E436" s="116">
        <v>290</v>
      </c>
      <c r="F436" s="116">
        <v>295.89999999999998</v>
      </c>
      <c r="G436">
        <v>6806</v>
      </c>
      <c r="H436" s="116"/>
      <c r="I436" s="116"/>
      <c r="L436" s="169">
        <v>42643</v>
      </c>
      <c r="M436" s="116">
        <v>297.45</v>
      </c>
      <c r="N436" s="116">
        <v>302</v>
      </c>
      <c r="O436" s="116">
        <v>287.95</v>
      </c>
      <c r="P436" s="116">
        <v>293.8</v>
      </c>
      <c r="Q436" s="116">
        <v>297.45</v>
      </c>
      <c r="R436">
        <v>15433</v>
      </c>
    </row>
    <row r="437" spans="1:18" x14ac:dyDescent="0.25">
      <c r="A437" s="169">
        <v>42646</v>
      </c>
      <c r="B437" s="116">
        <v>311.85000000000002</v>
      </c>
      <c r="C437" s="116">
        <v>310.3</v>
      </c>
      <c r="D437" s="116">
        <v>300</v>
      </c>
      <c r="E437" s="116">
        <v>300</v>
      </c>
      <c r="F437" s="116">
        <v>310.3</v>
      </c>
      <c r="G437">
        <v>12096</v>
      </c>
      <c r="H437" s="116"/>
      <c r="I437" s="116"/>
      <c r="L437" s="169">
        <v>42646</v>
      </c>
      <c r="M437" s="116">
        <v>310</v>
      </c>
      <c r="N437" s="116">
        <v>311.89999999999998</v>
      </c>
      <c r="O437" s="116">
        <v>297.45</v>
      </c>
      <c r="P437" s="116">
        <v>297.45</v>
      </c>
      <c r="Q437" s="116">
        <v>310</v>
      </c>
      <c r="R437">
        <v>15420</v>
      </c>
    </row>
    <row r="438" spans="1:18" x14ac:dyDescent="0.25">
      <c r="A438" s="169">
        <v>42647</v>
      </c>
      <c r="B438" s="116">
        <v>317.5</v>
      </c>
      <c r="C438" s="116">
        <v>311.25</v>
      </c>
      <c r="D438" s="116">
        <v>302.5</v>
      </c>
      <c r="E438" s="116">
        <v>308.3</v>
      </c>
      <c r="F438" s="116">
        <v>311.25</v>
      </c>
      <c r="G438">
        <v>4356</v>
      </c>
      <c r="H438" s="116"/>
      <c r="I438" s="116"/>
      <c r="L438" s="169">
        <v>42647</v>
      </c>
      <c r="M438" s="116">
        <v>311.55</v>
      </c>
      <c r="N438" s="116">
        <v>317</v>
      </c>
      <c r="O438" s="116">
        <v>301</v>
      </c>
      <c r="P438" s="116">
        <v>309.95</v>
      </c>
      <c r="Q438" s="116">
        <v>311.55</v>
      </c>
      <c r="R438">
        <v>19464</v>
      </c>
    </row>
    <row r="439" spans="1:18" x14ac:dyDescent="0.25">
      <c r="A439" s="169">
        <v>42648</v>
      </c>
      <c r="B439" s="116">
        <v>324</v>
      </c>
      <c r="C439" s="116">
        <v>316.75</v>
      </c>
      <c r="D439" s="116">
        <v>312</v>
      </c>
      <c r="E439" s="116">
        <v>316.2</v>
      </c>
      <c r="F439" s="116">
        <v>316.75</v>
      </c>
      <c r="G439">
        <v>8401</v>
      </c>
      <c r="H439" s="116"/>
      <c r="I439" s="116"/>
      <c r="L439" s="169">
        <v>42648</v>
      </c>
      <c r="M439" s="116">
        <v>316.55</v>
      </c>
      <c r="N439" s="116">
        <v>324</v>
      </c>
      <c r="O439" s="116">
        <v>311.5</v>
      </c>
      <c r="P439" s="116">
        <v>311.5</v>
      </c>
      <c r="Q439" s="116">
        <v>316.55</v>
      </c>
      <c r="R439">
        <v>30001</v>
      </c>
    </row>
    <row r="440" spans="1:18" x14ac:dyDescent="0.25">
      <c r="A440" s="169">
        <v>42649</v>
      </c>
      <c r="B440" s="116">
        <v>323.7</v>
      </c>
      <c r="C440" s="116">
        <v>313.14999999999998</v>
      </c>
      <c r="D440" s="116">
        <v>312</v>
      </c>
      <c r="E440" s="116">
        <v>317</v>
      </c>
      <c r="F440" s="116">
        <v>313.14999999999998</v>
      </c>
      <c r="G440">
        <v>16145</v>
      </c>
      <c r="H440" s="116"/>
      <c r="I440" s="116"/>
      <c r="L440" s="169">
        <v>42649</v>
      </c>
      <c r="M440" s="116">
        <v>313.85000000000002</v>
      </c>
      <c r="N440" s="116">
        <v>322</v>
      </c>
      <c r="O440" s="116">
        <v>311</v>
      </c>
      <c r="P440" s="116">
        <v>317.05</v>
      </c>
      <c r="Q440" s="116">
        <v>313.85000000000002</v>
      </c>
      <c r="R440">
        <v>26177</v>
      </c>
    </row>
    <row r="441" spans="1:18" x14ac:dyDescent="0.25">
      <c r="A441" s="169">
        <v>42650</v>
      </c>
      <c r="B441" s="116">
        <v>316.60000000000002</v>
      </c>
      <c r="C441" s="116">
        <v>315.5</v>
      </c>
      <c r="D441" s="116">
        <v>310.75</v>
      </c>
      <c r="E441" s="116">
        <v>312.89999999999998</v>
      </c>
      <c r="F441" s="116">
        <v>315.5</v>
      </c>
      <c r="G441">
        <v>1428</v>
      </c>
      <c r="H441" s="116"/>
      <c r="I441" s="116"/>
      <c r="L441" s="169">
        <v>42650</v>
      </c>
      <c r="M441" s="116">
        <v>315.75</v>
      </c>
      <c r="N441" s="116">
        <v>320</v>
      </c>
      <c r="O441" s="116">
        <v>309.05</v>
      </c>
      <c r="P441" s="116">
        <v>312.95</v>
      </c>
      <c r="Q441" s="116">
        <v>315.75</v>
      </c>
      <c r="R441">
        <v>7673</v>
      </c>
    </row>
    <row r="442" spans="1:18" x14ac:dyDescent="0.25">
      <c r="A442" s="169">
        <v>42653</v>
      </c>
      <c r="B442" s="116">
        <v>316.75</v>
      </c>
      <c r="C442" s="116">
        <v>311.85000000000002</v>
      </c>
      <c r="D442" s="116">
        <v>311</v>
      </c>
      <c r="E442" s="116">
        <v>316</v>
      </c>
      <c r="F442" s="116">
        <v>311.85000000000002</v>
      </c>
      <c r="G442">
        <v>1779</v>
      </c>
      <c r="H442" s="116"/>
      <c r="I442" s="116"/>
      <c r="L442" s="169">
        <v>42653</v>
      </c>
      <c r="M442" s="116">
        <v>312.3</v>
      </c>
      <c r="N442" s="116">
        <v>320</v>
      </c>
      <c r="O442" s="116">
        <v>310.60000000000002</v>
      </c>
      <c r="P442" s="116">
        <v>315.5</v>
      </c>
      <c r="Q442" s="116">
        <v>312.3</v>
      </c>
      <c r="R442">
        <v>25628</v>
      </c>
    </row>
    <row r="443" spans="1:18" x14ac:dyDescent="0.25">
      <c r="A443" s="169">
        <v>42656</v>
      </c>
      <c r="B443" s="116">
        <v>313.75</v>
      </c>
      <c r="C443" s="116">
        <v>307.8</v>
      </c>
      <c r="D443" s="116">
        <v>302.55</v>
      </c>
      <c r="E443" s="116">
        <v>313.7</v>
      </c>
      <c r="F443" s="116">
        <v>307.8</v>
      </c>
      <c r="G443">
        <v>2537</v>
      </c>
      <c r="H443" s="116"/>
      <c r="I443" s="116"/>
      <c r="L443" s="169">
        <v>42656</v>
      </c>
      <c r="M443" s="116">
        <v>307.35000000000002</v>
      </c>
      <c r="N443" s="116">
        <v>317.7</v>
      </c>
      <c r="O443" s="116">
        <v>305</v>
      </c>
      <c r="P443" s="116">
        <v>308</v>
      </c>
      <c r="Q443" s="116">
        <v>307.35000000000002</v>
      </c>
      <c r="R443">
        <v>9600</v>
      </c>
    </row>
    <row r="444" spans="1:18" x14ac:dyDescent="0.25">
      <c r="A444" s="169">
        <v>42657</v>
      </c>
      <c r="B444" s="116">
        <v>313.95</v>
      </c>
      <c r="C444" s="116">
        <v>309.75</v>
      </c>
      <c r="D444" s="116">
        <v>303.05</v>
      </c>
      <c r="E444" s="116">
        <v>313.95</v>
      </c>
      <c r="F444" s="116">
        <v>309.75</v>
      </c>
      <c r="G444">
        <v>5680</v>
      </c>
      <c r="H444" s="116"/>
      <c r="I444" s="116"/>
      <c r="L444" s="169">
        <v>42657</v>
      </c>
      <c r="M444" s="116">
        <v>308.60000000000002</v>
      </c>
      <c r="N444" s="116">
        <v>310</v>
      </c>
      <c r="O444" s="116">
        <v>305</v>
      </c>
      <c r="P444" s="116">
        <v>305</v>
      </c>
      <c r="Q444" s="116">
        <v>308.60000000000002</v>
      </c>
      <c r="R444">
        <v>7624</v>
      </c>
    </row>
    <row r="445" spans="1:18" x14ac:dyDescent="0.25">
      <c r="A445" s="169">
        <v>42660</v>
      </c>
      <c r="B445" s="116">
        <v>329.05</v>
      </c>
      <c r="C445" s="116">
        <v>325.2</v>
      </c>
      <c r="D445" s="116">
        <v>311.05</v>
      </c>
      <c r="E445" s="116">
        <v>314</v>
      </c>
      <c r="F445" s="116">
        <v>325.2</v>
      </c>
      <c r="G445">
        <v>19696</v>
      </c>
      <c r="H445" s="116"/>
      <c r="I445" s="116"/>
      <c r="L445" s="169">
        <v>42660</v>
      </c>
      <c r="M445" s="116">
        <v>326.39999999999998</v>
      </c>
      <c r="N445" s="116">
        <v>331</v>
      </c>
      <c r="O445" s="116">
        <v>310</v>
      </c>
      <c r="P445" s="116">
        <v>312</v>
      </c>
      <c r="Q445" s="116">
        <v>326.39999999999998</v>
      </c>
      <c r="R445">
        <v>72962</v>
      </c>
    </row>
    <row r="446" spans="1:18" x14ac:dyDescent="0.25">
      <c r="A446" s="169">
        <v>42661</v>
      </c>
      <c r="B446" s="116">
        <v>335</v>
      </c>
      <c r="C446" s="116">
        <v>323.64999999999998</v>
      </c>
      <c r="D446" s="116">
        <v>320.55</v>
      </c>
      <c r="E446" s="116">
        <v>330</v>
      </c>
      <c r="F446" s="116">
        <v>323.64999999999998</v>
      </c>
      <c r="G446">
        <v>14084</v>
      </c>
      <c r="H446" s="116"/>
      <c r="I446" s="116"/>
      <c r="L446" s="169">
        <v>42661</v>
      </c>
      <c r="M446" s="116">
        <v>322.85000000000002</v>
      </c>
      <c r="N446" s="116">
        <v>335.95</v>
      </c>
      <c r="O446" s="116">
        <v>320</v>
      </c>
      <c r="P446" s="116">
        <v>331</v>
      </c>
      <c r="Q446" s="116">
        <v>322.85000000000002</v>
      </c>
      <c r="R446">
        <v>38046</v>
      </c>
    </row>
    <row r="447" spans="1:18" x14ac:dyDescent="0.25">
      <c r="A447" s="169">
        <v>42662</v>
      </c>
      <c r="B447" s="116">
        <v>331.45</v>
      </c>
      <c r="C447" s="116">
        <v>327.9</v>
      </c>
      <c r="D447" s="116">
        <v>325.25</v>
      </c>
      <c r="E447" s="116">
        <v>330.9</v>
      </c>
      <c r="F447" s="116">
        <v>327.9</v>
      </c>
      <c r="G447">
        <v>4325</v>
      </c>
      <c r="H447" s="116"/>
      <c r="I447" s="116"/>
      <c r="L447" s="169">
        <v>42662</v>
      </c>
      <c r="M447" s="116">
        <v>328.3</v>
      </c>
      <c r="N447" s="116">
        <v>333</v>
      </c>
      <c r="O447" s="116">
        <v>323</v>
      </c>
      <c r="P447" s="116">
        <v>323</v>
      </c>
      <c r="Q447" s="116">
        <v>328.3</v>
      </c>
      <c r="R447">
        <v>21735</v>
      </c>
    </row>
    <row r="448" spans="1:18" x14ac:dyDescent="0.25">
      <c r="A448" s="169">
        <v>42663</v>
      </c>
      <c r="B448" s="116">
        <v>370</v>
      </c>
      <c r="C448" s="116">
        <v>357.45</v>
      </c>
      <c r="D448" s="116">
        <v>333</v>
      </c>
      <c r="E448" s="116">
        <v>333</v>
      </c>
      <c r="F448" s="116">
        <v>357.45</v>
      </c>
      <c r="G448">
        <v>86215</v>
      </c>
      <c r="H448" s="116"/>
      <c r="I448" s="116"/>
      <c r="L448" s="169">
        <v>42663</v>
      </c>
      <c r="M448" s="116">
        <v>357.05</v>
      </c>
      <c r="N448" s="116">
        <v>374.9</v>
      </c>
      <c r="O448" s="116">
        <v>333.05</v>
      </c>
      <c r="P448" s="116">
        <v>333.05</v>
      </c>
      <c r="Q448" s="116">
        <v>357.05</v>
      </c>
      <c r="R448">
        <v>269972</v>
      </c>
    </row>
    <row r="449" spans="1:18" x14ac:dyDescent="0.25">
      <c r="A449" s="169">
        <v>42664</v>
      </c>
      <c r="B449" s="116">
        <v>365</v>
      </c>
      <c r="C449" s="116">
        <v>359.8</v>
      </c>
      <c r="D449" s="116">
        <v>353.1</v>
      </c>
      <c r="E449" s="116">
        <v>359.9</v>
      </c>
      <c r="F449" s="116">
        <v>359.8</v>
      </c>
      <c r="G449">
        <v>15102</v>
      </c>
      <c r="H449" s="116"/>
      <c r="I449" s="116"/>
      <c r="L449" s="169">
        <v>42664</v>
      </c>
      <c r="M449" s="116">
        <v>358.95</v>
      </c>
      <c r="N449" s="116">
        <v>365</v>
      </c>
      <c r="O449" s="116">
        <v>352.65</v>
      </c>
      <c r="P449" s="116">
        <v>357.5</v>
      </c>
      <c r="Q449" s="116">
        <v>358.95</v>
      </c>
      <c r="R449">
        <v>51915</v>
      </c>
    </row>
    <row r="450" spans="1:18" x14ac:dyDescent="0.25">
      <c r="A450" s="169">
        <v>42667</v>
      </c>
      <c r="B450" s="116">
        <v>371.15</v>
      </c>
      <c r="C450" s="116">
        <v>369.5</v>
      </c>
      <c r="D450" s="116">
        <v>360</v>
      </c>
      <c r="E450" s="116">
        <v>362.4</v>
      </c>
      <c r="F450" s="116">
        <v>369.5</v>
      </c>
      <c r="G450">
        <v>23767</v>
      </c>
      <c r="H450" s="116"/>
      <c r="I450" s="116"/>
      <c r="L450" s="169">
        <v>42667</v>
      </c>
      <c r="M450" s="116">
        <v>369.5</v>
      </c>
      <c r="N450" s="116">
        <v>372.15</v>
      </c>
      <c r="O450" s="116">
        <v>360.95</v>
      </c>
      <c r="P450" s="116">
        <v>361</v>
      </c>
      <c r="Q450" s="116">
        <v>369.5</v>
      </c>
      <c r="R450">
        <v>74989</v>
      </c>
    </row>
    <row r="451" spans="1:18" x14ac:dyDescent="0.25">
      <c r="A451" s="169">
        <v>42668</v>
      </c>
      <c r="B451" s="116">
        <v>365.5</v>
      </c>
      <c r="C451" s="116">
        <v>333.85</v>
      </c>
      <c r="D451" s="116">
        <v>311</v>
      </c>
      <c r="E451" s="116">
        <v>365.5</v>
      </c>
      <c r="F451" s="116">
        <v>333.85</v>
      </c>
      <c r="G451">
        <v>45134</v>
      </c>
      <c r="H451" s="116"/>
      <c r="I451" s="116"/>
      <c r="L451" s="169">
        <v>42668</v>
      </c>
      <c r="M451" s="116">
        <v>332</v>
      </c>
      <c r="N451" s="116">
        <v>365</v>
      </c>
      <c r="O451" s="116">
        <v>309.95</v>
      </c>
      <c r="P451" s="116">
        <v>365</v>
      </c>
      <c r="Q451" s="116">
        <v>332</v>
      </c>
      <c r="R451">
        <v>183833</v>
      </c>
    </row>
    <row r="452" spans="1:18" x14ac:dyDescent="0.25">
      <c r="A452" s="169">
        <v>42669</v>
      </c>
      <c r="B452" s="116">
        <v>340</v>
      </c>
      <c r="C452" s="116">
        <v>331.75</v>
      </c>
      <c r="D452" s="116">
        <v>329</v>
      </c>
      <c r="E452" s="116">
        <v>334.35</v>
      </c>
      <c r="F452" s="116">
        <v>331.75</v>
      </c>
      <c r="G452">
        <v>19152</v>
      </c>
      <c r="H452" s="116"/>
      <c r="I452" s="116"/>
      <c r="L452" s="169">
        <v>42669</v>
      </c>
      <c r="M452" s="116">
        <v>330.7</v>
      </c>
      <c r="N452" s="116">
        <v>341</v>
      </c>
      <c r="O452" s="116">
        <v>328.15</v>
      </c>
      <c r="P452" s="116">
        <v>338.5</v>
      </c>
      <c r="Q452" s="116">
        <v>330.7</v>
      </c>
      <c r="R452">
        <v>58742</v>
      </c>
    </row>
    <row r="453" spans="1:18" x14ac:dyDescent="0.25">
      <c r="A453" s="169">
        <v>42670</v>
      </c>
      <c r="B453" s="116">
        <v>337.5</v>
      </c>
      <c r="C453" s="116">
        <v>335.1</v>
      </c>
      <c r="D453" s="116">
        <v>325.14999999999998</v>
      </c>
      <c r="E453" s="116">
        <v>329.9</v>
      </c>
      <c r="F453" s="116">
        <v>335.1</v>
      </c>
      <c r="G453">
        <v>14100</v>
      </c>
      <c r="H453" s="116"/>
      <c r="I453" s="116"/>
      <c r="L453" s="169">
        <v>42670</v>
      </c>
      <c r="M453" s="116">
        <v>332.1</v>
      </c>
      <c r="N453" s="116">
        <v>335.95</v>
      </c>
      <c r="O453" s="116">
        <v>328.75</v>
      </c>
      <c r="P453" s="116">
        <v>335.95</v>
      </c>
      <c r="Q453" s="116">
        <v>332.1</v>
      </c>
      <c r="R453">
        <v>28755</v>
      </c>
    </row>
    <row r="454" spans="1:18" x14ac:dyDescent="0.25">
      <c r="A454" s="169">
        <v>42671</v>
      </c>
      <c r="B454" s="116">
        <v>341.4</v>
      </c>
      <c r="C454" s="116">
        <v>335.05</v>
      </c>
      <c r="D454" s="116">
        <v>331.95</v>
      </c>
      <c r="E454" s="116">
        <v>334.95</v>
      </c>
      <c r="F454" s="116">
        <v>335.05</v>
      </c>
      <c r="G454">
        <v>5691</v>
      </c>
      <c r="H454" s="116"/>
      <c r="I454" s="116"/>
      <c r="L454" s="169">
        <v>42671</v>
      </c>
      <c r="M454" s="116">
        <v>335.75</v>
      </c>
      <c r="N454" s="116">
        <v>341.5</v>
      </c>
      <c r="O454" s="116">
        <v>328.5</v>
      </c>
      <c r="P454" s="116">
        <v>335.4</v>
      </c>
      <c r="Q454" s="116">
        <v>335.75</v>
      </c>
      <c r="R454">
        <v>27628</v>
      </c>
    </row>
    <row r="455" spans="1:18" x14ac:dyDescent="0.25">
      <c r="A455" s="169">
        <v>42673</v>
      </c>
      <c r="B455" s="116">
        <v>345</v>
      </c>
      <c r="C455" s="116">
        <v>339.15</v>
      </c>
      <c r="D455" s="116">
        <v>331</v>
      </c>
      <c r="E455" s="116">
        <v>340</v>
      </c>
      <c r="F455" s="116">
        <v>339.15</v>
      </c>
      <c r="G455">
        <v>6615</v>
      </c>
      <c r="H455" s="116"/>
      <c r="I455" s="116"/>
      <c r="L455" s="169">
        <v>42673</v>
      </c>
      <c r="M455" s="116">
        <v>339</v>
      </c>
      <c r="N455" s="116">
        <v>344.8</v>
      </c>
      <c r="O455" s="116">
        <v>336.1</v>
      </c>
      <c r="P455" s="116">
        <v>336.1</v>
      </c>
      <c r="Q455" s="116">
        <v>339</v>
      </c>
      <c r="R455">
        <v>18282</v>
      </c>
    </row>
    <row r="456" spans="1:18" x14ac:dyDescent="0.25">
      <c r="A456" s="169">
        <v>42675</v>
      </c>
      <c r="B456" s="116">
        <v>342.6</v>
      </c>
      <c r="C456" s="116">
        <v>337.45</v>
      </c>
      <c r="D456" s="116">
        <v>335.25</v>
      </c>
      <c r="E456" s="116">
        <v>339.2</v>
      </c>
      <c r="F456" s="116">
        <v>337.45</v>
      </c>
      <c r="G456">
        <v>2896</v>
      </c>
      <c r="H456" s="116"/>
      <c r="I456" s="116"/>
      <c r="L456" s="169">
        <v>42675</v>
      </c>
      <c r="M456" s="116">
        <v>337.5</v>
      </c>
      <c r="N456" s="116">
        <v>349.9</v>
      </c>
      <c r="O456" s="116">
        <v>336.1</v>
      </c>
      <c r="P456" s="116">
        <v>349.9</v>
      </c>
      <c r="Q456" s="116">
        <v>337.5</v>
      </c>
      <c r="R456">
        <v>43792</v>
      </c>
    </row>
    <row r="457" spans="1:18" x14ac:dyDescent="0.25">
      <c r="A457" s="169">
        <v>42676</v>
      </c>
      <c r="B457" s="116">
        <v>350.1</v>
      </c>
      <c r="C457" s="116">
        <v>342</v>
      </c>
      <c r="D457" s="116">
        <v>328.85</v>
      </c>
      <c r="E457" s="116">
        <v>335.15</v>
      </c>
      <c r="F457" s="116">
        <v>342</v>
      </c>
      <c r="G457">
        <v>12280</v>
      </c>
      <c r="H457" s="116"/>
      <c r="I457" s="116"/>
      <c r="L457" s="169">
        <v>42676</v>
      </c>
      <c r="M457" s="116">
        <v>342</v>
      </c>
      <c r="N457" s="116">
        <v>349.9</v>
      </c>
      <c r="O457" s="116">
        <v>328</v>
      </c>
      <c r="P457" s="116">
        <v>336.1</v>
      </c>
      <c r="Q457" s="116">
        <v>342</v>
      </c>
      <c r="R457">
        <v>58098</v>
      </c>
    </row>
    <row r="458" spans="1:18" x14ac:dyDescent="0.25">
      <c r="A458" s="169">
        <v>42677</v>
      </c>
      <c r="B458" s="116">
        <v>380</v>
      </c>
      <c r="C458" s="116">
        <v>354.25</v>
      </c>
      <c r="D458" s="116">
        <v>336.5</v>
      </c>
      <c r="E458" s="116">
        <v>336.5</v>
      </c>
      <c r="F458" s="116">
        <v>354.25</v>
      </c>
      <c r="G458">
        <v>63213</v>
      </c>
      <c r="H458" s="116"/>
      <c r="I458" s="116"/>
      <c r="L458" s="169">
        <v>42677</v>
      </c>
      <c r="M458" s="116">
        <v>354.15</v>
      </c>
      <c r="N458" s="116">
        <v>380.05</v>
      </c>
      <c r="O458" s="116">
        <v>338.55</v>
      </c>
      <c r="P458" s="116">
        <v>344.4</v>
      </c>
      <c r="Q458" s="116">
        <v>354.15</v>
      </c>
      <c r="R458">
        <v>279612</v>
      </c>
    </row>
    <row r="459" spans="1:18" x14ac:dyDescent="0.25">
      <c r="A459" s="169">
        <v>42678</v>
      </c>
      <c r="B459" s="116">
        <v>362</v>
      </c>
      <c r="C459" s="116">
        <v>352.9</v>
      </c>
      <c r="D459" s="116">
        <v>343.95</v>
      </c>
      <c r="E459" s="116">
        <v>359</v>
      </c>
      <c r="F459" s="116">
        <v>352.9</v>
      </c>
      <c r="G459">
        <v>16006</v>
      </c>
      <c r="H459" s="116"/>
      <c r="I459" s="116"/>
      <c r="L459" s="169">
        <v>42678</v>
      </c>
      <c r="M459" s="116">
        <v>351.15</v>
      </c>
      <c r="N459" s="116">
        <v>363.8</v>
      </c>
      <c r="O459" s="116">
        <v>345</v>
      </c>
      <c r="P459" s="116">
        <v>357</v>
      </c>
      <c r="Q459" s="116">
        <v>351.15</v>
      </c>
      <c r="R459">
        <v>62207</v>
      </c>
    </row>
    <row r="460" spans="1:18" x14ac:dyDescent="0.25">
      <c r="A460" s="169">
        <v>42681</v>
      </c>
      <c r="B460" s="116">
        <v>365</v>
      </c>
      <c r="C460" s="116">
        <v>343.95</v>
      </c>
      <c r="D460" s="116">
        <v>339.9</v>
      </c>
      <c r="E460" s="116">
        <v>356.5</v>
      </c>
      <c r="F460" s="116">
        <v>343.95</v>
      </c>
      <c r="G460">
        <v>16938</v>
      </c>
      <c r="H460" s="116"/>
      <c r="I460" s="116"/>
      <c r="L460" s="169">
        <v>42681</v>
      </c>
      <c r="M460" s="116">
        <v>346.2</v>
      </c>
      <c r="N460" s="116">
        <v>369</v>
      </c>
      <c r="O460" s="116">
        <v>340</v>
      </c>
      <c r="P460" s="116">
        <v>369</v>
      </c>
      <c r="Q460" s="116">
        <v>346.2</v>
      </c>
      <c r="R460">
        <v>39626</v>
      </c>
    </row>
    <row r="461" spans="1:18" x14ac:dyDescent="0.25">
      <c r="A461" s="169">
        <v>42682</v>
      </c>
      <c r="B461" s="116">
        <v>357</v>
      </c>
      <c r="C461" s="116">
        <v>338.05</v>
      </c>
      <c r="D461" s="116">
        <v>337</v>
      </c>
      <c r="E461" s="116">
        <v>350.25</v>
      </c>
      <c r="F461" s="116">
        <v>338.05</v>
      </c>
      <c r="G461">
        <v>8415</v>
      </c>
      <c r="H461" s="116"/>
      <c r="I461" s="116"/>
      <c r="L461" s="169">
        <v>42682</v>
      </c>
      <c r="M461" s="116">
        <v>338.75</v>
      </c>
      <c r="N461" s="116">
        <v>360</v>
      </c>
      <c r="O461" s="116">
        <v>336</v>
      </c>
      <c r="P461" s="116">
        <v>346.2</v>
      </c>
      <c r="Q461" s="116">
        <v>338.75</v>
      </c>
      <c r="R461">
        <v>60440</v>
      </c>
    </row>
    <row r="462" spans="1:18" x14ac:dyDescent="0.25">
      <c r="A462" s="169">
        <v>42683</v>
      </c>
      <c r="B462" s="116">
        <v>331</v>
      </c>
      <c r="C462" s="116">
        <v>327.25</v>
      </c>
      <c r="D462" s="116">
        <v>300</v>
      </c>
      <c r="E462" s="116">
        <v>310.89999999999998</v>
      </c>
      <c r="F462" s="116">
        <v>327.25</v>
      </c>
      <c r="G462">
        <v>17765</v>
      </c>
      <c r="H462" s="116"/>
      <c r="I462" s="116"/>
      <c r="L462" s="169">
        <v>42683</v>
      </c>
      <c r="M462" s="116">
        <v>328.35</v>
      </c>
      <c r="N462" s="116">
        <v>332</v>
      </c>
      <c r="O462" s="116">
        <v>288</v>
      </c>
      <c r="P462" s="116">
        <v>306</v>
      </c>
      <c r="Q462" s="116">
        <v>328.35</v>
      </c>
      <c r="R462">
        <v>66078</v>
      </c>
    </row>
    <row r="463" spans="1:18" x14ac:dyDescent="0.25">
      <c r="A463" s="169">
        <v>42684</v>
      </c>
      <c r="B463" s="116">
        <v>348.9</v>
      </c>
      <c r="C463" s="116">
        <v>337.2</v>
      </c>
      <c r="D463" s="116">
        <v>335</v>
      </c>
      <c r="E463" s="116">
        <v>343.85</v>
      </c>
      <c r="F463" s="116">
        <v>337.2</v>
      </c>
      <c r="G463">
        <v>13469</v>
      </c>
      <c r="H463" s="116"/>
      <c r="I463" s="116"/>
      <c r="L463" s="169">
        <v>42684</v>
      </c>
      <c r="M463" s="116">
        <v>337.3</v>
      </c>
      <c r="N463" s="116">
        <v>348.95</v>
      </c>
      <c r="O463" s="116">
        <v>334.35</v>
      </c>
      <c r="P463" s="116">
        <v>336.6</v>
      </c>
      <c r="Q463" s="116">
        <v>337.3</v>
      </c>
      <c r="R463">
        <v>46481</v>
      </c>
    </row>
    <row r="464" spans="1:18" x14ac:dyDescent="0.25">
      <c r="A464" s="169">
        <v>42685</v>
      </c>
      <c r="B464" s="116">
        <v>345</v>
      </c>
      <c r="C464" s="116">
        <v>319</v>
      </c>
      <c r="D464" s="116">
        <v>316.3</v>
      </c>
      <c r="E464" s="116">
        <v>336.9</v>
      </c>
      <c r="F464" s="116">
        <v>319</v>
      </c>
      <c r="G464">
        <v>13184</v>
      </c>
      <c r="H464" s="116"/>
      <c r="I464" s="116"/>
      <c r="L464" s="169">
        <v>42685</v>
      </c>
      <c r="M464" s="116">
        <v>319.45</v>
      </c>
      <c r="N464" s="116">
        <v>344.4</v>
      </c>
      <c r="O464" s="116">
        <v>316.60000000000002</v>
      </c>
      <c r="P464" s="116">
        <v>340.9</v>
      </c>
      <c r="Q464" s="116">
        <v>319.45</v>
      </c>
      <c r="R464">
        <v>68179</v>
      </c>
    </row>
    <row r="465" spans="1:18" x14ac:dyDescent="0.25">
      <c r="A465" s="169">
        <v>42689</v>
      </c>
      <c r="B465" s="116">
        <v>321.14999999999998</v>
      </c>
      <c r="C465" s="116">
        <v>280.85000000000002</v>
      </c>
      <c r="D465" s="116">
        <v>272.95</v>
      </c>
      <c r="E465" s="116">
        <v>321.14999999999998</v>
      </c>
      <c r="F465" s="116">
        <v>280.85000000000002</v>
      </c>
      <c r="G465">
        <v>35112</v>
      </c>
      <c r="H465" s="116"/>
      <c r="I465" s="116"/>
      <c r="L465" s="169">
        <v>42689</v>
      </c>
      <c r="M465" s="116">
        <v>281.55</v>
      </c>
      <c r="N465" s="116">
        <v>328</v>
      </c>
      <c r="O465" s="116">
        <v>273.10000000000002</v>
      </c>
      <c r="P465" s="116">
        <v>328</v>
      </c>
      <c r="Q465" s="116">
        <v>281.55</v>
      </c>
      <c r="R465">
        <v>156478</v>
      </c>
    </row>
    <row r="466" spans="1:18" x14ac:dyDescent="0.25">
      <c r="A466" s="169">
        <v>42690</v>
      </c>
      <c r="B466" s="116">
        <v>301</v>
      </c>
      <c r="C466" s="116">
        <v>295.75</v>
      </c>
      <c r="D466" s="116">
        <v>283.45</v>
      </c>
      <c r="E466" s="116">
        <v>296</v>
      </c>
      <c r="F466" s="116">
        <v>295.75</v>
      </c>
      <c r="G466">
        <v>19167</v>
      </c>
      <c r="H466" s="116"/>
      <c r="I466" s="116"/>
      <c r="L466" s="169">
        <v>42690</v>
      </c>
      <c r="M466" s="116">
        <v>296.5</v>
      </c>
      <c r="N466" s="116">
        <v>301</v>
      </c>
      <c r="O466" s="116">
        <v>282.64999999999998</v>
      </c>
      <c r="P466" s="116">
        <v>289</v>
      </c>
      <c r="Q466" s="116">
        <v>296.5</v>
      </c>
      <c r="R466">
        <v>69122</v>
      </c>
    </row>
    <row r="467" spans="1:18" x14ac:dyDescent="0.25">
      <c r="A467" s="169">
        <v>42691</v>
      </c>
      <c r="B467" s="116">
        <v>302</v>
      </c>
      <c r="C467" s="116">
        <v>294.10000000000002</v>
      </c>
      <c r="D467" s="116">
        <v>290</v>
      </c>
      <c r="E467" s="116">
        <v>302</v>
      </c>
      <c r="F467" s="116">
        <v>294.10000000000002</v>
      </c>
      <c r="G467">
        <v>8283</v>
      </c>
      <c r="H467" s="116"/>
      <c r="I467" s="116"/>
      <c r="L467" s="169">
        <v>42691</v>
      </c>
      <c r="M467" s="116">
        <v>294.75</v>
      </c>
      <c r="N467" s="116">
        <v>305.39999999999998</v>
      </c>
      <c r="O467" s="116">
        <v>288.05</v>
      </c>
      <c r="P467" s="116">
        <v>305.39999999999998</v>
      </c>
      <c r="Q467" s="116">
        <v>294.75</v>
      </c>
      <c r="R467">
        <v>49716</v>
      </c>
    </row>
    <row r="468" spans="1:18" x14ac:dyDescent="0.25">
      <c r="A468" s="169">
        <v>42692</v>
      </c>
      <c r="B468" s="116">
        <v>301</v>
      </c>
      <c r="C468" s="116">
        <v>293.35000000000002</v>
      </c>
      <c r="D468" s="116">
        <v>290.05</v>
      </c>
      <c r="E468" s="116">
        <v>299</v>
      </c>
      <c r="F468" s="116">
        <v>293.35000000000002</v>
      </c>
      <c r="G468">
        <v>9122</v>
      </c>
      <c r="H468" s="116"/>
      <c r="I468" s="116"/>
      <c r="L468" s="169">
        <v>42692</v>
      </c>
      <c r="M468" s="116">
        <v>293.39999999999998</v>
      </c>
      <c r="N468" s="116">
        <v>301</v>
      </c>
      <c r="O468" s="116">
        <v>291.10000000000002</v>
      </c>
      <c r="P468" s="116">
        <v>301</v>
      </c>
      <c r="Q468" s="116">
        <v>293.39999999999998</v>
      </c>
      <c r="R468">
        <v>49440</v>
      </c>
    </row>
    <row r="469" spans="1:18" x14ac:dyDescent="0.25">
      <c r="A469" s="169">
        <v>42695</v>
      </c>
      <c r="B469" s="116">
        <v>293.35000000000002</v>
      </c>
      <c r="C469" s="116">
        <v>282.45</v>
      </c>
      <c r="D469" s="116">
        <v>275</v>
      </c>
      <c r="E469" s="116">
        <v>293.35000000000002</v>
      </c>
      <c r="F469" s="116">
        <v>282.45</v>
      </c>
      <c r="G469">
        <v>12319</v>
      </c>
      <c r="H469" s="116"/>
      <c r="I469" s="116"/>
      <c r="L469" s="169">
        <v>42695</v>
      </c>
      <c r="M469" s="116">
        <v>281.95</v>
      </c>
      <c r="N469" s="116">
        <v>298.14999999999998</v>
      </c>
      <c r="O469" s="116">
        <v>275.10000000000002</v>
      </c>
      <c r="P469" s="116">
        <v>291.05</v>
      </c>
      <c r="Q469" s="116">
        <v>281.95</v>
      </c>
      <c r="R469">
        <v>61728</v>
      </c>
    </row>
    <row r="470" spans="1:18" x14ac:dyDescent="0.25">
      <c r="A470" s="169">
        <v>42696</v>
      </c>
      <c r="B470" s="116">
        <v>293.85000000000002</v>
      </c>
      <c r="C470" s="116">
        <v>290.2</v>
      </c>
      <c r="D470" s="116">
        <v>281.39999999999998</v>
      </c>
      <c r="E470" s="116">
        <v>283</v>
      </c>
      <c r="F470" s="116">
        <v>290.2</v>
      </c>
      <c r="G470">
        <v>5564</v>
      </c>
      <c r="H470" s="116"/>
      <c r="I470" s="116"/>
      <c r="L470" s="169">
        <v>42696</v>
      </c>
      <c r="M470" s="116">
        <v>291.35000000000002</v>
      </c>
      <c r="N470" s="116">
        <v>296</v>
      </c>
      <c r="O470" s="116">
        <v>280.95</v>
      </c>
      <c r="P470" s="116">
        <v>281.95</v>
      </c>
      <c r="Q470" s="116">
        <v>291.35000000000002</v>
      </c>
      <c r="R470">
        <v>33530</v>
      </c>
    </row>
    <row r="471" spans="1:18" x14ac:dyDescent="0.25">
      <c r="A471" s="169">
        <v>42697</v>
      </c>
      <c r="B471" s="116">
        <v>304.39999999999998</v>
      </c>
      <c r="C471" s="116">
        <v>302.2</v>
      </c>
      <c r="D471" s="116">
        <v>289.5</v>
      </c>
      <c r="E471" s="116">
        <v>295</v>
      </c>
      <c r="F471" s="116">
        <v>302.2</v>
      </c>
      <c r="G471">
        <v>6374</v>
      </c>
      <c r="H471" s="116"/>
      <c r="I471" s="116"/>
      <c r="L471" s="169">
        <v>42697</v>
      </c>
      <c r="M471" s="116">
        <v>301.7</v>
      </c>
      <c r="N471" s="116">
        <v>305.3</v>
      </c>
      <c r="O471" s="116">
        <v>290.2</v>
      </c>
      <c r="P471" s="116">
        <v>295.89999999999998</v>
      </c>
      <c r="Q471" s="116">
        <v>301.7</v>
      </c>
      <c r="R471">
        <v>51305</v>
      </c>
    </row>
    <row r="472" spans="1:18" x14ac:dyDescent="0.25">
      <c r="A472" s="169">
        <v>42698</v>
      </c>
      <c r="B472" s="116">
        <v>308.3</v>
      </c>
      <c r="C472" s="116">
        <v>307.3</v>
      </c>
      <c r="D472" s="116">
        <v>295.8</v>
      </c>
      <c r="E472" s="116">
        <v>298</v>
      </c>
      <c r="F472" s="116">
        <v>307.3</v>
      </c>
      <c r="G472">
        <v>5471</v>
      </c>
      <c r="H472" s="116"/>
      <c r="I472" s="116"/>
      <c r="L472" s="169">
        <v>42698</v>
      </c>
      <c r="M472" s="116">
        <v>307.8</v>
      </c>
      <c r="N472" s="116">
        <v>309.85000000000002</v>
      </c>
      <c r="O472" s="116">
        <v>296</v>
      </c>
      <c r="P472" s="116">
        <v>300</v>
      </c>
      <c r="Q472" s="116">
        <v>307.8</v>
      </c>
      <c r="R472">
        <v>12927</v>
      </c>
    </row>
    <row r="473" spans="1:18" x14ac:dyDescent="0.25">
      <c r="A473" s="169">
        <v>42699</v>
      </c>
      <c r="B473" s="116">
        <v>317.95</v>
      </c>
      <c r="C473" s="116">
        <v>313.35000000000002</v>
      </c>
      <c r="D473" s="116">
        <v>302.60000000000002</v>
      </c>
      <c r="E473" s="116">
        <v>302.60000000000002</v>
      </c>
      <c r="F473" s="116">
        <v>313.35000000000002</v>
      </c>
      <c r="G473">
        <v>6093</v>
      </c>
      <c r="H473" s="116"/>
      <c r="I473" s="116"/>
      <c r="L473" s="169">
        <v>42699</v>
      </c>
      <c r="M473" s="116">
        <v>312.39999999999998</v>
      </c>
      <c r="N473" s="116">
        <v>319</v>
      </c>
      <c r="O473" s="116">
        <v>302.5</v>
      </c>
      <c r="P473" s="116">
        <v>302.55</v>
      </c>
      <c r="Q473" s="116">
        <v>312.39999999999998</v>
      </c>
      <c r="R473">
        <v>19500</v>
      </c>
    </row>
    <row r="474" spans="1:18" x14ac:dyDescent="0.25">
      <c r="A474" s="169">
        <v>42702</v>
      </c>
      <c r="B474" s="116">
        <v>321.10000000000002</v>
      </c>
      <c r="C474" s="116">
        <v>316</v>
      </c>
      <c r="D474" s="116">
        <v>307.5</v>
      </c>
      <c r="E474" s="116">
        <v>307.5</v>
      </c>
      <c r="F474" s="116">
        <v>316</v>
      </c>
      <c r="G474">
        <v>1699</v>
      </c>
      <c r="H474" s="116"/>
      <c r="I474" s="116"/>
      <c r="L474" s="169">
        <v>42702</v>
      </c>
      <c r="M474" s="116">
        <v>315.35000000000002</v>
      </c>
      <c r="N474" s="116">
        <v>321.95</v>
      </c>
      <c r="O474" s="116">
        <v>306.10000000000002</v>
      </c>
      <c r="P474" s="116">
        <v>306.10000000000002</v>
      </c>
      <c r="Q474" s="116">
        <v>315.35000000000002</v>
      </c>
      <c r="R474">
        <v>11869</v>
      </c>
    </row>
    <row r="475" spans="1:18" x14ac:dyDescent="0.25">
      <c r="A475" s="169">
        <v>42703</v>
      </c>
      <c r="B475" s="116">
        <v>317</v>
      </c>
      <c r="C475" s="116">
        <v>311.10000000000002</v>
      </c>
      <c r="D475" s="116">
        <v>310</v>
      </c>
      <c r="E475" s="116">
        <v>316</v>
      </c>
      <c r="F475" s="116">
        <v>311.10000000000002</v>
      </c>
      <c r="G475">
        <v>5342</v>
      </c>
      <c r="H475" s="116"/>
      <c r="I475" s="116"/>
      <c r="L475" s="169">
        <v>42703</v>
      </c>
      <c r="M475" s="116">
        <v>311.14999999999998</v>
      </c>
      <c r="N475" s="116">
        <v>318.95</v>
      </c>
      <c r="O475" s="116">
        <v>308.64999999999998</v>
      </c>
      <c r="P475" s="116">
        <v>311.05</v>
      </c>
      <c r="Q475" s="116">
        <v>311.14999999999998</v>
      </c>
      <c r="R475">
        <v>30498</v>
      </c>
    </row>
    <row r="476" spans="1:18" x14ac:dyDescent="0.25">
      <c r="A476" s="169">
        <v>42704</v>
      </c>
      <c r="B476" s="116">
        <v>320.25</v>
      </c>
      <c r="C476" s="116">
        <v>313.55</v>
      </c>
      <c r="D476" s="116">
        <v>309</v>
      </c>
      <c r="E476" s="116">
        <v>311.95</v>
      </c>
      <c r="F476" s="116">
        <v>313.55</v>
      </c>
      <c r="G476">
        <v>8981</v>
      </c>
      <c r="H476" s="116"/>
      <c r="I476" s="116"/>
      <c r="L476" s="169">
        <v>42704</v>
      </c>
      <c r="M476" s="116">
        <v>316.7</v>
      </c>
      <c r="N476" s="116">
        <v>322</v>
      </c>
      <c r="O476" s="116">
        <v>305</v>
      </c>
      <c r="P476" s="116">
        <v>318.95</v>
      </c>
      <c r="Q476" s="116">
        <v>316.7</v>
      </c>
      <c r="R476">
        <v>28890</v>
      </c>
    </row>
    <row r="477" spans="1:18" x14ac:dyDescent="0.25">
      <c r="A477" s="169">
        <v>42705</v>
      </c>
      <c r="B477" s="116">
        <v>316</v>
      </c>
      <c r="C477" s="116">
        <v>308.2</v>
      </c>
      <c r="D477" s="116">
        <v>306</v>
      </c>
      <c r="E477" s="116">
        <v>316</v>
      </c>
      <c r="F477" s="116">
        <v>308.2</v>
      </c>
      <c r="G477">
        <v>5315</v>
      </c>
      <c r="H477" s="116"/>
      <c r="I477" s="116"/>
      <c r="L477" s="169">
        <v>42705</v>
      </c>
      <c r="M477" s="116">
        <v>309.75</v>
      </c>
      <c r="N477" s="116">
        <v>318.95</v>
      </c>
      <c r="O477" s="116">
        <v>307</v>
      </c>
      <c r="P477" s="116">
        <v>318</v>
      </c>
      <c r="Q477" s="116">
        <v>309.75</v>
      </c>
      <c r="R477">
        <v>9882</v>
      </c>
    </row>
    <row r="478" spans="1:18" x14ac:dyDescent="0.25">
      <c r="A478" s="169">
        <v>42706</v>
      </c>
      <c r="B478" s="116">
        <v>307.5</v>
      </c>
      <c r="C478" s="116">
        <v>303.25</v>
      </c>
      <c r="D478" s="116">
        <v>297.95</v>
      </c>
      <c r="E478" s="116">
        <v>305.55</v>
      </c>
      <c r="F478" s="116">
        <v>303.25</v>
      </c>
      <c r="G478">
        <v>3382</v>
      </c>
      <c r="H478" s="116"/>
      <c r="I478" s="116"/>
      <c r="L478" s="169">
        <v>42706</v>
      </c>
      <c r="M478" s="116">
        <v>301.25</v>
      </c>
      <c r="N478" s="116">
        <v>310.85000000000002</v>
      </c>
      <c r="O478" s="116">
        <v>298</v>
      </c>
      <c r="P478" s="116">
        <v>310</v>
      </c>
      <c r="Q478" s="116">
        <v>301.25</v>
      </c>
      <c r="R478">
        <v>12833</v>
      </c>
    </row>
    <row r="479" spans="1:18" x14ac:dyDescent="0.25">
      <c r="A479" s="169">
        <v>42709</v>
      </c>
      <c r="B479" s="116">
        <v>309</v>
      </c>
      <c r="C479" s="116">
        <v>302.2</v>
      </c>
      <c r="D479" s="116">
        <v>302.14999999999998</v>
      </c>
      <c r="E479" s="116">
        <v>305</v>
      </c>
      <c r="F479" s="116">
        <v>302.2</v>
      </c>
      <c r="G479">
        <v>764</v>
      </c>
      <c r="H479" s="116"/>
      <c r="I479" s="116"/>
      <c r="L479" s="169">
        <v>42709</v>
      </c>
      <c r="M479" s="116">
        <v>304.25</v>
      </c>
      <c r="N479" s="116">
        <v>309.35000000000002</v>
      </c>
      <c r="O479" s="116">
        <v>297.2</v>
      </c>
      <c r="P479" s="116">
        <v>297.2</v>
      </c>
      <c r="Q479" s="116">
        <v>304.25</v>
      </c>
      <c r="R479">
        <v>5242</v>
      </c>
    </row>
    <row r="480" spans="1:18" x14ac:dyDescent="0.25">
      <c r="A480" s="169">
        <v>42710</v>
      </c>
      <c r="B480" s="116">
        <v>312</v>
      </c>
      <c r="C480" s="116">
        <v>310</v>
      </c>
      <c r="D480" s="116">
        <v>305.5</v>
      </c>
      <c r="E480" s="116">
        <v>305.5</v>
      </c>
      <c r="F480" s="116">
        <v>310</v>
      </c>
      <c r="G480">
        <v>2905</v>
      </c>
      <c r="H480" s="116"/>
      <c r="I480" s="116"/>
      <c r="L480" s="169">
        <v>42710</v>
      </c>
      <c r="M480" s="116">
        <v>311.10000000000002</v>
      </c>
      <c r="N480" s="116">
        <v>315.5</v>
      </c>
      <c r="O480" s="116">
        <v>302.3</v>
      </c>
      <c r="P480" s="116">
        <v>302.3</v>
      </c>
      <c r="Q480" s="116">
        <v>311.10000000000002</v>
      </c>
      <c r="R480">
        <v>15866</v>
      </c>
    </row>
    <row r="481" spans="1:18" x14ac:dyDescent="0.25">
      <c r="A481" s="169">
        <v>42711</v>
      </c>
      <c r="B481" s="116">
        <v>316.5</v>
      </c>
      <c r="C481" s="116">
        <v>307.89999999999998</v>
      </c>
      <c r="D481" s="116">
        <v>304.95</v>
      </c>
      <c r="E481" s="116">
        <v>314.5</v>
      </c>
      <c r="F481" s="116">
        <v>307.89999999999998</v>
      </c>
      <c r="G481">
        <v>5890</v>
      </c>
      <c r="H481" s="116"/>
      <c r="I481" s="116"/>
      <c r="L481" s="169">
        <v>42711</v>
      </c>
      <c r="M481" s="116">
        <v>307</v>
      </c>
      <c r="N481" s="116">
        <v>317.25</v>
      </c>
      <c r="O481" s="116">
        <v>305</v>
      </c>
      <c r="P481" s="116">
        <v>308.14999999999998</v>
      </c>
      <c r="Q481" s="116">
        <v>307</v>
      </c>
      <c r="R481">
        <v>12114</v>
      </c>
    </row>
    <row r="482" spans="1:18" x14ac:dyDescent="0.25">
      <c r="A482" s="169">
        <v>42712</v>
      </c>
      <c r="B482" s="116">
        <v>317</v>
      </c>
      <c r="C482" s="116">
        <v>312.7</v>
      </c>
      <c r="D482" s="116">
        <v>310.35000000000002</v>
      </c>
      <c r="E482" s="116">
        <v>312</v>
      </c>
      <c r="F482" s="116">
        <v>312.7</v>
      </c>
      <c r="G482">
        <v>2061</v>
      </c>
      <c r="H482" s="116"/>
      <c r="I482" s="116"/>
      <c r="L482" s="169">
        <v>42712</v>
      </c>
      <c r="M482" s="116">
        <v>313.89999999999998</v>
      </c>
      <c r="N482" s="116">
        <v>318.85000000000002</v>
      </c>
      <c r="O482" s="116">
        <v>301</v>
      </c>
      <c r="P482" s="116">
        <v>307</v>
      </c>
      <c r="Q482" s="116">
        <v>313.89999999999998</v>
      </c>
      <c r="R482">
        <v>10786</v>
      </c>
    </row>
    <row r="483" spans="1:18" x14ac:dyDescent="0.25">
      <c r="A483" s="169">
        <v>42713</v>
      </c>
      <c r="B483" s="116">
        <v>320</v>
      </c>
      <c r="C483" s="116">
        <v>315.5</v>
      </c>
      <c r="D483" s="116">
        <v>313.7</v>
      </c>
      <c r="E483" s="116">
        <v>314.45</v>
      </c>
      <c r="F483" s="116">
        <v>315.5</v>
      </c>
      <c r="G483">
        <v>3861</v>
      </c>
      <c r="H483" s="116"/>
      <c r="I483" s="116"/>
      <c r="L483" s="169">
        <v>42713</v>
      </c>
      <c r="M483" s="116">
        <v>317.75</v>
      </c>
      <c r="N483" s="116">
        <v>325</v>
      </c>
      <c r="O483" s="116">
        <v>313.89999999999998</v>
      </c>
      <c r="P483" s="116">
        <v>313.89999999999998</v>
      </c>
      <c r="Q483" s="116">
        <v>317.75</v>
      </c>
      <c r="R483">
        <v>19374</v>
      </c>
    </row>
    <row r="484" spans="1:18" x14ac:dyDescent="0.25">
      <c r="A484" s="169">
        <v>42716</v>
      </c>
      <c r="B484" s="116">
        <v>318</v>
      </c>
      <c r="C484" s="116">
        <v>313.85000000000002</v>
      </c>
      <c r="D484" s="116">
        <v>312.10000000000002</v>
      </c>
      <c r="E484" s="116">
        <v>314.3</v>
      </c>
      <c r="F484" s="116">
        <v>313.85000000000002</v>
      </c>
      <c r="G484">
        <v>223</v>
      </c>
      <c r="H484" s="116"/>
      <c r="I484" s="116"/>
      <c r="L484" s="169">
        <v>42716</v>
      </c>
      <c r="M484" s="116">
        <v>312.89999999999998</v>
      </c>
      <c r="N484" s="116">
        <v>320</v>
      </c>
      <c r="O484" s="116">
        <v>311</v>
      </c>
      <c r="P484" s="116">
        <v>318.8</v>
      </c>
      <c r="Q484" s="116">
        <v>312.89999999999998</v>
      </c>
      <c r="R484">
        <v>5267</v>
      </c>
    </row>
    <row r="485" spans="1:18" x14ac:dyDescent="0.25">
      <c r="A485" s="169">
        <v>42717</v>
      </c>
      <c r="B485" s="116">
        <v>330.95</v>
      </c>
      <c r="C485" s="116">
        <v>327.39999999999998</v>
      </c>
      <c r="D485" s="116">
        <v>310.39999999999998</v>
      </c>
      <c r="E485" s="116">
        <v>311.5</v>
      </c>
      <c r="F485" s="116">
        <v>327.39999999999998</v>
      </c>
      <c r="G485">
        <v>3701</v>
      </c>
      <c r="H485" s="116"/>
      <c r="I485" s="116"/>
      <c r="L485" s="169">
        <v>42717</v>
      </c>
      <c r="M485" s="116">
        <v>325.60000000000002</v>
      </c>
      <c r="N485" s="116">
        <v>332</v>
      </c>
      <c r="O485" s="116">
        <v>312.5</v>
      </c>
      <c r="P485" s="116">
        <v>312.5</v>
      </c>
      <c r="Q485" s="116">
        <v>325.60000000000002</v>
      </c>
      <c r="R485">
        <v>69560</v>
      </c>
    </row>
    <row r="486" spans="1:18" x14ac:dyDescent="0.25">
      <c r="A486" s="169">
        <v>42718</v>
      </c>
      <c r="B486" s="116">
        <v>337.5</v>
      </c>
      <c r="C486" s="116">
        <v>324.85000000000002</v>
      </c>
      <c r="D486" s="116">
        <v>324.05</v>
      </c>
      <c r="E486" s="116">
        <v>334</v>
      </c>
      <c r="F486" s="116">
        <v>324.85000000000002</v>
      </c>
      <c r="G486">
        <v>112736</v>
      </c>
      <c r="H486" s="116"/>
      <c r="I486" s="116"/>
      <c r="L486" s="169">
        <v>42718</v>
      </c>
      <c r="M486" s="116">
        <v>327.64999999999998</v>
      </c>
      <c r="N486" s="116">
        <v>338</v>
      </c>
      <c r="O486" s="116">
        <v>325</v>
      </c>
      <c r="P486" s="116">
        <v>326</v>
      </c>
      <c r="Q486" s="116">
        <v>327.64999999999998</v>
      </c>
      <c r="R486">
        <v>25396</v>
      </c>
    </row>
    <row r="487" spans="1:18" x14ac:dyDescent="0.25">
      <c r="A487" s="169">
        <v>42719</v>
      </c>
      <c r="B487" s="116">
        <v>345</v>
      </c>
      <c r="C487" s="116">
        <v>341.45</v>
      </c>
      <c r="D487" s="116">
        <v>330</v>
      </c>
      <c r="E487" s="116">
        <v>330</v>
      </c>
      <c r="F487" s="116">
        <v>341.45</v>
      </c>
      <c r="G487">
        <v>10407</v>
      </c>
      <c r="H487" s="116"/>
      <c r="I487" s="116"/>
      <c r="L487" s="169">
        <v>42719</v>
      </c>
      <c r="M487" s="116">
        <v>342.25</v>
      </c>
      <c r="N487" s="116">
        <v>344.5</v>
      </c>
      <c r="O487" s="116">
        <v>319.75</v>
      </c>
      <c r="P487" s="116">
        <v>319.75</v>
      </c>
      <c r="Q487" s="116">
        <v>342.25</v>
      </c>
      <c r="R487">
        <v>42548</v>
      </c>
    </row>
    <row r="488" spans="1:18" x14ac:dyDescent="0.25">
      <c r="A488" s="169">
        <v>42720</v>
      </c>
      <c r="B488" s="116">
        <v>341.35</v>
      </c>
      <c r="C488" s="116">
        <v>335.4</v>
      </c>
      <c r="D488" s="116">
        <v>332.7</v>
      </c>
      <c r="E488" s="116">
        <v>336</v>
      </c>
      <c r="F488" s="116">
        <v>335.4</v>
      </c>
      <c r="G488">
        <v>4859</v>
      </c>
      <c r="H488" s="116"/>
      <c r="I488" s="116"/>
      <c r="L488" s="169">
        <v>42720</v>
      </c>
      <c r="M488" s="116">
        <v>336</v>
      </c>
      <c r="N488" s="116">
        <v>341.9</v>
      </c>
      <c r="O488" s="116">
        <v>332.5</v>
      </c>
      <c r="P488" s="116">
        <v>341.55</v>
      </c>
      <c r="Q488" s="116">
        <v>336</v>
      </c>
      <c r="R488">
        <v>11622</v>
      </c>
    </row>
    <row r="489" spans="1:18" x14ac:dyDescent="0.25">
      <c r="A489" s="169">
        <v>42723</v>
      </c>
      <c r="B489" s="116">
        <v>336.95</v>
      </c>
      <c r="C489" s="116">
        <v>332.55</v>
      </c>
      <c r="D489" s="116">
        <v>330</v>
      </c>
      <c r="E489" s="116">
        <v>335.65</v>
      </c>
      <c r="F489" s="116">
        <v>332.55</v>
      </c>
      <c r="G489">
        <v>2211</v>
      </c>
      <c r="H489" s="116"/>
      <c r="I489" s="116"/>
      <c r="L489" s="169">
        <v>42723</v>
      </c>
      <c r="M489" s="116">
        <v>331.65</v>
      </c>
      <c r="N489" s="116">
        <v>338.5</v>
      </c>
      <c r="O489" s="116">
        <v>327.8</v>
      </c>
      <c r="P489" s="116">
        <v>333.05</v>
      </c>
      <c r="Q489" s="116">
        <v>331.65</v>
      </c>
      <c r="R489">
        <v>8753</v>
      </c>
    </row>
    <row r="490" spans="1:18" x14ac:dyDescent="0.25">
      <c r="A490" s="169">
        <v>42724</v>
      </c>
      <c r="B490" s="116">
        <v>333.2</v>
      </c>
      <c r="C490" s="116">
        <v>323.55</v>
      </c>
      <c r="D490" s="116">
        <v>319</v>
      </c>
      <c r="E490" s="116">
        <v>332</v>
      </c>
      <c r="F490" s="116">
        <v>323.55</v>
      </c>
      <c r="G490">
        <v>5776</v>
      </c>
      <c r="H490" s="116"/>
      <c r="I490" s="116"/>
      <c r="L490" s="169">
        <v>42724</v>
      </c>
      <c r="M490" s="116">
        <v>322.10000000000002</v>
      </c>
      <c r="N490" s="116">
        <v>333.95</v>
      </c>
      <c r="O490" s="116">
        <v>321.2</v>
      </c>
      <c r="P490" s="116">
        <v>332</v>
      </c>
      <c r="Q490" s="116">
        <v>322.10000000000002</v>
      </c>
      <c r="R490">
        <v>11002</v>
      </c>
    </row>
    <row r="491" spans="1:18" x14ac:dyDescent="0.25">
      <c r="A491" s="169">
        <v>42725</v>
      </c>
      <c r="B491" s="116">
        <v>325.64999999999998</v>
      </c>
      <c r="C491" s="116">
        <v>321.60000000000002</v>
      </c>
      <c r="D491" s="116">
        <v>320</v>
      </c>
      <c r="E491" s="116">
        <v>325.05</v>
      </c>
      <c r="F491" s="116">
        <v>321.60000000000002</v>
      </c>
      <c r="G491">
        <v>1207</v>
      </c>
      <c r="H491" s="116"/>
      <c r="I491" s="116"/>
      <c r="L491" s="169">
        <v>42725</v>
      </c>
      <c r="M491" s="116">
        <v>320.05</v>
      </c>
      <c r="N491" s="116">
        <v>329.45</v>
      </c>
      <c r="O491" s="116">
        <v>317.10000000000002</v>
      </c>
      <c r="P491" s="116">
        <v>329.45</v>
      </c>
      <c r="Q491" s="116">
        <v>320.05</v>
      </c>
      <c r="R491">
        <v>7077</v>
      </c>
    </row>
    <row r="492" spans="1:18" x14ac:dyDescent="0.25">
      <c r="A492" s="169">
        <v>42726</v>
      </c>
      <c r="B492" s="116">
        <v>320.55</v>
      </c>
      <c r="C492" s="116">
        <v>314.05</v>
      </c>
      <c r="D492" s="116">
        <v>313.10000000000002</v>
      </c>
      <c r="E492" s="116">
        <v>320.55</v>
      </c>
      <c r="F492" s="116">
        <v>314.05</v>
      </c>
      <c r="G492">
        <v>422</v>
      </c>
      <c r="H492" s="116"/>
      <c r="I492" s="116"/>
      <c r="L492" s="169">
        <v>42726</v>
      </c>
      <c r="M492" s="116">
        <v>314.39999999999998</v>
      </c>
      <c r="N492" s="116">
        <v>320.75</v>
      </c>
      <c r="O492" s="116">
        <v>312.55</v>
      </c>
      <c r="P492" s="116">
        <v>312.55</v>
      </c>
      <c r="Q492" s="116">
        <v>314.39999999999998</v>
      </c>
      <c r="R492">
        <v>7207</v>
      </c>
    </row>
    <row r="493" spans="1:18" x14ac:dyDescent="0.25">
      <c r="A493" s="169">
        <v>42727</v>
      </c>
      <c r="B493" s="116">
        <v>316.85000000000002</v>
      </c>
      <c r="C493" s="116">
        <v>315.8</v>
      </c>
      <c r="D493" s="116">
        <v>310</v>
      </c>
      <c r="E493" s="116">
        <v>312.5</v>
      </c>
      <c r="F493" s="116">
        <v>315.8</v>
      </c>
      <c r="G493">
        <v>1154</v>
      </c>
      <c r="H493" s="116"/>
      <c r="I493" s="116"/>
      <c r="L493" s="169">
        <v>42727</v>
      </c>
      <c r="M493" s="116">
        <v>315.10000000000002</v>
      </c>
      <c r="N493" s="116">
        <v>316.95</v>
      </c>
      <c r="O493" s="116">
        <v>310.55</v>
      </c>
      <c r="P493" s="116">
        <v>314.39999999999998</v>
      </c>
      <c r="Q493" s="116">
        <v>315.10000000000002</v>
      </c>
      <c r="R493">
        <v>5158</v>
      </c>
    </row>
    <row r="494" spans="1:18" x14ac:dyDescent="0.25">
      <c r="A494" s="169">
        <v>42730</v>
      </c>
      <c r="B494" s="116">
        <v>318.05</v>
      </c>
      <c r="C494" s="116">
        <v>306.64999999999998</v>
      </c>
      <c r="D494" s="116">
        <v>306</v>
      </c>
      <c r="E494" s="116">
        <v>315</v>
      </c>
      <c r="F494" s="116">
        <v>306.64999999999998</v>
      </c>
      <c r="G494">
        <v>1651</v>
      </c>
      <c r="H494" s="116"/>
      <c r="I494" s="116"/>
      <c r="L494" s="169">
        <v>42730</v>
      </c>
      <c r="M494" s="116">
        <v>306.7</v>
      </c>
      <c r="N494" s="116">
        <v>322.39999999999998</v>
      </c>
      <c r="O494" s="116">
        <v>305</v>
      </c>
      <c r="P494" s="116">
        <v>322</v>
      </c>
      <c r="Q494" s="116">
        <v>306.7</v>
      </c>
      <c r="R494">
        <v>9190</v>
      </c>
    </row>
    <row r="495" spans="1:18" x14ac:dyDescent="0.25">
      <c r="A495" s="169">
        <v>42731</v>
      </c>
      <c r="B495" s="116">
        <v>324</v>
      </c>
      <c r="C495" s="116">
        <v>317.85000000000002</v>
      </c>
      <c r="D495" s="116">
        <v>301.5</v>
      </c>
      <c r="E495" s="116">
        <v>305</v>
      </c>
      <c r="F495" s="116">
        <v>317.85000000000002</v>
      </c>
      <c r="G495">
        <v>3109</v>
      </c>
      <c r="H495" s="116"/>
      <c r="I495" s="116"/>
      <c r="L495" s="169">
        <v>42731</v>
      </c>
      <c r="M495" s="116">
        <v>314.85000000000002</v>
      </c>
      <c r="N495" s="116">
        <v>318.95</v>
      </c>
      <c r="O495" s="116">
        <v>300</v>
      </c>
      <c r="P495" s="116">
        <v>311.95</v>
      </c>
      <c r="Q495" s="116">
        <v>314.85000000000002</v>
      </c>
      <c r="R495">
        <v>13781</v>
      </c>
    </row>
    <row r="496" spans="1:18" x14ac:dyDescent="0.25">
      <c r="A496" s="169">
        <v>42732</v>
      </c>
      <c r="B496" s="116">
        <v>322.3</v>
      </c>
      <c r="C496" s="116">
        <v>312.60000000000002</v>
      </c>
      <c r="D496" s="116">
        <v>311.5</v>
      </c>
      <c r="E496" s="116">
        <v>313.5</v>
      </c>
      <c r="F496" s="116">
        <v>312.60000000000002</v>
      </c>
      <c r="G496">
        <v>2047</v>
      </c>
      <c r="H496" s="116"/>
      <c r="I496" s="116"/>
      <c r="L496" s="169">
        <v>42732</v>
      </c>
      <c r="M496" s="116">
        <v>313.10000000000002</v>
      </c>
      <c r="N496" s="116">
        <v>321.7</v>
      </c>
      <c r="O496" s="116">
        <v>312</v>
      </c>
      <c r="P496" s="116">
        <v>314.85000000000002</v>
      </c>
      <c r="Q496" s="116">
        <v>313.10000000000002</v>
      </c>
      <c r="R496">
        <v>8332</v>
      </c>
    </row>
    <row r="497" spans="1:18" x14ac:dyDescent="0.25">
      <c r="A497" s="169">
        <v>42733</v>
      </c>
      <c r="B497" s="116">
        <v>319.45</v>
      </c>
      <c r="C497" s="116">
        <v>315.89999999999998</v>
      </c>
      <c r="D497" s="116">
        <v>312</v>
      </c>
      <c r="E497" s="116">
        <v>312</v>
      </c>
      <c r="F497" s="116">
        <v>315.89999999999998</v>
      </c>
      <c r="G497">
        <v>2279</v>
      </c>
      <c r="H497" s="116"/>
      <c r="I497" s="116"/>
      <c r="L497" s="169">
        <v>42733</v>
      </c>
      <c r="M497" s="116">
        <v>315.14999999999998</v>
      </c>
      <c r="N497" s="116">
        <v>320</v>
      </c>
      <c r="O497" s="116">
        <v>312</v>
      </c>
      <c r="P497" s="116">
        <v>312.10000000000002</v>
      </c>
      <c r="Q497" s="116">
        <v>315.14999999999998</v>
      </c>
      <c r="R497">
        <v>19353</v>
      </c>
    </row>
    <row r="498" spans="1:18" x14ac:dyDescent="0.25">
      <c r="A498" s="169">
        <v>42734</v>
      </c>
      <c r="B498" s="116">
        <v>321.25</v>
      </c>
      <c r="C498" s="116">
        <v>320.10000000000002</v>
      </c>
      <c r="D498" s="116">
        <v>311.95</v>
      </c>
      <c r="E498" s="116">
        <v>311.95</v>
      </c>
      <c r="F498" s="116">
        <v>320.10000000000002</v>
      </c>
      <c r="G498">
        <v>3612</v>
      </c>
      <c r="H498" s="116"/>
      <c r="I498" s="116"/>
      <c r="L498" s="169">
        <v>42734</v>
      </c>
      <c r="M498" s="116">
        <v>321.14999999999998</v>
      </c>
      <c r="N498" s="116">
        <v>322</v>
      </c>
      <c r="O498" s="116">
        <v>312.60000000000002</v>
      </c>
      <c r="P498" s="116">
        <v>315</v>
      </c>
      <c r="Q498" s="116">
        <v>321.14999999999998</v>
      </c>
      <c r="R498">
        <v>25720</v>
      </c>
    </row>
    <row r="499" spans="1:18" x14ac:dyDescent="0.25">
      <c r="A499" s="169">
        <v>42737</v>
      </c>
      <c r="B499" s="116">
        <v>337</v>
      </c>
      <c r="C499" s="116">
        <v>335.05</v>
      </c>
      <c r="D499" s="116">
        <v>318</v>
      </c>
      <c r="E499" s="116">
        <v>318</v>
      </c>
      <c r="F499" s="116">
        <v>335.05</v>
      </c>
      <c r="G499">
        <v>5112</v>
      </c>
      <c r="H499" s="116"/>
      <c r="I499" s="116"/>
      <c r="L499" s="169">
        <v>42737</v>
      </c>
      <c r="M499" s="116">
        <v>332.9</v>
      </c>
      <c r="N499" s="116">
        <v>338</v>
      </c>
      <c r="O499" s="116">
        <v>314.8</v>
      </c>
      <c r="P499" s="116">
        <v>314.8</v>
      </c>
      <c r="Q499" s="116">
        <v>332.9</v>
      </c>
      <c r="R499">
        <v>16639</v>
      </c>
    </row>
    <row r="500" spans="1:18" x14ac:dyDescent="0.25">
      <c r="A500" s="169">
        <v>42738</v>
      </c>
      <c r="B500" s="116">
        <v>344.95</v>
      </c>
      <c r="C500" s="116">
        <v>342.75</v>
      </c>
      <c r="D500" s="116">
        <v>332.5</v>
      </c>
      <c r="E500" s="116">
        <v>332.5</v>
      </c>
      <c r="F500" s="116">
        <v>342.75</v>
      </c>
      <c r="G500">
        <v>4427</v>
      </c>
      <c r="H500" s="116"/>
      <c r="I500" s="116"/>
      <c r="L500" s="169">
        <v>42738</v>
      </c>
      <c r="M500" s="116">
        <v>341.95</v>
      </c>
      <c r="N500" s="116">
        <v>343.8</v>
      </c>
      <c r="O500" s="116">
        <v>327</v>
      </c>
      <c r="P500" s="116">
        <v>327</v>
      </c>
      <c r="Q500" s="116">
        <v>341.95</v>
      </c>
      <c r="R500">
        <v>20545</v>
      </c>
    </row>
    <row r="501" spans="1:18" x14ac:dyDescent="0.25">
      <c r="A501" s="169">
        <v>42739</v>
      </c>
      <c r="B501" s="116">
        <v>349.85</v>
      </c>
      <c r="C501" s="116">
        <v>343.2</v>
      </c>
      <c r="D501" s="116">
        <v>341.15</v>
      </c>
      <c r="E501" s="116">
        <v>342.55</v>
      </c>
      <c r="F501" s="116">
        <v>343.2</v>
      </c>
      <c r="G501">
        <v>1784</v>
      </c>
      <c r="H501" s="116"/>
      <c r="I501" s="116"/>
      <c r="L501" s="169">
        <v>42739</v>
      </c>
      <c r="M501" s="116">
        <v>343.5</v>
      </c>
      <c r="N501" s="116">
        <v>350</v>
      </c>
      <c r="O501" s="116">
        <v>335.55</v>
      </c>
      <c r="P501" s="116">
        <v>335.55</v>
      </c>
      <c r="Q501" s="116">
        <v>343.5</v>
      </c>
      <c r="R501">
        <v>12799</v>
      </c>
    </row>
    <row r="502" spans="1:18" x14ac:dyDescent="0.25">
      <c r="A502" s="169">
        <v>42740</v>
      </c>
      <c r="B502" s="116">
        <v>343.9</v>
      </c>
      <c r="C502" s="116">
        <v>340.7</v>
      </c>
      <c r="D502" s="116">
        <v>338.3</v>
      </c>
      <c r="E502" s="116">
        <v>343</v>
      </c>
      <c r="F502" s="116">
        <v>340.7</v>
      </c>
      <c r="G502">
        <v>1877</v>
      </c>
      <c r="H502" s="116"/>
      <c r="I502" s="116"/>
      <c r="L502" s="169">
        <v>42740</v>
      </c>
      <c r="M502" s="116">
        <v>340.55</v>
      </c>
      <c r="N502" s="116">
        <v>346</v>
      </c>
      <c r="O502" s="116">
        <v>337</v>
      </c>
      <c r="P502" s="116">
        <v>337</v>
      </c>
      <c r="Q502" s="116">
        <v>340.55</v>
      </c>
      <c r="R502">
        <v>7049</v>
      </c>
    </row>
    <row r="503" spans="1:18" x14ac:dyDescent="0.25">
      <c r="A503" s="169">
        <v>42741</v>
      </c>
      <c r="B503" s="116">
        <v>338</v>
      </c>
      <c r="C503" s="116">
        <v>332.65</v>
      </c>
      <c r="D503" s="116">
        <v>331.4</v>
      </c>
      <c r="E503" s="116">
        <v>335</v>
      </c>
      <c r="F503" s="116">
        <v>332.65</v>
      </c>
      <c r="G503">
        <v>986</v>
      </c>
      <c r="H503" s="116"/>
      <c r="I503" s="116"/>
      <c r="L503" s="169">
        <v>42741</v>
      </c>
      <c r="M503" s="116">
        <v>332.05</v>
      </c>
      <c r="N503" s="116">
        <v>340.7</v>
      </c>
      <c r="O503" s="116">
        <v>331</v>
      </c>
      <c r="P503" s="116">
        <v>340</v>
      </c>
      <c r="Q503" s="116">
        <v>332.05</v>
      </c>
      <c r="R503">
        <v>7750</v>
      </c>
    </row>
    <row r="504" spans="1:18" x14ac:dyDescent="0.25">
      <c r="A504" s="169">
        <v>42744</v>
      </c>
      <c r="B504" s="116">
        <v>335</v>
      </c>
      <c r="C504" s="116">
        <v>327.39999999999998</v>
      </c>
      <c r="D504" s="116">
        <v>310</v>
      </c>
      <c r="E504" s="116">
        <v>335</v>
      </c>
      <c r="F504" s="116">
        <v>327.39999999999998</v>
      </c>
      <c r="G504">
        <v>554</v>
      </c>
      <c r="H504" s="116"/>
      <c r="I504" s="116"/>
      <c r="L504" s="169">
        <v>42744</v>
      </c>
      <c r="M504" s="116">
        <v>327.75</v>
      </c>
      <c r="N504" s="116">
        <v>334.9</v>
      </c>
      <c r="O504" s="116">
        <v>326.55</v>
      </c>
      <c r="P504" s="116">
        <v>332.1</v>
      </c>
      <c r="Q504" s="116">
        <v>327.75</v>
      </c>
      <c r="R504">
        <v>6304</v>
      </c>
    </row>
    <row r="505" spans="1:18" x14ac:dyDescent="0.25">
      <c r="A505" s="169">
        <v>42745</v>
      </c>
      <c r="B505" s="116">
        <v>339.4</v>
      </c>
      <c r="C505" s="116">
        <v>335</v>
      </c>
      <c r="D505" s="116">
        <v>328.85</v>
      </c>
      <c r="E505" s="116">
        <v>331.55</v>
      </c>
      <c r="F505" s="116">
        <v>335</v>
      </c>
      <c r="G505">
        <v>1467</v>
      </c>
      <c r="H505" s="116"/>
      <c r="I505" s="116"/>
      <c r="L505" s="169">
        <v>42745</v>
      </c>
      <c r="M505" s="116">
        <v>335.75</v>
      </c>
      <c r="N505" s="116">
        <v>339.9</v>
      </c>
      <c r="O505" s="116">
        <v>327</v>
      </c>
      <c r="P505" s="116">
        <v>327</v>
      </c>
      <c r="Q505" s="116">
        <v>335.75</v>
      </c>
      <c r="R505">
        <v>5555</v>
      </c>
    </row>
    <row r="506" spans="1:18" x14ac:dyDescent="0.25">
      <c r="A506" s="169">
        <v>42746</v>
      </c>
      <c r="B506" s="116">
        <v>346.85</v>
      </c>
      <c r="C506" s="116">
        <v>344.5</v>
      </c>
      <c r="D506" s="116">
        <v>331</v>
      </c>
      <c r="E506" s="116">
        <v>331</v>
      </c>
      <c r="F506" s="116">
        <v>344.5</v>
      </c>
      <c r="G506">
        <v>5684</v>
      </c>
      <c r="H506" s="116"/>
      <c r="I506" s="116"/>
      <c r="L506" s="169">
        <v>42746</v>
      </c>
      <c r="M506" s="116">
        <v>344.9</v>
      </c>
      <c r="N506" s="116">
        <v>346</v>
      </c>
      <c r="O506" s="116">
        <v>330</v>
      </c>
      <c r="P506" s="116">
        <v>336.95</v>
      </c>
      <c r="Q506" s="116">
        <v>344.9</v>
      </c>
      <c r="R506">
        <v>14417</v>
      </c>
    </row>
    <row r="507" spans="1:18" x14ac:dyDescent="0.25">
      <c r="A507" s="169">
        <v>42747</v>
      </c>
      <c r="B507" s="116">
        <v>350.2</v>
      </c>
      <c r="C507" s="116">
        <v>345.55</v>
      </c>
      <c r="D507" s="116">
        <v>341.55</v>
      </c>
      <c r="E507" s="116">
        <v>347.95</v>
      </c>
      <c r="F507" s="116">
        <v>345.55</v>
      </c>
      <c r="G507">
        <v>3108</v>
      </c>
      <c r="H507" s="116"/>
      <c r="I507" s="116"/>
      <c r="L507" s="169">
        <v>42747</v>
      </c>
      <c r="M507" s="116">
        <v>346.4</v>
      </c>
      <c r="N507" s="116">
        <v>352</v>
      </c>
      <c r="O507" s="116">
        <v>343.05</v>
      </c>
      <c r="P507" s="116">
        <v>349</v>
      </c>
      <c r="Q507" s="116">
        <v>346.4</v>
      </c>
      <c r="R507">
        <v>10532</v>
      </c>
    </row>
    <row r="508" spans="1:18" x14ac:dyDescent="0.25">
      <c r="A508" s="169">
        <v>42748</v>
      </c>
      <c r="B508" s="116">
        <v>353</v>
      </c>
      <c r="C508" s="116">
        <v>345.65</v>
      </c>
      <c r="D508" s="116">
        <v>342.2</v>
      </c>
      <c r="E508" s="116">
        <v>349.35</v>
      </c>
      <c r="F508" s="116">
        <v>345.65</v>
      </c>
      <c r="G508">
        <v>1836</v>
      </c>
      <c r="H508" s="116"/>
      <c r="I508" s="116"/>
      <c r="L508" s="169">
        <v>42748</v>
      </c>
      <c r="M508" s="116">
        <v>343.65</v>
      </c>
      <c r="N508" s="116">
        <v>352</v>
      </c>
      <c r="O508" s="116">
        <v>341.25</v>
      </c>
      <c r="P508" s="116">
        <v>343.25</v>
      </c>
      <c r="Q508" s="116">
        <v>343.65</v>
      </c>
      <c r="R508">
        <v>9693</v>
      </c>
    </row>
    <row r="509" spans="1:18" x14ac:dyDescent="0.25">
      <c r="A509" s="169">
        <v>42751</v>
      </c>
      <c r="B509" s="116">
        <v>347</v>
      </c>
      <c r="C509" s="116">
        <v>340.2</v>
      </c>
      <c r="D509" s="116">
        <v>335</v>
      </c>
      <c r="E509" s="116">
        <v>341.95</v>
      </c>
      <c r="F509" s="116">
        <v>340.2</v>
      </c>
      <c r="G509">
        <v>7036</v>
      </c>
      <c r="H509" s="116"/>
      <c r="I509" s="116"/>
      <c r="L509" s="169">
        <v>42751</v>
      </c>
      <c r="M509" s="116">
        <v>340.6</v>
      </c>
      <c r="N509" s="116">
        <v>346.8</v>
      </c>
      <c r="O509" s="116">
        <v>333</v>
      </c>
      <c r="P509" s="116">
        <v>345</v>
      </c>
      <c r="Q509" s="116">
        <v>340.6</v>
      </c>
      <c r="R509">
        <v>13423</v>
      </c>
    </row>
    <row r="510" spans="1:18" x14ac:dyDescent="0.25">
      <c r="A510" s="169">
        <v>42752</v>
      </c>
      <c r="B510" s="116">
        <v>342.05</v>
      </c>
      <c r="C510" s="116">
        <v>342</v>
      </c>
      <c r="D510" s="116">
        <v>336</v>
      </c>
      <c r="E510" s="116">
        <v>340.05</v>
      </c>
      <c r="F510" s="116">
        <v>342</v>
      </c>
      <c r="G510">
        <v>1981</v>
      </c>
      <c r="H510" s="116"/>
      <c r="I510" s="116"/>
      <c r="L510" s="169">
        <v>42752</v>
      </c>
      <c r="M510" s="116">
        <v>342</v>
      </c>
      <c r="N510" s="116">
        <v>344.75</v>
      </c>
      <c r="O510" s="116">
        <v>336</v>
      </c>
      <c r="P510" s="116">
        <v>344.05</v>
      </c>
      <c r="Q510" s="116">
        <v>342</v>
      </c>
      <c r="R510">
        <v>9701</v>
      </c>
    </row>
    <row r="511" spans="1:18" x14ac:dyDescent="0.25">
      <c r="A511" s="169">
        <v>42753</v>
      </c>
      <c r="B511" s="116">
        <v>350</v>
      </c>
      <c r="C511" s="116">
        <v>343.25</v>
      </c>
      <c r="D511" s="116">
        <v>339.55</v>
      </c>
      <c r="E511" s="116">
        <v>345</v>
      </c>
      <c r="F511" s="116">
        <v>343.25</v>
      </c>
      <c r="G511">
        <v>4186</v>
      </c>
      <c r="H511" s="116"/>
      <c r="I511" s="116"/>
      <c r="L511" s="169">
        <v>42753</v>
      </c>
      <c r="M511" s="116">
        <v>345</v>
      </c>
      <c r="N511" s="116">
        <v>350</v>
      </c>
      <c r="O511" s="116">
        <v>338</v>
      </c>
      <c r="P511" s="116">
        <v>338</v>
      </c>
      <c r="Q511" s="116">
        <v>345</v>
      </c>
      <c r="R511">
        <v>7255</v>
      </c>
    </row>
    <row r="512" spans="1:18" x14ac:dyDescent="0.25">
      <c r="A512" s="169">
        <v>42754</v>
      </c>
      <c r="B512" s="116">
        <v>346.2</v>
      </c>
      <c r="C512" s="116">
        <v>344.1</v>
      </c>
      <c r="D512" s="116">
        <v>340.05</v>
      </c>
      <c r="E512" s="116">
        <v>342</v>
      </c>
      <c r="F512" s="116">
        <v>344.1</v>
      </c>
      <c r="G512">
        <v>14343</v>
      </c>
      <c r="H512" s="116"/>
      <c r="I512" s="116"/>
      <c r="L512" s="169">
        <v>42754</v>
      </c>
      <c r="M512" s="116">
        <v>343.75</v>
      </c>
      <c r="N512" s="116">
        <v>348.95</v>
      </c>
      <c r="O512" s="116">
        <v>337.1</v>
      </c>
      <c r="P512" s="116">
        <v>344.7</v>
      </c>
      <c r="Q512" s="116">
        <v>343.75</v>
      </c>
      <c r="R512">
        <v>6946</v>
      </c>
    </row>
    <row r="513" spans="1:18" x14ac:dyDescent="0.25">
      <c r="A513" s="169">
        <v>42755</v>
      </c>
      <c r="B513" s="116">
        <v>345</v>
      </c>
      <c r="C513" s="116">
        <v>342.05</v>
      </c>
      <c r="D513" s="116">
        <v>342</v>
      </c>
      <c r="E513" s="116">
        <v>342</v>
      </c>
      <c r="F513" s="116">
        <v>342.05</v>
      </c>
      <c r="G513">
        <v>3405</v>
      </c>
      <c r="H513" s="116"/>
      <c r="I513" s="116"/>
      <c r="L513" s="169">
        <v>42755</v>
      </c>
      <c r="M513" s="116">
        <v>341.85</v>
      </c>
      <c r="N513" s="116">
        <v>345</v>
      </c>
      <c r="O513" s="116">
        <v>341</v>
      </c>
      <c r="P513" s="116">
        <v>344.75</v>
      </c>
      <c r="Q513" s="116">
        <v>341.85</v>
      </c>
      <c r="R513">
        <v>7288</v>
      </c>
    </row>
    <row r="514" spans="1:18" x14ac:dyDescent="0.25">
      <c r="A514" s="169">
        <v>42758</v>
      </c>
      <c r="B514" s="116">
        <v>351.95</v>
      </c>
      <c r="C514" s="116">
        <v>350.3</v>
      </c>
      <c r="D514" s="116">
        <v>340.1</v>
      </c>
      <c r="E514" s="116">
        <v>340.1</v>
      </c>
      <c r="F514" s="116">
        <v>350.3</v>
      </c>
      <c r="G514">
        <v>1552</v>
      </c>
      <c r="H514" s="116"/>
      <c r="I514" s="116"/>
      <c r="L514" s="169">
        <v>42758</v>
      </c>
      <c r="M514" s="116">
        <v>349.9</v>
      </c>
      <c r="N514" s="116">
        <v>351.8</v>
      </c>
      <c r="O514" s="116">
        <v>339.8</v>
      </c>
      <c r="P514" s="116">
        <v>339.8</v>
      </c>
      <c r="Q514" s="116">
        <v>349.9</v>
      </c>
      <c r="R514">
        <v>11935</v>
      </c>
    </row>
    <row r="515" spans="1:18" x14ac:dyDescent="0.25">
      <c r="A515" s="169">
        <v>42759</v>
      </c>
      <c r="B515" s="116">
        <v>366</v>
      </c>
      <c r="C515" s="116">
        <v>363.15</v>
      </c>
      <c r="D515" s="116">
        <v>349.05</v>
      </c>
      <c r="E515" s="116">
        <v>352</v>
      </c>
      <c r="F515" s="116">
        <v>363.15</v>
      </c>
      <c r="G515">
        <v>7342</v>
      </c>
      <c r="H515" s="116"/>
      <c r="I515" s="116"/>
      <c r="L515" s="169">
        <v>42759</v>
      </c>
      <c r="M515" s="116">
        <v>362.85</v>
      </c>
      <c r="N515" s="116">
        <v>367.3</v>
      </c>
      <c r="O515" s="116">
        <v>349</v>
      </c>
      <c r="P515" s="116">
        <v>349</v>
      </c>
      <c r="Q515" s="116">
        <v>362.85</v>
      </c>
      <c r="R515">
        <v>31562</v>
      </c>
    </row>
    <row r="516" spans="1:18" x14ac:dyDescent="0.25">
      <c r="A516" s="169">
        <v>42760</v>
      </c>
      <c r="B516" s="116">
        <v>369.2</v>
      </c>
      <c r="C516" s="116">
        <v>363.65</v>
      </c>
      <c r="D516" s="116">
        <v>362</v>
      </c>
      <c r="E516" s="116">
        <v>362.05</v>
      </c>
      <c r="F516" s="116">
        <v>363.65</v>
      </c>
      <c r="G516">
        <v>2981</v>
      </c>
      <c r="H516" s="116"/>
      <c r="I516" s="116"/>
      <c r="L516" s="169">
        <v>42760</v>
      </c>
      <c r="M516" s="116">
        <v>363.2</v>
      </c>
      <c r="N516" s="116">
        <v>368.95</v>
      </c>
      <c r="O516" s="116">
        <v>361.3</v>
      </c>
      <c r="P516" s="116">
        <v>368.95</v>
      </c>
      <c r="Q516" s="116">
        <v>363.2</v>
      </c>
      <c r="R516">
        <v>9447</v>
      </c>
    </row>
    <row r="517" spans="1:18" x14ac:dyDescent="0.25">
      <c r="A517" s="169">
        <v>42762</v>
      </c>
      <c r="B517" s="116">
        <v>369.1</v>
      </c>
      <c r="C517" s="116">
        <v>358.05</v>
      </c>
      <c r="D517" s="116">
        <v>355</v>
      </c>
      <c r="E517" s="116">
        <v>367.15</v>
      </c>
      <c r="F517" s="116">
        <v>358.05</v>
      </c>
      <c r="G517">
        <v>5164</v>
      </c>
      <c r="H517" s="116"/>
      <c r="I517" s="116"/>
      <c r="L517" s="169">
        <v>42762</v>
      </c>
      <c r="M517" s="116">
        <v>357.95</v>
      </c>
      <c r="N517" s="116">
        <v>369</v>
      </c>
      <c r="O517" s="116">
        <v>355.5</v>
      </c>
      <c r="P517" s="116">
        <v>366</v>
      </c>
      <c r="Q517" s="116">
        <v>357.95</v>
      </c>
      <c r="R517">
        <v>22777</v>
      </c>
    </row>
    <row r="518" spans="1:18" x14ac:dyDescent="0.25">
      <c r="A518" s="169">
        <v>42765</v>
      </c>
      <c r="B518" s="116">
        <v>358</v>
      </c>
      <c r="C518" s="116">
        <v>342.35</v>
      </c>
      <c r="D518" s="116">
        <v>341</v>
      </c>
      <c r="E518" s="116">
        <v>357.3</v>
      </c>
      <c r="F518" s="116">
        <v>342.35</v>
      </c>
      <c r="G518">
        <v>2776</v>
      </c>
      <c r="H518" s="116"/>
      <c r="I518" s="116"/>
      <c r="L518" s="169">
        <v>42765</v>
      </c>
      <c r="M518" s="116">
        <v>343.05</v>
      </c>
      <c r="N518" s="116">
        <v>365.15</v>
      </c>
      <c r="O518" s="116">
        <v>340.3</v>
      </c>
      <c r="P518" s="116">
        <v>358.5</v>
      </c>
      <c r="Q518" s="116">
        <v>343.05</v>
      </c>
      <c r="R518">
        <v>21037</v>
      </c>
    </row>
    <row r="519" spans="1:18" x14ac:dyDescent="0.25">
      <c r="A519" s="169">
        <v>42766</v>
      </c>
      <c r="B519" s="116">
        <v>355</v>
      </c>
      <c r="C519" s="116">
        <v>347.95</v>
      </c>
      <c r="D519" s="116">
        <v>333</v>
      </c>
      <c r="E519" s="116">
        <v>342.95</v>
      </c>
      <c r="F519" s="116">
        <v>347.95</v>
      </c>
      <c r="G519">
        <v>7769</v>
      </c>
      <c r="H519" s="116"/>
      <c r="I519" s="116"/>
      <c r="L519" s="169">
        <v>42766</v>
      </c>
      <c r="M519" s="116">
        <v>348.55</v>
      </c>
      <c r="N519" s="116">
        <v>356.8</v>
      </c>
      <c r="O519" s="116">
        <v>333</v>
      </c>
      <c r="P519" s="116">
        <v>345</v>
      </c>
      <c r="Q519" s="116">
        <v>348.55</v>
      </c>
      <c r="R519">
        <v>39461</v>
      </c>
    </row>
    <row r="520" spans="1:18" x14ac:dyDescent="0.25">
      <c r="A520" s="169">
        <v>42767</v>
      </c>
      <c r="B520" s="116">
        <v>352</v>
      </c>
      <c r="C520" s="116">
        <v>343.7</v>
      </c>
      <c r="D520" s="116">
        <v>340</v>
      </c>
      <c r="E520" s="116">
        <v>350</v>
      </c>
      <c r="F520" s="116">
        <v>343.7</v>
      </c>
      <c r="G520">
        <v>5114</v>
      </c>
      <c r="H520" s="116"/>
      <c r="I520" s="116"/>
      <c r="L520" s="169">
        <v>42767</v>
      </c>
      <c r="M520" s="116">
        <v>345.35</v>
      </c>
      <c r="N520" s="116">
        <v>358.95</v>
      </c>
      <c r="O520" s="116">
        <v>337.45</v>
      </c>
      <c r="P520" s="116">
        <v>358.95</v>
      </c>
      <c r="Q520" s="116">
        <v>345.35</v>
      </c>
      <c r="R520">
        <v>30265</v>
      </c>
    </row>
    <row r="521" spans="1:18" x14ac:dyDescent="0.25">
      <c r="A521" s="169">
        <v>42768</v>
      </c>
      <c r="B521" s="116">
        <v>354.85</v>
      </c>
      <c r="C521" s="116">
        <v>351.95</v>
      </c>
      <c r="D521" s="116">
        <v>344.45</v>
      </c>
      <c r="E521" s="116">
        <v>345</v>
      </c>
      <c r="F521" s="116">
        <v>351.95</v>
      </c>
      <c r="G521">
        <v>1297</v>
      </c>
      <c r="H521" s="116"/>
      <c r="I521" s="116"/>
      <c r="L521" s="169">
        <v>42768</v>
      </c>
      <c r="M521" s="116">
        <v>354.8</v>
      </c>
      <c r="N521" s="116">
        <v>355.5</v>
      </c>
      <c r="O521" s="116">
        <v>343.75</v>
      </c>
      <c r="P521" s="116">
        <v>351.95</v>
      </c>
      <c r="Q521" s="116">
        <v>354.8</v>
      </c>
      <c r="R521">
        <v>35372</v>
      </c>
    </row>
    <row r="522" spans="1:18" x14ac:dyDescent="0.25">
      <c r="A522" s="169">
        <v>42769</v>
      </c>
      <c r="B522" s="116">
        <v>358.95</v>
      </c>
      <c r="C522" s="116">
        <v>352.55</v>
      </c>
      <c r="D522" s="116">
        <v>347.8</v>
      </c>
      <c r="E522" s="116">
        <v>354</v>
      </c>
      <c r="F522" s="116">
        <v>352.55</v>
      </c>
      <c r="G522">
        <v>4112</v>
      </c>
      <c r="H522" s="116"/>
      <c r="I522" s="116"/>
      <c r="L522" s="169">
        <v>42769</v>
      </c>
      <c r="M522" s="116">
        <v>352.25</v>
      </c>
      <c r="N522" s="116">
        <v>359</v>
      </c>
      <c r="O522" s="116">
        <v>346.95</v>
      </c>
      <c r="P522" s="116">
        <v>356.2</v>
      </c>
      <c r="Q522" s="116">
        <v>352.25</v>
      </c>
      <c r="R522">
        <v>35513</v>
      </c>
    </row>
    <row r="523" spans="1:18" x14ac:dyDescent="0.25">
      <c r="A523" s="169">
        <v>42772</v>
      </c>
      <c r="B523" s="116">
        <v>370</v>
      </c>
      <c r="C523" s="116">
        <v>354.35</v>
      </c>
      <c r="D523" s="116">
        <v>352</v>
      </c>
      <c r="E523" s="116">
        <v>352.55</v>
      </c>
      <c r="F523" s="116">
        <v>354.35</v>
      </c>
      <c r="G523">
        <v>5251</v>
      </c>
      <c r="H523" s="116"/>
      <c r="I523" s="116"/>
      <c r="L523" s="169">
        <v>42772</v>
      </c>
      <c r="M523" s="116">
        <v>352.5</v>
      </c>
      <c r="N523" s="116">
        <v>360</v>
      </c>
      <c r="O523" s="116">
        <v>350</v>
      </c>
      <c r="P523" s="116">
        <v>350.55</v>
      </c>
      <c r="Q523" s="116">
        <v>352.5</v>
      </c>
      <c r="R523">
        <v>14847</v>
      </c>
    </row>
    <row r="524" spans="1:18" x14ac:dyDescent="0.25">
      <c r="A524" s="169">
        <v>42773</v>
      </c>
      <c r="B524" s="116">
        <v>380</v>
      </c>
      <c r="C524" s="116">
        <v>360.75</v>
      </c>
      <c r="D524" s="116">
        <v>354.4</v>
      </c>
      <c r="E524" s="116">
        <v>380</v>
      </c>
      <c r="F524" s="116">
        <v>360.75</v>
      </c>
      <c r="G524">
        <v>22973</v>
      </c>
      <c r="H524" s="116"/>
      <c r="I524" s="116"/>
      <c r="L524" s="169">
        <v>42773</v>
      </c>
      <c r="M524" s="116">
        <v>357.65</v>
      </c>
      <c r="N524" s="116">
        <v>379.6</v>
      </c>
      <c r="O524" s="116">
        <v>353.5</v>
      </c>
      <c r="P524" s="116">
        <v>379.6</v>
      </c>
      <c r="Q524" s="116">
        <v>357.65</v>
      </c>
      <c r="R524">
        <v>99220</v>
      </c>
    </row>
    <row r="525" spans="1:18" x14ac:dyDescent="0.25">
      <c r="A525" s="169">
        <v>42774</v>
      </c>
      <c r="B525" s="116">
        <v>360</v>
      </c>
      <c r="C525" s="116">
        <v>356.55</v>
      </c>
      <c r="D525" s="116">
        <v>355.15</v>
      </c>
      <c r="E525" s="116">
        <v>358</v>
      </c>
      <c r="F525" s="116">
        <v>356.55</v>
      </c>
      <c r="G525">
        <v>3702</v>
      </c>
      <c r="H525" s="116"/>
      <c r="I525" s="116"/>
      <c r="L525" s="169">
        <v>42774</v>
      </c>
      <c r="M525" s="116">
        <v>356.65</v>
      </c>
      <c r="N525" s="116">
        <v>366.9</v>
      </c>
      <c r="O525" s="116">
        <v>354.85</v>
      </c>
      <c r="P525" s="116">
        <v>354.85</v>
      </c>
      <c r="Q525" s="116">
        <v>356.65</v>
      </c>
      <c r="R525">
        <v>9826</v>
      </c>
    </row>
    <row r="526" spans="1:18" x14ac:dyDescent="0.25">
      <c r="A526" s="169">
        <v>42775</v>
      </c>
      <c r="B526" s="116">
        <v>360</v>
      </c>
      <c r="C526" s="116">
        <v>349.4</v>
      </c>
      <c r="D526" s="116">
        <v>347.5</v>
      </c>
      <c r="E526" s="116">
        <v>355.05</v>
      </c>
      <c r="F526" s="116">
        <v>349.4</v>
      </c>
      <c r="G526">
        <v>3599</v>
      </c>
      <c r="H526" s="116"/>
      <c r="I526" s="116"/>
      <c r="L526" s="169">
        <v>42775</v>
      </c>
      <c r="M526" s="116">
        <v>350.7</v>
      </c>
      <c r="N526" s="116">
        <v>358.85</v>
      </c>
      <c r="O526" s="116">
        <v>347.25</v>
      </c>
      <c r="P526" s="116">
        <v>355.05</v>
      </c>
      <c r="Q526" s="116">
        <v>350.7</v>
      </c>
      <c r="R526">
        <v>17332</v>
      </c>
    </row>
    <row r="527" spans="1:18" x14ac:dyDescent="0.25">
      <c r="A527" s="169">
        <v>42776</v>
      </c>
      <c r="B527" s="116">
        <v>352</v>
      </c>
      <c r="C527" s="116">
        <v>341.7</v>
      </c>
      <c r="D527" s="116">
        <v>340.05</v>
      </c>
      <c r="E527" s="116">
        <v>345</v>
      </c>
      <c r="F527" s="116">
        <v>341.7</v>
      </c>
      <c r="G527">
        <v>5249</v>
      </c>
      <c r="H527" s="116"/>
      <c r="I527" s="116"/>
      <c r="L527" s="169">
        <v>42776</v>
      </c>
      <c r="M527" s="116">
        <v>342.05</v>
      </c>
      <c r="N527" s="116">
        <v>353.95</v>
      </c>
      <c r="O527" s="116">
        <v>341</v>
      </c>
      <c r="P527" s="116">
        <v>351</v>
      </c>
      <c r="Q527" s="116">
        <v>342.05</v>
      </c>
      <c r="R527">
        <v>18018</v>
      </c>
    </row>
    <row r="528" spans="1:18" x14ac:dyDescent="0.25">
      <c r="A528" s="169">
        <v>42779</v>
      </c>
      <c r="B528" s="116">
        <v>352.95</v>
      </c>
      <c r="C528" s="116">
        <v>340.5</v>
      </c>
      <c r="D528" s="116">
        <v>338.25</v>
      </c>
      <c r="E528" s="116">
        <v>345</v>
      </c>
      <c r="F528" s="116">
        <v>340.5</v>
      </c>
      <c r="G528">
        <v>970</v>
      </c>
      <c r="H528" s="116"/>
      <c r="I528" s="116"/>
      <c r="L528" s="169">
        <v>42779</v>
      </c>
      <c r="M528" s="116">
        <v>339.25</v>
      </c>
      <c r="N528" s="116">
        <v>369</v>
      </c>
      <c r="O528" s="116">
        <v>338</v>
      </c>
      <c r="P528" s="116">
        <v>369</v>
      </c>
      <c r="Q528" s="116">
        <v>339.25</v>
      </c>
      <c r="R528">
        <v>16387</v>
      </c>
    </row>
    <row r="529" spans="1:18" x14ac:dyDescent="0.25">
      <c r="A529" s="169">
        <v>42780</v>
      </c>
      <c r="B529" s="116">
        <v>342.45</v>
      </c>
      <c r="C529" s="116">
        <v>339.4</v>
      </c>
      <c r="D529" s="116">
        <v>335.95</v>
      </c>
      <c r="E529" s="116">
        <v>339.15</v>
      </c>
      <c r="F529" s="116">
        <v>339.4</v>
      </c>
      <c r="G529">
        <v>1606</v>
      </c>
      <c r="H529" s="116"/>
      <c r="I529" s="116"/>
      <c r="L529" s="169">
        <v>42780</v>
      </c>
      <c r="M529" s="116">
        <v>337.75</v>
      </c>
      <c r="N529" s="116">
        <v>344</v>
      </c>
      <c r="O529" s="116">
        <v>336.15</v>
      </c>
      <c r="P529" s="116">
        <v>341.3</v>
      </c>
      <c r="Q529" s="116">
        <v>337.75</v>
      </c>
      <c r="R529">
        <v>8182</v>
      </c>
    </row>
    <row r="530" spans="1:18" x14ac:dyDescent="0.25">
      <c r="A530" s="169">
        <v>42781</v>
      </c>
      <c r="B530" s="116">
        <v>338.95</v>
      </c>
      <c r="C530" s="116">
        <v>329.5</v>
      </c>
      <c r="D530" s="116">
        <v>327.05</v>
      </c>
      <c r="E530" s="116">
        <v>335.05</v>
      </c>
      <c r="F530" s="116">
        <v>329.5</v>
      </c>
      <c r="G530">
        <v>5744</v>
      </c>
      <c r="H530" s="116"/>
      <c r="I530" s="116"/>
      <c r="L530" s="169">
        <v>42781</v>
      </c>
      <c r="M530" s="116">
        <v>331.6</v>
      </c>
      <c r="N530" s="116">
        <v>341</v>
      </c>
      <c r="O530" s="116">
        <v>329</v>
      </c>
      <c r="P530" s="116">
        <v>338</v>
      </c>
      <c r="Q530" s="116">
        <v>331.6</v>
      </c>
      <c r="R530">
        <v>13921</v>
      </c>
    </row>
    <row r="531" spans="1:18" x14ac:dyDescent="0.25">
      <c r="A531" s="169">
        <v>42782</v>
      </c>
      <c r="B531" s="116">
        <v>339.7</v>
      </c>
      <c r="C531" s="116">
        <v>335.7</v>
      </c>
      <c r="D531" s="116">
        <v>332</v>
      </c>
      <c r="E531" s="116">
        <v>332</v>
      </c>
      <c r="F531" s="116">
        <v>335.7</v>
      </c>
      <c r="G531">
        <v>4377</v>
      </c>
      <c r="H531" s="116"/>
      <c r="I531" s="116"/>
      <c r="L531" s="169">
        <v>42782</v>
      </c>
      <c r="M531" s="116">
        <v>336.8</v>
      </c>
      <c r="N531" s="116">
        <v>340</v>
      </c>
      <c r="O531" s="116">
        <v>331.6</v>
      </c>
      <c r="P531" s="116">
        <v>339.95</v>
      </c>
      <c r="Q531" s="116">
        <v>336.8</v>
      </c>
      <c r="R531">
        <v>8672</v>
      </c>
    </row>
    <row r="532" spans="1:18" x14ac:dyDescent="0.25">
      <c r="A532" s="169">
        <v>42783</v>
      </c>
      <c r="B532" s="116">
        <v>339.25</v>
      </c>
      <c r="C532" s="116">
        <v>334.8</v>
      </c>
      <c r="D532" s="116">
        <v>333</v>
      </c>
      <c r="E532" s="116">
        <v>335.3</v>
      </c>
      <c r="F532" s="116">
        <v>334.8</v>
      </c>
      <c r="G532">
        <v>4072</v>
      </c>
      <c r="H532" s="116"/>
      <c r="I532" s="116"/>
      <c r="L532" s="169">
        <v>42783</v>
      </c>
      <c r="M532" s="116">
        <v>334.15</v>
      </c>
      <c r="N532" s="116">
        <v>340.85</v>
      </c>
      <c r="O532" s="116">
        <v>332.8</v>
      </c>
      <c r="P532" s="116">
        <v>340</v>
      </c>
      <c r="Q532" s="116">
        <v>334.15</v>
      </c>
      <c r="R532">
        <v>8447</v>
      </c>
    </row>
    <row r="533" spans="1:18" x14ac:dyDescent="0.25">
      <c r="A533" s="169">
        <v>42786</v>
      </c>
      <c r="B533" s="116">
        <v>345.65</v>
      </c>
      <c r="C533" s="116">
        <v>334.3</v>
      </c>
      <c r="D533" s="116">
        <v>331.4</v>
      </c>
      <c r="E533" s="116">
        <v>337.6</v>
      </c>
      <c r="F533" s="116">
        <v>334.3</v>
      </c>
      <c r="G533">
        <v>2550</v>
      </c>
      <c r="H533" s="116"/>
      <c r="I533" s="116"/>
      <c r="L533" s="169">
        <v>42786</v>
      </c>
      <c r="M533" s="116">
        <v>334.45</v>
      </c>
      <c r="N533" s="116">
        <v>345</v>
      </c>
      <c r="O533" s="116">
        <v>332.65</v>
      </c>
      <c r="P533" s="116">
        <v>332.8</v>
      </c>
      <c r="Q533" s="116">
        <v>334.45</v>
      </c>
      <c r="R533">
        <v>13595</v>
      </c>
    </row>
    <row r="534" spans="1:18" x14ac:dyDescent="0.25">
      <c r="A534" s="169">
        <v>42787</v>
      </c>
      <c r="B534" s="116">
        <v>344.5</v>
      </c>
      <c r="C534" s="116">
        <v>338.95</v>
      </c>
      <c r="D534" s="116">
        <v>334.05</v>
      </c>
      <c r="E534" s="116">
        <v>338.55</v>
      </c>
      <c r="F534" s="116">
        <v>338.95</v>
      </c>
      <c r="G534">
        <v>2811</v>
      </c>
      <c r="H534" s="116"/>
      <c r="I534" s="116"/>
      <c r="L534" s="169">
        <v>42787</v>
      </c>
      <c r="M534" s="116">
        <v>338.05</v>
      </c>
      <c r="N534" s="116">
        <v>345</v>
      </c>
      <c r="O534" s="116">
        <v>333.35</v>
      </c>
      <c r="P534" s="116">
        <v>342.95</v>
      </c>
      <c r="Q534" s="116">
        <v>338.05</v>
      </c>
      <c r="R534">
        <v>63627</v>
      </c>
    </row>
    <row r="535" spans="1:18" x14ac:dyDescent="0.25">
      <c r="A535" s="169">
        <v>42788</v>
      </c>
      <c r="B535" s="116">
        <v>339.65</v>
      </c>
      <c r="C535" s="116">
        <v>335.45</v>
      </c>
      <c r="D535" s="116">
        <v>329.3</v>
      </c>
      <c r="E535" s="116">
        <v>339.55</v>
      </c>
      <c r="F535" s="116">
        <v>335.45</v>
      </c>
      <c r="G535">
        <v>2146</v>
      </c>
      <c r="H535" s="116"/>
      <c r="I535" s="116"/>
      <c r="L535" s="169">
        <v>42788</v>
      </c>
      <c r="M535" s="116">
        <v>334.45</v>
      </c>
      <c r="N535" s="116">
        <v>343</v>
      </c>
      <c r="O535" s="116">
        <v>329</v>
      </c>
      <c r="P535" s="116">
        <v>343</v>
      </c>
      <c r="Q535" s="116">
        <v>334.45</v>
      </c>
      <c r="R535">
        <v>7268</v>
      </c>
    </row>
    <row r="536" spans="1:18" x14ac:dyDescent="0.25">
      <c r="A536" s="169">
        <v>42789</v>
      </c>
      <c r="B536" s="116">
        <v>336.95</v>
      </c>
      <c r="C536" s="116">
        <v>335.4</v>
      </c>
      <c r="D536" s="116">
        <v>331.1</v>
      </c>
      <c r="E536" s="116">
        <v>332.75</v>
      </c>
      <c r="F536" s="116">
        <v>335.4</v>
      </c>
      <c r="G536">
        <v>1383</v>
      </c>
      <c r="H536" s="116"/>
      <c r="I536" s="116"/>
      <c r="L536" s="169">
        <v>42789</v>
      </c>
      <c r="M536" s="116">
        <v>336.45</v>
      </c>
      <c r="N536" s="116">
        <v>338.8</v>
      </c>
      <c r="O536" s="116">
        <v>330.05</v>
      </c>
      <c r="P536" s="116">
        <v>331.65</v>
      </c>
      <c r="Q536" s="116">
        <v>336.45</v>
      </c>
      <c r="R536">
        <v>8038</v>
      </c>
    </row>
    <row r="537" spans="1:18" x14ac:dyDescent="0.25">
      <c r="A537" s="169">
        <v>42793</v>
      </c>
      <c r="B537" s="116">
        <v>339.45</v>
      </c>
      <c r="C537" s="116">
        <v>332.05</v>
      </c>
      <c r="D537" s="116">
        <v>330</v>
      </c>
      <c r="E537" s="116">
        <v>339.45</v>
      </c>
      <c r="F537" s="116">
        <v>332.05</v>
      </c>
      <c r="G537">
        <v>15642</v>
      </c>
      <c r="H537" s="116"/>
      <c r="I537" s="116"/>
      <c r="L537" s="169">
        <v>42793</v>
      </c>
      <c r="M537" s="116">
        <v>332.2</v>
      </c>
      <c r="N537" s="116">
        <v>336.05</v>
      </c>
      <c r="O537" s="116">
        <v>329.5</v>
      </c>
      <c r="P537" s="116">
        <v>336.05</v>
      </c>
      <c r="Q537" s="116">
        <v>332.2</v>
      </c>
      <c r="R537">
        <v>19035</v>
      </c>
    </row>
    <row r="538" spans="1:18" x14ac:dyDescent="0.25">
      <c r="A538" s="169">
        <v>42794</v>
      </c>
      <c r="B538" s="116">
        <v>333</v>
      </c>
      <c r="C538" s="116">
        <v>332.55</v>
      </c>
      <c r="D538" s="116">
        <v>330.65</v>
      </c>
      <c r="E538" s="116">
        <v>331.15</v>
      </c>
      <c r="F538" s="116">
        <v>332.55</v>
      </c>
      <c r="G538">
        <v>432</v>
      </c>
      <c r="H538" s="116"/>
      <c r="I538" s="116"/>
      <c r="L538" s="169">
        <v>42794</v>
      </c>
      <c r="M538" s="116">
        <v>331.2</v>
      </c>
      <c r="N538" s="116">
        <v>335</v>
      </c>
      <c r="O538" s="116">
        <v>330.2</v>
      </c>
      <c r="P538" s="116">
        <v>330.7</v>
      </c>
      <c r="Q538" s="116">
        <v>331.2</v>
      </c>
      <c r="R538">
        <v>9378</v>
      </c>
    </row>
    <row r="539" spans="1:18" x14ac:dyDescent="0.25">
      <c r="A539" s="169">
        <v>42795</v>
      </c>
      <c r="B539" s="116">
        <v>335.5</v>
      </c>
      <c r="C539" s="116">
        <v>330.9</v>
      </c>
      <c r="D539" s="116">
        <v>330</v>
      </c>
      <c r="E539" s="116">
        <v>335</v>
      </c>
      <c r="F539" s="116">
        <v>330.9</v>
      </c>
      <c r="G539">
        <v>2451</v>
      </c>
      <c r="H539" s="116"/>
      <c r="I539" s="116"/>
      <c r="L539" s="169">
        <v>42795</v>
      </c>
      <c r="M539" s="116">
        <v>331.35</v>
      </c>
      <c r="N539" s="116">
        <v>337.45</v>
      </c>
      <c r="O539" s="116">
        <v>328.3</v>
      </c>
      <c r="P539" s="116">
        <v>331.3</v>
      </c>
      <c r="Q539" s="116">
        <v>331.35</v>
      </c>
      <c r="R539">
        <v>21467</v>
      </c>
    </row>
    <row r="540" spans="1:18" x14ac:dyDescent="0.25">
      <c r="A540" s="169">
        <v>42796</v>
      </c>
      <c r="B540" s="116">
        <v>337.5</v>
      </c>
      <c r="C540" s="116">
        <v>334.3</v>
      </c>
      <c r="D540" s="116">
        <v>329.75</v>
      </c>
      <c r="E540" s="116">
        <v>329.75</v>
      </c>
      <c r="F540" s="116">
        <v>334.3</v>
      </c>
      <c r="G540">
        <v>1725</v>
      </c>
      <c r="H540" s="116"/>
      <c r="I540" s="116"/>
      <c r="L540" s="169">
        <v>42796</v>
      </c>
      <c r="M540" s="116">
        <v>335.1</v>
      </c>
      <c r="N540" s="116">
        <v>336.9</v>
      </c>
      <c r="O540" s="116">
        <v>331</v>
      </c>
      <c r="P540" s="116">
        <v>331</v>
      </c>
      <c r="Q540" s="116">
        <v>335.1</v>
      </c>
      <c r="R540">
        <v>10423</v>
      </c>
    </row>
    <row r="541" spans="1:18" x14ac:dyDescent="0.25">
      <c r="A541" s="169">
        <v>42797</v>
      </c>
      <c r="B541" s="116">
        <v>344.75</v>
      </c>
      <c r="C541" s="116">
        <v>336.7</v>
      </c>
      <c r="D541" s="116">
        <v>330.15</v>
      </c>
      <c r="E541" s="116">
        <v>330.15</v>
      </c>
      <c r="F541" s="116">
        <v>336.7</v>
      </c>
      <c r="G541">
        <v>2117</v>
      </c>
      <c r="H541" s="116"/>
      <c r="I541" s="116"/>
      <c r="L541" s="169">
        <v>42797</v>
      </c>
      <c r="M541" s="116">
        <v>337</v>
      </c>
      <c r="N541" s="116">
        <v>343.7</v>
      </c>
      <c r="O541" s="116">
        <v>331</v>
      </c>
      <c r="P541" s="116">
        <v>335.15</v>
      </c>
      <c r="Q541" s="116">
        <v>337</v>
      </c>
      <c r="R541">
        <v>24328</v>
      </c>
    </row>
    <row r="542" spans="1:18" x14ac:dyDescent="0.25">
      <c r="A542" s="169">
        <v>42800</v>
      </c>
      <c r="B542" s="116">
        <v>340.05</v>
      </c>
      <c r="C542" s="116">
        <v>333.35</v>
      </c>
      <c r="D542" s="116">
        <v>333.05</v>
      </c>
      <c r="E542" s="116">
        <v>340</v>
      </c>
      <c r="F542" s="116">
        <v>333.35</v>
      </c>
      <c r="G542">
        <v>1764</v>
      </c>
      <c r="H542" s="116"/>
      <c r="I542" s="116"/>
      <c r="L542" s="169">
        <v>42800</v>
      </c>
      <c r="M542" s="116">
        <v>333.95</v>
      </c>
      <c r="N542" s="116">
        <v>343</v>
      </c>
      <c r="O542" s="116">
        <v>333</v>
      </c>
      <c r="P542" s="116">
        <v>339.45</v>
      </c>
      <c r="Q542" s="116">
        <v>333.95</v>
      </c>
      <c r="R542">
        <v>12329</v>
      </c>
    </row>
    <row r="543" spans="1:18" x14ac:dyDescent="0.25">
      <c r="A543" s="169">
        <v>42801</v>
      </c>
      <c r="B543" s="116">
        <v>340.9</v>
      </c>
      <c r="C543" s="116">
        <v>333.65</v>
      </c>
      <c r="D543" s="116">
        <v>332.05</v>
      </c>
      <c r="E543" s="116">
        <v>340.85</v>
      </c>
      <c r="F543" s="116">
        <v>333.65</v>
      </c>
      <c r="G543">
        <v>1669</v>
      </c>
      <c r="H543" s="116"/>
      <c r="I543" s="116"/>
      <c r="L543" s="169">
        <v>42801</v>
      </c>
      <c r="M543" s="116">
        <v>333.6</v>
      </c>
      <c r="N543" s="116">
        <v>337</v>
      </c>
      <c r="O543" s="116">
        <v>332</v>
      </c>
      <c r="P543" s="116">
        <v>336.95</v>
      </c>
      <c r="Q543" s="116">
        <v>333.6</v>
      </c>
      <c r="R543">
        <v>8657</v>
      </c>
    </row>
    <row r="544" spans="1:18" x14ac:dyDescent="0.25">
      <c r="A544" s="169">
        <v>42802</v>
      </c>
      <c r="B544" s="116">
        <v>336</v>
      </c>
      <c r="C544" s="116">
        <v>332.9</v>
      </c>
      <c r="D544" s="116">
        <v>331.6</v>
      </c>
      <c r="E544" s="116">
        <v>335.45</v>
      </c>
      <c r="F544" s="116">
        <v>332.9</v>
      </c>
      <c r="G544">
        <v>1604</v>
      </c>
      <c r="H544" s="116"/>
      <c r="I544" s="116"/>
      <c r="L544" s="169">
        <v>42802</v>
      </c>
      <c r="M544" s="116">
        <v>334.05</v>
      </c>
      <c r="N544" s="116">
        <v>337.15</v>
      </c>
      <c r="O544" s="116">
        <v>332.5</v>
      </c>
      <c r="P544" s="116">
        <v>332.85</v>
      </c>
      <c r="Q544" s="116">
        <v>334.05</v>
      </c>
      <c r="R544">
        <v>5532</v>
      </c>
    </row>
    <row r="545" spans="1:18" x14ac:dyDescent="0.25">
      <c r="A545" s="169">
        <v>42803</v>
      </c>
      <c r="B545" s="116">
        <v>335</v>
      </c>
      <c r="C545" s="116">
        <v>332.6</v>
      </c>
      <c r="D545" s="116">
        <v>330.1</v>
      </c>
      <c r="E545" s="116">
        <v>334</v>
      </c>
      <c r="F545" s="116">
        <v>332.6</v>
      </c>
      <c r="G545">
        <v>1200</v>
      </c>
      <c r="H545" s="116"/>
      <c r="I545" s="116"/>
      <c r="L545" s="169">
        <v>42803</v>
      </c>
      <c r="M545" s="116">
        <v>333.15</v>
      </c>
      <c r="N545" s="116">
        <v>335.8</v>
      </c>
      <c r="O545" s="116">
        <v>331.2</v>
      </c>
      <c r="P545" s="116">
        <v>331.2</v>
      </c>
      <c r="Q545" s="116">
        <v>333.15</v>
      </c>
      <c r="R545">
        <v>7817</v>
      </c>
    </row>
    <row r="546" spans="1:18" x14ac:dyDescent="0.25">
      <c r="A546" s="169">
        <v>42804</v>
      </c>
      <c r="B546" s="116">
        <v>336.8</v>
      </c>
      <c r="C546" s="116">
        <v>333.55</v>
      </c>
      <c r="D546" s="116">
        <v>331.65</v>
      </c>
      <c r="E546" s="116">
        <v>336.8</v>
      </c>
      <c r="F546" s="116">
        <v>333.55</v>
      </c>
      <c r="G546">
        <v>2152</v>
      </c>
      <c r="H546" s="116"/>
      <c r="I546" s="116"/>
      <c r="L546" s="169">
        <v>42804</v>
      </c>
      <c r="M546" s="116">
        <v>334.7</v>
      </c>
      <c r="N546" s="116">
        <v>336.5</v>
      </c>
      <c r="O546" s="116">
        <v>331.3</v>
      </c>
      <c r="P546" s="116">
        <v>331.3</v>
      </c>
      <c r="Q546" s="116">
        <v>334.7</v>
      </c>
      <c r="R546">
        <v>9161</v>
      </c>
    </row>
    <row r="547" spans="1:18" x14ac:dyDescent="0.25">
      <c r="A547" s="169">
        <v>42808</v>
      </c>
      <c r="B547" s="116">
        <v>339.9</v>
      </c>
      <c r="C547" s="116">
        <v>335.1</v>
      </c>
      <c r="D547" s="116">
        <v>334.25</v>
      </c>
      <c r="E547" s="116">
        <v>336.1</v>
      </c>
      <c r="F547" s="116">
        <v>335.1</v>
      </c>
      <c r="G547">
        <v>3776</v>
      </c>
      <c r="H547" s="116"/>
      <c r="I547" s="116"/>
      <c r="L547" s="169">
        <v>42808</v>
      </c>
      <c r="M547" s="116">
        <v>337.6</v>
      </c>
      <c r="N547" s="116">
        <v>345</v>
      </c>
      <c r="O547" s="116">
        <v>335.8</v>
      </c>
      <c r="P547" s="116">
        <v>338.55</v>
      </c>
      <c r="Q547" s="116">
        <v>337.6</v>
      </c>
      <c r="R547">
        <v>11672</v>
      </c>
    </row>
    <row r="548" spans="1:18" x14ac:dyDescent="0.25">
      <c r="A548" s="169">
        <v>42809</v>
      </c>
      <c r="B548" s="116">
        <v>339.9</v>
      </c>
      <c r="C548" s="116">
        <v>334.55</v>
      </c>
      <c r="D548" s="116">
        <v>333.3</v>
      </c>
      <c r="E548" s="116">
        <v>339.9</v>
      </c>
      <c r="F548" s="116">
        <v>334.55</v>
      </c>
      <c r="G548">
        <v>249</v>
      </c>
      <c r="H548" s="116"/>
      <c r="I548" s="116"/>
      <c r="L548" s="169">
        <v>42809</v>
      </c>
      <c r="M548" s="116">
        <v>335.45</v>
      </c>
      <c r="N548" s="116">
        <v>340.9</v>
      </c>
      <c r="O548" s="116">
        <v>334.1</v>
      </c>
      <c r="P548" s="116">
        <v>340.85</v>
      </c>
      <c r="Q548" s="116">
        <v>335.45</v>
      </c>
      <c r="R548">
        <v>6719</v>
      </c>
    </row>
    <row r="549" spans="1:18" x14ac:dyDescent="0.25">
      <c r="A549" s="169">
        <v>42810</v>
      </c>
      <c r="B549" s="116">
        <v>339.3</v>
      </c>
      <c r="C549" s="116">
        <v>336.25</v>
      </c>
      <c r="D549" s="116">
        <v>336.05</v>
      </c>
      <c r="E549" s="116">
        <v>339</v>
      </c>
      <c r="F549" s="116">
        <v>336.25</v>
      </c>
      <c r="G549">
        <v>614</v>
      </c>
      <c r="H549" s="116"/>
      <c r="I549" s="116"/>
      <c r="L549" s="169">
        <v>42810</v>
      </c>
      <c r="M549" s="116">
        <v>337</v>
      </c>
      <c r="N549" s="116">
        <v>339.85</v>
      </c>
      <c r="O549" s="116">
        <v>335.85</v>
      </c>
      <c r="P549" s="116">
        <v>336</v>
      </c>
      <c r="Q549" s="116">
        <v>337</v>
      </c>
      <c r="R549">
        <v>9287</v>
      </c>
    </row>
    <row r="550" spans="1:18" x14ac:dyDescent="0.25">
      <c r="A550" s="169">
        <v>42811</v>
      </c>
      <c r="B550" s="116">
        <v>347.2</v>
      </c>
      <c r="C550" s="116">
        <v>345.3</v>
      </c>
      <c r="D550" s="116">
        <v>339.7</v>
      </c>
      <c r="E550" s="116">
        <v>340</v>
      </c>
      <c r="F550" s="116">
        <v>345.3</v>
      </c>
      <c r="G550">
        <v>3213</v>
      </c>
      <c r="H550" s="116"/>
      <c r="I550" s="116"/>
      <c r="L550" s="169">
        <v>42811</v>
      </c>
      <c r="M550" s="116">
        <v>345</v>
      </c>
      <c r="N550" s="116">
        <v>347.5</v>
      </c>
      <c r="O550" s="116">
        <v>338</v>
      </c>
      <c r="P550" s="116">
        <v>338.05</v>
      </c>
      <c r="Q550" s="116">
        <v>345</v>
      </c>
      <c r="R550">
        <v>28463</v>
      </c>
    </row>
    <row r="551" spans="1:18" x14ac:dyDescent="0.25">
      <c r="A551" s="169">
        <v>42814</v>
      </c>
      <c r="B551" s="116">
        <v>350</v>
      </c>
      <c r="C551" s="116">
        <v>345.85</v>
      </c>
      <c r="D551" s="116">
        <v>336.4</v>
      </c>
      <c r="E551" s="116">
        <v>340</v>
      </c>
      <c r="F551" s="116">
        <v>345.85</v>
      </c>
      <c r="G551">
        <v>4086</v>
      </c>
      <c r="H551" s="116"/>
      <c r="I551" s="116"/>
      <c r="L551" s="169">
        <v>42814</v>
      </c>
      <c r="M551" s="116">
        <v>341.65</v>
      </c>
      <c r="N551" s="116">
        <v>352</v>
      </c>
      <c r="O551" s="116">
        <v>336.6</v>
      </c>
      <c r="P551" s="116">
        <v>340.2</v>
      </c>
      <c r="Q551" s="116">
        <v>341.65</v>
      </c>
      <c r="R551">
        <v>49775</v>
      </c>
    </row>
    <row r="552" spans="1:18" x14ac:dyDescent="0.25">
      <c r="A552" s="169">
        <v>42815</v>
      </c>
      <c r="B552" s="116">
        <v>377.8</v>
      </c>
      <c r="C552" s="116">
        <v>353.2</v>
      </c>
      <c r="D552" s="116">
        <v>350.95</v>
      </c>
      <c r="E552" s="116">
        <v>355.05</v>
      </c>
      <c r="F552" s="116">
        <v>353.2</v>
      </c>
      <c r="G552">
        <v>40110</v>
      </c>
      <c r="H552" s="116"/>
      <c r="I552" s="116"/>
      <c r="L552" s="169">
        <v>42815</v>
      </c>
      <c r="M552" s="116">
        <v>353.8</v>
      </c>
      <c r="N552" s="116">
        <v>368</v>
      </c>
      <c r="O552" s="116">
        <v>351.65</v>
      </c>
      <c r="P552" s="116">
        <v>357</v>
      </c>
      <c r="Q552" s="116">
        <v>353.8</v>
      </c>
      <c r="R552">
        <v>210244</v>
      </c>
    </row>
    <row r="553" spans="1:18" x14ac:dyDescent="0.25">
      <c r="A553" s="169">
        <v>42816</v>
      </c>
      <c r="B553" s="116">
        <v>358.95</v>
      </c>
      <c r="C553" s="116">
        <v>356.3</v>
      </c>
      <c r="D553" s="116">
        <v>346</v>
      </c>
      <c r="E553" s="116">
        <v>349</v>
      </c>
      <c r="F553" s="116">
        <v>356.3</v>
      </c>
      <c r="G553">
        <v>5734</v>
      </c>
      <c r="H553" s="116"/>
      <c r="I553" s="116"/>
      <c r="L553" s="169">
        <v>42816</v>
      </c>
      <c r="M553" s="116">
        <v>358.2</v>
      </c>
      <c r="N553" s="116">
        <v>360</v>
      </c>
      <c r="O553" s="116">
        <v>342.5</v>
      </c>
      <c r="P553" s="116">
        <v>350</v>
      </c>
      <c r="Q553" s="116">
        <v>358.2</v>
      </c>
      <c r="R553">
        <v>30194</v>
      </c>
    </row>
    <row r="554" spans="1:18" x14ac:dyDescent="0.25">
      <c r="A554" s="169">
        <v>42817</v>
      </c>
      <c r="B554" s="116">
        <v>363</v>
      </c>
      <c r="C554" s="116">
        <v>355.65</v>
      </c>
      <c r="D554" s="116">
        <v>352</v>
      </c>
      <c r="E554" s="116">
        <v>362</v>
      </c>
      <c r="F554" s="116">
        <v>355.65</v>
      </c>
      <c r="G554">
        <v>2492</v>
      </c>
      <c r="H554" s="116"/>
      <c r="I554" s="116"/>
      <c r="L554" s="169">
        <v>42817</v>
      </c>
      <c r="M554" s="116">
        <v>354.2</v>
      </c>
      <c r="N554" s="116">
        <v>363.9</v>
      </c>
      <c r="O554" s="116">
        <v>352</v>
      </c>
      <c r="P554" s="116">
        <v>360</v>
      </c>
      <c r="Q554" s="116">
        <v>354.2</v>
      </c>
      <c r="R554">
        <v>15978</v>
      </c>
    </row>
    <row r="555" spans="1:18" x14ac:dyDescent="0.25">
      <c r="A555" s="169">
        <v>42818</v>
      </c>
      <c r="B555" s="116">
        <v>358.35</v>
      </c>
      <c r="C555" s="116">
        <v>351.75</v>
      </c>
      <c r="D555" s="116">
        <v>350.25</v>
      </c>
      <c r="E555" s="116">
        <v>356.15</v>
      </c>
      <c r="F555" s="116">
        <v>351.75</v>
      </c>
      <c r="G555">
        <v>2082</v>
      </c>
      <c r="H555" s="116"/>
      <c r="I555" s="116"/>
      <c r="L555" s="169">
        <v>42818</v>
      </c>
      <c r="M555" s="116">
        <v>353.35</v>
      </c>
      <c r="N555" s="116">
        <v>358.9</v>
      </c>
      <c r="O555" s="116">
        <v>351.55</v>
      </c>
      <c r="P555" s="116">
        <v>358.9</v>
      </c>
      <c r="Q555" s="116">
        <v>353.35</v>
      </c>
      <c r="R555">
        <v>15455</v>
      </c>
    </row>
    <row r="556" spans="1:18" x14ac:dyDescent="0.25">
      <c r="A556" s="169">
        <v>42821</v>
      </c>
      <c r="B556" s="116">
        <v>367.1</v>
      </c>
      <c r="C556" s="116">
        <v>365.95</v>
      </c>
      <c r="D556" s="116">
        <v>350</v>
      </c>
      <c r="E556" s="116">
        <v>358.3</v>
      </c>
      <c r="F556" s="116">
        <v>365.95</v>
      </c>
      <c r="G556">
        <v>5688</v>
      </c>
      <c r="H556" s="116"/>
      <c r="I556" s="116"/>
      <c r="L556" s="169">
        <v>42821</v>
      </c>
      <c r="M556" s="116">
        <v>365.65</v>
      </c>
      <c r="N556" s="116">
        <v>368.65</v>
      </c>
      <c r="O556" s="116">
        <v>350</v>
      </c>
      <c r="P556" s="116">
        <v>358</v>
      </c>
      <c r="Q556" s="116">
        <v>365.65</v>
      </c>
      <c r="R556">
        <v>46757</v>
      </c>
    </row>
    <row r="557" spans="1:18" x14ac:dyDescent="0.25">
      <c r="A557" s="169">
        <v>42822</v>
      </c>
      <c r="B557" s="116">
        <v>400</v>
      </c>
      <c r="C557" s="116">
        <v>380.85</v>
      </c>
      <c r="D557" s="116">
        <v>366.35</v>
      </c>
      <c r="E557" s="116">
        <v>369.15</v>
      </c>
      <c r="F557" s="116">
        <v>380.85</v>
      </c>
      <c r="G557">
        <v>54442</v>
      </c>
      <c r="H557" s="116"/>
      <c r="I557" s="116"/>
      <c r="L557" s="169">
        <v>42822</v>
      </c>
      <c r="M557" s="116">
        <v>379.45</v>
      </c>
      <c r="N557" s="116">
        <v>401.8</v>
      </c>
      <c r="O557" s="116">
        <v>366</v>
      </c>
      <c r="P557" s="116">
        <v>368.5</v>
      </c>
      <c r="Q557" s="116">
        <v>379.45</v>
      </c>
      <c r="R557">
        <v>252990</v>
      </c>
    </row>
    <row r="558" spans="1:18" x14ac:dyDescent="0.25">
      <c r="A558" s="169">
        <v>42823</v>
      </c>
      <c r="B558" s="116">
        <v>392.15</v>
      </c>
      <c r="C558" s="116">
        <v>382.05</v>
      </c>
      <c r="D558" s="116">
        <v>379.25</v>
      </c>
      <c r="E558" s="116">
        <v>389</v>
      </c>
      <c r="F558" s="116">
        <v>382.05</v>
      </c>
      <c r="G558">
        <v>10645</v>
      </c>
      <c r="H558" s="116"/>
      <c r="I558" s="116"/>
      <c r="L558" s="169">
        <v>42823</v>
      </c>
      <c r="M558" s="116">
        <v>385.9</v>
      </c>
      <c r="N558" s="116">
        <v>399</v>
      </c>
      <c r="O558" s="116">
        <v>380.5</v>
      </c>
      <c r="P558" s="116">
        <v>380.5</v>
      </c>
      <c r="Q558" s="116">
        <v>385.9</v>
      </c>
      <c r="R558">
        <v>52120</v>
      </c>
    </row>
    <row r="559" spans="1:18" x14ac:dyDescent="0.25">
      <c r="A559" s="169">
        <v>42824</v>
      </c>
      <c r="B559" s="116">
        <v>391</v>
      </c>
      <c r="C559" s="116">
        <v>382.85</v>
      </c>
      <c r="D559" s="116">
        <v>382</v>
      </c>
      <c r="E559" s="116">
        <v>385.25</v>
      </c>
      <c r="F559" s="116">
        <v>382.85</v>
      </c>
      <c r="G559">
        <v>3202</v>
      </c>
      <c r="H559" s="116"/>
      <c r="I559" s="116"/>
      <c r="L559" s="169">
        <v>42824</v>
      </c>
      <c r="M559" s="116">
        <v>381.75</v>
      </c>
      <c r="N559" s="116">
        <v>392.65</v>
      </c>
      <c r="O559" s="116">
        <v>380</v>
      </c>
      <c r="P559" s="116">
        <v>387.8</v>
      </c>
      <c r="Q559" s="116">
        <v>381.75</v>
      </c>
      <c r="R559">
        <v>19340</v>
      </c>
    </row>
    <row r="560" spans="1:18" x14ac:dyDescent="0.25">
      <c r="A560" s="169">
        <v>42825</v>
      </c>
      <c r="B560" s="116">
        <v>388.45</v>
      </c>
      <c r="C560" s="116">
        <v>379.6</v>
      </c>
      <c r="D560" s="116">
        <v>377.05</v>
      </c>
      <c r="E560" s="116">
        <v>385</v>
      </c>
      <c r="F560" s="116">
        <v>379.6</v>
      </c>
      <c r="G560">
        <v>4265</v>
      </c>
      <c r="H560" s="116"/>
      <c r="I560" s="116"/>
      <c r="L560" s="169">
        <v>42825</v>
      </c>
      <c r="M560" s="116">
        <v>378.95</v>
      </c>
      <c r="N560" s="116">
        <v>390</v>
      </c>
      <c r="O560" s="116">
        <v>375.95</v>
      </c>
      <c r="P560" s="116">
        <v>384.95</v>
      </c>
      <c r="Q560" s="116">
        <v>378.95</v>
      </c>
      <c r="R560">
        <v>14145</v>
      </c>
    </row>
    <row r="561" spans="1:18" x14ac:dyDescent="0.25">
      <c r="A561" s="169">
        <v>42828</v>
      </c>
      <c r="B561" s="116">
        <v>382.8</v>
      </c>
      <c r="C561" s="116">
        <v>376.65</v>
      </c>
      <c r="D561" s="116">
        <v>374</v>
      </c>
      <c r="E561" s="116">
        <v>378.6</v>
      </c>
      <c r="F561" s="116">
        <v>376.65</v>
      </c>
      <c r="G561">
        <v>4840</v>
      </c>
      <c r="H561" s="116"/>
      <c r="I561" s="116"/>
      <c r="L561" s="169">
        <v>42828</v>
      </c>
      <c r="M561" s="116">
        <v>377.8</v>
      </c>
      <c r="N561" s="116">
        <v>382</v>
      </c>
      <c r="O561" s="116">
        <v>374</v>
      </c>
      <c r="P561" s="116">
        <v>377</v>
      </c>
      <c r="Q561" s="116">
        <v>377.8</v>
      </c>
      <c r="R561">
        <v>25722</v>
      </c>
    </row>
    <row r="562" spans="1:18" x14ac:dyDescent="0.25">
      <c r="A562" s="169">
        <v>42830</v>
      </c>
      <c r="B562" s="116">
        <v>396</v>
      </c>
      <c r="C562" s="116">
        <v>392.05</v>
      </c>
      <c r="D562" s="116">
        <v>376.5</v>
      </c>
      <c r="E562" s="116">
        <v>380.65</v>
      </c>
      <c r="F562" s="116">
        <v>392.05</v>
      </c>
      <c r="G562">
        <v>6198</v>
      </c>
      <c r="H562" s="116"/>
      <c r="I562" s="116"/>
      <c r="L562" s="169">
        <v>42830</v>
      </c>
      <c r="M562" s="116">
        <v>392.4</v>
      </c>
      <c r="N562" s="116">
        <v>395.85</v>
      </c>
      <c r="O562" s="116">
        <v>377</v>
      </c>
      <c r="P562" s="116">
        <v>382</v>
      </c>
      <c r="Q562" s="116">
        <v>392.4</v>
      </c>
      <c r="R562">
        <v>48672</v>
      </c>
    </row>
    <row r="563" spans="1:18" x14ac:dyDescent="0.25">
      <c r="A563" s="169">
        <v>42831</v>
      </c>
      <c r="B563" s="116">
        <v>394.15</v>
      </c>
      <c r="C563" s="116">
        <v>392.6</v>
      </c>
      <c r="D563" s="116">
        <v>382.7</v>
      </c>
      <c r="E563" s="116">
        <v>392</v>
      </c>
      <c r="F563" s="116">
        <v>392.6</v>
      </c>
      <c r="G563">
        <v>9561</v>
      </c>
      <c r="H563" s="116"/>
      <c r="I563" s="116"/>
      <c r="L563" s="169">
        <v>42831</v>
      </c>
      <c r="M563" s="116">
        <v>394.6</v>
      </c>
      <c r="N563" s="116">
        <v>395.9</v>
      </c>
      <c r="O563" s="116">
        <v>383</v>
      </c>
      <c r="P563" s="116">
        <v>392.95</v>
      </c>
      <c r="Q563" s="116">
        <v>394.6</v>
      </c>
      <c r="R563">
        <v>22074</v>
      </c>
    </row>
    <row r="564" spans="1:18" x14ac:dyDescent="0.25">
      <c r="A564" s="169">
        <v>42832</v>
      </c>
      <c r="B564" s="116">
        <v>394.4</v>
      </c>
      <c r="C564" s="116">
        <v>384.8</v>
      </c>
      <c r="D564" s="116">
        <v>381.05</v>
      </c>
      <c r="E564" s="116">
        <v>389.9</v>
      </c>
      <c r="F564" s="116">
        <v>384.8</v>
      </c>
      <c r="G564">
        <v>3515</v>
      </c>
      <c r="H564" s="116"/>
      <c r="I564" s="116"/>
      <c r="L564" s="169">
        <v>42832</v>
      </c>
      <c r="M564" s="116">
        <v>384.15</v>
      </c>
      <c r="N564" s="116">
        <v>394.85</v>
      </c>
      <c r="O564" s="116">
        <v>382</v>
      </c>
      <c r="P564" s="116">
        <v>383</v>
      </c>
      <c r="Q564" s="116">
        <v>384.15</v>
      </c>
      <c r="R564">
        <v>25236</v>
      </c>
    </row>
    <row r="565" spans="1:18" x14ac:dyDescent="0.25">
      <c r="A565" s="169">
        <v>42835</v>
      </c>
      <c r="B565" s="116">
        <v>394</v>
      </c>
      <c r="C565" s="116">
        <v>378.05</v>
      </c>
      <c r="D565" s="116">
        <v>375</v>
      </c>
      <c r="E565" s="116">
        <v>385</v>
      </c>
      <c r="F565" s="116">
        <v>378.05</v>
      </c>
      <c r="G565">
        <v>6879</v>
      </c>
      <c r="H565" s="116"/>
      <c r="I565" s="116"/>
      <c r="L565" s="169">
        <v>42835</v>
      </c>
      <c r="M565" s="116">
        <v>379.65</v>
      </c>
      <c r="N565" s="116">
        <v>394</v>
      </c>
      <c r="O565" s="116">
        <v>375.1</v>
      </c>
      <c r="P565" s="116">
        <v>383.75</v>
      </c>
      <c r="Q565" s="116">
        <v>379.65</v>
      </c>
      <c r="R565">
        <v>54368</v>
      </c>
    </row>
    <row r="566" spans="1:18" x14ac:dyDescent="0.25">
      <c r="A566" s="169">
        <v>42836</v>
      </c>
      <c r="B566" s="116">
        <v>385</v>
      </c>
      <c r="C566" s="116">
        <v>378.25</v>
      </c>
      <c r="D566" s="116">
        <v>374.5</v>
      </c>
      <c r="E566" s="116">
        <v>385</v>
      </c>
      <c r="F566" s="116">
        <v>378.25</v>
      </c>
      <c r="G566">
        <v>1669</v>
      </c>
      <c r="H566" s="116"/>
      <c r="I566" s="116"/>
      <c r="L566" s="169">
        <v>42836</v>
      </c>
      <c r="M566" s="116">
        <v>377.6</v>
      </c>
      <c r="N566" s="116">
        <v>388.95</v>
      </c>
      <c r="O566" s="116">
        <v>376.3</v>
      </c>
      <c r="P566" s="116">
        <v>388.95</v>
      </c>
      <c r="Q566" s="116">
        <v>377.6</v>
      </c>
      <c r="R566">
        <v>16192</v>
      </c>
    </row>
    <row r="567" spans="1:18" x14ac:dyDescent="0.25">
      <c r="A567" s="169">
        <v>42837</v>
      </c>
      <c r="B567" s="116">
        <v>381.35</v>
      </c>
      <c r="C567" s="116">
        <v>375.5</v>
      </c>
      <c r="D567" s="116">
        <v>373</v>
      </c>
      <c r="E567" s="116">
        <v>380</v>
      </c>
      <c r="F567" s="116">
        <v>375.5</v>
      </c>
      <c r="G567">
        <v>3432</v>
      </c>
      <c r="H567" s="116"/>
      <c r="I567" s="116"/>
      <c r="L567" s="169">
        <v>42837</v>
      </c>
      <c r="M567" s="116">
        <v>376.6</v>
      </c>
      <c r="N567" s="116">
        <v>385.85</v>
      </c>
      <c r="O567" s="116">
        <v>372</v>
      </c>
      <c r="P567" s="116">
        <v>385.85</v>
      </c>
      <c r="Q567" s="116">
        <v>376.6</v>
      </c>
      <c r="R567">
        <v>12148</v>
      </c>
    </row>
    <row r="568" spans="1:18" x14ac:dyDescent="0.25">
      <c r="A568" s="169">
        <v>42838</v>
      </c>
      <c r="B568" s="116">
        <v>379.75</v>
      </c>
      <c r="C568" s="116">
        <v>375</v>
      </c>
      <c r="D568" s="116">
        <v>370</v>
      </c>
      <c r="E568" s="116">
        <v>375</v>
      </c>
      <c r="F568" s="116">
        <v>375</v>
      </c>
      <c r="G568">
        <v>3477</v>
      </c>
      <c r="H568" s="116"/>
      <c r="I568" s="116"/>
      <c r="L568" s="169">
        <v>42838</v>
      </c>
      <c r="M568" s="116">
        <v>373</v>
      </c>
      <c r="N568" s="116">
        <v>382.5</v>
      </c>
      <c r="O568" s="116">
        <v>371</v>
      </c>
      <c r="P568" s="116">
        <v>377.9</v>
      </c>
      <c r="Q568" s="116">
        <v>373</v>
      </c>
      <c r="R568">
        <v>27780</v>
      </c>
    </row>
    <row r="569" spans="1:18" x14ac:dyDescent="0.25">
      <c r="A569" s="169">
        <v>42842</v>
      </c>
      <c r="B569" s="116">
        <v>384.6</v>
      </c>
      <c r="C569" s="116">
        <v>379.7</v>
      </c>
      <c r="D569" s="116">
        <v>372.15</v>
      </c>
      <c r="E569" s="116">
        <v>375</v>
      </c>
      <c r="F569" s="116">
        <v>379.7</v>
      </c>
      <c r="G569">
        <v>5134</v>
      </c>
      <c r="H569" s="116"/>
      <c r="I569" s="116"/>
      <c r="L569" s="169">
        <v>42842</v>
      </c>
      <c r="M569" s="116">
        <v>373.7</v>
      </c>
      <c r="N569" s="116">
        <v>384</v>
      </c>
      <c r="O569" s="116">
        <v>370.25</v>
      </c>
      <c r="P569" s="116">
        <v>370.25</v>
      </c>
      <c r="Q569" s="116">
        <v>373.7</v>
      </c>
      <c r="R569">
        <v>22152</v>
      </c>
    </row>
    <row r="570" spans="1:18" x14ac:dyDescent="0.25">
      <c r="A570" s="169">
        <v>42843</v>
      </c>
      <c r="B570" s="116">
        <v>393.95</v>
      </c>
      <c r="C570" s="116">
        <v>375.15</v>
      </c>
      <c r="D570" s="116">
        <v>370</v>
      </c>
      <c r="E570" s="116">
        <v>393.95</v>
      </c>
      <c r="F570" s="116">
        <v>375.15</v>
      </c>
      <c r="G570">
        <v>6282</v>
      </c>
      <c r="H570" s="116"/>
      <c r="I570" s="116"/>
      <c r="L570" s="169">
        <v>42843</v>
      </c>
      <c r="M570" s="116">
        <v>375.95</v>
      </c>
      <c r="N570" s="116">
        <v>395</v>
      </c>
      <c r="O570" s="116">
        <v>357</v>
      </c>
      <c r="P570" s="116">
        <v>380</v>
      </c>
      <c r="Q570" s="116">
        <v>375.95</v>
      </c>
      <c r="R570">
        <v>32949</v>
      </c>
    </row>
    <row r="571" spans="1:18" x14ac:dyDescent="0.25">
      <c r="A571" s="169">
        <v>42844</v>
      </c>
      <c r="B571" s="116">
        <v>382</v>
      </c>
      <c r="C571" s="116">
        <v>380.65</v>
      </c>
      <c r="D571" s="116">
        <v>373.2</v>
      </c>
      <c r="E571" s="116">
        <v>379.65</v>
      </c>
      <c r="F571" s="116">
        <v>380.65</v>
      </c>
      <c r="G571">
        <v>2835</v>
      </c>
      <c r="H571" s="116"/>
      <c r="I571" s="116"/>
      <c r="L571" s="169">
        <v>42844</v>
      </c>
      <c r="M571" s="116">
        <v>381.15</v>
      </c>
      <c r="N571" s="116">
        <v>387.7</v>
      </c>
      <c r="O571" s="116">
        <v>373.75</v>
      </c>
      <c r="P571" s="116">
        <v>378.1</v>
      </c>
      <c r="Q571" s="116">
        <v>381.15</v>
      </c>
      <c r="R571">
        <v>10530</v>
      </c>
    </row>
    <row r="572" spans="1:18" x14ac:dyDescent="0.25">
      <c r="A572" s="169">
        <v>42845</v>
      </c>
      <c r="B572" s="116">
        <v>399</v>
      </c>
      <c r="C572" s="116">
        <v>378.5</v>
      </c>
      <c r="D572" s="116">
        <v>373.2</v>
      </c>
      <c r="E572" s="116">
        <v>399</v>
      </c>
      <c r="F572" s="116">
        <v>378.5</v>
      </c>
      <c r="G572">
        <v>2273</v>
      </c>
      <c r="H572" s="116"/>
      <c r="I572" s="116"/>
      <c r="L572" s="169">
        <v>42845</v>
      </c>
      <c r="M572" s="116">
        <v>382.45</v>
      </c>
      <c r="N572" s="116">
        <v>387</v>
      </c>
      <c r="O572" s="116">
        <v>377.4</v>
      </c>
      <c r="P572" s="116">
        <v>387</v>
      </c>
      <c r="Q572" s="116">
        <v>382.45</v>
      </c>
      <c r="R572">
        <v>12771</v>
      </c>
    </row>
    <row r="573" spans="1:18" x14ac:dyDescent="0.25">
      <c r="A573" s="169">
        <v>42846</v>
      </c>
      <c r="B573" s="116">
        <v>390</v>
      </c>
      <c r="C573" s="116">
        <v>388.3</v>
      </c>
      <c r="D573" s="116">
        <v>380</v>
      </c>
      <c r="E573" s="116">
        <v>385</v>
      </c>
      <c r="F573" s="116">
        <v>388.3</v>
      </c>
      <c r="G573">
        <v>4444</v>
      </c>
      <c r="H573" s="116"/>
      <c r="I573" s="116"/>
      <c r="L573" s="169">
        <v>42846</v>
      </c>
      <c r="M573" s="116">
        <v>388.85</v>
      </c>
      <c r="N573" s="116">
        <v>391.6</v>
      </c>
      <c r="O573" s="116">
        <v>379.2</v>
      </c>
      <c r="P573" s="116">
        <v>379.2</v>
      </c>
      <c r="Q573" s="116">
        <v>388.85</v>
      </c>
      <c r="R573">
        <v>41214</v>
      </c>
    </row>
    <row r="574" spans="1:18" x14ac:dyDescent="0.25">
      <c r="A574" s="169">
        <v>42849</v>
      </c>
      <c r="B574" s="116">
        <v>401.1</v>
      </c>
      <c r="C574" s="116">
        <v>395.7</v>
      </c>
      <c r="D574" s="116">
        <v>393.25</v>
      </c>
      <c r="E574" s="116">
        <v>400.35</v>
      </c>
      <c r="F574" s="116">
        <v>395.7</v>
      </c>
      <c r="G574">
        <v>17510</v>
      </c>
      <c r="H574" s="116"/>
      <c r="I574" s="116"/>
      <c r="L574" s="169">
        <v>42849</v>
      </c>
      <c r="M574" s="116">
        <v>395.2</v>
      </c>
      <c r="N574" s="116">
        <v>399.5</v>
      </c>
      <c r="O574" s="116">
        <v>392.15</v>
      </c>
      <c r="P574" s="116">
        <v>399</v>
      </c>
      <c r="Q574" s="116">
        <v>395.2</v>
      </c>
      <c r="R574">
        <v>99120</v>
      </c>
    </row>
    <row r="575" spans="1:18" x14ac:dyDescent="0.25">
      <c r="A575" s="169">
        <v>42850</v>
      </c>
      <c r="B575" s="116">
        <v>398.3</v>
      </c>
      <c r="C575" s="116">
        <v>394.45</v>
      </c>
      <c r="D575" s="116">
        <v>393.65</v>
      </c>
      <c r="E575" s="116">
        <v>397</v>
      </c>
      <c r="F575" s="116">
        <v>394.45</v>
      </c>
      <c r="G575">
        <v>4022</v>
      </c>
      <c r="H575" s="116"/>
      <c r="I575" s="116"/>
      <c r="L575" s="169">
        <v>42850</v>
      </c>
      <c r="M575" s="116">
        <v>393</v>
      </c>
      <c r="N575" s="116">
        <v>398</v>
      </c>
      <c r="O575" s="116">
        <v>392.1</v>
      </c>
      <c r="P575" s="116">
        <v>397</v>
      </c>
      <c r="Q575" s="116">
        <v>393</v>
      </c>
      <c r="R575">
        <v>22877</v>
      </c>
    </row>
    <row r="576" spans="1:18" x14ac:dyDescent="0.25">
      <c r="A576" s="169">
        <v>42851</v>
      </c>
      <c r="B576" s="116">
        <v>395.55</v>
      </c>
      <c r="C576" s="116">
        <v>383</v>
      </c>
      <c r="D576" s="116">
        <v>380.2</v>
      </c>
      <c r="E576" s="116">
        <v>394.8</v>
      </c>
      <c r="F576" s="116">
        <v>383</v>
      </c>
      <c r="G576">
        <v>3538</v>
      </c>
      <c r="H576" s="116"/>
      <c r="I576" s="116"/>
      <c r="L576" s="169">
        <v>42851</v>
      </c>
      <c r="M576" s="116">
        <v>385.55</v>
      </c>
      <c r="N576" s="116">
        <v>395.9</v>
      </c>
      <c r="O576" s="116">
        <v>382.85</v>
      </c>
      <c r="P576" s="116">
        <v>388.7</v>
      </c>
      <c r="Q576" s="116">
        <v>385.55</v>
      </c>
      <c r="R576">
        <v>25333</v>
      </c>
    </row>
    <row r="577" spans="1:18" x14ac:dyDescent="0.25">
      <c r="A577" s="169">
        <v>42852</v>
      </c>
      <c r="B577" s="116">
        <v>395.35</v>
      </c>
      <c r="C577" s="116">
        <v>389.6</v>
      </c>
      <c r="D577" s="116">
        <v>384.05</v>
      </c>
      <c r="E577" s="116">
        <v>395</v>
      </c>
      <c r="F577" s="116">
        <v>389.6</v>
      </c>
      <c r="G577">
        <v>10813</v>
      </c>
      <c r="H577" s="116"/>
      <c r="I577" s="116"/>
      <c r="L577" s="169">
        <v>42852</v>
      </c>
      <c r="M577" s="116">
        <v>386.65</v>
      </c>
      <c r="N577" s="116">
        <v>395.9</v>
      </c>
      <c r="O577" s="116">
        <v>385.05</v>
      </c>
      <c r="P577" s="116">
        <v>389.7</v>
      </c>
      <c r="Q577" s="116">
        <v>386.65</v>
      </c>
      <c r="R577">
        <v>58068</v>
      </c>
    </row>
    <row r="578" spans="1:18" x14ac:dyDescent="0.25">
      <c r="A578" s="169">
        <v>42853</v>
      </c>
      <c r="B578" s="116">
        <v>392</v>
      </c>
      <c r="C578" s="116">
        <v>386.5</v>
      </c>
      <c r="D578" s="116">
        <v>383.3</v>
      </c>
      <c r="E578" s="116">
        <v>390</v>
      </c>
      <c r="F578" s="116">
        <v>386.5</v>
      </c>
      <c r="G578">
        <v>2145</v>
      </c>
      <c r="H578" s="116"/>
      <c r="I578" s="116"/>
      <c r="L578" s="169">
        <v>42853</v>
      </c>
      <c r="M578" s="116">
        <v>387.35</v>
      </c>
      <c r="N578" s="116">
        <v>392.8</v>
      </c>
      <c r="O578" s="116">
        <v>380.5</v>
      </c>
      <c r="P578" s="116">
        <v>389</v>
      </c>
      <c r="Q578" s="116">
        <v>387.35</v>
      </c>
      <c r="R578">
        <v>13827</v>
      </c>
    </row>
    <row r="579" spans="1:18" x14ac:dyDescent="0.25">
      <c r="A579" s="169">
        <v>42857</v>
      </c>
      <c r="B579" s="116">
        <v>393.05</v>
      </c>
      <c r="C579" s="116">
        <v>388.95</v>
      </c>
      <c r="D579" s="116">
        <v>375</v>
      </c>
      <c r="E579" s="116">
        <v>388</v>
      </c>
      <c r="F579" s="116">
        <v>388.95</v>
      </c>
      <c r="G579">
        <v>4579</v>
      </c>
      <c r="H579" s="116"/>
      <c r="I579" s="116"/>
      <c r="L579" s="169">
        <v>42857</v>
      </c>
      <c r="M579" s="116">
        <v>387.85</v>
      </c>
      <c r="N579" s="116">
        <v>393</v>
      </c>
      <c r="O579" s="116">
        <v>386.05</v>
      </c>
      <c r="P579" s="116">
        <v>390</v>
      </c>
      <c r="Q579" s="116">
        <v>387.85</v>
      </c>
      <c r="R579">
        <v>21212</v>
      </c>
    </row>
    <row r="580" spans="1:18" x14ac:dyDescent="0.25">
      <c r="A580" s="169">
        <v>42858</v>
      </c>
      <c r="B580" s="116">
        <v>394</v>
      </c>
      <c r="C580" s="116">
        <v>389.3</v>
      </c>
      <c r="D580" s="116">
        <v>387.25</v>
      </c>
      <c r="E580" s="116">
        <v>394</v>
      </c>
      <c r="F580" s="116">
        <v>389.3</v>
      </c>
      <c r="G580">
        <v>2891</v>
      </c>
      <c r="H580" s="116"/>
      <c r="I580" s="116"/>
      <c r="L580" s="169">
        <v>42858</v>
      </c>
      <c r="M580" s="116">
        <v>389.5</v>
      </c>
      <c r="N580" s="116">
        <v>394.95</v>
      </c>
      <c r="O580" s="116">
        <v>388.5</v>
      </c>
      <c r="P580" s="116">
        <v>393</v>
      </c>
      <c r="Q580" s="116">
        <v>389.5</v>
      </c>
      <c r="R580">
        <v>23324</v>
      </c>
    </row>
    <row r="581" spans="1:18" x14ac:dyDescent="0.25">
      <c r="A581" s="169">
        <v>42859</v>
      </c>
      <c r="B581" s="116">
        <v>399</v>
      </c>
      <c r="C581" s="116">
        <v>393.6</v>
      </c>
      <c r="D581" s="116">
        <v>390</v>
      </c>
      <c r="E581" s="116">
        <v>390</v>
      </c>
      <c r="F581" s="116">
        <v>393.6</v>
      </c>
      <c r="G581">
        <v>15204</v>
      </c>
      <c r="H581" s="116"/>
      <c r="I581" s="116"/>
      <c r="L581" s="169">
        <v>42859</v>
      </c>
      <c r="M581" s="116">
        <v>395.45</v>
      </c>
      <c r="N581" s="116">
        <v>399.8</v>
      </c>
      <c r="O581" s="116">
        <v>389.95</v>
      </c>
      <c r="P581" s="116">
        <v>389.95</v>
      </c>
      <c r="Q581" s="116">
        <v>395.45</v>
      </c>
      <c r="R581">
        <v>69335</v>
      </c>
    </row>
    <row r="582" spans="1:18" x14ac:dyDescent="0.25">
      <c r="A582" s="169">
        <v>42860</v>
      </c>
      <c r="B582" s="116">
        <v>399.5</v>
      </c>
      <c r="C582" s="116">
        <v>389.25</v>
      </c>
      <c r="D582" s="116">
        <v>387</v>
      </c>
      <c r="E582" s="116">
        <v>394.5</v>
      </c>
      <c r="F582" s="116">
        <v>389.25</v>
      </c>
      <c r="G582">
        <v>7151</v>
      </c>
      <c r="H582" s="116"/>
      <c r="I582" s="116"/>
      <c r="L582" s="169">
        <v>42860</v>
      </c>
      <c r="M582" s="116">
        <v>394.8</v>
      </c>
      <c r="N582" s="116">
        <v>399</v>
      </c>
      <c r="O582" s="116">
        <v>393.15</v>
      </c>
      <c r="P582" s="116">
        <v>395.9</v>
      </c>
      <c r="Q582" s="116">
        <v>394.8</v>
      </c>
      <c r="R582">
        <v>42491</v>
      </c>
    </row>
    <row r="583" spans="1:18" x14ac:dyDescent="0.25">
      <c r="A583" s="169">
        <v>42863</v>
      </c>
      <c r="B583" s="116">
        <v>397.75</v>
      </c>
      <c r="C583" s="116">
        <v>388.6</v>
      </c>
      <c r="D583" s="116">
        <v>387.2</v>
      </c>
      <c r="E583" s="116">
        <v>396</v>
      </c>
      <c r="F583" s="116">
        <v>388.6</v>
      </c>
      <c r="G583">
        <v>6008</v>
      </c>
      <c r="H583" s="116"/>
      <c r="I583" s="116"/>
      <c r="L583" s="169">
        <v>42863</v>
      </c>
      <c r="M583" s="116">
        <v>387.9</v>
      </c>
      <c r="N583" s="116">
        <v>397.9</v>
      </c>
      <c r="O583" s="116">
        <v>387.25</v>
      </c>
      <c r="P583" s="116">
        <v>391.15</v>
      </c>
      <c r="Q583" s="116">
        <v>387.9</v>
      </c>
      <c r="R583">
        <v>20865</v>
      </c>
    </row>
    <row r="584" spans="1:18" x14ac:dyDescent="0.25">
      <c r="A584" s="169">
        <v>42864</v>
      </c>
      <c r="B584" s="116">
        <v>391.6</v>
      </c>
      <c r="C584" s="116">
        <v>389.85</v>
      </c>
      <c r="D584" s="116">
        <v>387</v>
      </c>
      <c r="E584" s="116">
        <v>389.85</v>
      </c>
      <c r="F584" s="116">
        <v>389.85</v>
      </c>
      <c r="G584">
        <v>3615</v>
      </c>
      <c r="H584" s="116"/>
      <c r="I584" s="116"/>
      <c r="L584" s="169">
        <v>42864</v>
      </c>
      <c r="M584" s="116">
        <v>390.7</v>
      </c>
      <c r="N584" s="116">
        <v>393.7</v>
      </c>
      <c r="O584" s="116">
        <v>388.05</v>
      </c>
      <c r="P584" s="116">
        <v>393.65</v>
      </c>
      <c r="Q584" s="116">
        <v>390.7</v>
      </c>
      <c r="R584">
        <v>14682</v>
      </c>
    </row>
    <row r="585" spans="1:18" x14ac:dyDescent="0.25">
      <c r="A585" s="169">
        <v>42865</v>
      </c>
      <c r="B585" s="116">
        <v>397</v>
      </c>
      <c r="C585" s="116">
        <v>392</v>
      </c>
      <c r="D585" s="116">
        <v>390</v>
      </c>
      <c r="E585" s="116">
        <v>392</v>
      </c>
      <c r="F585" s="116">
        <v>392</v>
      </c>
      <c r="G585">
        <v>4043</v>
      </c>
      <c r="H585" s="116"/>
      <c r="I585" s="116"/>
      <c r="L585" s="169">
        <v>42865</v>
      </c>
      <c r="M585" s="116">
        <v>390.85</v>
      </c>
      <c r="N585" s="116">
        <v>397.7</v>
      </c>
      <c r="O585" s="116">
        <v>390</v>
      </c>
      <c r="P585" s="116">
        <v>392.5</v>
      </c>
      <c r="Q585" s="116">
        <v>390.85</v>
      </c>
      <c r="R585">
        <v>25502</v>
      </c>
    </row>
    <row r="586" spans="1:18" x14ac:dyDescent="0.25">
      <c r="A586" s="169">
        <v>42866</v>
      </c>
      <c r="B586" s="116">
        <v>397</v>
      </c>
      <c r="C586" s="116">
        <v>388.4</v>
      </c>
      <c r="D586" s="116">
        <v>386.9</v>
      </c>
      <c r="E586" s="116">
        <v>397</v>
      </c>
      <c r="F586" s="116">
        <v>388.4</v>
      </c>
      <c r="G586">
        <v>14018</v>
      </c>
      <c r="H586" s="116"/>
      <c r="I586" s="116"/>
      <c r="L586" s="169">
        <v>42866</v>
      </c>
      <c r="M586" s="116">
        <v>387.65</v>
      </c>
      <c r="N586" s="116">
        <v>397</v>
      </c>
      <c r="O586" s="116">
        <v>386.25</v>
      </c>
      <c r="P586" s="116">
        <v>396</v>
      </c>
      <c r="Q586" s="116">
        <v>387.65</v>
      </c>
      <c r="R586">
        <v>41976</v>
      </c>
    </row>
    <row r="587" spans="1:18" x14ac:dyDescent="0.25">
      <c r="A587" s="169">
        <v>42867</v>
      </c>
      <c r="B587" s="116">
        <v>375</v>
      </c>
      <c r="C587" s="116">
        <v>360.7</v>
      </c>
      <c r="D587" s="116">
        <v>350</v>
      </c>
      <c r="E587" s="116">
        <v>375</v>
      </c>
      <c r="F587" s="116">
        <v>360.7</v>
      </c>
      <c r="G587">
        <v>30474</v>
      </c>
      <c r="H587" s="116"/>
      <c r="I587" s="116"/>
      <c r="L587" s="169">
        <v>42867</v>
      </c>
      <c r="M587" s="116">
        <v>359.8</v>
      </c>
      <c r="N587" s="116">
        <v>375.55</v>
      </c>
      <c r="O587" s="116">
        <v>343.95</v>
      </c>
      <c r="P587" s="116">
        <v>375.2</v>
      </c>
      <c r="Q587" s="116">
        <v>359.8</v>
      </c>
      <c r="R587">
        <v>138712</v>
      </c>
    </row>
    <row r="588" spans="1:18" x14ac:dyDescent="0.25">
      <c r="A588" s="169">
        <v>42870</v>
      </c>
      <c r="B588" s="116">
        <v>368.1</v>
      </c>
      <c r="C588" s="116">
        <v>366.25</v>
      </c>
      <c r="D588" s="116">
        <v>352.2</v>
      </c>
      <c r="E588" s="116">
        <v>356.05</v>
      </c>
      <c r="F588" s="116">
        <v>366.25</v>
      </c>
      <c r="G588">
        <v>10204</v>
      </c>
      <c r="H588" s="116"/>
      <c r="I588" s="116"/>
      <c r="L588" s="169">
        <v>42870</v>
      </c>
      <c r="M588" s="116">
        <v>365.7</v>
      </c>
      <c r="N588" s="116">
        <v>368.55</v>
      </c>
      <c r="O588" s="116">
        <v>351.45</v>
      </c>
      <c r="P588" s="116">
        <v>360</v>
      </c>
      <c r="Q588" s="116">
        <v>365.7</v>
      </c>
      <c r="R588">
        <v>36115</v>
      </c>
    </row>
    <row r="589" spans="1:18" x14ac:dyDescent="0.25">
      <c r="A589" s="169">
        <v>42871</v>
      </c>
      <c r="B589" s="116">
        <v>370</v>
      </c>
      <c r="C589" s="116">
        <v>369.2</v>
      </c>
      <c r="D589" s="116">
        <v>362.85</v>
      </c>
      <c r="E589" s="116">
        <v>363.5</v>
      </c>
      <c r="F589" s="116">
        <v>369.2</v>
      </c>
      <c r="G589">
        <v>3821</v>
      </c>
      <c r="H589" s="116"/>
      <c r="I589" s="116"/>
      <c r="L589" s="169">
        <v>42871</v>
      </c>
      <c r="M589" s="116">
        <v>369.2</v>
      </c>
      <c r="N589" s="116">
        <v>370</v>
      </c>
      <c r="O589" s="116">
        <v>361.45</v>
      </c>
      <c r="P589" s="116">
        <v>362.5</v>
      </c>
      <c r="Q589" s="116">
        <v>369.2</v>
      </c>
      <c r="R589">
        <v>26854</v>
      </c>
    </row>
    <row r="590" spans="1:18" x14ac:dyDescent="0.25">
      <c r="A590" s="169">
        <v>42872</v>
      </c>
      <c r="B590" s="116">
        <v>377.9</v>
      </c>
      <c r="C590" s="116">
        <v>375.25</v>
      </c>
      <c r="D590" s="116">
        <v>363.35</v>
      </c>
      <c r="E590" s="116">
        <v>367.5</v>
      </c>
      <c r="F590" s="116">
        <v>375.25</v>
      </c>
      <c r="G590">
        <v>4136</v>
      </c>
      <c r="H590" s="116"/>
      <c r="I590" s="116"/>
      <c r="L590" s="169">
        <v>42872</v>
      </c>
      <c r="M590" s="116">
        <v>376.05</v>
      </c>
      <c r="N590" s="116">
        <v>377</v>
      </c>
      <c r="O590" s="116">
        <v>367.05</v>
      </c>
      <c r="P590" s="116">
        <v>370.95</v>
      </c>
      <c r="Q590" s="116">
        <v>376.05</v>
      </c>
      <c r="R590">
        <v>21049</v>
      </c>
    </row>
    <row r="591" spans="1:18" x14ac:dyDescent="0.25">
      <c r="A591" s="169">
        <v>42873</v>
      </c>
      <c r="B591" s="116">
        <v>373</v>
      </c>
      <c r="C591" s="116">
        <v>363.7</v>
      </c>
      <c r="D591" s="116">
        <v>360.7</v>
      </c>
      <c r="E591" s="116">
        <v>370.7</v>
      </c>
      <c r="F591" s="116">
        <v>363.7</v>
      </c>
      <c r="G591">
        <v>4661</v>
      </c>
      <c r="H591" s="116"/>
      <c r="I591" s="116"/>
      <c r="L591" s="169">
        <v>42873</v>
      </c>
      <c r="M591" s="116">
        <v>364.05</v>
      </c>
      <c r="N591" s="116">
        <v>374</v>
      </c>
      <c r="O591" s="116">
        <v>362.5</v>
      </c>
      <c r="P591" s="116">
        <v>374</v>
      </c>
      <c r="Q591" s="116">
        <v>364.05</v>
      </c>
      <c r="R591">
        <v>18162</v>
      </c>
    </row>
    <row r="592" spans="1:18" x14ac:dyDescent="0.25">
      <c r="A592" s="169">
        <v>42874</v>
      </c>
      <c r="B592" s="116">
        <v>381.9</v>
      </c>
      <c r="C592" s="116">
        <v>376.25</v>
      </c>
      <c r="D592" s="116">
        <v>368</v>
      </c>
      <c r="E592" s="116">
        <v>368</v>
      </c>
      <c r="F592" s="116">
        <v>376.25</v>
      </c>
      <c r="G592">
        <v>18860</v>
      </c>
      <c r="H592" s="116"/>
      <c r="I592" s="116"/>
      <c r="L592" s="169">
        <v>42874</v>
      </c>
      <c r="M592" s="116">
        <v>376.25</v>
      </c>
      <c r="N592" s="116">
        <v>382</v>
      </c>
      <c r="O592" s="116">
        <v>368.6</v>
      </c>
      <c r="P592" s="116">
        <v>373.85</v>
      </c>
      <c r="Q592" s="116">
        <v>376.25</v>
      </c>
      <c r="R592">
        <v>55199</v>
      </c>
    </row>
    <row r="593" spans="1:18" x14ac:dyDescent="0.25">
      <c r="A593" s="169">
        <v>42877</v>
      </c>
      <c r="B593" s="116">
        <v>380</v>
      </c>
      <c r="C593" s="116">
        <v>369.75</v>
      </c>
      <c r="D593" s="116">
        <v>368</v>
      </c>
      <c r="E593" s="116">
        <v>379.8</v>
      </c>
      <c r="F593" s="116">
        <v>369.75</v>
      </c>
      <c r="G593">
        <v>3032</v>
      </c>
      <c r="H593" s="116"/>
      <c r="I593" s="116"/>
      <c r="L593" s="169">
        <v>42877</v>
      </c>
      <c r="M593" s="116">
        <v>370.4</v>
      </c>
      <c r="N593" s="116">
        <v>380.65</v>
      </c>
      <c r="O593" s="116">
        <v>366.95</v>
      </c>
      <c r="P593" s="116">
        <v>379.8</v>
      </c>
      <c r="Q593" s="116">
        <v>370.4</v>
      </c>
      <c r="R593">
        <v>23599</v>
      </c>
    </row>
    <row r="594" spans="1:18" x14ac:dyDescent="0.25">
      <c r="A594" s="169">
        <v>42878</v>
      </c>
      <c r="B594" s="116">
        <v>374.7</v>
      </c>
      <c r="C594" s="116">
        <v>369.85</v>
      </c>
      <c r="D594" s="116">
        <v>357</v>
      </c>
      <c r="E594" s="116">
        <v>366.35</v>
      </c>
      <c r="F594" s="116">
        <v>369.85</v>
      </c>
      <c r="G594">
        <v>2606</v>
      </c>
      <c r="H594" s="116"/>
      <c r="I594" s="116"/>
      <c r="L594" s="169">
        <v>42878</v>
      </c>
      <c r="M594" s="116">
        <v>369.15</v>
      </c>
      <c r="N594" s="116">
        <v>373</v>
      </c>
      <c r="O594" s="116">
        <v>356.75</v>
      </c>
      <c r="P594" s="116">
        <v>365.1</v>
      </c>
      <c r="Q594" s="116">
        <v>369.15</v>
      </c>
      <c r="R594">
        <v>14848</v>
      </c>
    </row>
    <row r="595" spans="1:18" x14ac:dyDescent="0.25">
      <c r="A595" s="169">
        <v>42879</v>
      </c>
      <c r="B595" s="116">
        <v>375</v>
      </c>
      <c r="C595" s="116">
        <v>356</v>
      </c>
      <c r="D595" s="116">
        <v>346.55</v>
      </c>
      <c r="E595" s="116">
        <v>375</v>
      </c>
      <c r="F595" s="116">
        <v>356</v>
      </c>
      <c r="G595">
        <v>6959</v>
      </c>
      <c r="H595" s="116"/>
      <c r="I595" s="116"/>
      <c r="L595" s="169">
        <v>42879</v>
      </c>
      <c r="M595" s="116">
        <v>347.5</v>
      </c>
      <c r="N595" s="116">
        <v>369</v>
      </c>
      <c r="O595" s="116">
        <v>344</v>
      </c>
      <c r="P595" s="116">
        <v>369</v>
      </c>
      <c r="Q595" s="116">
        <v>347.5</v>
      </c>
      <c r="R595">
        <v>31675</v>
      </c>
    </row>
    <row r="596" spans="1:18" x14ac:dyDescent="0.25">
      <c r="A596" s="169">
        <v>42880</v>
      </c>
      <c r="B596" s="116">
        <v>367</v>
      </c>
      <c r="C596" s="116">
        <v>364.55</v>
      </c>
      <c r="D596" s="116">
        <v>351.1</v>
      </c>
      <c r="E596" s="116">
        <v>353.55</v>
      </c>
      <c r="F596" s="116">
        <v>364.55</v>
      </c>
      <c r="G596">
        <v>5372</v>
      </c>
      <c r="H596" s="116"/>
      <c r="I596" s="116"/>
      <c r="L596" s="169">
        <v>42880</v>
      </c>
      <c r="M596" s="116">
        <v>363.25</v>
      </c>
      <c r="N596" s="116">
        <v>368</v>
      </c>
      <c r="O596" s="116">
        <v>347</v>
      </c>
      <c r="P596" s="116">
        <v>355.95</v>
      </c>
      <c r="Q596" s="116">
        <v>363.25</v>
      </c>
      <c r="R596">
        <v>17518</v>
      </c>
    </row>
    <row r="597" spans="1:18" x14ac:dyDescent="0.25">
      <c r="A597" s="169">
        <v>42881</v>
      </c>
      <c r="B597" s="116">
        <v>363.8</v>
      </c>
      <c r="C597" s="116">
        <v>356.2</v>
      </c>
      <c r="D597" s="116">
        <v>355</v>
      </c>
      <c r="E597" s="116">
        <v>360</v>
      </c>
      <c r="F597" s="116">
        <v>356.2</v>
      </c>
      <c r="G597">
        <v>1334</v>
      </c>
      <c r="H597" s="116"/>
      <c r="I597" s="116"/>
      <c r="L597" s="169">
        <v>42881</v>
      </c>
      <c r="M597" s="116">
        <v>354.4</v>
      </c>
      <c r="N597" s="116">
        <v>369.9</v>
      </c>
      <c r="O597" s="116">
        <v>349.8</v>
      </c>
      <c r="P597" s="116">
        <v>369.9</v>
      </c>
      <c r="Q597" s="116">
        <v>354.4</v>
      </c>
      <c r="R597">
        <v>8866</v>
      </c>
    </row>
    <row r="598" spans="1:18" x14ac:dyDescent="0.25">
      <c r="A598" s="169">
        <v>42884</v>
      </c>
      <c r="B598" s="116">
        <v>362.25</v>
      </c>
      <c r="C598" s="116">
        <v>359.4</v>
      </c>
      <c r="D598" s="116">
        <v>341</v>
      </c>
      <c r="E598" s="116">
        <v>355</v>
      </c>
      <c r="F598" s="116">
        <v>359.4</v>
      </c>
      <c r="G598">
        <v>11046</v>
      </c>
      <c r="H598" s="116"/>
      <c r="I598" s="116"/>
      <c r="L598" s="169">
        <v>42884</v>
      </c>
      <c r="M598" s="116">
        <v>359.9</v>
      </c>
      <c r="N598" s="116">
        <v>361.9</v>
      </c>
      <c r="O598" s="116">
        <v>345</v>
      </c>
      <c r="P598" s="116">
        <v>359.45</v>
      </c>
      <c r="Q598" s="116">
        <v>359.9</v>
      </c>
      <c r="R598">
        <v>19954</v>
      </c>
    </row>
    <row r="599" spans="1:18" x14ac:dyDescent="0.25">
      <c r="A599" s="169">
        <v>42885</v>
      </c>
      <c r="B599" s="116">
        <v>365</v>
      </c>
      <c r="C599" s="116">
        <v>351.6</v>
      </c>
      <c r="D599" s="116">
        <v>349.7</v>
      </c>
      <c r="E599" s="116">
        <v>349.8</v>
      </c>
      <c r="F599" s="116">
        <v>351.6</v>
      </c>
      <c r="G599">
        <v>1876</v>
      </c>
      <c r="H599" s="116"/>
      <c r="I599" s="116"/>
      <c r="L599" s="169">
        <v>42885</v>
      </c>
      <c r="M599" s="116">
        <v>351.4</v>
      </c>
      <c r="N599" s="116">
        <v>355.9</v>
      </c>
      <c r="O599" s="116">
        <v>350</v>
      </c>
      <c r="P599" s="116">
        <v>352.75</v>
      </c>
      <c r="Q599" s="116">
        <v>351.4</v>
      </c>
      <c r="R599">
        <v>7834</v>
      </c>
    </row>
    <row r="600" spans="1:18" x14ac:dyDescent="0.25">
      <c r="A600" s="169">
        <v>42886</v>
      </c>
      <c r="B600" s="116">
        <v>360</v>
      </c>
      <c r="C600" s="116">
        <v>354.3</v>
      </c>
      <c r="D600" s="116">
        <v>351</v>
      </c>
      <c r="E600" s="116">
        <v>360</v>
      </c>
      <c r="F600" s="116">
        <v>354.3</v>
      </c>
      <c r="G600">
        <v>867</v>
      </c>
      <c r="H600" s="116"/>
      <c r="I600" s="116"/>
      <c r="L600" s="169">
        <v>42886</v>
      </c>
      <c r="M600" s="116">
        <v>355.5</v>
      </c>
      <c r="N600" s="116">
        <v>357.9</v>
      </c>
      <c r="O600" s="116">
        <v>351.8</v>
      </c>
      <c r="P600" s="116">
        <v>352.1</v>
      </c>
      <c r="Q600" s="116">
        <v>355.5</v>
      </c>
      <c r="R600">
        <v>4494</v>
      </c>
    </row>
    <row r="601" spans="1:18" x14ac:dyDescent="0.25">
      <c r="A601" s="169">
        <v>42887</v>
      </c>
      <c r="B601" s="116">
        <v>357.45</v>
      </c>
      <c r="C601" s="116">
        <v>352.1</v>
      </c>
      <c r="D601" s="116">
        <v>351.5</v>
      </c>
      <c r="E601" s="116">
        <v>357.4</v>
      </c>
      <c r="F601" s="116">
        <v>352.1</v>
      </c>
      <c r="G601">
        <v>1542</v>
      </c>
      <c r="H601" s="116"/>
      <c r="I601" s="116"/>
      <c r="L601" s="169">
        <v>42887</v>
      </c>
      <c r="M601" s="116">
        <v>351.2</v>
      </c>
      <c r="N601" s="116">
        <v>363.05</v>
      </c>
      <c r="O601" s="116">
        <v>351</v>
      </c>
      <c r="P601" s="116">
        <v>362.8</v>
      </c>
      <c r="Q601" s="116">
        <v>351.2</v>
      </c>
      <c r="R601">
        <v>11770</v>
      </c>
    </row>
    <row r="602" spans="1:18" x14ac:dyDescent="0.25">
      <c r="A602" s="169">
        <v>42888</v>
      </c>
      <c r="B602" s="116">
        <v>356.6</v>
      </c>
      <c r="C602" s="116">
        <v>350.35</v>
      </c>
      <c r="D602" s="116">
        <v>350</v>
      </c>
      <c r="E602" s="116">
        <v>352</v>
      </c>
      <c r="F602" s="116">
        <v>350.35</v>
      </c>
      <c r="G602">
        <v>2745</v>
      </c>
      <c r="H602" s="116"/>
      <c r="I602" s="116"/>
      <c r="L602" s="169">
        <v>42888</v>
      </c>
      <c r="M602" s="116">
        <v>351.25</v>
      </c>
      <c r="N602" s="116">
        <v>357.25</v>
      </c>
      <c r="O602" s="116">
        <v>350.05</v>
      </c>
      <c r="P602" s="116">
        <v>352.7</v>
      </c>
      <c r="Q602" s="116">
        <v>351.25</v>
      </c>
      <c r="R602">
        <v>11570</v>
      </c>
    </row>
    <row r="603" spans="1:18" x14ac:dyDescent="0.25">
      <c r="A603" s="169">
        <v>42891</v>
      </c>
      <c r="B603" s="116">
        <v>352</v>
      </c>
      <c r="C603" s="116">
        <v>349.4</v>
      </c>
      <c r="D603" s="116">
        <v>347</v>
      </c>
      <c r="E603" s="116">
        <v>351.6</v>
      </c>
      <c r="F603" s="116">
        <v>349.4</v>
      </c>
      <c r="G603">
        <v>1402</v>
      </c>
      <c r="H603" s="116"/>
      <c r="I603" s="116"/>
      <c r="L603" s="169">
        <v>42891</v>
      </c>
      <c r="M603" s="116">
        <v>348.2</v>
      </c>
      <c r="N603" s="116">
        <v>350</v>
      </c>
      <c r="O603" s="116">
        <v>345.2</v>
      </c>
      <c r="P603" s="116">
        <v>350</v>
      </c>
      <c r="Q603" s="116">
        <v>348.2</v>
      </c>
      <c r="R603">
        <v>12377</v>
      </c>
    </row>
    <row r="604" spans="1:18" x14ac:dyDescent="0.25">
      <c r="A604" s="169">
        <v>42892</v>
      </c>
      <c r="B604" s="116">
        <v>360</v>
      </c>
      <c r="C604" s="116">
        <v>356.9</v>
      </c>
      <c r="D604" s="116">
        <v>348</v>
      </c>
      <c r="E604" s="116">
        <v>348</v>
      </c>
      <c r="F604" s="116">
        <v>356.9</v>
      </c>
      <c r="G604">
        <v>1844</v>
      </c>
      <c r="H604" s="116"/>
      <c r="I604" s="116"/>
      <c r="L604" s="169">
        <v>42892</v>
      </c>
      <c r="M604" s="116">
        <v>361.6</v>
      </c>
      <c r="N604" s="116">
        <v>364</v>
      </c>
      <c r="O604" s="116">
        <v>346.05</v>
      </c>
      <c r="P604" s="116">
        <v>348.2</v>
      </c>
      <c r="Q604" s="116">
        <v>361.6</v>
      </c>
      <c r="R604">
        <v>19456</v>
      </c>
    </row>
    <row r="605" spans="1:18" x14ac:dyDescent="0.25">
      <c r="A605" s="169">
        <v>42893</v>
      </c>
      <c r="B605" s="116">
        <v>358.3</v>
      </c>
      <c r="C605" s="116">
        <v>350.6</v>
      </c>
      <c r="D605" s="116">
        <v>349.15</v>
      </c>
      <c r="E605" s="116">
        <v>357.2</v>
      </c>
      <c r="F605" s="116">
        <v>350.6</v>
      </c>
      <c r="G605">
        <v>847</v>
      </c>
      <c r="H605" s="116"/>
      <c r="I605" s="116"/>
      <c r="L605" s="169">
        <v>42893</v>
      </c>
      <c r="M605" s="116">
        <v>351.65</v>
      </c>
      <c r="N605" s="116">
        <v>357.65</v>
      </c>
      <c r="O605" s="116">
        <v>351</v>
      </c>
      <c r="P605" s="116">
        <v>355</v>
      </c>
      <c r="Q605" s="116">
        <v>351.65</v>
      </c>
      <c r="R605">
        <v>4690</v>
      </c>
    </row>
    <row r="606" spans="1:18" x14ac:dyDescent="0.25">
      <c r="A606" s="169">
        <v>42894</v>
      </c>
      <c r="B606" s="116">
        <v>354.1</v>
      </c>
      <c r="C606" s="116">
        <v>354.1</v>
      </c>
      <c r="D606" s="116">
        <v>350.6</v>
      </c>
      <c r="E606" s="116">
        <v>351.5</v>
      </c>
      <c r="F606" s="116">
        <v>354.1</v>
      </c>
      <c r="G606">
        <v>495</v>
      </c>
      <c r="H606" s="116"/>
      <c r="I606" s="116"/>
      <c r="L606" s="169">
        <v>42894</v>
      </c>
      <c r="M606" s="116">
        <v>353.7</v>
      </c>
      <c r="N606" s="116">
        <v>355.85</v>
      </c>
      <c r="O606" s="116">
        <v>350</v>
      </c>
      <c r="P606" s="116">
        <v>355.85</v>
      </c>
      <c r="Q606" s="116">
        <v>353.7</v>
      </c>
      <c r="R606">
        <v>5244</v>
      </c>
    </row>
    <row r="607" spans="1:18" x14ac:dyDescent="0.25">
      <c r="A607" s="169">
        <v>42895</v>
      </c>
      <c r="B607" s="116">
        <v>362.6</v>
      </c>
      <c r="C607" s="116">
        <v>356.25</v>
      </c>
      <c r="D607" s="116">
        <v>350</v>
      </c>
      <c r="E607" s="116">
        <v>354.75</v>
      </c>
      <c r="F607" s="116">
        <v>356.25</v>
      </c>
      <c r="G607">
        <v>5620</v>
      </c>
      <c r="H607" s="116"/>
      <c r="I607" s="116"/>
      <c r="L607" s="169">
        <v>42895</v>
      </c>
      <c r="M607" s="116">
        <v>359.35</v>
      </c>
      <c r="N607" s="116">
        <v>364</v>
      </c>
      <c r="O607" s="116">
        <v>350.05</v>
      </c>
      <c r="P607" s="116">
        <v>350.5</v>
      </c>
      <c r="Q607" s="116">
        <v>359.35</v>
      </c>
      <c r="R607">
        <v>29487</v>
      </c>
    </row>
    <row r="608" spans="1:18" x14ac:dyDescent="0.25">
      <c r="A608" s="169">
        <v>42898</v>
      </c>
      <c r="B608" s="116">
        <v>362.9</v>
      </c>
      <c r="C608" s="116">
        <v>356.95</v>
      </c>
      <c r="D608" s="116">
        <v>350</v>
      </c>
      <c r="E608" s="116">
        <v>356</v>
      </c>
      <c r="F608" s="116">
        <v>356.95</v>
      </c>
      <c r="G608">
        <v>2238</v>
      </c>
      <c r="H608" s="116"/>
      <c r="I608" s="116"/>
      <c r="L608" s="169">
        <v>42898</v>
      </c>
      <c r="M608" s="116">
        <v>358.5</v>
      </c>
      <c r="N608" s="116">
        <v>364</v>
      </c>
      <c r="O608" s="116">
        <v>350.6</v>
      </c>
      <c r="P608" s="116">
        <v>350.6</v>
      </c>
      <c r="Q608" s="116">
        <v>358.5</v>
      </c>
      <c r="R608">
        <v>13510</v>
      </c>
    </row>
    <row r="609" spans="1:18" x14ac:dyDescent="0.25">
      <c r="A609" s="169">
        <v>42899</v>
      </c>
      <c r="B609" s="116">
        <v>357.05</v>
      </c>
      <c r="C609" s="116">
        <v>351.1</v>
      </c>
      <c r="D609" s="116">
        <v>350.25</v>
      </c>
      <c r="E609" s="116">
        <v>354.65</v>
      </c>
      <c r="F609" s="116">
        <v>351.1</v>
      </c>
      <c r="G609">
        <v>1811</v>
      </c>
      <c r="H609" s="116"/>
      <c r="I609" s="116"/>
      <c r="L609" s="169">
        <v>42899</v>
      </c>
      <c r="M609" s="116">
        <v>350.2</v>
      </c>
      <c r="N609" s="116">
        <v>358</v>
      </c>
      <c r="O609" s="116">
        <v>349</v>
      </c>
      <c r="P609" s="116">
        <v>355</v>
      </c>
      <c r="Q609" s="116">
        <v>350.2</v>
      </c>
      <c r="R609">
        <v>8978</v>
      </c>
    </row>
    <row r="610" spans="1:18" x14ac:dyDescent="0.25">
      <c r="A610" s="169">
        <v>42900</v>
      </c>
      <c r="B610" s="116">
        <v>354.85</v>
      </c>
      <c r="C610" s="116">
        <v>349.7</v>
      </c>
      <c r="D610" s="116">
        <v>348.25</v>
      </c>
      <c r="E610" s="116">
        <v>350.1</v>
      </c>
      <c r="F610" s="116">
        <v>349.7</v>
      </c>
      <c r="G610">
        <v>1165</v>
      </c>
      <c r="H610" s="116"/>
      <c r="I610" s="116"/>
      <c r="L610" s="169">
        <v>42900</v>
      </c>
      <c r="M610" s="116">
        <v>349.3</v>
      </c>
      <c r="N610" s="116">
        <v>354.6</v>
      </c>
      <c r="O610" s="116">
        <v>346</v>
      </c>
      <c r="P610" s="116">
        <v>350.7</v>
      </c>
      <c r="Q610" s="116">
        <v>349.3</v>
      </c>
      <c r="R610">
        <v>7546</v>
      </c>
    </row>
    <row r="611" spans="1:18" x14ac:dyDescent="0.25">
      <c r="A611" s="169">
        <v>42901</v>
      </c>
      <c r="B611" s="116">
        <v>350</v>
      </c>
      <c r="C611" s="116">
        <v>344.85</v>
      </c>
      <c r="D611" s="116">
        <v>342.3</v>
      </c>
      <c r="E611" s="116">
        <v>347</v>
      </c>
      <c r="F611" s="116">
        <v>344.85</v>
      </c>
      <c r="G611">
        <v>2693</v>
      </c>
      <c r="H611" s="116"/>
      <c r="I611" s="116"/>
      <c r="L611" s="169">
        <v>42901</v>
      </c>
      <c r="M611" s="116">
        <v>343.6</v>
      </c>
      <c r="N611" s="116">
        <v>352.8</v>
      </c>
      <c r="O611" s="116">
        <v>342</v>
      </c>
      <c r="P611" s="116">
        <v>352.8</v>
      </c>
      <c r="Q611" s="116">
        <v>343.6</v>
      </c>
      <c r="R611">
        <v>20082</v>
      </c>
    </row>
    <row r="612" spans="1:18" x14ac:dyDescent="0.25">
      <c r="A612" s="169">
        <v>42902</v>
      </c>
      <c r="B612" s="116">
        <v>348</v>
      </c>
      <c r="C612" s="116">
        <v>344.95</v>
      </c>
      <c r="D612" s="116">
        <v>342.25</v>
      </c>
      <c r="E612" s="116">
        <v>346</v>
      </c>
      <c r="F612" s="116">
        <v>344.95</v>
      </c>
      <c r="G612">
        <v>9529</v>
      </c>
      <c r="H612" s="116"/>
      <c r="I612" s="116"/>
      <c r="L612" s="169">
        <v>42902</v>
      </c>
      <c r="M612" s="116">
        <v>343.4</v>
      </c>
      <c r="N612" s="116">
        <v>348</v>
      </c>
      <c r="O612" s="116">
        <v>341.05</v>
      </c>
      <c r="P612" s="116">
        <v>345</v>
      </c>
      <c r="Q612" s="116">
        <v>343.4</v>
      </c>
      <c r="R612">
        <v>48619</v>
      </c>
    </row>
    <row r="613" spans="1:18" x14ac:dyDescent="0.25">
      <c r="A613" s="169">
        <v>42905</v>
      </c>
      <c r="B613" s="116">
        <v>346.7</v>
      </c>
      <c r="C613" s="116">
        <v>343.35</v>
      </c>
      <c r="D613" s="116">
        <v>338.05</v>
      </c>
      <c r="E613" s="116">
        <v>345.35</v>
      </c>
      <c r="F613" s="116">
        <v>343.35</v>
      </c>
      <c r="G613">
        <v>3670</v>
      </c>
      <c r="H613" s="116"/>
      <c r="I613" s="116"/>
      <c r="L613" s="169">
        <v>42905</v>
      </c>
      <c r="M613" s="116">
        <v>343.1</v>
      </c>
      <c r="N613" s="116">
        <v>346.1</v>
      </c>
      <c r="O613" s="116">
        <v>336.1</v>
      </c>
      <c r="P613" s="116">
        <v>340</v>
      </c>
      <c r="Q613" s="116">
        <v>343.1</v>
      </c>
      <c r="R613">
        <v>23381</v>
      </c>
    </row>
    <row r="614" spans="1:18" x14ac:dyDescent="0.25">
      <c r="A614" s="169">
        <v>42906</v>
      </c>
      <c r="B614" s="116">
        <v>345</v>
      </c>
      <c r="C614" s="116">
        <v>339.4</v>
      </c>
      <c r="D614" s="116">
        <v>336.95</v>
      </c>
      <c r="E614" s="116">
        <v>345</v>
      </c>
      <c r="F614" s="116">
        <v>339.4</v>
      </c>
      <c r="G614">
        <v>6622</v>
      </c>
      <c r="H614" s="116"/>
      <c r="I614" s="116"/>
      <c r="L614" s="169">
        <v>42906</v>
      </c>
      <c r="M614" s="116">
        <v>341.05</v>
      </c>
      <c r="N614" s="116">
        <v>346.5</v>
      </c>
      <c r="O614" s="116">
        <v>337.4</v>
      </c>
      <c r="P614" s="116">
        <v>344.05</v>
      </c>
      <c r="Q614" s="116">
        <v>341.05</v>
      </c>
      <c r="R614">
        <v>12888</v>
      </c>
    </row>
    <row r="615" spans="1:18" x14ac:dyDescent="0.25">
      <c r="A615" s="169">
        <v>42907</v>
      </c>
      <c r="B615" s="116">
        <v>342.95</v>
      </c>
      <c r="C615" s="116">
        <v>335.4</v>
      </c>
      <c r="D615" s="116">
        <v>332.55</v>
      </c>
      <c r="E615" s="116">
        <v>342.95</v>
      </c>
      <c r="F615" s="116">
        <v>335.4</v>
      </c>
      <c r="G615">
        <v>10292</v>
      </c>
      <c r="H615" s="116"/>
      <c r="I615" s="116"/>
      <c r="L615" s="169">
        <v>42907</v>
      </c>
      <c r="M615" s="116">
        <v>336.7</v>
      </c>
      <c r="N615" s="116">
        <v>343.5</v>
      </c>
      <c r="O615" s="116">
        <v>333.2</v>
      </c>
      <c r="P615" s="116">
        <v>336.2</v>
      </c>
      <c r="Q615" s="116">
        <v>336.7</v>
      </c>
      <c r="R615">
        <v>60940</v>
      </c>
    </row>
    <row r="616" spans="1:18" x14ac:dyDescent="0.25">
      <c r="A616" s="169">
        <v>42908</v>
      </c>
      <c r="B616" s="116">
        <v>340</v>
      </c>
      <c r="C616" s="116">
        <v>333.2</v>
      </c>
      <c r="D616" s="116">
        <v>332.3</v>
      </c>
      <c r="E616" s="116">
        <v>332.3</v>
      </c>
      <c r="F616" s="116">
        <v>333.2</v>
      </c>
      <c r="G616">
        <v>2916</v>
      </c>
      <c r="H616" s="116"/>
      <c r="I616" s="116"/>
      <c r="L616" s="169">
        <v>42908</v>
      </c>
      <c r="M616" s="116">
        <v>335.2</v>
      </c>
      <c r="N616" s="116">
        <v>340</v>
      </c>
      <c r="O616" s="116">
        <v>331.15</v>
      </c>
      <c r="P616" s="116">
        <v>335.1</v>
      </c>
      <c r="Q616" s="116">
        <v>335.2</v>
      </c>
      <c r="R616">
        <v>21064</v>
      </c>
    </row>
    <row r="617" spans="1:18" x14ac:dyDescent="0.25">
      <c r="A617" s="169">
        <v>42909</v>
      </c>
      <c r="B617" s="116">
        <v>339</v>
      </c>
      <c r="C617" s="116">
        <v>329.45</v>
      </c>
      <c r="D617" s="116">
        <v>326</v>
      </c>
      <c r="E617" s="116">
        <v>333.35</v>
      </c>
      <c r="F617" s="116">
        <v>329.45</v>
      </c>
      <c r="G617">
        <v>5242</v>
      </c>
      <c r="H617" s="116"/>
      <c r="I617" s="116"/>
      <c r="L617" s="169">
        <v>42909</v>
      </c>
      <c r="M617" s="116">
        <v>327.8</v>
      </c>
      <c r="N617" s="116">
        <v>337</v>
      </c>
      <c r="O617" s="116">
        <v>326</v>
      </c>
      <c r="P617" s="116">
        <v>335</v>
      </c>
      <c r="Q617" s="116">
        <v>327.8</v>
      </c>
      <c r="R617">
        <v>11688</v>
      </c>
    </row>
    <row r="618" spans="1:18" x14ac:dyDescent="0.25">
      <c r="A618" s="169">
        <v>42913</v>
      </c>
      <c r="B618" s="116">
        <v>341.95</v>
      </c>
      <c r="C618" s="116">
        <v>330.35</v>
      </c>
      <c r="D618" s="116">
        <v>328</v>
      </c>
      <c r="E618" s="116">
        <v>330</v>
      </c>
      <c r="F618" s="116">
        <v>330.35</v>
      </c>
      <c r="G618">
        <v>5637</v>
      </c>
      <c r="H618" s="116"/>
      <c r="I618" s="116"/>
      <c r="L618" s="169">
        <v>42913</v>
      </c>
      <c r="M618" s="116">
        <v>332.5</v>
      </c>
      <c r="N618" s="116">
        <v>333</v>
      </c>
      <c r="O618" s="116">
        <v>328</v>
      </c>
      <c r="P618" s="116">
        <v>329.65</v>
      </c>
      <c r="Q618" s="116">
        <v>332.5</v>
      </c>
      <c r="R618">
        <v>16811</v>
      </c>
    </row>
    <row r="619" spans="1:18" x14ac:dyDescent="0.25">
      <c r="A619" s="169">
        <v>42914</v>
      </c>
      <c r="B619" s="116">
        <v>337.5</v>
      </c>
      <c r="C619" s="116">
        <v>328.55</v>
      </c>
      <c r="D619" s="116">
        <v>320</v>
      </c>
      <c r="E619" s="116">
        <v>330.95</v>
      </c>
      <c r="F619" s="116">
        <v>328.55</v>
      </c>
      <c r="G619">
        <v>1810</v>
      </c>
      <c r="H619" s="116"/>
      <c r="I619" s="116"/>
      <c r="L619" s="169">
        <v>42914</v>
      </c>
      <c r="M619" s="116">
        <v>328.8</v>
      </c>
      <c r="N619" s="116">
        <v>338.35</v>
      </c>
      <c r="O619" s="116">
        <v>325</v>
      </c>
      <c r="P619" s="116">
        <v>332.1</v>
      </c>
      <c r="Q619" s="116">
        <v>328.8</v>
      </c>
      <c r="R619">
        <v>10296</v>
      </c>
    </row>
    <row r="620" spans="1:18" x14ac:dyDescent="0.25">
      <c r="A620" s="169">
        <v>42915</v>
      </c>
      <c r="B620" s="116">
        <v>340</v>
      </c>
      <c r="C620" s="116">
        <v>336.95</v>
      </c>
      <c r="D620" s="116">
        <v>328</v>
      </c>
      <c r="E620" s="116">
        <v>328</v>
      </c>
      <c r="F620" s="116">
        <v>336.95</v>
      </c>
      <c r="G620">
        <v>1944</v>
      </c>
      <c r="H620" s="116"/>
      <c r="I620" s="116"/>
      <c r="L620" s="169">
        <v>42915</v>
      </c>
      <c r="M620" s="116">
        <v>337.6</v>
      </c>
      <c r="N620" s="116">
        <v>344</v>
      </c>
      <c r="O620" s="116">
        <v>326</v>
      </c>
      <c r="P620" s="116">
        <v>333.8</v>
      </c>
      <c r="Q620" s="116">
        <v>337.6</v>
      </c>
      <c r="R620">
        <v>19456</v>
      </c>
    </row>
    <row r="621" spans="1:18" x14ac:dyDescent="0.25">
      <c r="A621" s="169">
        <v>42916</v>
      </c>
      <c r="B621" s="116">
        <v>340</v>
      </c>
      <c r="C621" s="116">
        <v>336.3</v>
      </c>
      <c r="D621" s="116">
        <v>334.3</v>
      </c>
      <c r="E621" s="116">
        <v>338.8</v>
      </c>
      <c r="F621" s="116">
        <v>336.3</v>
      </c>
      <c r="G621">
        <v>2289</v>
      </c>
      <c r="H621" s="116"/>
      <c r="I621" s="116"/>
      <c r="L621" s="169">
        <v>42916</v>
      </c>
      <c r="M621" s="116">
        <v>337.25</v>
      </c>
      <c r="N621" s="116">
        <v>340.65</v>
      </c>
      <c r="O621" s="116">
        <v>331</v>
      </c>
      <c r="P621" s="116">
        <v>340.65</v>
      </c>
      <c r="Q621" s="116">
        <v>337.25</v>
      </c>
      <c r="R621">
        <v>19064</v>
      </c>
    </row>
    <row r="622" spans="1:18" x14ac:dyDescent="0.25">
      <c r="A622" s="169">
        <v>42919</v>
      </c>
      <c r="B622" s="116">
        <v>339</v>
      </c>
      <c r="C622" s="116">
        <v>334.5</v>
      </c>
      <c r="D622" s="116">
        <v>331.6</v>
      </c>
      <c r="E622" s="116">
        <v>335.75</v>
      </c>
      <c r="F622" s="116">
        <v>334.5</v>
      </c>
      <c r="G622">
        <v>3405</v>
      </c>
      <c r="H622" s="116"/>
      <c r="I622" s="116"/>
      <c r="L622" s="169">
        <v>42919</v>
      </c>
      <c r="M622" s="116">
        <v>335.5</v>
      </c>
      <c r="N622" s="116">
        <v>339</v>
      </c>
      <c r="O622" s="116">
        <v>331.5</v>
      </c>
      <c r="P622" s="116">
        <v>333.4</v>
      </c>
      <c r="Q622" s="116">
        <v>335.5</v>
      </c>
      <c r="R622">
        <v>28648</v>
      </c>
    </row>
    <row r="623" spans="1:18" x14ac:dyDescent="0.25">
      <c r="A623" s="169">
        <v>42920</v>
      </c>
      <c r="B623" s="116">
        <v>355</v>
      </c>
      <c r="C623" s="116">
        <v>336.55</v>
      </c>
      <c r="D623" s="116">
        <v>329.1</v>
      </c>
      <c r="E623" s="116">
        <v>338.8</v>
      </c>
      <c r="F623" s="116">
        <v>336.55</v>
      </c>
      <c r="G623">
        <v>1840</v>
      </c>
      <c r="H623" s="116"/>
      <c r="I623" s="116"/>
      <c r="L623" s="169">
        <v>42920</v>
      </c>
      <c r="M623" s="116">
        <v>337.55</v>
      </c>
      <c r="N623" s="116">
        <v>338.45</v>
      </c>
      <c r="O623" s="116">
        <v>332.1</v>
      </c>
      <c r="P623" s="116">
        <v>338.4</v>
      </c>
      <c r="Q623" s="116">
        <v>337.55</v>
      </c>
      <c r="R623">
        <v>14965</v>
      </c>
    </row>
    <row r="624" spans="1:18" x14ac:dyDescent="0.25">
      <c r="A624" s="169">
        <v>42921</v>
      </c>
      <c r="B624" s="116">
        <v>349.1</v>
      </c>
      <c r="C624" s="116">
        <v>341.55</v>
      </c>
      <c r="D624" s="116">
        <v>334.2</v>
      </c>
      <c r="E624" s="116">
        <v>341</v>
      </c>
      <c r="F624" s="116">
        <v>341.55</v>
      </c>
      <c r="G624">
        <v>3399</v>
      </c>
      <c r="H624" s="116"/>
      <c r="I624" s="116"/>
      <c r="L624" s="169">
        <v>42921</v>
      </c>
      <c r="M624" s="116">
        <v>337.4</v>
      </c>
      <c r="N624" s="116">
        <v>346.9</v>
      </c>
      <c r="O624" s="116">
        <v>333</v>
      </c>
      <c r="P624" s="116">
        <v>341.95</v>
      </c>
      <c r="Q624" s="116">
        <v>337.4</v>
      </c>
      <c r="R624">
        <v>26811</v>
      </c>
    </row>
    <row r="625" spans="1:18" x14ac:dyDescent="0.25">
      <c r="A625" s="169">
        <v>42922</v>
      </c>
      <c r="B625" s="116">
        <v>357.4</v>
      </c>
      <c r="C625" s="116">
        <v>352.2</v>
      </c>
      <c r="D625" s="116">
        <v>342</v>
      </c>
      <c r="E625" s="116">
        <v>342</v>
      </c>
      <c r="F625" s="116">
        <v>352.2</v>
      </c>
      <c r="G625">
        <v>3740</v>
      </c>
      <c r="H625" s="116"/>
      <c r="I625" s="116"/>
      <c r="L625" s="169">
        <v>42922</v>
      </c>
      <c r="M625" s="116">
        <v>353.1</v>
      </c>
      <c r="N625" s="116">
        <v>358</v>
      </c>
      <c r="O625" s="116">
        <v>337.8</v>
      </c>
      <c r="P625" s="116">
        <v>346</v>
      </c>
      <c r="Q625" s="116">
        <v>353.1</v>
      </c>
      <c r="R625">
        <v>50187</v>
      </c>
    </row>
    <row r="626" spans="1:18" x14ac:dyDescent="0.25">
      <c r="A626" s="169">
        <v>42923</v>
      </c>
      <c r="B626" s="116">
        <v>382</v>
      </c>
      <c r="C626" s="116">
        <v>356.25</v>
      </c>
      <c r="D626" s="116">
        <v>355</v>
      </c>
      <c r="E626" s="116">
        <v>372.3</v>
      </c>
      <c r="F626" s="116">
        <v>356.25</v>
      </c>
      <c r="G626">
        <v>49914</v>
      </c>
      <c r="H626" s="116"/>
      <c r="I626" s="116"/>
      <c r="L626" s="169">
        <v>42923</v>
      </c>
      <c r="M626" s="116">
        <v>358.15</v>
      </c>
      <c r="N626" s="116">
        <v>382.25</v>
      </c>
      <c r="O626" s="116">
        <v>355.55</v>
      </c>
      <c r="P626" s="116">
        <v>374</v>
      </c>
      <c r="Q626" s="116">
        <v>358.15</v>
      </c>
      <c r="R626">
        <v>312625</v>
      </c>
    </row>
    <row r="627" spans="1:18" x14ac:dyDescent="0.25">
      <c r="A627" s="169">
        <v>42926</v>
      </c>
      <c r="B627" s="116">
        <v>374.95</v>
      </c>
      <c r="C627" s="116">
        <v>367.7</v>
      </c>
      <c r="D627" s="116">
        <v>366.7</v>
      </c>
      <c r="E627" s="116">
        <v>370.25</v>
      </c>
      <c r="F627" s="116">
        <v>367.7</v>
      </c>
      <c r="G627">
        <v>30311</v>
      </c>
      <c r="H627" s="116"/>
      <c r="I627" s="116"/>
      <c r="L627" s="169">
        <v>42926</v>
      </c>
      <c r="M627" s="116">
        <v>368.35</v>
      </c>
      <c r="N627" s="116">
        <v>375</v>
      </c>
      <c r="O627" s="116">
        <v>360</v>
      </c>
      <c r="P627" s="116">
        <v>375</v>
      </c>
      <c r="Q627" s="116">
        <v>368.35</v>
      </c>
      <c r="R627">
        <v>18362</v>
      </c>
    </row>
    <row r="628" spans="1:18" x14ac:dyDescent="0.25">
      <c r="A628" s="169">
        <v>42927</v>
      </c>
      <c r="B628" s="116">
        <v>370</v>
      </c>
      <c r="C628" s="116">
        <v>362.65</v>
      </c>
      <c r="D628" s="116">
        <v>359.9</v>
      </c>
      <c r="E628" s="116">
        <v>370</v>
      </c>
      <c r="F628" s="116">
        <v>362.65</v>
      </c>
      <c r="G628">
        <v>6216</v>
      </c>
      <c r="H628" s="116"/>
      <c r="I628" s="116"/>
      <c r="L628" s="169">
        <v>42927</v>
      </c>
      <c r="M628" s="116">
        <v>361.45</v>
      </c>
      <c r="N628" s="116">
        <v>372.9</v>
      </c>
      <c r="O628" s="116">
        <v>358.1</v>
      </c>
      <c r="P628" s="116">
        <v>368.35</v>
      </c>
      <c r="Q628" s="116">
        <v>361.45</v>
      </c>
      <c r="R628">
        <v>41798</v>
      </c>
    </row>
    <row r="629" spans="1:18" x14ac:dyDescent="0.25">
      <c r="A629" s="169">
        <v>42928</v>
      </c>
      <c r="B629" s="116">
        <v>364.2</v>
      </c>
      <c r="C629" s="116">
        <v>359.25</v>
      </c>
      <c r="D629" s="116">
        <v>357</v>
      </c>
      <c r="E629" s="116">
        <v>363</v>
      </c>
      <c r="F629" s="116">
        <v>359.25</v>
      </c>
      <c r="G629">
        <v>4390</v>
      </c>
      <c r="H629" s="116"/>
      <c r="I629" s="116"/>
      <c r="L629" s="169">
        <v>42928</v>
      </c>
      <c r="M629" s="116">
        <v>358.65</v>
      </c>
      <c r="N629" s="116">
        <v>365</v>
      </c>
      <c r="O629" s="116">
        <v>357.35</v>
      </c>
      <c r="P629" s="116">
        <v>362</v>
      </c>
      <c r="Q629" s="116">
        <v>358.65</v>
      </c>
      <c r="R629">
        <v>29902</v>
      </c>
    </row>
    <row r="630" spans="1:18" x14ac:dyDescent="0.25">
      <c r="A630" s="169">
        <v>42929</v>
      </c>
      <c r="B630" s="116">
        <v>367.6</v>
      </c>
      <c r="C630" s="116">
        <v>364.55</v>
      </c>
      <c r="D630" s="116">
        <v>360.2</v>
      </c>
      <c r="E630" s="116">
        <v>360.2</v>
      </c>
      <c r="F630" s="116">
        <v>364.55</v>
      </c>
      <c r="G630">
        <v>5059</v>
      </c>
      <c r="H630" s="116"/>
      <c r="I630" s="116"/>
      <c r="L630" s="169">
        <v>42929</v>
      </c>
      <c r="M630" s="116">
        <v>363.85</v>
      </c>
      <c r="N630" s="116">
        <v>365.5</v>
      </c>
      <c r="O630" s="116">
        <v>358.65</v>
      </c>
      <c r="P630" s="116">
        <v>358.65</v>
      </c>
      <c r="Q630" s="116">
        <v>363.85</v>
      </c>
      <c r="R630">
        <v>25913</v>
      </c>
    </row>
    <row r="631" spans="1:18" x14ac:dyDescent="0.25">
      <c r="A631" s="169">
        <v>42930</v>
      </c>
      <c r="B631" s="116">
        <v>364.8</v>
      </c>
      <c r="C631" s="116">
        <v>360.1</v>
      </c>
      <c r="D631" s="116">
        <v>356.05</v>
      </c>
      <c r="E631" s="116">
        <v>364.8</v>
      </c>
      <c r="F631" s="116">
        <v>360.1</v>
      </c>
      <c r="G631">
        <v>2948</v>
      </c>
      <c r="H631" s="116"/>
      <c r="I631" s="116"/>
      <c r="L631" s="169">
        <v>42930</v>
      </c>
      <c r="M631" s="116">
        <v>358.9</v>
      </c>
      <c r="N631" s="116">
        <v>367</v>
      </c>
      <c r="O631" s="116">
        <v>355.9</v>
      </c>
      <c r="P631" s="116">
        <v>367</v>
      </c>
      <c r="Q631" s="116">
        <v>358.9</v>
      </c>
      <c r="R631">
        <v>23454</v>
      </c>
    </row>
    <row r="632" spans="1:18" x14ac:dyDescent="0.25">
      <c r="A632" s="169">
        <v>42933</v>
      </c>
      <c r="B632" s="116">
        <v>370</v>
      </c>
      <c r="C632" s="116">
        <v>362.15</v>
      </c>
      <c r="D632" s="116">
        <v>360</v>
      </c>
      <c r="E632" s="116">
        <v>370</v>
      </c>
      <c r="F632" s="116">
        <v>362.15</v>
      </c>
      <c r="G632">
        <v>6292</v>
      </c>
      <c r="H632" s="116"/>
      <c r="I632" s="116"/>
      <c r="L632" s="169">
        <v>42933</v>
      </c>
      <c r="M632" s="116">
        <v>362.85</v>
      </c>
      <c r="N632" s="116">
        <v>370</v>
      </c>
      <c r="O632" s="116">
        <v>357.05</v>
      </c>
      <c r="P632" s="116">
        <v>359</v>
      </c>
      <c r="Q632" s="116">
        <v>362.85</v>
      </c>
      <c r="R632">
        <v>31527</v>
      </c>
    </row>
    <row r="633" spans="1:18" x14ac:dyDescent="0.25">
      <c r="A633" s="169">
        <v>42934</v>
      </c>
      <c r="B633" s="116">
        <v>366.75</v>
      </c>
      <c r="C633" s="116">
        <v>362.35</v>
      </c>
      <c r="D633" s="116">
        <v>357.7</v>
      </c>
      <c r="E633" s="116">
        <v>358.55</v>
      </c>
      <c r="F633" s="116">
        <v>362.35</v>
      </c>
      <c r="G633">
        <v>1983</v>
      </c>
      <c r="H633" s="116"/>
      <c r="I633" s="116"/>
      <c r="L633" s="169">
        <v>42934</v>
      </c>
      <c r="M633" s="116">
        <v>361.5</v>
      </c>
      <c r="N633" s="116">
        <v>364.05</v>
      </c>
      <c r="O633" s="116">
        <v>357.1</v>
      </c>
      <c r="P633" s="116">
        <v>364.05</v>
      </c>
      <c r="Q633" s="116">
        <v>361.5</v>
      </c>
      <c r="R633">
        <v>20468</v>
      </c>
    </row>
    <row r="634" spans="1:18" x14ac:dyDescent="0.25">
      <c r="A634" s="169">
        <v>42935</v>
      </c>
      <c r="B634" s="116">
        <v>360.8</v>
      </c>
      <c r="C634" s="116">
        <v>357.1</v>
      </c>
      <c r="D634" s="116">
        <v>353.05</v>
      </c>
      <c r="E634" s="116">
        <v>360</v>
      </c>
      <c r="F634" s="116">
        <v>357.1</v>
      </c>
      <c r="G634">
        <v>3042</v>
      </c>
      <c r="H634" s="116"/>
      <c r="I634" s="116"/>
      <c r="L634" s="169">
        <v>42935</v>
      </c>
      <c r="M634" s="116">
        <v>355.9</v>
      </c>
      <c r="N634" s="116">
        <v>360.9</v>
      </c>
      <c r="O634" s="116">
        <v>339.8</v>
      </c>
      <c r="P634" s="116">
        <v>358.3</v>
      </c>
      <c r="Q634" s="116">
        <v>355.9</v>
      </c>
      <c r="R634">
        <v>20056</v>
      </c>
    </row>
    <row r="635" spans="1:18" x14ac:dyDescent="0.25">
      <c r="A635" s="169">
        <v>42936</v>
      </c>
      <c r="B635" s="116">
        <v>357.2</v>
      </c>
      <c r="C635" s="116">
        <v>352.7</v>
      </c>
      <c r="D635" s="116">
        <v>351.75</v>
      </c>
      <c r="E635" s="116">
        <v>355.4</v>
      </c>
      <c r="F635" s="116">
        <v>352.7</v>
      </c>
      <c r="G635">
        <v>3260</v>
      </c>
      <c r="H635" s="116"/>
      <c r="I635" s="116"/>
      <c r="L635" s="169">
        <v>42936</v>
      </c>
      <c r="M635" s="116">
        <v>354.6</v>
      </c>
      <c r="N635" s="116">
        <v>358.15</v>
      </c>
      <c r="O635" s="116">
        <v>353</v>
      </c>
      <c r="P635" s="116">
        <v>357.65</v>
      </c>
      <c r="Q635" s="116">
        <v>354.6</v>
      </c>
      <c r="R635">
        <v>11268</v>
      </c>
    </row>
    <row r="636" spans="1:18" x14ac:dyDescent="0.25">
      <c r="A636" s="169">
        <v>42937</v>
      </c>
      <c r="B636" s="116">
        <v>358.85</v>
      </c>
      <c r="C636" s="116">
        <v>351.7</v>
      </c>
      <c r="D636" s="116">
        <v>350.1</v>
      </c>
      <c r="E636" s="116">
        <v>357</v>
      </c>
      <c r="F636" s="116">
        <v>351.7</v>
      </c>
      <c r="G636">
        <v>5372</v>
      </c>
      <c r="H636" s="116"/>
      <c r="I636" s="116"/>
      <c r="L636" s="169">
        <v>42937</v>
      </c>
      <c r="M636" s="116">
        <v>351.65</v>
      </c>
      <c r="N636" s="116">
        <v>359</v>
      </c>
      <c r="O636" s="116">
        <v>349.05</v>
      </c>
      <c r="P636" s="116">
        <v>354.75</v>
      </c>
      <c r="Q636" s="116">
        <v>351.65</v>
      </c>
      <c r="R636">
        <v>22208</v>
      </c>
    </row>
    <row r="637" spans="1:18" x14ac:dyDescent="0.25">
      <c r="A637" s="169">
        <v>42940</v>
      </c>
      <c r="B637" s="116">
        <v>359.55</v>
      </c>
      <c r="C637" s="116">
        <v>352.15</v>
      </c>
      <c r="D637" s="116">
        <v>344.65</v>
      </c>
      <c r="E637" s="116">
        <v>348</v>
      </c>
      <c r="F637" s="116">
        <v>352.15</v>
      </c>
      <c r="G637">
        <v>2533</v>
      </c>
      <c r="H637" s="116"/>
      <c r="I637" s="116"/>
      <c r="L637" s="169">
        <v>42940</v>
      </c>
      <c r="M637" s="116">
        <v>350.5</v>
      </c>
      <c r="N637" s="116">
        <v>358</v>
      </c>
      <c r="O637" s="116">
        <v>350</v>
      </c>
      <c r="P637" s="116">
        <v>357.5</v>
      </c>
      <c r="Q637" s="116">
        <v>350.5</v>
      </c>
      <c r="R637">
        <v>26549</v>
      </c>
    </row>
    <row r="638" spans="1:18" x14ac:dyDescent="0.25">
      <c r="A638" s="169">
        <v>42941</v>
      </c>
      <c r="B638" s="116">
        <v>354.4</v>
      </c>
      <c r="C638" s="116">
        <v>348.2</v>
      </c>
      <c r="D638" s="116">
        <v>347.3</v>
      </c>
      <c r="E638" s="116">
        <v>352.5</v>
      </c>
      <c r="F638" s="116">
        <v>348.2</v>
      </c>
      <c r="G638">
        <v>5414</v>
      </c>
      <c r="H638" s="116"/>
      <c r="I638" s="116"/>
      <c r="L638" s="169">
        <v>42941</v>
      </c>
      <c r="M638" s="116">
        <v>348.4</v>
      </c>
      <c r="N638" s="116">
        <v>354.8</v>
      </c>
      <c r="O638" s="116">
        <v>347.1</v>
      </c>
      <c r="P638" s="116">
        <v>354.8</v>
      </c>
      <c r="Q638" s="116">
        <v>348.4</v>
      </c>
      <c r="R638">
        <v>12875</v>
      </c>
    </row>
    <row r="639" spans="1:18" x14ac:dyDescent="0.25">
      <c r="A639" s="169">
        <v>42942</v>
      </c>
      <c r="B639" s="116">
        <v>349</v>
      </c>
      <c r="C639" s="116">
        <v>344.4</v>
      </c>
      <c r="D639" s="116">
        <v>341.65</v>
      </c>
      <c r="E639" s="116">
        <v>347</v>
      </c>
      <c r="F639" s="116">
        <v>344.4</v>
      </c>
      <c r="G639">
        <v>35335</v>
      </c>
      <c r="H639" s="116"/>
      <c r="I639" s="116"/>
      <c r="L639" s="169">
        <v>42942</v>
      </c>
      <c r="M639" s="116">
        <v>343.3</v>
      </c>
      <c r="N639" s="116">
        <v>351.75</v>
      </c>
      <c r="O639" s="116">
        <v>341.25</v>
      </c>
      <c r="P639" s="116">
        <v>351.75</v>
      </c>
      <c r="Q639" s="116">
        <v>343.3</v>
      </c>
      <c r="R639">
        <v>27899</v>
      </c>
    </row>
    <row r="640" spans="1:18" x14ac:dyDescent="0.25">
      <c r="A640" s="169">
        <v>42943</v>
      </c>
      <c r="B640" s="116">
        <v>347</v>
      </c>
      <c r="C640" s="116">
        <v>335.35</v>
      </c>
      <c r="D640" s="116">
        <v>330</v>
      </c>
      <c r="E640" s="116">
        <v>345</v>
      </c>
      <c r="F640" s="116">
        <v>335.35</v>
      </c>
      <c r="G640">
        <v>4746</v>
      </c>
      <c r="H640" s="116"/>
      <c r="I640" s="116"/>
      <c r="L640" s="169">
        <v>42943</v>
      </c>
      <c r="M640" s="116">
        <v>333.3</v>
      </c>
      <c r="N640" s="116">
        <v>349.5</v>
      </c>
      <c r="O640" s="116">
        <v>330</v>
      </c>
      <c r="P640" s="116">
        <v>349.5</v>
      </c>
      <c r="Q640" s="116">
        <v>333.3</v>
      </c>
      <c r="R640">
        <v>40483</v>
      </c>
    </row>
    <row r="641" spans="1:18" x14ac:dyDescent="0.25">
      <c r="A641" s="169">
        <v>42944</v>
      </c>
      <c r="B641" s="116">
        <v>339</v>
      </c>
      <c r="C641" s="116">
        <v>331.5</v>
      </c>
      <c r="D641" s="116">
        <v>315</v>
      </c>
      <c r="E641" s="116">
        <v>325</v>
      </c>
      <c r="F641" s="116">
        <v>331.5</v>
      </c>
      <c r="G641">
        <v>2835</v>
      </c>
      <c r="H641" s="116"/>
      <c r="I641" s="116"/>
      <c r="L641" s="169">
        <v>42944</v>
      </c>
      <c r="M641" s="116">
        <v>332.35</v>
      </c>
      <c r="N641" s="116">
        <v>340</v>
      </c>
      <c r="O641" s="116">
        <v>313</v>
      </c>
      <c r="P641" s="116">
        <v>326.7</v>
      </c>
      <c r="Q641" s="116">
        <v>332.35</v>
      </c>
      <c r="R641">
        <v>31700</v>
      </c>
    </row>
    <row r="642" spans="1:18" x14ac:dyDescent="0.25">
      <c r="A642" s="169">
        <v>42947</v>
      </c>
      <c r="B642" s="116">
        <v>336</v>
      </c>
      <c r="C642" s="116">
        <v>330.2</v>
      </c>
      <c r="D642" s="116">
        <v>329</v>
      </c>
      <c r="E642" s="116">
        <v>332.5</v>
      </c>
      <c r="F642" s="116">
        <v>330.2</v>
      </c>
      <c r="G642">
        <v>2898</v>
      </c>
      <c r="H642" s="116"/>
      <c r="I642" s="116"/>
      <c r="L642" s="169">
        <v>42947</v>
      </c>
      <c r="M642" s="116">
        <v>330.8</v>
      </c>
      <c r="N642" s="116">
        <v>345</v>
      </c>
      <c r="O642" s="116">
        <v>328.25</v>
      </c>
      <c r="P642" s="116">
        <v>334.95</v>
      </c>
      <c r="Q642" s="116">
        <v>330.8</v>
      </c>
      <c r="R642">
        <v>26520</v>
      </c>
    </row>
    <row r="643" spans="1:18" x14ac:dyDescent="0.25">
      <c r="A643" s="169">
        <v>42948</v>
      </c>
      <c r="B643" s="116">
        <v>332</v>
      </c>
      <c r="C643" s="116">
        <v>331.75</v>
      </c>
      <c r="D643" s="116">
        <v>327</v>
      </c>
      <c r="E643" s="116">
        <v>331</v>
      </c>
      <c r="F643" s="116">
        <v>331.75</v>
      </c>
      <c r="G643">
        <v>2387</v>
      </c>
      <c r="H643" s="116"/>
      <c r="I643" s="116"/>
      <c r="L643" s="169">
        <v>42948</v>
      </c>
      <c r="M643" s="116">
        <v>330.7</v>
      </c>
      <c r="N643" s="116">
        <v>336</v>
      </c>
      <c r="O643" s="116">
        <v>326.55</v>
      </c>
      <c r="P643" s="116">
        <v>336</v>
      </c>
      <c r="Q643" s="116">
        <v>330.7</v>
      </c>
      <c r="R643">
        <v>15009</v>
      </c>
    </row>
    <row r="644" spans="1:18" x14ac:dyDescent="0.25">
      <c r="A644" s="169">
        <v>42949</v>
      </c>
      <c r="B644" s="116">
        <v>330</v>
      </c>
      <c r="C644" s="116">
        <v>325.05</v>
      </c>
      <c r="D644" s="116">
        <v>323</v>
      </c>
      <c r="E644" s="116">
        <v>327.5</v>
      </c>
      <c r="F644" s="116">
        <v>325.05</v>
      </c>
      <c r="G644">
        <v>1569</v>
      </c>
      <c r="H644" s="116"/>
      <c r="I644" s="116"/>
      <c r="L644" s="169">
        <v>42949</v>
      </c>
      <c r="M644" s="116">
        <v>322.95</v>
      </c>
      <c r="N644" s="116">
        <v>330</v>
      </c>
      <c r="O644" s="116">
        <v>321</v>
      </c>
      <c r="P644" s="116">
        <v>330</v>
      </c>
      <c r="Q644" s="116">
        <v>322.95</v>
      </c>
      <c r="R644">
        <v>22142</v>
      </c>
    </row>
    <row r="645" spans="1:18" x14ac:dyDescent="0.25">
      <c r="A645" s="169">
        <v>42950</v>
      </c>
      <c r="B645" s="116">
        <v>322.89999999999998</v>
      </c>
      <c r="C645" s="116">
        <v>318.8</v>
      </c>
      <c r="D645" s="116">
        <v>318.10000000000002</v>
      </c>
      <c r="E645" s="116">
        <v>321.05</v>
      </c>
      <c r="F645" s="116">
        <v>318.8</v>
      </c>
      <c r="G645">
        <v>1590</v>
      </c>
      <c r="H645" s="116"/>
      <c r="I645" s="116"/>
      <c r="L645" s="169">
        <v>42950</v>
      </c>
      <c r="M645" s="116">
        <v>318.60000000000002</v>
      </c>
      <c r="N645" s="116">
        <v>324.95</v>
      </c>
      <c r="O645" s="116">
        <v>317.05</v>
      </c>
      <c r="P645" s="116">
        <v>321</v>
      </c>
      <c r="Q645" s="116">
        <v>318.60000000000002</v>
      </c>
      <c r="R645">
        <v>22205</v>
      </c>
    </row>
    <row r="646" spans="1:18" x14ac:dyDescent="0.25">
      <c r="A646" s="169">
        <v>42951</v>
      </c>
      <c r="B646" s="116">
        <v>322</v>
      </c>
      <c r="C646" s="116">
        <v>320.75</v>
      </c>
      <c r="D646" s="116">
        <v>316</v>
      </c>
      <c r="E646" s="116">
        <v>316.55</v>
      </c>
      <c r="F646" s="116">
        <v>320.75</v>
      </c>
      <c r="G646">
        <v>1318</v>
      </c>
      <c r="H646" s="116"/>
      <c r="I646" s="116"/>
      <c r="L646" s="169">
        <v>42951</v>
      </c>
      <c r="M646" s="116">
        <v>320.75</v>
      </c>
      <c r="N646" s="116">
        <v>323</v>
      </c>
      <c r="O646" s="116">
        <v>317.60000000000002</v>
      </c>
      <c r="P646" s="116">
        <v>318.64999999999998</v>
      </c>
      <c r="Q646" s="116">
        <v>320.75</v>
      </c>
      <c r="R646">
        <v>16221</v>
      </c>
    </row>
    <row r="647" spans="1:18" x14ac:dyDescent="0.25">
      <c r="A647" s="169">
        <v>42954</v>
      </c>
      <c r="B647" s="116">
        <v>331</v>
      </c>
      <c r="C647" s="116">
        <v>323.95</v>
      </c>
      <c r="D647" s="116">
        <v>318.25</v>
      </c>
      <c r="E647" s="116">
        <v>322</v>
      </c>
      <c r="F647" s="116">
        <v>323.95</v>
      </c>
      <c r="G647">
        <v>33306</v>
      </c>
      <c r="H647" s="116"/>
      <c r="I647" s="116"/>
      <c r="L647" s="169">
        <v>42954</v>
      </c>
      <c r="M647" s="116">
        <v>329.15</v>
      </c>
      <c r="N647" s="116">
        <v>332</v>
      </c>
      <c r="O647" s="116">
        <v>318</v>
      </c>
      <c r="P647" s="116">
        <v>321.95</v>
      </c>
      <c r="Q647" s="116">
        <v>329.15</v>
      </c>
      <c r="R647">
        <v>22836</v>
      </c>
    </row>
    <row r="648" spans="1:18" x14ac:dyDescent="0.25">
      <c r="A648" s="169">
        <v>42955</v>
      </c>
      <c r="B648" s="116">
        <v>338.05</v>
      </c>
      <c r="C648" s="116">
        <v>328.2</v>
      </c>
      <c r="D648" s="116">
        <v>325.5</v>
      </c>
      <c r="E648" s="116">
        <v>330</v>
      </c>
      <c r="F648" s="116">
        <v>328.2</v>
      </c>
      <c r="G648">
        <v>1962</v>
      </c>
      <c r="H648" s="116"/>
      <c r="I648" s="116"/>
      <c r="L648" s="169">
        <v>42955</v>
      </c>
      <c r="M648" s="116">
        <v>329.25</v>
      </c>
      <c r="N648" s="116">
        <v>335.05</v>
      </c>
      <c r="O648" s="116">
        <v>325</v>
      </c>
      <c r="P648" s="116">
        <v>335</v>
      </c>
      <c r="Q648" s="116">
        <v>329.25</v>
      </c>
      <c r="R648">
        <v>126402</v>
      </c>
    </row>
    <row r="649" spans="1:18" x14ac:dyDescent="0.25">
      <c r="A649" s="169">
        <v>42956</v>
      </c>
      <c r="B649" s="116">
        <v>329.5</v>
      </c>
      <c r="C649" s="116">
        <v>322.85000000000002</v>
      </c>
      <c r="D649" s="116">
        <v>320.35000000000002</v>
      </c>
      <c r="E649" s="116">
        <v>327.35000000000002</v>
      </c>
      <c r="F649" s="116">
        <v>322.85000000000002</v>
      </c>
      <c r="G649">
        <v>1520</v>
      </c>
      <c r="H649" s="116"/>
      <c r="I649" s="116"/>
      <c r="L649" s="169">
        <v>42956</v>
      </c>
      <c r="M649" s="116">
        <v>320.55</v>
      </c>
      <c r="N649" s="116">
        <v>330.25</v>
      </c>
      <c r="O649" s="116">
        <v>320</v>
      </c>
      <c r="P649" s="116">
        <v>330.05</v>
      </c>
      <c r="Q649" s="116">
        <v>320.55</v>
      </c>
      <c r="R649">
        <v>17351</v>
      </c>
    </row>
    <row r="650" spans="1:18" x14ac:dyDescent="0.25">
      <c r="A650" s="169">
        <v>42957</v>
      </c>
      <c r="B650" s="116">
        <v>325</v>
      </c>
      <c r="C650" s="116">
        <v>300.8</v>
      </c>
      <c r="D650" s="116">
        <v>295</v>
      </c>
      <c r="E650" s="116">
        <v>316</v>
      </c>
      <c r="F650" s="116">
        <v>300.8</v>
      </c>
      <c r="G650">
        <v>9273</v>
      </c>
      <c r="H650" s="116"/>
      <c r="I650" s="116"/>
      <c r="L650" s="169">
        <v>42957</v>
      </c>
      <c r="M650" s="116">
        <v>302.85000000000002</v>
      </c>
      <c r="N650" s="116">
        <v>323.3</v>
      </c>
      <c r="O650" s="116">
        <v>294</v>
      </c>
      <c r="P650" s="116">
        <v>320.60000000000002</v>
      </c>
      <c r="Q650" s="116">
        <v>302.85000000000002</v>
      </c>
      <c r="R650">
        <v>34629</v>
      </c>
    </row>
    <row r="651" spans="1:18" x14ac:dyDescent="0.25">
      <c r="A651" s="169">
        <v>42958</v>
      </c>
      <c r="B651" s="116">
        <v>311.5</v>
      </c>
      <c r="C651" s="116">
        <v>308.55</v>
      </c>
      <c r="D651" s="116">
        <v>271.10000000000002</v>
      </c>
      <c r="E651" s="116">
        <v>292.25</v>
      </c>
      <c r="F651" s="116">
        <v>308.55</v>
      </c>
      <c r="G651">
        <v>5210</v>
      </c>
      <c r="H651" s="116"/>
      <c r="I651" s="116"/>
      <c r="L651" s="169">
        <v>42958</v>
      </c>
      <c r="M651" s="116">
        <v>306</v>
      </c>
      <c r="N651" s="116">
        <v>309</v>
      </c>
      <c r="O651" s="116">
        <v>294</v>
      </c>
      <c r="P651" s="116">
        <v>304</v>
      </c>
      <c r="Q651" s="116">
        <v>306</v>
      </c>
      <c r="R651">
        <v>49059</v>
      </c>
    </row>
    <row r="652" spans="1:18" x14ac:dyDescent="0.25">
      <c r="A652" s="169">
        <v>42961</v>
      </c>
      <c r="B652" s="116">
        <v>314</v>
      </c>
      <c r="C652" s="116">
        <v>313.05</v>
      </c>
      <c r="D652" s="116">
        <v>308</v>
      </c>
      <c r="E652" s="116">
        <v>313</v>
      </c>
      <c r="F652" s="116">
        <v>313.05</v>
      </c>
      <c r="G652">
        <v>6745</v>
      </c>
      <c r="H652" s="116"/>
      <c r="I652" s="116"/>
      <c r="L652" s="169">
        <v>42961</v>
      </c>
      <c r="M652" s="116">
        <v>312.85000000000002</v>
      </c>
      <c r="N652" s="116">
        <v>318.8</v>
      </c>
      <c r="O652" s="116">
        <v>305</v>
      </c>
      <c r="P652" s="116">
        <v>305</v>
      </c>
      <c r="Q652" s="116">
        <v>312.85000000000002</v>
      </c>
      <c r="R652">
        <v>9023</v>
      </c>
    </row>
    <row r="653" spans="1:18" x14ac:dyDescent="0.25">
      <c r="A653" s="169">
        <v>42963</v>
      </c>
      <c r="B653" s="116">
        <v>314.5</v>
      </c>
      <c r="C653" s="116">
        <v>313.64999999999998</v>
      </c>
      <c r="D653" s="116">
        <v>310.55</v>
      </c>
      <c r="E653" s="116">
        <v>313.5</v>
      </c>
      <c r="F653" s="116">
        <v>313.64999999999998</v>
      </c>
      <c r="G653">
        <v>3160</v>
      </c>
      <c r="H653" s="116"/>
      <c r="I653" s="116"/>
      <c r="L653" s="169">
        <v>42963</v>
      </c>
      <c r="M653" s="116">
        <v>312.75</v>
      </c>
      <c r="N653" s="116">
        <v>318.7</v>
      </c>
      <c r="O653" s="116">
        <v>309.39999999999998</v>
      </c>
      <c r="P653" s="116">
        <v>312.89999999999998</v>
      </c>
      <c r="Q653" s="116">
        <v>312.75</v>
      </c>
      <c r="R653">
        <v>14237</v>
      </c>
    </row>
    <row r="654" spans="1:18" x14ac:dyDescent="0.25">
      <c r="A654" s="169">
        <v>42964</v>
      </c>
      <c r="B654" s="116">
        <v>314</v>
      </c>
      <c r="C654" s="116">
        <v>312.05</v>
      </c>
      <c r="D654" s="116">
        <v>312</v>
      </c>
      <c r="E654" s="116">
        <v>314</v>
      </c>
      <c r="F654" s="116">
        <v>312.05</v>
      </c>
      <c r="G654">
        <v>1558</v>
      </c>
      <c r="H654" s="116"/>
      <c r="I654" s="116"/>
      <c r="L654" s="169">
        <v>42964</v>
      </c>
      <c r="M654" s="116">
        <v>312.10000000000002</v>
      </c>
      <c r="N654" s="116">
        <v>318</v>
      </c>
      <c r="O654" s="116">
        <v>310</v>
      </c>
      <c r="P654" s="116">
        <v>318</v>
      </c>
      <c r="Q654" s="116">
        <v>312.10000000000002</v>
      </c>
      <c r="R654">
        <v>13275</v>
      </c>
    </row>
    <row r="655" spans="1:18" x14ac:dyDescent="0.25">
      <c r="A655" s="169">
        <v>42965</v>
      </c>
      <c r="B655" s="116">
        <v>320</v>
      </c>
      <c r="C655" s="116">
        <v>314.25</v>
      </c>
      <c r="D655" s="116">
        <v>309</v>
      </c>
      <c r="E655" s="116">
        <v>309</v>
      </c>
      <c r="F655" s="116">
        <v>314.25</v>
      </c>
      <c r="G655">
        <v>802</v>
      </c>
      <c r="H655" s="116"/>
      <c r="I655" s="116"/>
      <c r="L655" s="169">
        <v>42965</v>
      </c>
      <c r="M655" s="116">
        <v>312.89999999999998</v>
      </c>
      <c r="N655" s="116">
        <v>314.95</v>
      </c>
      <c r="O655" s="116">
        <v>308.05</v>
      </c>
      <c r="P655" s="116">
        <v>309</v>
      </c>
      <c r="Q655" s="116">
        <v>312.89999999999998</v>
      </c>
      <c r="R655">
        <v>7682</v>
      </c>
    </row>
    <row r="656" spans="1:18" x14ac:dyDescent="0.25">
      <c r="A656" s="169">
        <v>42968</v>
      </c>
      <c r="B656" s="116">
        <v>315</v>
      </c>
      <c r="C656" s="116">
        <v>313.95</v>
      </c>
      <c r="D656" s="116">
        <v>311.75</v>
      </c>
      <c r="E656" s="116">
        <v>315</v>
      </c>
      <c r="F656" s="116">
        <v>313.95</v>
      </c>
      <c r="G656">
        <v>1819</v>
      </c>
      <c r="H656" s="116"/>
      <c r="I656" s="116"/>
      <c r="L656" s="169">
        <v>42968</v>
      </c>
      <c r="M656" s="116">
        <v>313</v>
      </c>
      <c r="N656" s="116">
        <v>315</v>
      </c>
      <c r="O656" s="116">
        <v>311.75</v>
      </c>
      <c r="P656" s="116">
        <v>313</v>
      </c>
      <c r="Q656" s="116">
        <v>313</v>
      </c>
      <c r="R656">
        <v>8673</v>
      </c>
    </row>
    <row r="657" spans="1:18" x14ac:dyDescent="0.25">
      <c r="A657" s="169">
        <v>42969</v>
      </c>
      <c r="B657" s="116">
        <v>313.39999999999998</v>
      </c>
      <c r="C657" s="116">
        <v>310.55</v>
      </c>
      <c r="D657" s="116">
        <v>310</v>
      </c>
      <c r="E657" s="116">
        <v>313.39999999999998</v>
      </c>
      <c r="F657" s="116">
        <v>310.55</v>
      </c>
      <c r="G657">
        <v>3577</v>
      </c>
      <c r="H657" s="116"/>
      <c r="I657" s="116"/>
      <c r="L657" s="169">
        <v>42969</v>
      </c>
      <c r="M657" s="116">
        <v>311.05</v>
      </c>
      <c r="N657" s="116">
        <v>314.10000000000002</v>
      </c>
      <c r="O657" s="116">
        <v>310.10000000000002</v>
      </c>
      <c r="P657" s="116">
        <v>314.10000000000002</v>
      </c>
      <c r="Q657" s="116">
        <v>311.05</v>
      </c>
      <c r="R657">
        <v>7000</v>
      </c>
    </row>
    <row r="658" spans="1:18" x14ac:dyDescent="0.25">
      <c r="A658" s="169">
        <v>42970</v>
      </c>
      <c r="B658" s="116">
        <v>315.8</v>
      </c>
      <c r="C658" s="116">
        <v>310.7</v>
      </c>
      <c r="D658" s="116">
        <v>308.55</v>
      </c>
      <c r="E658" s="116">
        <v>309.5</v>
      </c>
      <c r="F658" s="116">
        <v>310.7</v>
      </c>
      <c r="G658">
        <v>1973</v>
      </c>
      <c r="H658" s="116"/>
      <c r="I658" s="116"/>
      <c r="L658" s="169">
        <v>42970</v>
      </c>
      <c r="M658" s="116">
        <v>310.5</v>
      </c>
      <c r="N658" s="116">
        <v>313.64999999999998</v>
      </c>
      <c r="O658" s="116">
        <v>308.55</v>
      </c>
      <c r="P658" s="116">
        <v>309.39999999999998</v>
      </c>
      <c r="Q658" s="116">
        <v>310.5</v>
      </c>
      <c r="R658">
        <v>13247</v>
      </c>
    </row>
    <row r="659" spans="1:18" x14ac:dyDescent="0.25">
      <c r="A659" s="169">
        <v>42971</v>
      </c>
      <c r="B659" s="116">
        <v>312</v>
      </c>
      <c r="C659" s="116">
        <v>311.2</v>
      </c>
      <c r="D659" s="116">
        <v>310.55</v>
      </c>
      <c r="E659" s="116">
        <v>312</v>
      </c>
      <c r="F659" s="116">
        <v>311.2</v>
      </c>
      <c r="G659">
        <v>3620</v>
      </c>
      <c r="H659" s="116"/>
      <c r="I659" s="116"/>
      <c r="L659" s="169">
        <v>42971</v>
      </c>
      <c r="M659" s="116">
        <v>311.3</v>
      </c>
      <c r="N659" s="116">
        <v>315.2</v>
      </c>
      <c r="O659" s="116">
        <v>310.25</v>
      </c>
      <c r="P659" s="116">
        <v>311</v>
      </c>
      <c r="Q659" s="116">
        <v>311.3</v>
      </c>
      <c r="R659">
        <v>7695</v>
      </c>
    </row>
    <row r="660" spans="1:18" x14ac:dyDescent="0.25">
      <c r="A660" s="169">
        <v>42975</v>
      </c>
      <c r="B660" s="116">
        <v>317.10000000000002</v>
      </c>
      <c r="C660" s="116">
        <v>311.8</v>
      </c>
      <c r="D660" s="116">
        <v>309.7</v>
      </c>
      <c r="E660" s="116">
        <v>317.10000000000002</v>
      </c>
      <c r="F660" s="116">
        <v>311.8</v>
      </c>
      <c r="G660">
        <v>5561</v>
      </c>
      <c r="H660" s="116"/>
      <c r="I660" s="116"/>
      <c r="L660" s="169">
        <v>42975</v>
      </c>
      <c r="M660" s="116">
        <v>311.64999999999998</v>
      </c>
      <c r="N660" s="116">
        <v>316</v>
      </c>
      <c r="O660" s="116">
        <v>310.10000000000002</v>
      </c>
      <c r="P660" s="116">
        <v>310.3</v>
      </c>
      <c r="Q660" s="116">
        <v>311.64999999999998</v>
      </c>
      <c r="R660">
        <v>18308</v>
      </c>
    </row>
    <row r="661" spans="1:18" x14ac:dyDescent="0.25">
      <c r="A661" s="169">
        <v>42976</v>
      </c>
      <c r="B661" s="116">
        <v>312</v>
      </c>
      <c r="C661" s="116">
        <v>309.75</v>
      </c>
      <c r="D661" s="116">
        <v>308.75</v>
      </c>
      <c r="E661" s="116">
        <v>312</v>
      </c>
      <c r="F661" s="116">
        <v>309.75</v>
      </c>
      <c r="G661">
        <v>847</v>
      </c>
      <c r="H661" s="116"/>
      <c r="I661" s="116"/>
      <c r="L661" s="169">
        <v>42976</v>
      </c>
      <c r="M661" s="116">
        <v>309.10000000000002</v>
      </c>
      <c r="N661" s="116">
        <v>312</v>
      </c>
      <c r="O661" s="116">
        <v>308.05</v>
      </c>
      <c r="P661" s="116">
        <v>310.14999999999998</v>
      </c>
      <c r="Q661" s="116">
        <v>309.10000000000002</v>
      </c>
      <c r="R661">
        <v>8812</v>
      </c>
    </row>
    <row r="662" spans="1:18" x14ac:dyDescent="0.25">
      <c r="A662" s="169">
        <v>42977</v>
      </c>
      <c r="B662" s="116">
        <v>313.25</v>
      </c>
      <c r="C662" s="116">
        <v>309.95</v>
      </c>
      <c r="D662" s="116">
        <v>309</v>
      </c>
      <c r="E662" s="116">
        <v>313</v>
      </c>
      <c r="F662" s="116">
        <v>309.95</v>
      </c>
      <c r="G662">
        <v>3513</v>
      </c>
      <c r="H662" s="116"/>
      <c r="I662" s="116"/>
      <c r="L662" s="169">
        <v>42977</v>
      </c>
      <c r="M662" s="116">
        <v>309.10000000000002</v>
      </c>
      <c r="N662" s="116">
        <v>316</v>
      </c>
      <c r="O662" s="116">
        <v>308.2</v>
      </c>
      <c r="P662" s="116">
        <v>311.45</v>
      </c>
      <c r="Q662" s="116">
        <v>309.10000000000002</v>
      </c>
      <c r="R662">
        <v>15413</v>
      </c>
    </row>
    <row r="663" spans="1:18" x14ac:dyDescent="0.25">
      <c r="A663" s="169">
        <v>42978</v>
      </c>
      <c r="B663" s="116">
        <v>328.6</v>
      </c>
      <c r="C663" s="116">
        <v>325.25</v>
      </c>
      <c r="D663" s="116">
        <v>312</v>
      </c>
      <c r="E663" s="116">
        <v>313</v>
      </c>
      <c r="F663" s="116">
        <v>325.25</v>
      </c>
      <c r="G663">
        <v>5231</v>
      </c>
      <c r="H663" s="116"/>
      <c r="I663" s="116"/>
      <c r="L663" s="169">
        <v>42978</v>
      </c>
      <c r="M663" s="116">
        <v>324.3</v>
      </c>
      <c r="N663" s="116">
        <v>327.5</v>
      </c>
      <c r="O663" s="116">
        <v>309.60000000000002</v>
      </c>
      <c r="P663" s="116">
        <v>309.60000000000002</v>
      </c>
      <c r="Q663" s="116">
        <v>324.3</v>
      </c>
      <c r="R663">
        <v>23405</v>
      </c>
    </row>
    <row r="664" spans="1:18" x14ac:dyDescent="0.25">
      <c r="A664" s="169">
        <v>42979</v>
      </c>
      <c r="B664" s="116">
        <v>342</v>
      </c>
      <c r="C664" s="116">
        <v>340.45</v>
      </c>
      <c r="D664" s="116">
        <v>320</v>
      </c>
      <c r="E664" s="116">
        <v>320.7</v>
      </c>
      <c r="F664" s="116">
        <v>340.45</v>
      </c>
      <c r="G664">
        <v>8760</v>
      </c>
      <c r="H664" s="116"/>
      <c r="I664" s="116"/>
      <c r="L664" s="169">
        <v>42979</v>
      </c>
      <c r="M664" s="116">
        <v>339.4</v>
      </c>
      <c r="N664" s="116">
        <v>342.95</v>
      </c>
      <c r="O664" s="116">
        <v>323.8</v>
      </c>
      <c r="P664" s="116">
        <v>323.8</v>
      </c>
      <c r="Q664" s="116">
        <v>339.4</v>
      </c>
      <c r="R664">
        <v>41161</v>
      </c>
    </row>
    <row r="665" spans="1:18" x14ac:dyDescent="0.25">
      <c r="A665" s="169">
        <v>42982</v>
      </c>
      <c r="B665" s="116">
        <v>361</v>
      </c>
      <c r="C665" s="116">
        <v>342.05</v>
      </c>
      <c r="D665" s="116">
        <v>335.25</v>
      </c>
      <c r="E665" s="116">
        <v>340.3</v>
      </c>
      <c r="F665" s="116">
        <v>342.05</v>
      </c>
      <c r="G665">
        <v>7659</v>
      </c>
      <c r="H665" s="116"/>
      <c r="I665" s="116"/>
      <c r="L665" s="169">
        <v>42982</v>
      </c>
      <c r="M665" s="116">
        <v>341.7</v>
      </c>
      <c r="N665" s="116">
        <v>362.45</v>
      </c>
      <c r="O665" s="116">
        <v>336.05</v>
      </c>
      <c r="P665" s="116">
        <v>336.05</v>
      </c>
      <c r="Q665" s="116">
        <v>341.7</v>
      </c>
      <c r="R665">
        <v>37854</v>
      </c>
    </row>
    <row r="666" spans="1:18" x14ac:dyDescent="0.25">
      <c r="A666" s="169">
        <v>42983</v>
      </c>
      <c r="B666" s="116">
        <v>345.75</v>
      </c>
      <c r="C666" s="116">
        <v>337.15</v>
      </c>
      <c r="D666" s="116">
        <v>335.5</v>
      </c>
      <c r="E666" s="116">
        <v>340.65</v>
      </c>
      <c r="F666" s="116">
        <v>337.15</v>
      </c>
      <c r="G666">
        <v>2953</v>
      </c>
      <c r="H666" s="116"/>
      <c r="I666" s="116"/>
      <c r="L666" s="169">
        <v>42983</v>
      </c>
      <c r="M666" s="116">
        <v>338.15</v>
      </c>
      <c r="N666" s="116">
        <v>347.4</v>
      </c>
      <c r="O666" s="116">
        <v>335.1</v>
      </c>
      <c r="P666" s="116">
        <v>343.1</v>
      </c>
      <c r="Q666" s="116">
        <v>338.15</v>
      </c>
      <c r="R666">
        <v>15853</v>
      </c>
    </row>
    <row r="667" spans="1:18" x14ac:dyDescent="0.25">
      <c r="A667" s="169">
        <v>42984</v>
      </c>
      <c r="B667" s="116">
        <v>343</v>
      </c>
      <c r="C667" s="116">
        <v>341.4</v>
      </c>
      <c r="D667" s="116">
        <v>330.4</v>
      </c>
      <c r="E667" s="116">
        <v>334.05</v>
      </c>
      <c r="F667" s="116">
        <v>341.4</v>
      </c>
      <c r="G667">
        <v>2177</v>
      </c>
      <c r="H667" s="116"/>
      <c r="I667" s="116"/>
      <c r="L667" s="169">
        <v>42984</v>
      </c>
      <c r="M667" s="116">
        <v>342.4</v>
      </c>
      <c r="N667" s="116">
        <v>343.95</v>
      </c>
      <c r="O667" s="116">
        <v>337.15</v>
      </c>
      <c r="P667" s="116">
        <v>337.2</v>
      </c>
      <c r="Q667" s="116">
        <v>342.4</v>
      </c>
      <c r="R667">
        <v>12426</v>
      </c>
    </row>
    <row r="668" spans="1:18" x14ac:dyDescent="0.25">
      <c r="A668" s="169">
        <v>42985</v>
      </c>
      <c r="B668" s="116">
        <v>345.75</v>
      </c>
      <c r="C668" s="116">
        <v>342.95</v>
      </c>
      <c r="D668" s="116">
        <v>338</v>
      </c>
      <c r="E668" s="116">
        <v>345</v>
      </c>
      <c r="F668" s="116">
        <v>342.95</v>
      </c>
      <c r="G668">
        <v>5575</v>
      </c>
      <c r="H668" s="116"/>
      <c r="I668" s="116"/>
      <c r="L668" s="169">
        <v>42985</v>
      </c>
      <c r="M668" s="116">
        <v>340.95</v>
      </c>
      <c r="N668" s="116">
        <v>344.8</v>
      </c>
      <c r="O668" s="116">
        <v>336.05</v>
      </c>
      <c r="P668" s="116">
        <v>343</v>
      </c>
      <c r="Q668" s="116">
        <v>340.95</v>
      </c>
      <c r="R668">
        <v>18232</v>
      </c>
    </row>
    <row r="669" spans="1:18" x14ac:dyDescent="0.25">
      <c r="A669" s="169">
        <v>42986</v>
      </c>
      <c r="B669" s="116">
        <v>343</v>
      </c>
      <c r="C669" s="116">
        <v>337.7</v>
      </c>
      <c r="D669" s="116">
        <v>336</v>
      </c>
      <c r="E669" s="116">
        <v>338</v>
      </c>
      <c r="F669" s="116">
        <v>337.7</v>
      </c>
      <c r="G669">
        <v>1398</v>
      </c>
      <c r="H669" s="116"/>
      <c r="I669" s="116"/>
      <c r="L669" s="169">
        <v>42986</v>
      </c>
      <c r="M669" s="116">
        <v>337.1</v>
      </c>
      <c r="N669" s="116">
        <v>346.65</v>
      </c>
      <c r="O669" s="116">
        <v>336</v>
      </c>
      <c r="P669" s="116">
        <v>340.15</v>
      </c>
      <c r="Q669" s="116">
        <v>337.1</v>
      </c>
      <c r="R669">
        <v>13936</v>
      </c>
    </row>
    <row r="670" spans="1:18" x14ac:dyDescent="0.25">
      <c r="A670" s="169">
        <v>42989</v>
      </c>
      <c r="B670" s="116">
        <v>340.5</v>
      </c>
      <c r="C670" s="116">
        <v>338.7</v>
      </c>
      <c r="D670" s="116">
        <v>331.7</v>
      </c>
      <c r="E670" s="116">
        <v>335.5</v>
      </c>
      <c r="F670" s="116">
        <v>338.7</v>
      </c>
      <c r="G670">
        <v>1055</v>
      </c>
      <c r="H670" s="116"/>
      <c r="I670" s="116"/>
      <c r="L670" s="169">
        <v>42989</v>
      </c>
      <c r="M670" s="116">
        <v>338.15</v>
      </c>
      <c r="N670" s="116">
        <v>343.65</v>
      </c>
      <c r="O670" s="116">
        <v>330.25</v>
      </c>
      <c r="P670" s="116">
        <v>343.65</v>
      </c>
      <c r="Q670" s="116">
        <v>338.15</v>
      </c>
      <c r="R670">
        <v>15737</v>
      </c>
    </row>
    <row r="671" spans="1:18" x14ac:dyDescent="0.25">
      <c r="A671" s="169">
        <v>42990</v>
      </c>
      <c r="B671" s="116">
        <v>349</v>
      </c>
      <c r="C671" s="116">
        <v>344.9</v>
      </c>
      <c r="D671" s="116">
        <v>333</v>
      </c>
      <c r="E671" s="116">
        <v>340.45</v>
      </c>
      <c r="F671" s="116">
        <v>344.9</v>
      </c>
      <c r="G671">
        <v>2060</v>
      </c>
      <c r="H671" s="116"/>
      <c r="I671" s="116"/>
      <c r="L671" s="169">
        <v>42990</v>
      </c>
      <c r="M671" s="116">
        <v>346</v>
      </c>
      <c r="N671" s="116">
        <v>350</v>
      </c>
      <c r="O671" s="116">
        <v>333.9</v>
      </c>
      <c r="P671" s="116">
        <v>335.3</v>
      </c>
      <c r="Q671" s="116">
        <v>346</v>
      </c>
      <c r="R671">
        <v>16893</v>
      </c>
    </row>
    <row r="672" spans="1:18" x14ac:dyDescent="0.25">
      <c r="A672" s="169">
        <v>42991</v>
      </c>
      <c r="B672" s="116">
        <v>350.5</v>
      </c>
      <c r="C672" s="116">
        <v>339.85</v>
      </c>
      <c r="D672" s="116">
        <v>338.3</v>
      </c>
      <c r="E672" s="116">
        <v>350.5</v>
      </c>
      <c r="F672" s="116">
        <v>339.85</v>
      </c>
      <c r="G672">
        <v>1397</v>
      </c>
      <c r="H672" s="116"/>
      <c r="I672" s="116"/>
      <c r="L672" s="169">
        <v>42991</v>
      </c>
      <c r="M672" s="116">
        <v>339.3</v>
      </c>
      <c r="N672" s="116">
        <v>346.8</v>
      </c>
      <c r="O672" s="116">
        <v>336</v>
      </c>
      <c r="P672" s="116">
        <v>343.5</v>
      </c>
      <c r="Q672" s="116">
        <v>339.3</v>
      </c>
      <c r="R672">
        <v>8275</v>
      </c>
    </row>
    <row r="673" spans="1:18" x14ac:dyDescent="0.25">
      <c r="A673" s="169">
        <v>42992</v>
      </c>
      <c r="B673" s="116">
        <v>366</v>
      </c>
      <c r="C673" s="116">
        <v>359.35</v>
      </c>
      <c r="D673" s="116">
        <v>333.85</v>
      </c>
      <c r="E673" s="116">
        <v>335.3</v>
      </c>
      <c r="F673" s="116">
        <v>359.35</v>
      </c>
      <c r="G673">
        <v>6590</v>
      </c>
      <c r="H673" s="116"/>
      <c r="I673" s="116"/>
      <c r="L673" s="169">
        <v>42992</v>
      </c>
      <c r="M673" s="116">
        <v>358.9</v>
      </c>
      <c r="N673" s="116">
        <v>367.9</v>
      </c>
      <c r="O673" s="116">
        <v>333.1</v>
      </c>
      <c r="P673" s="116">
        <v>338</v>
      </c>
      <c r="Q673" s="116">
        <v>358.9</v>
      </c>
      <c r="R673">
        <v>54805</v>
      </c>
    </row>
    <row r="674" spans="1:18" x14ac:dyDescent="0.25">
      <c r="A674" s="169">
        <v>42993</v>
      </c>
      <c r="B674" s="116">
        <v>384.4</v>
      </c>
      <c r="C674" s="116">
        <v>381.15</v>
      </c>
      <c r="D674" s="116">
        <v>353.8</v>
      </c>
      <c r="E674" s="116">
        <v>362</v>
      </c>
      <c r="F674" s="116">
        <v>381.15</v>
      </c>
      <c r="G674">
        <v>34199</v>
      </c>
      <c r="H674" s="116"/>
      <c r="I674" s="116"/>
      <c r="L674" s="169">
        <v>42993</v>
      </c>
      <c r="M674" s="116">
        <v>383.3</v>
      </c>
      <c r="N674" s="116">
        <v>385</v>
      </c>
      <c r="O674" s="116">
        <v>350</v>
      </c>
      <c r="P674" s="116">
        <v>356.95</v>
      </c>
      <c r="Q674" s="116">
        <v>383.3</v>
      </c>
      <c r="R674">
        <v>132618</v>
      </c>
    </row>
    <row r="675" spans="1:18" x14ac:dyDescent="0.25">
      <c r="A675" s="169">
        <v>42996</v>
      </c>
      <c r="B675" s="116">
        <v>390</v>
      </c>
      <c r="C675" s="116">
        <v>378</v>
      </c>
      <c r="D675" s="116">
        <v>376.45</v>
      </c>
      <c r="E675" s="116">
        <v>389.95</v>
      </c>
      <c r="F675" s="116">
        <v>378</v>
      </c>
      <c r="G675">
        <v>9968</v>
      </c>
      <c r="H675" s="116"/>
      <c r="I675" s="116"/>
      <c r="L675" s="169">
        <v>42996</v>
      </c>
      <c r="M675" s="116">
        <v>378.25</v>
      </c>
      <c r="N675" s="116">
        <v>391.95</v>
      </c>
      <c r="O675" s="116">
        <v>376</v>
      </c>
      <c r="P675" s="116">
        <v>383</v>
      </c>
      <c r="Q675" s="116">
        <v>378.25</v>
      </c>
      <c r="R675">
        <v>53752</v>
      </c>
    </row>
    <row r="676" spans="1:18" x14ac:dyDescent="0.25">
      <c r="A676" s="169">
        <v>42997</v>
      </c>
      <c r="B676" s="116">
        <v>377</v>
      </c>
      <c r="C676" s="116">
        <v>375.4</v>
      </c>
      <c r="D676" s="116">
        <v>368.3</v>
      </c>
      <c r="E676" s="116">
        <v>374.8</v>
      </c>
      <c r="F676" s="116">
        <v>375.4</v>
      </c>
      <c r="G676">
        <v>4372</v>
      </c>
      <c r="H676" s="116"/>
      <c r="I676" s="116"/>
      <c r="L676" s="169">
        <v>42997</v>
      </c>
      <c r="M676" s="116">
        <v>371.7</v>
      </c>
      <c r="N676" s="116">
        <v>376.3</v>
      </c>
      <c r="O676" s="116">
        <v>368</v>
      </c>
      <c r="P676" s="116">
        <v>376.3</v>
      </c>
      <c r="Q676" s="116">
        <v>371.7</v>
      </c>
      <c r="R676">
        <v>16362</v>
      </c>
    </row>
    <row r="677" spans="1:18" x14ac:dyDescent="0.25">
      <c r="A677" s="169">
        <v>42998</v>
      </c>
      <c r="B677" s="116">
        <v>373.4</v>
      </c>
      <c r="C677" s="116">
        <v>370.05</v>
      </c>
      <c r="D677" s="116">
        <v>369.45</v>
      </c>
      <c r="E677" s="116">
        <v>371.95</v>
      </c>
      <c r="F677" s="116">
        <v>370.05</v>
      </c>
      <c r="G677">
        <v>1640</v>
      </c>
      <c r="H677" s="116"/>
      <c r="I677" s="116"/>
      <c r="L677" s="169">
        <v>42998</v>
      </c>
      <c r="M677" s="116">
        <v>369.15</v>
      </c>
      <c r="N677" s="116">
        <v>374</v>
      </c>
      <c r="O677" s="116">
        <v>368.1</v>
      </c>
      <c r="P677" s="116">
        <v>371.5</v>
      </c>
      <c r="Q677" s="116">
        <v>369.15</v>
      </c>
      <c r="R677">
        <v>8223</v>
      </c>
    </row>
    <row r="678" spans="1:18" x14ac:dyDescent="0.25">
      <c r="A678" s="169">
        <v>42999</v>
      </c>
      <c r="B678" s="116">
        <v>373.7</v>
      </c>
      <c r="C678" s="116">
        <v>369.95</v>
      </c>
      <c r="D678" s="116">
        <v>361.8</v>
      </c>
      <c r="E678" s="116">
        <v>367.5</v>
      </c>
      <c r="F678" s="116">
        <v>369.95</v>
      </c>
      <c r="G678">
        <v>1905</v>
      </c>
      <c r="H678" s="116"/>
      <c r="I678" s="116"/>
      <c r="L678" s="169">
        <v>42999</v>
      </c>
      <c r="M678" s="116">
        <v>372</v>
      </c>
      <c r="N678" s="116">
        <v>375.15</v>
      </c>
      <c r="O678" s="116">
        <v>362</v>
      </c>
      <c r="P678" s="116">
        <v>368</v>
      </c>
      <c r="Q678" s="116">
        <v>372</v>
      </c>
      <c r="R678">
        <v>12940</v>
      </c>
    </row>
    <row r="679" spans="1:18" x14ac:dyDescent="0.25">
      <c r="A679" s="169">
        <v>43000</v>
      </c>
      <c r="B679" s="116">
        <v>365.15</v>
      </c>
      <c r="C679" s="116">
        <v>350.35</v>
      </c>
      <c r="D679" s="116">
        <v>348.25</v>
      </c>
      <c r="E679" s="116">
        <v>365.15</v>
      </c>
      <c r="F679" s="116">
        <v>350.35</v>
      </c>
      <c r="G679">
        <v>3847</v>
      </c>
      <c r="H679" s="116"/>
      <c r="I679" s="116"/>
      <c r="L679" s="169">
        <v>43000</v>
      </c>
      <c r="M679" s="116">
        <v>352.5</v>
      </c>
      <c r="N679" s="116">
        <v>372</v>
      </c>
      <c r="O679" s="116">
        <v>349.7</v>
      </c>
      <c r="P679" s="116">
        <v>372</v>
      </c>
      <c r="Q679" s="116">
        <v>352.5</v>
      </c>
      <c r="R679">
        <v>11465</v>
      </c>
    </row>
    <row r="680" spans="1:18" x14ac:dyDescent="0.25">
      <c r="A680" s="169">
        <v>43003</v>
      </c>
      <c r="B680" s="116">
        <v>343.45</v>
      </c>
      <c r="C680" s="116">
        <v>339.15</v>
      </c>
      <c r="D680" s="116">
        <v>334.1</v>
      </c>
      <c r="E680" s="116">
        <v>341</v>
      </c>
      <c r="F680" s="116">
        <v>339.15</v>
      </c>
      <c r="G680">
        <v>4692</v>
      </c>
      <c r="H680" s="116"/>
      <c r="I680" s="116"/>
      <c r="L680" s="169">
        <v>43003</v>
      </c>
      <c r="M680" s="116">
        <v>340.1</v>
      </c>
      <c r="N680" s="116">
        <v>356.5</v>
      </c>
      <c r="O680" s="116">
        <v>331.4</v>
      </c>
      <c r="P680" s="116">
        <v>356.45</v>
      </c>
      <c r="Q680" s="116">
        <v>340.1</v>
      </c>
      <c r="R680">
        <v>16607</v>
      </c>
    </row>
    <row r="681" spans="1:18" x14ac:dyDescent="0.25">
      <c r="A681" s="169">
        <v>43004</v>
      </c>
      <c r="B681" s="116">
        <v>343.35</v>
      </c>
      <c r="C681" s="116">
        <v>340.75</v>
      </c>
      <c r="D681" s="116">
        <v>334</v>
      </c>
      <c r="E681" s="116">
        <v>341.85</v>
      </c>
      <c r="F681" s="116">
        <v>340.75</v>
      </c>
      <c r="G681">
        <v>3064</v>
      </c>
      <c r="H681" s="116"/>
      <c r="I681" s="116"/>
      <c r="L681" s="169">
        <v>43004</v>
      </c>
      <c r="M681" s="116">
        <v>341.45</v>
      </c>
      <c r="N681" s="116">
        <v>344.85</v>
      </c>
      <c r="O681" s="116">
        <v>334.5</v>
      </c>
      <c r="P681" s="116">
        <v>344.85</v>
      </c>
      <c r="Q681" s="116">
        <v>341.45</v>
      </c>
      <c r="R681">
        <v>17335</v>
      </c>
    </row>
    <row r="682" spans="1:18" x14ac:dyDescent="0.25">
      <c r="A682" s="169">
        <v>43005</v>
      </c>
      <c r="B682" s="116">
        <v>348.65</v>
      </c>
      <c r="C682" s="116">
        <v>333.75</v>
      </c>
      <c r="D682" s="116">
        <v>328.5</v>
      </c>
      <c r="E682" s="116">
        <v>343.75</v>
      </c>
      <c r="F682" s="116">
        <v>333.75</v>
      </c>
      <c r="G682">
        <v>10586</v>
      </c>
      <c r="H682" s="116"/>
      <c r="I682" s="116"/>
      <c r="L682" s="169">
        <v>43005</v>
      </c>
      <c r="M682" s="116">
        <v>334.55</v>
      </c>
      <c r="N682" s="116">
        <v>346.8</v>
      </c>
      <c r="O682" s="116">
        <v>328</v>
      </c>
      <c r="P682" s="116">
        <v>343</v>
      </c>
      <c r="Q682" s="116">
        <v>334.55</v>
      </c>
      <c r="R682">
        <v>18231</v>
      </c>
    </row>
    <row r="683" spans="1:18" x14ac:dyDescent="0.25">
      <c r="A683" s="169">
        <v>43006</v>
      </c>
      <c r="B683" s="116">
        <v>342</v>
      </c>
      <c r="C683" s="116">
        <v>338.35</v>
      </c>
      <c r="D683" s="116">
        <v>332</v>
      </c>
      <c r="E683" s="116">
        <v>337.45</v>
      </c>
      <c r="F683" s="116">
        <v>338.35</v>
      </c>
      <c r="G683">
        <v>289</v>
      </c>
      <c r="H683" s="116"/>
      <c r="I683" s="116"/>
      <c r="L683" s="169">
        <v>43006</v>
      </c>
      <c r="M683" s="116">
        <v>332.15</v>
      </c>
      <c r="N683" s="116">
        <v>339.5</v>
      </c>
      <c r="O683" s="116">
        <v>328.55</v>
      </c>
      <c r="P683" s="116">
        <v>334.55</v>
      </c>
      <c r="Q683" s="116">
        <v>332.15</v>
      </c>
      <c r="R683">
        <v>11902</v>
      </c>
    </row>
    <row r="684" spans="1:18" x14ac:dyDescent="0.25">
      <c r="A684" s="169">
        <v>43007</v>
      </c>
      <c r="B684" s="116">
        <v>346.2</v>
      </c>
      <c r="C684" s="116">
        <v>337.05</v>
      </c>
      <c r="D684" s="116">
        <v>329.6</v>
      </c>
      <c r="E684" s="116">
        <v>329.6</v>
      </c>
      <c r="F684" s="116">
        <v>337.05</v>
      </c>
      <c r="G684">
        <v>2584</v>
      </c>
      <c r="H684" s="116"/>
      <c r="I684" s="116"/>
      <c r="L684" s="169">
        <v>43007</v>
      </c>
      <c r="M684" s="116">
        <v>339.25</v>
      </c>
      <c r="N684" s="116">
        <v>347</v>
      </c>
      <c r="O684" s="116">
        <v>332.1</v>
      </c>
      <c r="P684" s="116">
        <v>338.75</v>
      </c>
      <c r="Q684" s="116">
        <v>339.25</v>
      </c>
      <c r="R684">
        <v>25570</v>
      </c>
    </row>
    <row r="685" spans="1:18" x14ac:dyDescent="0.25">
      <c r="A685" s="169">
        <v>43011</v>
      </c>
      <c r="B685" s="116">
        <v>346.1</v>
      </c>
      <c r="C685" s="116">
        <v>341.5</v>
      </c>
      <c r="D685" s="116">
        <v>337</v>
      </c>
      <c r="E685" s="116">
        <v>346</v>
      </c>
      <c r="F685" s="116">
        <v>341.5</v>
      </c>
      <c r="G685">
        <v>2042</v>
      </c>
      <c r="H685" s="116"/>
      <c r="I685" s="116"/>
      <c r="L685" s="169">
        <v>43011</v>
      </c>
      <c r="M685" s="116">
        <v>339.25</v>
      </c>
      <c r="N685" s="116">
        <v>347</v>
      </c>
      <c r="O685" s="116">
        <v>333.3</v>
      </c>
      <c r="P685" s="116">
        <v>339.25</v>
      </c>
      <c r="Q685" s="116">
        <v>339.25</v>
      </c>
      <c r="R685">
        <v>7950</v>
      </c>
    </row>
    <row r="686" spans="1:18" x14ac:dyDescent="0.25">
      <c r="A686" s="169">
        <v>43012</v>
      </c>
      <c r="B686" s="116">
        <v>353.9</v>
      </c>
      <c r="C686" s="116">
        <v>350.2</v>
      </c>
      <c r="D686" s="116">
        <v>342</v>
      </c>
      <c r="E686" s="116">
        <v>342</v>
      </c>
      <c r="F686" s="116">
        <v>350.2</v>
      </c>
      <c r="G686">
        <v>3312</v>
      </c>
      <c r="H686" s="116"/>
      <c r="I686" s="116"/>
      <c r="L686" s="169">
        <v>43012</v>
      </c>
      <c r="M686" s="116">
        <v>351.85</v>
      </c>
      <c r="N686" s="116">
        <v>356.6</v>
      </c>
      <c r="O686" s="116">
        <v>339</v>
      </c>
      <c r="P686" s="116">
        <v>344</v>
      </c>
      <c r="Q686" s="116">
        <v>351.85</v>
      </c>
      <c r="R686">
        <v>30646</v>
      </c>
    </row>
    <row r="687" spans="1:18" x14ac:dyDescent="0.25">
      <c r="A687" s="169">
        <v>43013</v>
      </c>
      <c r="B687" s="116">
        <v>379.85</v>
      </c>
      <c r="C687" s="116">
        <v>374.7</v>
      </c>
      <c r="D687" s="116">
        <v>351</v>
      </c>
      <c r="E687" s="116">
        <v>351</v>
      </c>
      <c r="F687" s="116">
        <v>374.7</v>
      </c>
      <c r="G687">
        <v>19777</v>
      </c>
      <c r="H687" s="116"/>
      <c r="I687" s="116"/>
      <c r="L687" s="169">
        <v>43013</v>
      </c>
      <c r="M687" s="116">
        <v>375.25</v>
      </c>
      <c r="N687" s="116">
        <v>380.8</v>
      </c>
      <c r="O687" s="116">
        <v>351.85</v>
      </c>
      <c r="P687" s="116">
        <v>351.85</v>
      </c>
      <c r="Q687" s="116">
        <v>375.25</v>
      </c>
      <c r="R687">
        <v>59681</v>
      </c>
    </row>
    <row r="688" spans="1:18" x14ac:dyDescent="0.25">
      <c r="A688" s="169">
        <v>43014</v>
      </c>
      <c r="B688" s="116">
        <v>380</v>
      </c>
      <c r="C688" s="116">
        <v>376.35</v>
      </c>
      <c r="D688" s="116">
        <v>370.5</v>
      </c>
      <c r="E688" s="116">
        <v>379.95</v>
      </c>
      <c r="F688" s="116">
        <v>376.35</v>
      </c>
      <c r="G688">
        <v>4080</v>
      </c>
      <c r="H688" s="116"/>
      <c r="I688" s="116"/>
      <c r="L688" s="169">
        <v>43014</v>
      </c>
      <c r="M688" s="116">
        <v>376.65</v>
      </c>
      <c r="N688" s="116">
        <v>382.9</v>
      </c>
      <c r="O688" s="116">
        <v>371.5</v>
      </c>
      <c r="P688" s="116">
        <v>377</v>
      </c>
      <c r="Q688" s="116">
        <v>376.65</v>
      </c>
      <c r="R688">
        <v>22131</v>
      </c>
    </row>
    <row r="689" spans="1:18" x14ac:dyDescent="0.25">
      <c r="A689" s="169">
        <v>43017</v>
      </c>
      <c r="B689" s="116">
        <v>419.9</v>
      </c>
      <c r="C689" s="116">
        <v>393.15</v>
      </c>
      <c r="D689" s="116">
        <v>374.8</v>
      </c>
      <c r="E689" s="116">
        <v>374.8</v>
      </c>
      <c r="F689" s="116">
        <v>393.15</v>
      </c>
      <c r="G689">
        <v>39997</v>
      </c>
      <c r="H689" s="116"/>
      <c r="I689" s="116"/>
      <c r="L689" s="169">
        <v>43017</v>
      </c>
      <c r="M689" s="116">
        <v>389.6</v>
      </c>
      <c r="N689" s="116">
        <v>419</v>
      </c>
      <c r="O689" s="116">
        <v>371.2</v>
      </c>
      <c r="P689" s="116">
        <v>374</v>
      </c>
      <c r="Q689" s="116">
        <v>389.6</v>
      </c>
      <c r="R689">
        <v>223584</v>
      </c>
    </row>
    <row r="690" spans="1:18" x14ac:dyDescent="0.25">
      <c r="A690" s="169">
        <v>43018</v>
      </c>
      <c r="B690" s="116">
        <v>395.25</v>
      </c>
      <c r="C690" s="116">
        <v>385.6</v>
      </c>
      <c r="D690" s="116">
        <v>384.5</v>
      </c>
      <c r="E690" s="116">
        <v>390.05</v>
      </c>
      <c r="F690" s="116">
        <v>385.6</v>
      </c>
      <c r="G690">
        <v>5801</v>
      </c>
      <c r="H690" s="116"/>
      <c r="I690" s="116"/>
      <c r="L690" s="169">
        <v>43018</v>
      </c>
      <c r="M690" s="116">
        <v>387.35</v>
      </c>
      <c r="N690" s="116">
        <v>395.95</v>
      </c>
      <c r="O690" s="116">
        <v>382.85</v>
      </c>
      <c r="P690" s="116">
        <v>390</v>
      </c>
      <c r="Q690" s="116">
        <v>387.35</v>
      </c>
      <c r="R690">
        <v>57016</v>
      </c>
    </row>
    <row r="691" spans="1:18" x14ac:dyDescent="0.25">
      <c r="A691" s="169">
        <v>43019</v>
      </c>
      <c r="B691" s="116">
        <v>398</v>
      </c>
      <c r="C691" s="116">
        <v>381.55</v>
      </c>
      <c r="D691" s="116">
        <v>376.15</v>
      </c>
      <c r="E691" s="116">
        <v>388</v>
      </c>
      <c r="F691" s="116">
        <v>381.55</v>
      </c>
      <c r="G691">
        <v>10340</v>
      </c>
      <c r="H691" s="116"/>
      <c r="I691" s="116"/>
      <c r="L691" s="169">
        <v>43019</v>
      </c>
      <c r="M691" s="116">
        <v>384.1</v>
      </c>
      <c r="N691" s="116">
        <v>398.35</v>
      </c>
      <c r="O691" s="116">
        <v>377.5</v>
      </c>
      <c r="P691" s="116">
        <v>387.35</v>
      </c>
      <c r="Q691" s="116">
        <v>384.1</v>
      </c>
      <c r="R691">
        <v>81175</v>
      </c>
    </row>
    <row r="692" spans="1:18" x14ac:dyDescent="0.25">
      <c r="A692" s="169">
        <v>43020</v>
      </c>
      <c r="B692" s="116">
        <v>409</v>
      </c>
      <c r="C692" s="116">
        <v>401.55</v>
      </c>
      <c r="D692" s="116">
        <v>381.35</v>
      </c>
      <c r="E692" s="116">
        <v>383</v>
      </c>
      <c r="F692" s="116">
        <v>401.55</v>
      </c>
      <c r="G692">
        <v>15601</v>
      </c>
      <c r="H692" s="116"/>
      <c r="I692" s="116"/>
      <c r="L692" s="169">
        <v>43020</v>
      </c>
      <c r="M692" s="116">
        <v>401.3</v>
      </c>
      <c r="N692" s="116">
        <v>409</v>
      </c>
      <c r="O692" s="116">
        <v>381.1</v>
      </c>
      <c r="P692" s="116">
        <v>381.1</v>
      </c>
      <c r="Q692" s="116">
        <v>401.3</v>
      </c>
      <c r="R692">
        <v>141334</v>
      </c>
    </row>
    <row r="693" spans="1:18" x14ac:dyDescent="0.25">
      <c r="A693" s="169">
        <v>43021</v>
      </c>
      <c r="B693" s="116">
        <v>439.8</v>
      </c>
      <c r="C693" s="116">
        <v>417.75</v>
      </c>
      <c r="D693" s="116">
        <v>405</v>
      </c>
      <c r="E693" s="116">
        <v>405.7</v>
      </c>
      <c r="F693" s="116">
        <v>417.75</v>
      </c>
      <c r="G693">
        <v>133566</v>
      </c>
      <c r="H693" s="116"/>
      <c r="I693" s="116"/>
      <c r="L693" s="169">
        <v>43021</v>
      </c>
      <c r="M693" s="116">
        <v>418.65</v>
      </c>
      <c r="N693" s="116">
        <v>438</v>
      </c>
      <c r="O693" s="116">
        <v>400</v>
      </c>
      <c r="P693" s="116">
        <v>400</v>
      </c>
      <c r="Q693" s="116">
        <v>418.65</v>
      </c>
      <c r="R693">
        <v>422220</v>
      </c>
    </row>
    <row r="694" spans="1:18" x14ac:dyDescent="0.25">
      <c r="A694" s="169">
        <v>43024</v>
      </c>
      <c r="B694" s="116">
        <v>432.5</v>
      </c>
      <c r="C694" s="116">
        <v>414.45</v>
      </c>
      <c r="D694" s="116">
        <v>408</v>
      </c>
      <c r="E694" s="116">
        <v>424.9</v>
      </c>
      <c r="F694" s="116">
        <v>414.45</v>
      </c>
      <c r="G694">
        <v>22882</v>
      </c>
      <c r="H694" s="116"/>
      <c r="I694" s="116"/>
      <c r="L694" s="169">
        <v>43024</v>
      </c>
      <c r="M694" s="116">
        <v>413.4</v>
      </c>
      <c r="N694" s="116">
        <v>432.05</v>
      </c>
      <c r="O694" s="116">
        <v>406.5</v>
      </c>
      <c r="P694" s="116">
        <v>426.7</v>
      </c>
      <c r="Q694" s="116">
        <v>413.4</v>
      </c>
      <c r="R694">
        <v>100888</v>
      </c>
    </row>
    <row r="695" spans="1:18" x14ac:dyDescent="0.25">
      <c r="A695" s="169">
        <v>43025</v>
      </c>
      <c r="B695" s="116">
        <v>424.7</v>
      </c>
      <c r="C695" s="116">
        <v>409.8</v>
      </c>
      <c r="D695" s="116">
        <v>405</v>
      </c>
      <c r="E695" s="116">
        <v>417.05</v>
      </c>
      <c r="F695" s="116">
        <v>409.8</v>
      </c>
      <c r="G695">
        <v>21504</v>
      </c>
      <c r="H695" s="116"/>
      <c r="I695" s="116"/>
      <c r="L695" s="169">
        <v>43025</v>
      </c>
      <c r="M695" s="116">
        <v>410.9</v>
      </c>
      <c r="N695" s="116">
        <v>423.4</v>
      </c>
      <c r="O695" s="116">
        <v>407</v>
      </c>
      <c r="P695" s="116">
        <v>411.4</v>
      </c>
      <c r="Q695" s="116">
        <v>410.9</v>
      </c>
      <c r="R695">
        <v>113928</v>
      </c>
    </row>
    <row r="696" spans="1:18" x14ac:dyDescent="0.25">
      <c r="A696" s="169">
        <v>43026</v>
      </c>
      <c r="B696" s="116">
        <v>418.95</v>
      </c>
      <c r="C696" s="116">
        <v>414</v>
      </c>
      <c r="D696" s="116">
        <v>412.3</v>
      </c>
      <c r="E696" s="116">
        <v>413.95</v>
      </c>
      <c r="F696" s="116">
        <v>414</v>
      </c>
      <c r="G696">
        <v>4029</v>
      </c>
      <c r="H696" s="116"/>
      <c r="I696" s="116"/>
      <c r="L696" s="169">
        <v>43026</v>
      </c>
      <c r="M696" s="116">
        <v>412.3</v>
      </c>
      <c r="N696" s="116">
        <v>418</v>
      </c>
      <c r="O696" s="116">
        <v>411</v>
      </c>
      <c r="P696" s="116">
        <v>413.9</v>
      </c>
      <c r="Q696" s="116">
        <v>412.3</v>
      </c>
      <c r="R696">
        <v>31800</v>
      </c>
    </row>
    <row r="697" spans="1:18" x14ac:dyDescent="0.25">
      <c r="A697" s="169">
        <v>43027</v>
      </c>
      <c r="B697" s="116">
        <v>416.95</v>
      </c>
      <c r="C697" s="116">
        <v>414.4</v>
      </c>
      <c r="D697" s="116">
        <v>410</v>
      </c>
      <c r="E697" s="116">
        <v>410</v>
      </c>
      <c r="F697" s="116">
        <v>414.4</v>
      </c>
      <c r="G697">
        <v>1774</v>
      </c>
      <c r="H697" s="116"/>
      <c r="I697" s="116"/>
      <c r="L697" s="169">
        <v>43027</v>
      </c>
      <c r="M697" s="116">
        <v>411.4</v>
      </c>
      <c r="N697" s="116">
        <v>415.95</v>
      </c>
      <c r="O697" s="116">
        <v>409.1</v>
      </c>
      <c r="P697" s="116">
        <v>415.8</v>
      </c>
      <c r="Q697" s="116">
        <v>411.4</v>
      </c>
      <c r="R697">
        <v>12343</v>
      </c>
    </row>
    <row r="698" spans="1:18" x14ac:dyDescent="0.25">
      <c r="A698" s="169">
        <v>43031</v>
      </c>
      <c r="B698" s="116">
        <v>422.3</v>
      </c>
      <c r="C698" s="116">
        <v>420.55</v>
      </c>
      <c r="D698" s="116">
        <v>371</v>
      </c>
      <c r="E698" s="116">
        <v>371</v>
      </c>
      <c r="F698" s="116">
        <v>420.55</v>
      </c>
      <c r="G698">
        <v>9364</v>
      </c>
      <c r="H698" s="116"/>
      <c r="I698" s="116"/>
      <c r="L698" s="169">
        <v>43031</v>
      </c>
      <c r="M698" s="116">
        <v>417.25</v>
      </c>
      <c r="N698" s="116">
        <v>419.5</v>
      </c>
      <c r="O698" s="116">
        <v>408</v>
      </c>
      <c r="P698" s="116">
        <v>408</v>
      </c>
      <c r="Q698" s="116">
        <v>417.25</v>
      </c>
      <c r="R698">
        <v>37921</v>
      </c>
    </row>
    <row r="699" spans="1:18" x14ac:dyDescent="0.25">
      <c r="A699" s="169">
        <v>43032</v>
      </c>
      <c r="B699" s="116">
        <v>428</v>
      </c>
      <c r="C699" s="116">
        <v>424.35</v>
      </c>
      <c r="D699" s="116">
        <v>414.3</v>
      </c>
      <c r="E699" s="116">
        <v>420</v>
      </c>
      <c r="F699" s="116">
        <v>424.35</v>
      </c>
      <c r="G699">
        <v>5931</v>
      </c>
      <c r="H699" s="116"/>
      <c r="I699" s="116"/>
      <c r="L699" s="169">
        <v>43032</v>
      </c>
      <c r="M699" s="116">
        <v>421.5</v>
      </c>
      <c r="N699" s="116">
        <v>429.9</v>
      </c>
      <c r="O699" s="116">
        <v>413.25</v>
      </c>
      <c r="P699" s="116">
        <v>419.95</v>
      </c>
      <c r="Q699" s="116">
        <v>421.5</v>
      </c>
      <c r="R699">
        <v>41143</v>
      </c>
    </row>
    <row r="700" spans="1:18" x14ac:dyDescent="0.25">
      <c r="A700" s="169">
        <v>43033</v>
      </c>
      <c r="B700" s="116">
        <v>426</v>
      </c>
      <c r="C700" s="116">
        <v>418.3</v>
      </c>
      <c r="D700" s="116">
        <v>412.6</v>
      </c>
      <c r="E700" s="116">
        <v>424.35</v>
      </c>
      <c r="F700" s="116">
        <v>418.3</v>
      </c>
      <c r="G700">
        <v>3676</v>
      </c>
      <c r="H700" s="116"/>
      <c r="I700" s="116"/>
      <c r="L700" s="169">
        <v>43033</v>
      </c>
      <c r="M700" s="116">
        <v>420.6</v>
      </c>
      <c r="N700" s="116">
        <v>427</v>
      </c>
      <c r="O700" s="116">
        <v>417</v>
      </c>
      <c r="P700" s="116">
        <v>422.15</v>
      </c>
      <c r="Q700" s="116">
        <v>420.6</v>
      </c>
      <c r="R700">
        <v>22312</v>
      </c>
    </row>
    <row r="701" spans="1:18" x14ac:dyDescent="0.25">
      <c r="A701" s="169">
        <v>43034</v>
      </c>
      <c r="B701" s="116">
        <v>425.95</v>
      </c>
      <c r="C701" s="116">
        <v>422.4</v>
      </c>
      <c r="D701" s="116">
        <v>410.5</v>
      </c>
      <c r="E701" s="116">
        <v>411.05</v>
      </c>
      <c r="F701" s="116">
        <v>422.4</v>
      </c>
      <c r="G701">
        <v>5595</v>
      </c>
      <c r="H701" s="116"/>
      <c r="I701" s="116"/>
      <c r="L701" s="169">
        <v>43034</v>
      </c>
      <c r="M701" s="116">
        <v>422.6</v>
      </c>
      <c r="N701" s="116">
        <v>424</v>
      </c>
      <c r="O701" s="116">
        <v>409</v>
      </c>
      <c r="P701" s="116">
        <v>418</v>
      </c>
      <c r="Q701" s="116">
        <v>422.6</v>
      </c>
      <c r="R701">
        <v>26524</v>
      </c>
    </row>
    <row r="702" spans="1:18" x14ac:dyDescent="0.25">
      <c r="A702" s="169">
        <v>43035</v>
      </c>
      <c r="B702" s="116">
        <v>425.9</v>
      </c>
      <c r="C702" s="116">
        <v>409.15</v>
      </c>
      <c r="D702" s="116">
        <v>399.65</v>
      </c>
      <c r="E702" s="116">
        <v>425.9</v>
      </c>
      <c r="F702" s="116">
        <v>409.15</v>
      </c>
      <c r="G702">
        <v>14052</v>
      </c>
      <c r="H702" s="116"/>
      <c r="I702" s="116"/>
      <c r="L702" s="169">
        <v>43035</v>
      </c>
      <c r="M702" s="116">
        <v>413.4</v>
      </c>
      <c r="N702" s="116">
        <v>429.85</v>
      </c>
      <c r="O702" s="116">
        <v>412</v>
      </c>
      <c r="P702" s="116">
        <v>422.6</v>
      </c>
      <c r="Q702" s="116">
        <v>413.4</v>
      </c>
      <c r="R702">
        <v>20376</v>
      </c>
    </row>
    <row r="703" spans="1:18" x14ac:dyDescent="0.25">
      <c r="A703" s="169">
        <v>43038</v>
      </c>
      <c r="B703" s="116">
        <v>447.85</v>
      </c>
      <c r="C703" s="116">
        <v>443.4</v>
      </c>
      <c r="D703" s="116">
        <v>419.3</v>
      </c>
      <c r="E703" s="116">
        <v>419.3</v>
      </c>
      <c r="F703" s="116">
        <v>443.4</v>
      </c>
      <c r="G703">
        <v>20114</v>
      </c>
      <c r="H703" s="116"/>
      <c r="I703" s="116"/>
      <c r="L703" s="169">
        <v>43038</v>
      </c>
      <c r="M703" s="116">
        <v>441.9</v>
      </c>
      <c r="N703" s="116">
        <v>444.8</v>
      </c>
      <c r="O703" s="116">
        <v>413.4</v>
      </c>
      <c r="P703" s="116">
        <v>413.4</v>
      </c>
      <c r="Q703" s="116">
        <v>441.9</v>
      </c>
      <c r="R703">
        <v>100203</v>
      </c>
    </row>
    <row r="704" spans="1:18" x14ac:dyDescent="0.25">
      <c r="A704" s="169">
        <v>43039</v>
      </c>
      <c r="B704" s="116">
        <v>532.04999999999995</v>
      </c>
      <c r="C704" s="116">
        <v>516.35</v>
      </c>
      <c r="D704" s="116">
        <v>465.2</v>
      </c>
      <c r="E704" s="116">
        <v>474</v>
      </c>
      <c r="F704" s="116">
        <v>516.35</v>
      </c>
      <c r="G704">
        <v>284926</v>
      </c>
      <c r="H704" s="116"/>
      <c r="I704" s="116"/>
      <c r="L704" s="169">
        <v>43039</v>
      </c>
      <c r="M704" s="116">
        <v>518.85</v>
      </c>
      <c r="N704" s="116">
        <v>530.25</v>
      </c>
      <c r="O704" s="116">
        <v>465.3</v>
      </c>
      <c r="P704" s="116">
        <v>478</v>
      </c>
      <c r="Q704" s="116">
        <v>518.85</v>
      </c>
      <c r="R704">
        <v>1629312</v>
      </c>
    </row>
    <row r="705" spans="1:18" x14ac:dyDescent="0.25">
      <c r="A705" s="169">
        <v>43040</v>
      </c>
      <c r="B705" s="116">
        <v>535</v>
      </c>
      <c r="C705" s="116">
        <v>508.45</v>
      </c>
      <c r="D705" s="116">
        <v>496.2</v>
      </c>
      <c r="E705" s="116">
        <v>523.9</v>
      </c>
      <c r="F705" s="116">
        <v>508.45</v>
      </c>
      <c r="G705">
        <v>90068</v>
      </c>
      <c r="H705" s="116"/>
      <c r="I705" s="116"/>
      <c r="L705" s="169">
        <v>43040</v>
      </c>
      <c r="M705" s="116">
        <v>509</v>
      </c>
      <c r="N705" s="116">
        <v>537.29999999999995</v>
      </c>
      <c r="O705" s="116">
        <v>496.1</v>
      </c>
      <c r="P705" s="116">
        <v>523.70000000000005</v>
      </c>
      <c r="Q705" s="116">
        <v>509</v>
      </c>
      <c r="R705">
        <v>475110</v>
      </c>
    </row>
    <row r="706" spans="1:18" x14ac:dyDescent="0.25">
      <c r="A706" s="169">
        <v>43041</v>
      </c>
      <c r="B706" s="116">
        <v>521</v>
      </c>
      <c r="C706" s="116">
        <v>508.15</v>
      </c>
      <c r="D706" s="116">
        <v>504.85</v>
      </c>
      <c r="E706" s="116">
        <v>510</v>
      </c>
      <c r="F706" s="116">
        <v>508.15</v>
      </c>
      <c r="G706">
        <v>23987</v>
      </c>
      <c r="H706" s="116"/>
      <c r="I706" s="116"/>
      <c r="L706" s="169">
        <v>43041</v>
      </c>
      <c r="M706" s="116">
        <v>508.8</v>
      </c>
      <c r="N706" s="116">
        <v>523</v>
      </c>
      <c r="O706" s="116">
        <v>502.55</v>
      </c>
      <c r="P706" s="116">
        <v>512.45000000000005</v>
      </c>
      <c r="Q706" s="116">
        <v>508.8</v>
      </c>
      <c r="R706">
        <v>141568</v>
      </c>
    </row>
    <row r="707" spans="1:18" x14ac:dyDescent="0.25">
      <c r="A707" s="169">
        <v>43042</v>
      </c>
      <c r="B707" s="116">
        <v>524.9</v>
      </c>
      <c r="C707" s="116">
        <v>513.9</v>
      </c>
      <c r="D707" s="116">
        <v>497.3</v>
      </c>
      <c r="E707" s="116">
        <v>511</v>
      </c>
      <c r="F707" s="116">
        <v>513.9</v>
      </c>
      <c r="G707">
        <v>45813</v>
      </c>
      <c r="H707" s="116"/>
      <c r="I707" s="116"/>
      <c r="L707" s="169">
        <v>43042</v>
      </c>
      <c r="M707" s="116">
        <v>515.15</v>
      </c>
      <c r="N707" s="116">
        <v>525</v>
      </c>
      <c r="O707" s="116">
        <v>497</v>
      </c>
      <c r="P707" s="116">
        <v>504.05</v>
      </c>
      <c r="Q707" s="116">
        <v>515.15</v>
      </c>
      <c r="R707">
        <v>259845</v>
      </c>
    </row>
    <row r="708" spans="1:18" x14ac:dyDescent="0.25">
      <c r="A708" s="169">
        <v>43045</v>
      </c>
      <c r="B708" s="116">
        <v>576</v>
      </c>
      <c r="C708" s="116">
        <v>567.70000000000005</v>
      </c>
      <c r="D708" s="116">
        <v>501</v>
      </c>
      <c r="E708" s="116">
        <v>501</v>
      </c>
      <c r="F708" s="116">
        <v>567.70000000000005</v>
      </c>
      <c r="G708">
        <v>136404</v>
      </c>
      <c r="H708" s="116"/>
      <c r="I708" s="116"/>
      <c r="L708" s="169">
        <v>43045</v>
      </c>
      <c r="M708" s="116">
        <v>568.54999999999995</v>
      </c>
      <c r="N708" s="116">
        <v>577.70000000000005</v>
      </c>
      <c r="O708" s="116">
        <v>512.1</v>
      </c>
      <c r="P708" s="116">
        <v>515</v>
      </c>
      <c r="Q708" s="116">
        <v>568.54999999999995</v>
      </c>
      <c r="R708">
        <v>674412</v>
      </c>
    </row>
    <row r="709" spans="1:18" x14ac:dyDescent="0.25">
      <c r="A709" s="169">
        <v>43046</v>
      </c>
      <c r="B709" s="116">
        <v>575</v>
      </c>
      <c r="C709" s="116">
        <v>569.1</v>
      </c>
      <c r="D709" s="116">
        <v>527.75</v>
      </c>
      <c r="E709" s="116">
        <v>574.15</v>
      </c>
      <c r="F709" s="116">
        <v>569.1</v>
      </c>
      <c r="G709">
        <v>53604</v>
      </c>
      <c r="H709" s="116"/>
      <c r="I709" s="116"/>
      <c r="L709" s="169">
        <v>43046</v>
      </c>
      <c r="M709" s="116">
        <v>569.9</v>
      </c>
      <c r="N709" s="116">
        <v>579.9</v>
      </c>
      <c r="O709" s="116">
        <v>525.35</v>
      </c>
      <c r="P709" s="116">
        <v>575</v>
      </c>
      <c r="Q709" s="116">
        <v>569.9</v>
      </c>
      <c r="R709">
        <v>240124</v>
      </c>
    </row>
    <row r="710" spans="1:18" x14ac:dyDescent="0.25">
      <c r="A710" s="169">
        <v>43047</v>
      </c>
      <c r="B710" s="116">
        <v>599</v>
      </c>
      <c r="C710" s="116">
        <v>553</v>
      </c>
      <c r="D710" s="116">
        <v>543.25</v>
      </c>
      <c r="E710" s="116">
        <v>575.1</v>
      </c>
      <c r="F710" s="116">
        <v>553</v>
      </c>
      <c r="G710">
        <v>69479</v>
      </c>
      <c r="H710" s="116"/>
      <c r="I710" s="116"/>
      <c r="L710" s="169">
        <v>43047</v>
      </c>
      <c r="M710" s="116">
        <v>555.20000000000005</v>
      </c>
      <c r="N710" s="116">
        <v>599.29999999999995</v>
      </c>
      <c r="O710" s="116">
        <v>543.54999999999995</v>
      </c>
      <c r="P710" s="116">
        <v>576</v>
      </c>
      <c r="Q710" s="116">
        <v>555.20000000000005</v>
      </c>
      <c r="R710">
        <v>296946</v>
      </c>
    </row>
    <row r="711" spans="1:18" x14ac:dyDescent="0.25">
      <c r="A711" s="169">
        <v>43048</v>
      </c>
      <c r="B711" s="116">
        <v>578.04999999999995</v>
      </c>
      <c r="C711" s="116">
        <v>562.70000000000005</v>
      </c>
      <c r="D711" s="116">
        <v>553</v>
      </c>
      <c r="E711" s="116">
        <v>568.15</v>
      </c>
      <c r="F711" s="116">
        <v>562.70000000000005</v>
      </c>
      <c r="G711">
        <v>40028</v>
      </c>
      <c r="H711" s="116"/>
      <c r="I711" s="116"/>
      <c r="L711" s="169">
        <v>43048</v>
      </c>
      <c r="M711" s="116">
        <v>563.5</v>
      </c>
      <c r="N711" s="116">
        <v>579</v>
      </c>
      <c r="O711" s="116">
        <v>553.5</v>
      </c>
      <c r="P711" s="116">
        <v>565.75</v>
      </c>
      <c r="Q711" s="116">
        <v>563.5</v>
      </c>
      <c r="R711">
        <v>247569</v>
      </c>
    </row>
    <row r="712" spans="1:18" x14ac:dyDescent="0.25">
      <c r="A712" s="169">
        <v>43049</v>
      </c>
      <c r="B712" s="116">
        <v>576</v>
      </c>
      <c r="C712" s="116">
        <v>570.35</v>
      </c>
      <c r="D712" s="116">
        <v>556</v>
      </c>
      <c r="E712" s="116">
        <v>559.1</v>
      </c>
      <c r="F712" s="116">
        <v>570.35</v>
      </c>
      <c r="G712">
        <v>43524</v>
      </c>
      <c r="H712" s="116"/>
      <c r="I712" s="116"/>
      <c r="L712" s="169">
        <v>43049</v>
      </c>
      <c r="M712" s="116">
        <v>571.75</v>
      </c>
      <c r="N712" s="116">
        <v>577.29999999999995</v>
      </c>
      <c r="O712" s="116">
        <v>555</v>
      </c>
      <c r="P712" s="116">
        <v>563.5</v>
      </c>
      <c r="Q712" s="116">
        <v>571.75</v>
      </c>
      <c r="R712">
        <v>106731</v>
      </c>
    </row>
    <row r="713" spans="1:18" x14ac:dyDescent="0.25">
      <c r="A713" s="169">
        <v>43052</v>
      </c>
      <c r="B713" s="116">
        <v>597.04999999999995</v>
      </c>
      <c r="C713" s="116">
        <v>574.65</v>
      </c>
      <c r="D713" s="116">
        <v>561.5</v>
      </c>
      <c r="E713" s="116">
        <v>570.5</v>
      </c>
      <c r="F713" s="116">
        <v>574.65</v>
      </c>
      <c r="G713">
        <v>54110</v>
      </c>
      <c r="H713" s="116"/>
      <c r="I713" s="116"/>
      <c r="L713" s="169">
        <v>43052</v>
      </c>
      <c r="M713" s="116">
        <v>576.75</v>
      </c>
      <c r="N713" s="116">
        <v>598</v>
      </c>
      <c r="O713" s="116">
        <v>559.1</v>
      </c>
      <c r="P713" s="116">
        <v>571.20000000000005</v>
      </c>
      <c r="Q713" s="116">
        <v>576.75</v>
      </c>
      <c r="R713">
        <v>290773</v>
      </c>
    </row>
    <row r="714" spans="1:18" x14ac:dyDescent="0.25">
      <c r="A714" s="169">
        <v>43053</v>
      </c>
      <c r="B714" s="116">
        <v>583.70000000000005</v>
      </c>
      <c r="C714" s="116">
        <v>571.25</v>
      </c>
      <c r="D714" s="116">
        <v>565.54999999999995</v>
      </c>
      <c r="E714" s="116">
        <v>577.54999999999995</v>
      </c>
      <c r="F714" s="116">
        <v>571.25</v>
      </c>
      <c r="G714">
        <v>15839</v>
      </c>
      <c r="H714" s="116"/>
      <c r="I714" s="116"/>
      <c r="L714" s="169">
        <v>43053</v>
      </c>
      <c r="M714" s="116">
        <v>570.6</v>
      </c>
      <c r="N714" s="116">
        <v>584.95000000000005</v>
      </c>
      <c r="O714" s="116">
        <v>565</v>
      </c>
      <c r="P714" s="116">
        <v>579.54999999999995</v>
      </c>
      <c r="Q714" s="116">
        <v>570.6</v>
      </c>
      <c r="R714">
        <v>110680</v>
      </c>
    </row>
    <row r="715" spans="1:18" x14ac:dyDescent="0.25">
      <c r="A715" s="169">
        <v>43054</v>
      </c>
      <c r="B715" s="116">
        <v>580</v>
      </c>
      <c r="C715" s="116">
        <v>549.54999999999995</v>
      </c>
      <c r="D715" s="116">
        <v>540</v>
      </c>
      <c r="E715" s="116">
        <v>566</v>
      </c>
      <c r="F715" s="116">
        <v>549.54999999999995</v>
      </c>
      <c r="G715">
        <v>25529</v>
      </c>
      <c r="H715" s="116"/>
      <c r="I715" s="116"/>
      <c r="L715" s="169">
        <v>43054</v>
      </c>
      <c r="M715" s="116">
        <v>547.25</v>
      </c>
      <c r="N715" s="116">
        <v>572.5</v>
      </c>
      <c r="O715" s="116">
        <v>539.95000000000005</v>
      </c>
      <c r="P715" s="116">
        <v>571.54999999999995</v>
      </c>
      <c r="Q715" s="116">
        <v>547.25</v>
      </c>
      <c r="R715">
        <v>93462</v>
      </c>
    </row>
    <row r="716" spans="1:18" x14ac:dyDescent="0.25">
      <c r="A716" s="169">
        <v>43055</v>
      </c>
      <c r="B716" s="116">
        <v>556.20000000000005</v>
      </c>
      <c r="C716" s="116">
        <v>539.35</v>
      </c>
      <c r="D716" s="116">
        <v>535</v>
      </c>
      <c r="E716" s="116">
        <v>552.95000000000005</v>
      </c>
      <c r="F716" s="116">
        <v>539.35</v>
      </c>
      <c r="G716">
        <v>24804</v>
      </c>
      <c r="H716" s="116"/>
      <c r="I716" s="116"/>
      <c r="L716" s="169">
        <v>43055</v>
      </c>
      <c r="M716" s="116">
        <v>539.70000000000005</v>
      </c>
      <c r="N716" s="116">
        <v>556.5</v>
      </c>
      <c r="O716" s="116">
        <v>537</v>
      </c>
      <c r="P716" s="116">
        <v>552.9</v>
      </c>
      <c r="Q716" s="116">
        <v>539.70000000000005</v>
      </c>
      <c r="R716">
        <v>102516</v>
      </c>
    </row>
    <row r="717" spans="1:18" x14ac:dyDescent="0.25">
      <c r="A717" s="169">
        <v>43056</v>
      </c>
      <c r="B717" s="116">
        <v>637.95000000000005</v>
      </c>
      <c r="C717" s="116">
        <v>613.95000000000005</v>
      </c>
      <c r="D717" s="116">
        <v>550.04999999999995</v>
      </c>
      <c r="E717" s="116">
        <v>553</v>
      </c>
      <c r="F717" s="116">
        <v>613.95000000000005</v>
      </c>
      <c r="G717">
        <v>312978</v>
      </c>
      <c r="H717" s="116"/>
      <c r="I717" s="116"/>
      <c r="L717" s="169">
        <v>43056</v>
      </c>
      <c r="M717" s="116">
        <v>613.1</v>
      </c>
      <c r="N717" s="116">
        <v>635.9</v>
      </c>
      <c r="O717" s="116">
        <v>550.1</v>
      </c>
      <c r="P717" s="116">
        <v>562</v>
      </c>
      <c r="Q717" s="116">
        <v>613.1</v>
      </c>
      <c r="R717">
        <v>1329489</v>
      </c>
    </row>
    <row r="718" spans="1:18" x14ac:dyDescent="0.25">
      <c r="A718" s="169">
        <v>43059</v>
      </c>
      <c r="B718" s="116">
        <v>622.35</v>
      </c>
      <c r="C718" s="116">
        <v>607.75</v>
      </c>
      <c r="D718" s="116">
        <v>594.6</v>
      </c>
      <c r="E718" s="116">
        <v>613.1</v>
      </c>
      <c r="F718" s="116">
        <v>607.75</v>
      </c>
      <c r="G718">
        <v>55940</v>
      </c>
      <c r="H718" s="116"/>
      <c r="I718" s="116"/>
      <c r="L718" s="169">
        <v>43059</v>
      </c>
      <c r="M718" s="116">
        <v>607.6</v>
      </c>
      <c r="N718" s="116">
        <v>622.85</v>
      </c>
      <c r="O718" s="116">
        <v>594.45000000000005</v>
      </c>
      <c r="P718" s="116">
        <v>620</v>
      </c>
      <c r="Q718" s="116">
        <v>607.6</v>
      </c>
      <c r="R718">
        <v>183227</v>
      </c>
    </row>
    <row r="719" spans="1:18" x14ac:dyDescent="0.25">
      <c r="A719" s="169">
        <v>43060</v>
      </c>
      <c r="B719" s="116">
        <v>623.9</v>
      </c>
      <c r="C719" s="116">
        <v>606.4</v>
      </c>
      <c r="D719" s="116">
        <v>603</v>
      </c>
      <c r="E719" s="116">
        <v>607.75</v>
      </c>
      <c r="F719" s="116">
        <v>606.4</v>
      </c>
      <c r="G719">
        <v>53102</v>
      </c>
      <c r="H719" s="116"/>
      <c r="I719" s="116"/>
      <c r="L719" s="169">
        <v>43060</v>
      </c>
      <c r="M719" s="116">
        <v>607.95000000000005</v>
      </c>
      <c r="N719" s="116">
        <v>624.4</v>
      </c>
      <c r="O719" s="116">
        <v>605.04999999999995</v>
      </c>
      <c r="P719" s="116">
        <v>607</v>
      </c>
      <c r="Q719" s="116">
        <v>607.95000000000005</v>
      </c>
      <c r="R719">
        <v>276268</v>
      </c>
    </row>
    <row r="720" spans="1:18" x14ac:dyDescent="0.25">
      <c r="A720" s="169">
        <v>43061</v>
      </c>
      <c r="B720" s="116">
        <v>613.4</v>
      </c>
      <c r="C720" s="116">
        <v>600.75</v>
      </c>
      <c r="D720" s="116">
        <v>597</v>
      </c>
      <c r="E720" s="116">
        <v>612.1</v>
      </c>
      <c r="F720" s="116">
        <v>600.75</v>
      </c>
      <c r="G720">
        <v>20705</v>
      </c>
      <c r="H720" s="116"/>
      <c r="I720" s="116"/>
      <c r="L720" s="169">
        <v>43061</v>
      </c>
      <c r="M720" s="116">
        <v>601.29999999999995</v>
      </c>
      <c r="N720" s="116">
        <v>613.20000000000005</v>
      </c>
      <c r="O720" s="116">
        <v>596.29999999999995</v>
      </c>
      <c r="P720" s="116">
        <v>611</v>
      </c>
      <c r="Q720" s="116">
        <v>601.29999999999995</v>
      </c>
      <c r="R720">
        <v>90552</v>
      </c>
    </row>
    <row r="721" spans="1:18" x14ac:dyDescent="0.25">
      <c r="A721" s="169">
        <v>43062</v>
      </c>
      <c r="B721" s="116">
        <v>668.4</v>
      </c>
      <c r="C721" s="116">
        <v>650.79999999999995</v>
      </c>
      <c r="D721" s="116">
        <v>606.95000000000005</v>
      </c>
      <c r="E721" s="116">
        <v>608</v>
      </c>
      <c r="F721" s="116">
        <v>650.79999999999995</v>
      </c>
      <c r="G721">
        <v>137175</v>
      </c>
      <c r="H721" s="116"/>
      <c r="I721" s="116"/>
      <c r="L721" s="169">
        <v>43062</v>
      </c>
      <c r="M721" s="116">
        <v>648.65</v>
      </c>
      <c r="N721" s="116">
        <v>667.7</v>
      </c>
      <c r="O721" s="116">
        <v>605</v>
      </c>
      <c r="P721" s="116">
        <v>606.75</v>
      </c>
      <c r="Q721" s="116">
        <v>648.65</v>
      </c>
      <c r="R721">
        <v>667597</v>
      </c>
    </row>
    <row r="722" spans="1:18" x14ac:dyDescent="0.25">
      <c r="A722" s="169">
        <v>43063</v>
      </c>
      <c r="B722" s="116">
        <v>653.75</v>
      </c>
      <c r="C722" s="116">
        <v>635.75</v>
      </c>
      <c r="D722" s="116">
        <v>630</v>
      </c>
      <c r="E722" s="116">
        <v>653</v>
      </c>
      <c r="F722" s="116">
        <v>635.75</v>
      </c>
      <c r="G722">
        <v>34008</v>
      </c>
      <c r="H722" s="116"/>
      <c r="I722" s="116"/>
      <c r="L722" s="169">
        <v>43063</v>
      </c>
      <c r="M722" s="116">
        <v>638.20000000000005</v>
      </c>
      <c r="N722" s="116">
        <v>654.20000000000005</v>
      </c>
      <c r="O722" s="116">
        <v>629.65</v>
      </c>
      <c r="P722" s="116">
        <v>651.20000000000005</v>
      </c>
      <c r="Q722" s="116">
        <v>638.20000000000005</v>
      </c>
      <c r="R722">
        <v>170605</v>
      </c>
    </row>
    <row r="723" spans="1:18" x14ac:dyDescent="0.25">
      <c r="A723" s="169">
        <v>43066</v>
      </c>
      <c r="B723" s="116">
        <v>650.9</v>
      </c>
      <c r="C723" s="116">
        <v>636.75</v>
      </c>
      <c r="D723" s="116">
        <v>630</v>
      </c>
      <c r="E723" s="116">
        <v>640</v>
      </c>
      <c r="F723" s="116">
        <v>636.75</v>
      </c>
      <c r="G723">
        <v>29683</v>
      </c>
      <c r="H723" s="116"/>
      <c r="I723" s="116"/>
      <c r="L723" s="169">
        <v>43066</v>
      </c>
      <c r="M723" s="116">
        <v>637.35</v>
      </c>
      <c r="N723" s="116">
        <v>650</v>
      </c>
      <c r="O723" s="116">
        <v>631</v>
      </c>
      <c r="P723" s="116">
        <v>641</v>
      </c>
      <c r="Q723" s="116">
        <v>637.35</v>
      </c>
      <c r="R723">
        <v>113872</v>
      </c>
    </row>
    <row r="724" spans="1:18" x14ac:dyDescent="0.25">
      <c r="A724" s="169">
        <v>43067</v>
      </c>
      <c r="B724" s="116">
        <v>642.95000000000005</v>
      </c>
      <c r="C724" s="116">
        <v>630.6</v>
      </c>
      <c r="D724" s="116">
        <v>626.45000000000005</v>
      </c>
      <c r="E724" s="116">
        <v>637.75</v>
      </c>
      <c r="F724" s="116">
        <v>630.6</v>
      </c>
      <c r="G724">
        <v>14783</v>
      </c>
      <c r="H724" s="116"/>
      <c r="I724" s="116"/>
      <c r="L724" s="169">
        <v>43067</v>
      </c>
      <c r="M724" s="116">
        <v>632.1</v>
      </c>
      <c r="N724" s="116">
        <v>643.75</v>
      </c>
      <c r="O724" s="116">
        <v>627</v>
      </c>
      <c r="P724" s="116">
        <v>640</v>
      </c>
      <c r="Q724" s="116">
        <v>632.1</v>
      </c>
      <c r="R724">
        <v>59035</v>
      </c>
    </row>
    <row r="725" spans="1:18" x14ac:dyDescent="0.25">
      <c r="A725" s="169">
        <v>43068</v>
      </c>
      <c r="B725" s="116">
        <v>636</v>
      </c>
      <c r="C725" s="116">
        <v>620.95000000000005</v>
      </c>
      <c r="D725" s="116">
        <v>612.04999999999995</v>
      </c>
      <c r="E725" s="116">
        <v>635.54999999999995</v>
      </c>
      <c r="F725" s="116">
        <v>620.95000000000005</v>
      </c>
      <c r="G725">
        <v>11268</v>
      </c>
      <c r="H725" s="116"/>
      <c r="I725" s="116"/>
      <c r="L725" s="169">
        <v>43068</v>
      </c>
      <c r="M725" s="116">
        <v>621.25</v>
      </c>
      <c r="N725" s="116">
        <v>638.95000000000005</v>
      </c>
      <c r="O725" s="116">
        <v>611.1</v>
      </c>
      <c r="P725" s="116">
        <v>636</v>
      </c>
      <c r="Q725" s="116">
        <v>621.25</v>
      </c>
      <c r="R725">
        <v>46292</v>
      </c>
    </row>
    <row r="726" spans="1:18" x14ac:dyDescent="0.25">
      <c r="A726" s="169">
        <v>43069</v>
      </c>
      <c r="B726" s="116">
        <v>626.85</v>
      </c>
      <c r="C726" s="116">
        <v>615.4</v>
      </c>
      <c r="D726" s="116">
        <v>607.45000000000005</v>
      </c>
      <c r="E726" s="116">
        <v>621</v>
      </c>
      <c r="F726" s="116">
        <v>615.4</v>
      </c>
      <c r="G726">
        <v>13313</v>
      </c>
      <c r="H726" s="116"/>
      <c r="I726" s="116"/>
      <c r="L726" s="169">
        <v>43069</v>
      </c>
      <c r="M726" s="116">
        <v>617.15</v>
      </c>
      <c r="N726" s="116">
        <v>628</v>
      </c>
      <c r="O726" s="116">
        <v>606</v>
      </c>
      <c r="P726" s="116">
        <v>621.25</v>
      </c>
      <c r="Q726" s="116">
        <v>617.15</v>
      </c>
      <c r="R726">
        <v>53683</v>
      </c>
    </row>
    <row r="727" spans="1:18" x14ac:dyDescent="0.25">
      <c r="A727" s="169">
        <v>43070</v>
      </c>
      <c r="B727" s="116">
        <v>624.04999999999995</v>
      </c>
      <c r="C727" s="116">
        <v>595.25</v>
      </c>
      <c r="D727" s="116">
        <v>585.9</v>
      </c>
      <c r="E727" s="116">
        <v>619.25</v>
      </c>
      <c r="F727" s="116">
        <v>595.25</v>
      </c>
      <c r="G727">
        <v>16024</v>
      </c>
      <c r="H727" s="116"/>
      <c r="I727" s="116"/>
      <c r="L727" s="169">
        <v>43070</v>
      </c>
      <c r="M727" s="116">
        <v>597.95000000000005</v>
      </c>
      <c r="N727" s="116">
        <v>624.5</v>
      </c>
      <c r="O727" s="116">
        <v>586</v>
      </c>
      <c r="P727" s="116">
        <v>620.6</v>
      </c>
      <c r="Q727" s="116">
        <v>597.95000000000005</v>
      </c>
      <c r="R727">
        <v>69424</v>
      </c>
    </row>
    <row r="728" spans="1:18" x14ac:dyDescent="0.25">
      <c r="A728" s="169">
        <v>43073</v>
      </c>
      <c r="B728" s="116">
        <v>659.5</v>
      </c>
      <c r="C728" s="116">
        <v>632.6</v>
      </c>
      <c r="D728" s="116">
        <v>595</v>
      </c>
      <c r="E728" s="116">
        <v>599.15</v>
      </c>
      <c r="F728" s="116">
        <v>632.6</v>
      </c>
      <c r="G728">
        <v>59141</v>
      </c>
      <c r="H728" s="116"/>
      <c r="I728" s="116"/>
      <c r="L728" s="169">
        <v>43073</v>
      </c>
      <c r="M728" s="116">
        <v>630.20000000000005</v>
      </c>
      <c r="N728" s="116">
        <v>659.8</v>
      </c>
      <c r="O728" s="116">
        <v>587.15</v>
      </c>
      <c r="P728" s="116">
        <v>587.15</v>
      </c>
      <c r="Q728" s="116">
        <v>630.20000000000005</v>
      </c>
      <c r="R728">
        <v>267032</v>
      </c>
    </row>
    <row r="729" spans="1:18" x14ac:dyDescent="0.25">
      <c r="A729" s="169">
        <v>43074</v>
      </c>
      <c r="B729" s="116">
        <v>674.45</v>
      </c>
      <c r="C729" s="116">
        <v>642.75</v>
      </c>
      <c r="D729" s="116">
        <v>636</v>
      </c>
      <c r="E729" s="116">
        <v>640</v>
      </c>
      <c r="F729" s="116">
        <v>642.75</v>
      </c>
      <c r="G729">
        <v>115562</v>
      </c>
      <c r="H729" s="116"/>
      <c r="I729" s="116"/>
      <c r="L729" s="169">
        <v>43074</v>
      </c>
      <c r="M729" s="116">
        <v>642.79999999999995</v>
      </c>
      <c r="N729" s="116">
        <v>674.5</v>
      </c>
      <c r="O729" s="116">
        <v>637.04999999999995</v>
      </c>
      <c r="P729" s="116">
        <v>638.9</v>
      </c>
      <c r="Q729" s="116">
        <v>642.79999999999995</v>
      </c>
      <c r="R729">
        <v>673519</v>
      </c>
    </row>
    <row r="730" spans="1:18" x14ac:dyDescent="0.25">
      <c r="A730" s="169">
        <v>43075</v>
      </c>
      <c r="B730" s="116">
        <v>651.79999999999995</v>
      </c>
      <c r="C730" s="116">
        <v>616.45000000000005</v>
      </c>
      <c r="D730" s="116">
        <v>612</v>
      </c>
      <c r="E730" s="116">
        <v>644.5</v>
      </c>
      <c r="F730" s="116">
        <v>616.45000000000005</v>
      </c>
      <c r="G730">
        <v>23746</v>
      </c>
      <c r="H730" s="116"/>
      <c r="I730" s="116"/>
      <c r="L730" s="169">
        <v>43075</v>
      </c>
      <c r="M730" s="116">
        <v>616.1</v>
      </c>
      <c r="N730" s="116">
        <v>651.95000000000005</v>
      </c>
      <c r="O730" s="116">
        <v>611.20000000000005</v>
      </c>
      <c r="P730" s="116">
        <v>645</v>
      </c>
      <c r="Q730" s="116">
        <v>616.1</v>
      </c>
      <c r="R730">
        <v>123992</v>
      </c>
    </row>
    <row r="731" spans="1:18" x14ac:dyDescent="0.25">
      <c r="A731" s="169">
        <v>43076</v>
      </c>
      <c r="B731" s="116">
        <v>645</v>
      </c>
      <c r="C731" s="116">
        <v>629.29999999999995</v>
      </c>
      <c r="D731" s="116">
        <v>617.95000000000005</v>
      </c>
      <c r="E731" s="116">
        <v>621.29999999999995</v>
      </c>
      <c r="F731" s="116">
        <v>629.29999999999995</v>
      </c>
      <c r="G731">
        <v>16242</v>
      </c>
      <c r="H731" s="116"/>
      <c r="I731" s="116"/>
      <c r="L731" s="169">
        <v>43076</v>
      </c>
      <c r="M731" s="116">
        <v>629.29999999999995</v>
      </c>
      <c r="N731" s="116">
        <v>645.04999999999995</v>
      </c>
      <c r="O731" s="116">
        <v>617</v>
      </c>
      <c r="P731" s="116">
        <v>623</v>
      </c>
      <c r="Q731" s="116">
        <v>629.29999999999995</v>
      </c>
      <c r="R731">
        <v>96303</v>
      </c>
    </row>
    <row r="732" spans="1:18" x14ac:dyDescent="0.25">
      <c r="A732" s="169">
        <v>43077</v>
      </c>
      <c r="B732" s="116">
        <v>655.1</v>
      </c>
      <c r="C732" s="116">
        <v>640.25</v>
      </c>
      <c r="D732" s="116">
        <v>631</v>
      </c>
      <c r="E732" s="116">
        <v>636.85</v>
      </c>
      <c r="F732" s="116">
        <v>640.25</v>
      </c>
      <c r="G732">
        <v>21837</v>
      </c>
      <c r="H732" s="116"/>
      <c r="I732" s="116"/>
      <c r="L732" s="169">
        <v>43077</v>
      </c>
      <c r="M732" s="116">
        <v>639</v>
      </c>
      <c r="N732" s="116">
        <v>655</v>
      </c>
      <c r="O732" s="116">
        <v>630.1</v>
      </c>
      <c r="P732" s="116">
        <v>632</v>
      </c>
      <c r="Q732" s="116">
        <v>639</v>
      </c>
      <c r="R732">
        <v>108041</v>
      </c>
    </row>
    <row r="733" spans="1:18" x14ac:dyDescent="0.25">
      <c r="A733" s="169">
        <v>43080</v>
      </c>
      <c r="B733" s="116">
        <v>659</v>
      </c>
      <c r="C733" s="116">
        <v>651.65</v>
      </c>
      <c r="D733" s="116">
        <v>640.25</v>
      </c>
      <c r="E733" s="116">
        <v>640.25</v>
      </c>
      <c r="F733" s="116">
        <v>651.65</v>
      </c>
      <c r="G733">
        <v>19629</v>
      </c>
      <c r="H733" s="116"/>
      <c r="I733" s="116"/>
      <c r="L733" s="169">
        <v>43080</v>
      </c>
      <c r="M733" s="116">
        <v>650.1</v>
      </c>
      <c r="N733" s="116">
        <v>659</v>
      </c>
      <c r="O733" s="116">
        <v>642</v>
      </c>
      <c r="P733" s="116">
        <v>644</v>
      </c>
      <c r="Q733" s="116">
        <v>650.1</v>
      </c>
      <c r="R733">
        <v>123800</v>
      </c>
    </row>
    <row r="734" spans="1:18" x14ac:dyDescent="0.25">
      <c r="A734" s="169">
        <v>43081</v>
      </c>
      <c r="B734" s="116">
        <v>675</v>
      </c>
      <c r="C734" s="116">
        <v>657.2</v>
      </c>
      <c r="D734" s="116">
        <v>643</v>
      </c>
      <c r="E734" s="116">
        <v>652</v>
      </c>
      <c r="F734" s="116">
        <v>657.2</v>
      </c>
      <c r="G734">
        <v>33856</v>
      </c>
      <c r="H734" s="116"/>
      <c r="I734" s="116"/>
      <c r="L734" s="169">
        <v>43081</v>
      </c>
      <c r="M734" s="116">
        <v>655.45</v>
      </c>
      <c r="N734" s="116">
        <v>675</v>
      </c>
      <c r="O734" s="116">
        <v>641.25</v>
      </c>
      <c r="P734" s="116">
        <v>650</v>
      </c>
      <c r="Q734" s="116">
        <v>655.45</v>
      </c>
      <c r="R734">
        <v>111490</v>
      </c>
    </row>
    <row r="735" spans="1:18" x14ac:dyDescent="0.25">
      <c r="A735" s="169">
        <v>43082</v>
      </c>
      <c r="B735" s="116">
        <v>655.95</v>
      </c>
      <c r="C735" s="116">
        <v>626</v>
      </c>
      <c r="D735" s="116">
        <v>617.45000000000005</v>
      </c>
      <c r="E735" s="116">
        <v>654.75</v>
      </c>
      <c r="F735" s="116">
        <v>626</v>
      </c>
      <c r="G735">
        <v>17268</v>
      </c>
      <c r="H735" s="116"/>
      <c r="I735" s="116"/>
      <c r="L735" s="169">
        <v>43082</v>
      </c>
      <c r="M735" s="116">
        <v>627.85</v>
      </c>
      <c r="N735" s="116">
        <v>659.95</v>
      </c>
      <c r="O735" s="116">
        <v>619</v>
      </c>
      <c r="P735" s="116">
        <v>656.45</v>
      </c>
      <c r="Q735" s="116">
        <v>627.85</v>
      </c>
      <c r="R735">
        <v>75407</v>
      </c>
    </row>
    <row r="736" spans="1:18" x14ac:dyDescent="0.25">
      <c r="A736" s="169">
        <v>43083</v>
      </c>
      <c r="B736" s="116">
        <v>637.45000000000005</v>
      </c>
      <c r="C736" s="116">
        <v>627.9</v>
      </c>
      <c r="D736" s="116">
        <v>623.5</v>
      </c>
      <c r="E736" s="116">
        <v>631</v>
      </c>
      <c r="F736" s="116">
        <v>627.9</v>
      </c>
      <c r="G736">
        <v>10433</v>
      </c>
      <c r="H736" s="116"/>
      <c r="I736" s="116"/>
      <c r="L736" s="169">
        <v>43083</v>
      </c>
      <c r="M736" s="116">
        <v>627.9</v>
      </c>
      <c r="N736" s="116">
        <v>644</v>
      </c>
      <c r="O736" s="116">
        <v>623.45000000000005</v>
      </c>
      <c r="P736" s="116">
        <v>630.04999999999995</v>
      </c>
      <c r="Q736" s="116">
        <v>627.9</v>
      </c>
      <c r="R736">
        <v>53500</v>
      </c>
    </row>
    <row r="737" spans="1:18" x14ac:dyDescent="0.25">
      <c r="A737" s="169">
        <v>43084</v>
      </c>
      <c r="B737" s="116">
        <v>643</v>
      </c>
      <c r="C737" s="116">
        <v>636.4</v>
      </c>
      <c r="D737" s="116">
        <v>633.1</v>
      </c>
      <c r="E737" s="116">
        <v>633.6</v>
      </c>
      <c r="F737" s="116">
        <v>636.4</v>
      </c>
      <c r="G737">
        <v>7704</v>
      </c>
      <c r="H737" s="116"/>
      <c r="I737" s="116"/>
      <c r="L737" s="169">
        <v>43084</v>
      </c>
      <c r="M737" s="116">
        <v>635.75</v>
      </c>
      <c r="N737" s="116">
        <v>644.35</v>
      </c>
      <c r="O737" s="116">
        <v>632</v>
      </c>
      <c r="P737" s="116">
        <v>637</v>
      </c>
      <c r="Q737" s="116">
        <v>635.75</v>
      </c>
      <c r="R737">
        <v>36595</v>
      </c>
    </row>
    <row r="738" spans="1:18" x14ac:dyDescent="0.25">
      <c r="A738" s="169">
        <v>43087</v>
      </c>
      <c r="B738" s="116">
        <v>662.8</v>
      </c>
      <c r="C738" s="116">
        <v>638.79999999999995</v>
      </c>
      <c r="D738" s="116">
        <v>595.65</v>
      </c>
      <c r="E738" s="116">
        <v>627</v>
      </c>
      <c r="F738" s="116">
        <v>638.79999999999995</v>
      </c>
      <c r="G738">
        <v>20050</v>
      </c>
      <c r="H738" s="116"/>
      <c r="I738" s="116"/>
      <c r="L738" s="169">
        <v>43087</v>
      </c>
      <c r="M738" s="116">
        <v>640.04999999999995</v>
      </c>
      <c r="N738" s="116">
        <v>663.9</v>
      </c>
      <c r="O738" s="116">
        <v>590</v>
      </c>
      <c r="P738" s="116">
        <v>640</v>
      </c>
      <c r="Q738" s="116">
        <v>640.04999999999995</v>
      </c>
      <c r="R738">
        <v>98435</v>
      </c>
    </row>
    <row r="739" spans="1:18" x14ac:dyDescent="0.25">
      <c r="A739" s="169">
        <v>43088</v>
      </c>
      <c r="B739" s="116">
        <v>656</v>
      </c>
      <c r="C739" s="116">
        <v>645.95000000000005</v>
      </c>
      <c r="D739" s="116">
        <v>638.4</v>
      </c>
      <c r="E739" s="116">
        <v>638.4</v>
      </c>
      <c r="F739" s="116">
        <v>645.95000000000005</v>
      </c>
      <c r="G739">
        <v>4699</v>
      </c>
      <c r="H739" s="116"/>
      <c r="I739" s="116"/>
      <c r="L739" s="169">
        <v>43088</v>
      </c>
      <c r="M739" s="116">
        <v>647.75</v>
      </c>
      <c r="N739" s="116">
        <v>657.6</v>
      </c>
      <c r="O739" s="116">
        <v>641</v>
      </c>
      <c r="P739" s="116">
        <v>647</v>
      </c>
      <c r="Q739" s="116">
        <v>647.75</v>
      </c>
      <c r="R739">
        <v>25382</v>
      </c>
    </row>
    <row r="740" spans="1:18" x14ac:dyDescent="0.25">
      <c r="A740" s="169">
        <v>43089</v>
      </c>
      <c r="B740" s="116">
        <v>660</v>
      </c>
      <c r="C740" s="116">
        <v>651.20000000000005</v>
      </c>
      <c r="D740" s="116">
        <v>640.85</v>
      </c>
      <c r="E740" s="116">
        <v>652.4</v>
      </c>
      <c r="F740" s="116">
        <v>651.20000000000005</v>
      </c>
      <c r="G740">
        <v>11519</v>
      </c>
      <c r="H740" s="116"/>
      <c r="I740" s="116"/>
      <c r="L740" s="169">
        <v>43089</v>
      </c>
      <c r="M740" s="116">
        <v>648</v>
      </c>
      <c r="N740" s="116">
        <v>660</v>
      </c>
      <c r="O740" s="116">
        <v>638.20000000000005</v>
      </c>
      <c r="P740" s="116">
        <v>651.95000000000005</v>
      </c>
      <c r="Q740" s="116">
        <v>648</v>
      </c>
      <c r="R740">
        <v>65570</v>
      </c>
    </row>
    <row r="741" spans="1:18" x14ac:dyDescent="0.25">
      <c r="A741" s="169">
        <v>43090</v>
      </c>
      <c r="B741" s="116">
        <v>659</v>
      </c>
      <c r="C741" s="116">
        <v>654.65</v>
      </c>
      <c r="D741" s="116">
        <v>645.1</v>
      </c>
      <c r="E741" s="116">
        <v>648</v>
      </c>
      <c r="F741" s="116">
        <v>654.65</v>
      </c>
      <c r="G741">
        <v>5720</v>
      </c>
      <c r="H741" s="116"/>
      <c r="I741" s="116"/>
      <c r="L741" s="169">
        <v>43090</v>
      </c>
      <c r="M741" s="116">
        <v>657.05</v>
      </c>
      <c r="N741" s="116">
        <v>659.8</v>
      </c>
      <c r="O741" s="116">
        <v>646</v>
      </c>
      <c r="P741" s="116">
        <v>651.9</v>
      </c>
      <c r="Q741" s="116">
        <v>657.05</v>
      </c>
      <c r="R741">
        <v>34863</v>
      </c>
    </row>
    <row r="742" spans="1:18" x14ac:dyDescent="0.25">
      <c r="A742" s="169">
        <v>43091</v>
      </c>
      <c r="B742" s="116">
        <v>666.85</v>
      </c>
      <c r="C742" s="116">
        <v>663.4</v>
      </c>
      <c r="D742" s="116">
        <v>645.75</v>
      </c>
      <c r="E742" s="116">
        <v>645.75</v>
      </c>
      <c r="F742" s="116">
        <v>663.4</v>
      </c>
      <c r="G742">
        <v>12307</v>
      </c>
      <c r="H742" s="116"/>
      <c r="I742" s="116"/>
      <c r="L742" s="169">
        <v>43091</v>
      </c>
      <c r="M742" s="116">
        <v>663.8</v>
      </c>
      <c r="N742" s="116">
        <v>666.6</v>
      </c>
      <c r="O742" s="116">
        <v>630.79999999999995</v>
      </c>
      <c r="P742" s="116">
        <v>657</v>
      </c>
      <c r="Q742" s="116">
        <v>663.8</v>
      </c>
      <c r="R742">
        <v>65530</v>
      </c>
    </row>
    <row r="743" spans="1:18" x14ac:dyDescent="0.25">
      <c r="A743" s="169">
        <v>43095</v>
      </c>
      <c r="B743" s="116">
        <v>675</v>
      </c>
      <c r="C743" s="116">
        <v>656.6</v>
      </c>
      <c r="D743" s="116">
        <v>655.04999999999995</v>
      </c>
      <c r="E743" s="116">
        <v>671.85</v>
      </c>
      <c r="F743" s="116">
        <v>656.6</v>
      </c>
      <c r="G743">
        <v>11033</v>
      </c>
      <c r="H743" s="116"/>
      <c r="I743" s="116"/>
      <c r="L743" s="169">
        <v>43095</v>
      </c>
      <c r="M743" s="116">
        <v>655.9</v>
      </c>
      <c r="N743" s="116">
        <v>674</v>
      </c>
      <c r="O743" s="116">
        <v>653.04999999999995</v>
      </c>
      <c r="P743" s="116">
        <v>665</v>
      </c>
      <c r="Q743" s="116">
        <v>655.9</v>
      </c>
      <c r="R743">
        <v>42213</v>
      </c>
    </row>
    <row r="744" spans="1:18" x14ac:dyDescent="0.25">
      <c r="A744" s="169">
        <v>43096</v>
      </c>
      <c r="B744" s="116">
        <v>658.7</v>
      </c>
      <c r="C744" s="116">
        <v>638.79999999999995</v>
      </c>
      <c r="D744" s="116">
        <v>634.5</v>
      </c>
      <c r="E744" s="116">
        <v>656.35</v>
      </c>
      <c r="F744" s="116">
        <v>638.79999999999995</v>
      </c>
      <c r="G744">
        <v>11717</v>
      </c>
      <c r="H744" s="116"/>
      <c r="I744" s="116"/>
      <c r="L744" s="169">
        <v>43096</v>
      </c>
      <c r="M744" s="116">
        <v>641.54999999999995</v>
      </c>
      <c r="N744" s="116">
        <v>658.6</v>
      </c>
      <c r="O744" s="116">
        <v>632</v>
      </c>
      <c r="P744" s="116">
        <v>658</v>
      </c>
      <c r="Q744" s="116">
        <v>641.54999999999995</v>
      </c>
      <c r="R744">
        <v>37434</v>
      </c>
    </row>
    <row r="745" spans="1:18" x14ac:dyDescent="0.25">
      <c r="A745" s="169">
        <v>43097</v>
      </c>
      <c r="B745" s="116">
        <v>644.79999999999995</v>
      </c>
      <c r="C745" s="116">
        <v>633.4</v>
      </c>
      <c r="D745" s="116">
        <v>631.04999999999995</v>
      </c>
      <c r="E745" s="116">
        <v>644.15</v>
      </c>
      <c r="F745" s="116">
        <v>633.4</v>
      </c>
      <c r="G745">
        <v>8102</v>
      </c>
      <c r="H745" s="116"/>
      <c r="I745" s="116"/>
      <c r="L745" s="169">
        <v>43097</v>
      </c>
      <c r="M745" s="116">
        <v>635.25</v>
      </c>
      <c r="N745" s="116">
        <v>647.9</v>
      </c>
      <c r="O745" s="116">
        <v>633.20000000000005</v>
      </c>
      <c r="P745" s="116">
        <v>647.9</v>
      </c>
      <c r="Q745" s="116">
        <v>635.25</v>
      </c>
      <c r="R745">
        <v>34404</v>
      </c>
    </row>
    <row r="746" spans="1:18" x14ac:dyDescent="0.25">
      <c r="A746" s="169">
        <v>43098</v>
      </c>
      <c r="B746" s="116">
        <v>649.70000000000005</v>
      </c>
      <c r="C746" s="116">
        <v>636.04999999999995</v>
      </c>
      <c r="D746" s="116">
        <v>630</v>
      </c>
      <c r="E746" s="116">
        <v>641.75</v>
      </c>
      <c r="F746" s="116">
        <v>636.04999999999995</v>
      </c>
      <c r="G746">
        <v>5721</v>
      </c>
      <c r="H746" s="116"/>
      <c r="I746" s="116"/>
      <c r="L746" s="169">
        <v>43098</v>
      </c>
      <c r="M746" s="116">
        <v>637.35</v>
      </c>
      <c r="N746" s="116">
        <v>649.9</v>
      </c>
      <c r="O746" s="116">
        <v>632.85</v>
      </c>
      <c r="P746" s="116">
        <v>640</v>
      </c>
      <c r="Q746" s="116">
        <v>637.35</v>
      </c>
      <c r="R746">
        <v>28055</v>
      </c>
    </row>
    <row r="747" spans="1:18" x14ac:dyDescent="0.25">
      <c r="A747" s="169">
        <v>43101</v>
      </c>
      <c r="B747" s="116">
        <v>644.70000000000005</v>
      </c>
      <c r="C747" s="116">
        <v>631.54999999999995</v>
      </c>
      <c r="D747" s="116">
        <v>625</v>
      </c>
      <c r="E747" s="116">
        <v>636.85</v>
      </c>
      <c r="F747" s="116">
        <v>631.54999999999995</v>
      </c>
      <c r="G747">
        <v>8352</v>
      </c>
      <c r="H747" s="116"/>
      <c r="I747" s="116"/>
      <c r="L747" s="169">
        <v>43101</v>
      </c>
      <c r="M747" s="116">
        <v>634.4</v>
      </c>
      <c r="N747" s="116">
        <v>646.79999999999995</v>
      </c>
      <c r="O747" s="116">
        <v>631</v>
      </c>
      <c r="P747" s="116">
        <v>640.1</v>
      </c>
      <c r="Q747" s="116">
        <v>634.4</v>
      </c>
      <c r="R747">
        <v>20595</v>
      </c>
    </row>
    <row r="748" spans="1:18" x14ac:dyDescent="0.25">
      <c r="A748" s="169">
        <v>43102</v>
      </c>
      <c r="B748" s="116">
        <v>639.4</v>
      </c>
      <c r="C748" s="116">
        <v>622.54999999999995</v>
      </c>
      <c r="D748" s="116">
        <v>620.54999999999995</v>
      </c>
      <c r="E748" s="116">
        <v>638.5</v>
      </c>
      <c r="F748" s="116">
        <v>622.54999999999995</v>
      </c>
      <c r="G748">
        <v>8955</v>
      </c>
      <c r="H748" s="116"/>
      <c r="I748" s="116"/>
      <c r="L748" s="169">
        <v>43102</v>
      </c>
      <c r="M748" s="116">
        <v>625.85</v>
      </c>
      <c r="N748" s="116">
        <v>640</v>
      </c>
      <c r="O748" s="116">
        <v>623.1</v>
      </c>
      <c r="P748" s="116">
        <v>640</v>
      </c>
      <c r="Q748" s="116">
        <v>625.85</v>
      </c>
      <c r="R748">
        <v>23832</v>
      </c>
    </row>
    <row r="749" spans="1:18" x14ac:dyDescent="0.25">
      <c r="A749" s="169">
        <v>43103</v>
      </c>
      <c r="B749" s="116">
        <v>633</v>
      </c>
      <c r="C749" s="116">
        <v>623.6</v>
      </c>
      <c r="D749" s="116">
        <v>620</v>
      </c>
      <c r="E749" s="116">
        <v>620</v>
      </c>
      <c r="F749" s="116">
        <v>623.6</v>
      </c>
      <c r="G749">
        <v>8163</v>
      </c>
      <c r="H749" s="116"/>
      <c r="I749" s="116"/>
      <c r="L749" s="169">
        <v>43103</v>
      </c>
      <c r="M749" s="116">
        <v>627.35</v>
      </c>
      <c r="N749" s="116">
        <v>637</v>
      </c>
      <c r="O749" s="116">
        <v>619.25</v>
      </c>
      <c r="P749" s="116">
        <v>626</v>
      </c>
      <c r="Q749" s="116">
        <v>627.35</v>
      </c>
      <c r="R749">
        <v>30180</v>
      </c>
    </row>
    <row r="750" spans="1:18" x14ac:dyDescent="0.25">
      <c r="A750" s="169">
        <v>43104</v>
      </c>
      <c r="B750" s="116">
        <v>635.20000000000005</v>
      </c>
      <c r="C750" s="116">
        <v>618.85</v>
      </c>
      <c r="D750" s="116">
        <v>612.95000000000005</v>
      </c>
      <c r="E750" s="116">
        <v>627</v>
      </c>
      <c r="F750" s="116">
        <v>618.85</v>
      </c>
      <c r="G750">
        <v>10978</v>
      </c>
      <c r="H750" s="116"/>
      <c r="I750" s="116"/>
      <c r="L750" s="169">
        <v>43104</v>
      </c>
      <c r="M750" s="116">
        <v>616.65</v>
      </c>
      <c r="N750" s="116">
        <v>636</v>
      </c>
      <c r="O750" s="116">
        <v>610.6</v>
      </c>
      <c r="P750" s="116">
        <v>628</v>
      </c>
      <c r="Q750" s="116">
        <v>616.65</v>
      </c>
      <c r="R750">
        <v>68045</v>
      </c>
    </row>
    <row r="751" spans="1:18" x14ac:dyDescent="0.25">
      <c r="A751" s="169">
        <v>43105</v>
      </c>
      <c r="B751" s="116">
        <v>666</v>
      </c>
      <c r="C751" s="116">
        <v>660.45</v>
      </c>
      <c r="D751" s="116">
        <v>607.70000000000005</v>
      </c>
      <c r="E751" s="116">
        <v>618</v>
      </c>
      <c r="F751" s="116">
        <v>660.45</v>
      </c>
      <c r="G751">
        <v>39958</v>
      </c>
      <c r="H751" s="116"/>
      <c r="I751" s="116"/>
      <c r="L751" s="169">
        <v>43105</v>
      </c>
      <c r="M751" s="116">
        <v>660.4</v>
      </c>
      <c r="N751" s="116">
        <v>668.8</v>
      </c>
      <c r="O751" s="116">
        <v>606</v>
      </c>
      <c r="P751" s="116">
        <v>616</v>
      </c>
      <c r="Q751" s="116">
        <v>660.4</v>
      </c>
      <c r="R751">
        <v>274357</v>
      </c>
    </row>
    <row r="752" spans="1:18" x14ac:dyDescent="0.25">
      <c r="A752" s="169">
        <v>43108</v>
      </c>
      <c r="B752" s="116">
        <v>771.85</v>
      </c>
      <c r="C752" s="116">
        <v>752.8</v>
      </c>
      <c r="D752" s="116">
        <v>661</v>
      </c>
      <c r="E752" s="116">
        <v>668</v>
      </c>
      <c r="F752" s="116">
        <v>752.8</v>
      </c>
      <c r="G752">
        <v>170062</v>
      </c>
      <c r="H752" s="116"/>
      <c r="I752" s="116"/>
      <c r="L752" s="169">
        <v>43108</v>
      </c>
      <c r="M752" s="116">
        <v>753.7</v>
      </c>
      <c r="N752" s="116">
        <v>772.8</v>
      </c>
      <c r="O752" s="116">
        <v>660.4</v>
      </c>
      <c r="P752" s="116">
        <v>665.9</v>
      </c>
      <c r="Q752" s="116">
        <v>753.7</v>
      </c>
      <c r="R752">
        <v>903860</v>
      </c>
    </row>
    <row r="753" spans="1:18" x14ac:dyDescent="0.25">
      <c r="A753" s="169">
        <v>43109</v>
      </c>
      <c r="B753" s="116">
        <v>760.4</v>
      </c>
      <c r="C753" s="116">
        <v>723</v>
      </c>
      <c r="D753" s="116">
        <v>711.2</v>
      </c>
      <c r="E753" s="116">
        <v>754</v>
      </c>
      <c r="F753" s="116">
        <v>723</v>
      </c>
      <c r="G753">
        <v>32532</v>
      </c>
      <c r="H753" s="116"/>
      <c r="I753" s="116"/>
      <c r="L753" s="169">
        <v>43109</v>
      </c>
      <c r="M753" s="116">
        <v>721.7</v>
      </c>
      <c r="N753" s="116">
        <v>760.75</v>
      </c>
      <c r="O753" s="116">
        <v>710.6</v>
      </c>
      <c r="P753" s="116">
        <v>754.8</v>
      </c>
      <c r="Q753" s="116">
        <v>721.7</v>
      </c>
      <c r="R753">
        <v>178951</v>
      </c>
    </row>
    <row r="754" spans="1:18" x14ac:dyDescent="0.25">
      <c r="A754" s="169">
        <v>43110</v>
      </c>
      <c r="B754" s="116">
        <v>732.5</v>
      </c>
      <c r="C754" s="116">
        <v>709</v>
      </c>
      <c r="D754" s="116">
        <v>704.1</v>
      </c>
      <c r="E754" s="116">
        <v>713.1</v>
      </c>
      <c r="F754" s="116">
        <v>709</v>
      </c>
      <c r="G754">
        <v>16318</v>
      </c>
      <c r="H754" s="116"/>
      <c r="I754" s="116"/>
      <c r="L754" s="169">
        <v>43110</v>
      </c>
      <c r="M754" s="116">
        <v>709.75</v>
      </c>
      <c r="N754" s="116">
        <v>732.25</v>
      </c>
      <c r="O754" s="116">
        <v>702.6</v>
      </c>
      <c r="P754" s="116">
        <v>727.4</v>
      </c>
      <c r="Q754" s="116">
        <v>709.75</v>
      </c>
      <c r="R754">
        <v>97195</v>
      </c>
    </row>
    <row r="755" spans="1:18" x14ac:dyDescent="0.25">
      <c r="A755" s="169">
        <v>43111</v>
      </c>
      <c r="B755" s="116">
        <v>781</v>
      </c>
      <c r="C755" s="116">
        <v>730.95</v>
      </c>
      <c r="D755" s="116">
        <v>702.8</v>
      </c>
      <c r="E755" s="116">
        <v>709.45</v>
      </c>
      <c r="F755" s="116">
        <v>730.95</v>
      </c>
      <c r="G755">
        <v>75441</v>
      </c>
      <c r="H755" s="116"/>
      <c r="I755" s="116"/>
      <c r="L755" s="169">
        <v>43111</v>
      </c>
      <c r="M755" s="116">
        <v>729.25</v>
      </c>
      <c r="N755" s="116">
        <v>782</v>
      </c>
      <c r="O755" s="116">
        <v>702.5</v>
      </c>
      <c r="P755" s="116">
        <v>710</v>
      </c>
      <c r="Q755" s="116">
        <v>729.25</v>
      </c>
      <c r="R755">
        <v>389559</v>
      </c>
    </row>
    <row r="756" spans="1:18" x14ac:dyDescent="0.25">
      <c r="A756" s="169">
        <v>43112</v>
      </c>
      <c r="B756" s="116">
        <v>766.15</v>
      </c>
      <c r="C756" s="116">
        <v>734.1</v>
      </c>
      <c r="D756" s="116">
        <v>720.45</v>
      </c>
      <c r="E756" s="116">
        <v>732.25</v>
      </c>
      <c r="F756" s="116">
        <v>734.1</v>
      </c>
      <c r="G756">
        <v>26629</v>
      </c>
      <c r="H756" s="116"/>
      <c r="I756" s="116"/>
      <c r="L756" s="169">
        <v>43112</v>
      </c>
      <c r="M756" s="116">
        <v>735.65</v>
      </c>
      <c r="N756" s="116">
        <v>767</v>
      </c>
      <c r="O756" s="116">
        <v>721</v>
      </c>
      <c r="P756" s="116">
        <v>731</v>
      </c>
      <c r="Q756" s="116">
        <v>735.65</v>
      </c>
      <c r="R756">
        <v>147883</v>
      </c>
    </row>
    <row r="757" spans="1:18" x14ac:dyDescent="0.25">
      <c r="A757" s="169">
        <v>43115</v>
      </c>
      <c r="B757" s="116">
        <v>753.85</v>
      </c>
      <c r="C757" s="116">
        <v>740.9</v>
      </c>
      <c r="D757" s="116">
        <v>735.05</v>
      </c>
      <c r="E757" s="116">
        <v>751</v>
      </c>
      <c r="F757" s="116">
        <v>740.9</v>
      </c>
      <c r="G757">
        <v>13960</v>
      </c>
      <c r="H757" s="116"/>
      <c r="I757" s="116"/>
      <c r="L757" s="169">
        <v>43115</v>
      </c>
      <c r="M757" s="116">
        <v>741.95</v>
      </c>
      <c r="N757" s="116">
        <v>757.05</v>
      </c>
      <c r="O757" s="116">
        <v>735.1</v>
      </c>
      <c r="P757" s="116">
        <v>736</v>
      </c>
      <c r="Q757" s="116">
        <v>741.95</v>
      </c>
      <c r="R757">
        <v>64711</v>
      </c>
    </row>
    <row r="758" spans="1:18" x14ac:dyDescent="0.25">
      <c r="A758" s="169">
        <v>43116</v>
      </c>
      <c r="B758" s="116">
        <v>746.5</v>
      </c>
      <c r="C758" s="116">
        <v>714.35</v>
      </c>
      <c r="D758" s="116">
        <v>710</v>
      </c>
      <c r="E758" s="116">
        <v>742</v>
      </c>
      <c r="F758" s="116">
        <v>714.35</v>
      </c>
      <c r="G758">
        <v>14268</v>
      </c>
      <c r="H758" s="116"/>
      <c r="I758" s="116"/>
      <c r="L758" s="169">
        <v>43116</v>
      </c>
      <c r="M758" s="116">
        <v>714.65</v>
      </c>
      <c r="N758" s="116">
        <v>747.5</v>
      </c>
      <c r="O758" s="116">
        <v>711</v>
      </c>
      <c r="P758" s="116">
        <v>744.65</v>
      </c>
      <c r="Q758" s="116">
        <v>714.65</v>
      </c>
      <c r="R758">
        <v>51774</v>
      </c>
    </row>
    <row r="759" spans="1:18" x14ac:dyDescent="0.25">
      <c r="A759" s="169">
        <v>43117</v>
      </c>
      <c r="B759" s="116">
        <v>735.8</v>
      </c>
      <c r="C759" s="116">
        <v>708</v>
      </c>
      <c r="D759" s="116">
        <v>686.1</v>
      </c>
      <c r="E759" s="116">
        <v>715</v>
      </c>
      <c r="F759" s="116">
        <v>708</v>
      </c>
      <c r="G759">
        <v>34169</v>
      </c>
      <c r="H759" s="116"/>
      <c r="I759" s="116"/>
      <c r="L759" s="169">
        <v>43117</v>
      </c>
      <c r="M759" s="116">
        <v>712.05</v>
      </c>
      <c r="N759" s="116">
        <v>738.95</v>
      </c>
      <c r="O759" s="116">
        <v>680.1</v>
      </c>
      <c r="P759" s="116">
        <v>715.7</v>
      </c>
      <c r="Q759" s="116">
        <v>712.05</v>
      </c>
      <c r="R759">
        <v>97867</v>
      </c>
    </row>
    <row r="760" spans="1:18" x14ac:dyDescent="0.25">
      <c r="A760" s="169">
        <v>43118</v>
      </c>
      <c r="B760" s="116">
        <v>735.4</v>
      </c>
      <c r="C760" s="116">
        <v>691.35</v>
      </c>
      <c r="D760" s="116">
        <v>680</v>
      </c>
      <c r="E760" s="116">
        <v>712.7</v>
      </c>
      <c r="F760" s="116">
        <v>691.35</v>
      </c>
      <c r="G760">
        <v>21908</v>
      </c>
      <c r="H760" s="116"/>
      <c r="I760" s="116"/>
      <c r="L760" s="169">
        <v>43118</v>
      </c>
      <c r="M760" s="116">
        <v>691.6</v>
      </c>
      <c r="N760" s="116">
        <v>738.5</v>
      </c>
      <c r="O760" s="116">
        <v>670</v>
      </c>
      <c r="P760" s="116">
        <v>719</v>
      </c>
      <c r="Q760" s="116">
        <v>691.6</v>
      </c>
      <c r="R760">
        <v>97036</v>
      </c>
    </row>
    <row r="761" spans="1:18" x14ac:dyDescent="0.25">
      <c r="A761" s="169">
        <v>43119</v>
      </c>
      <c r="B761" s="116">
        <v>703.35</v>
      </c>
      <c r="C761" s="116">
        <v>694.05</v>
      </c>
      <c r="D761" s="116">
        <v>678.4</v>
      </c>
      <c r="E761" s="116">
        <v>691.35</v>
      </c>
      <c r="F761" s="116">
        <v>694.05</v>
      </c>
      <c r="G761">
        <v>10398</v>
      </c>
      <c r="H761" s="116"/>
      <c r="I761" s="116"/>
      <c r="L761" s="169">
        <v>43119</v>
      </c>
      <c r="M761" s="116">
        <v>692.75</v>
      </c>
      <c r="N761" s="116">
        <v>704</v>
      </c>
      <c r="O761" s="116">
        <v>677</v>
      </c>
      <c r="P761" s="116">
        <v>691</v>
      </c>
      <c r="Q761" s="116">
        <v>692.75</v>
      </c>
      <c r="R761">
        <v>54855</v>
      </c>
    </row>
    <row r="762" spans="1:18" x14ac:dyDescent="0.25">
      <c r="A762" s="169">
        <v>43122</v>
      </c>
      <c r="B762" s="116">
        <v>704.7</v>
      </c>
      <c r="C762" s="116">
        <v>701.15</v>
      </c>
      <c r="D762" s="116">
        <v>693.8</v>
      </c>
      <c r="E762" s="116">
        <v>695.75</v>
      </c>
      <c r="F762" s="116">
        <v>701.15</v>
      </c>
      <c r="G762">
        <v>4009</v>
      </c>
      <c r="H762" s="116"/>
      <c r="I762" s="116"/>
      <c r="L762" s="169">
        <v>43122</v>
      </c>
      <c r="M762" s="116">
        <v>700.75</v>
      </c>
      <c r="N762" s="116">
        <v>705</v>
      </c>
      <c r="O762" s="116">
        <v>690.2</v>
      </c>
      <c r="P762" s="116">
        <v>692.75</v>
      </c>
      <c r="Q762" s="116">
        <v>700.75</v>
      </c>
      <c r="R762">
        <v>34262</v>
      </c>
    </row>
    <row r="763" spans="1:18" x14ac:dyDescent="0.25">
      <c r="A763" s="169">
        <v>43123</v>
      </c>
      <c r="B763" s="116">
        <v>731</v>
      </c>
      <c r="C763" s="116">
        <v>712.6</v>
      </c>
      <c r="D763" s="116">
        <v>708</v>
      </c>
      <c r="E763" s="116">
        <v>711.5</v>
      </c>
      <c r="F763" s="116">
        <v>712.6</v>
      </c>
      <c r="G763">
        <v>12568</v>
      </c>
      <c r="H763" s="116"/>
      <c r="I763" s="116"/>
      <c r="L763" s="169">
        <v>43123</v>
      </c>
      <c r="M763" s="116">
        <v>711.65</v>
      </c>
      <c r="N763" s="116">
        <v>735</v>
      </c>
      <c r="O763" s="116">
        <v>700.75</v>
      </c>
      <c r="P763" s="116">
        <v>700.75</v>
      </c>
      <c r="Q763" s="116">
        <v>711.65</v>
      </c>
      <c r="R763">
        <v>68314</v>
      </c>
    </row>
    <row r="764" spans="1:18" x14ac:dyDescent="0.25">
      <c r="A764" s="169">
        <v>43124</v>
      </c>
      <c r="B764" s="116">
        <v>734</v>
      </c>
      <c r="C764" s="116">
        <v>726.65</v>
      </c>
      <c r="D764" s="116">
        <v>703.45</v>
      </c>
      <c r="E764" s="116">
        <v>720</v>
      </c>
      <c r="F764" s="116">
        <v>726.65</v>
      </c>
      <c r="G764">
        <v>22477</v>
      </c>
      <c r="H764" s="116"/>
      <c r="I764" s="116"/>
      <c r="L764" s="169">
        <v>43124</v>
      </c>
      <c r="M764" s="116">
        <v>728.7</v>
      </c>
      <c r="N764" s="116">
        <v>734.8</v>
      </c>
      <c r="O764" s="116">
        <v>703.65</v>
      </c>
      <c r="P764" s="116">
        <v>715.05</v>
      </c>
      <c r="Q764" s="116">
        <v>728.7</v>
      </c>
      <c r="R764">
        <v>94083</v>
      </c>
    </row>
    <row r="765" spans="1:18" x14ac:dyDescent="0.25">
      <c r="A765" s="169">
        <v>43125</v>
      </c>
      <c r="B765" s="116">
        <v>760</v>
      </c>
      <c r="C765" s="116">
        <v>751.6</v>
      </c>
      <c r="D765" s="116">
        <v>730</v>
      </c>
      <c r="E765" s="116">
        <v>749</v>
      </c>
      <c r="F765" s="116">
        <v>751.6</v>
      </c>
      <c r="G765">
        <v>41706</v>
      </c>
      <c r="H765" s="116"/>
      <c r="I765" s="116"/>
      <c r="L765" s="169">
        <v>43125</v>
      </c>
      <c r="M765" s="116">
        <v>747.1</v>
      </c>
      <c r="N765" s="116">
        <v>753.3</v>
      </c>
      <c r="O765" s="116">
        <v>730.1</v>
      </c>
      <c r="P765" s="116">
        <v>737.9</v>
      </c>
      <c r="Q765" s="116">
        <v>747.1</v>
      </c>
      <c r="R765">
        <v>208166</v>
      </c>
    </row>
    <row r="766" spans="1:18" x14ac:dyDescent="0.25">
      <c r="A766" s="169">
        <v>43129</v>
      </c>
      <c r="B766" s="116">
        <v>762</v>
      </c>
      <c r="C766" s="116">
        <v>719.25</v>
      </c>
      <c r="D766" s="116">
        <v>711.3</v>
      </c>
      <c r="E766" s="116">
        <v>758.1</v>
      </c>
      <c r="F766" s="116">
        <v>719.25</v>
      </c>
      <c r="G766">
        <v>28725</v>
      </c>
      <c r="H766" s="116"/>
      <c r="I766" s="116"/>
      <c r="L766" s="169">
        <v>43129</v>
      </c>
      <c r="M766" s="116">
        <v>720.95</v>
      </c>
      <c r="N766" s="116">
        <v>760</v>
      </c>
      <c r="O766" s="116">
        <v>713</v>
      </c>
      <c r="P766" s="116">
        <v>757.95</v>
      </c>
      <c r="Q766" s="116">
        <v>720.95</v>
      </c>
      <c r="R766">
        <v>84333</v>
      </c>
    </row>
    <row r="767" spans="1:18" x14ac:dyDescent="0.25">
      <c r="A767" s="169">
        <v>43130</v>
      </c>
      <c r="B767" s="116">
        <v>725</v>
      </c>
      <c r="C767" s="116">
        <v>682.15</v>
      </c>
      <c r="D767" s="116">
        <v>677.65</v>
      </c>
      <c r="E767" s="116">
        <v>725</v>
      </c>
      <c r="F767" s="116">
        <v>682.15</v>
      </c>
      <c r="G767">
        <v>24304</v>
      </c>
      <c r="H767" s="116"/>
      <c r="I767" s="116"/>
      <c r="L767" s="169">
        <v>43130</v>
      </c>
      <c r="M767" s="116">
        <v>681.85</v>
      </c>
      <c r="N767" s="116">
        <v>724</v>
      </c>
      <c r="O767" s="116">
        <v>677</v>
      </c>
      <c r="P767" s="116">
        <v>724</v>
      </c>
      <c r="Q767" s="116">
        <v>681.85</v>
      </c>
      <c r="R767">
        <v>115025</v>
      </c>
    </row>
    <row r="768" spans="1:18" x14ac:dyDescent="0.25">
      <c r="A768" s="169">
        <v>43131</v>
      </c>
      <c r="B768" s="116">
        <v>685</v>
      </c>
      <c r="C768" s="116">
        <v>656.4</v>
      </c>
      <c r="D768" s="116">
        <v>650</v>
      </c>
      <c r="E768" s="116">
        <v>679.95</v>
      </c>
      <c r="F768" s="116">
        <v>656.4</v>
      </c>
      <c r="G768">
        <v>20917</v>
      </c>
      <c r="H768" s="116"/>
      <c r="I768" s="116"/>
      <c r="L768" s="169">
        <v>43131</v>
      </c>
      <c r="M768" s="116">
        <v>656.65</v>
      </c>
      <c r="N768" s="116">
        <v>684.45</v>
      </c>
      <c r="O768" s="116">
        <v>651.20000000000005</v>
      </c>
      <c r="P768" s="116">
        <v>674</v>
      </c>
      <c r="Q768" s="116">
        <v>656.65</v>
      </c>
      <c r="R768">
        <v>57021</v>
      </c>
    </row>
    <row r="769" spans="1:18" x14ac:dyDescent="0.25">
      <c r="A769" s="169">
        <v>43132</v>
      </c>
      <c r="B769" s="116">
        <v>680.25</v>
      </c>
      <c r="C769" s="116">
        <v>675.7</v>
      </c>
      <c r="D769" s="116">
        <v>652.70000000000005</v>
      </c>
      <c r="E769" s="116">
        <v>652.75</v>
      </c>
      <c r="F769" s="116">
        <v>675.7</v>
      </c>
      <c r="G769">
        <v>17027</v>
      </c>
      <c r="H769" s="116"/>
      <c r="I769" s="116"/>
      <c r="L769" s="169">
        <v>43132</v>
      </c>
      <c r="M769" s="116">
        <v>679.65</v>
      </c>
      <c r="N769" s="116">
        <v>685</v>
      </c>
      <c r="O769" s="116">
        <v>656.2</v>
      </c>
      <c r="P769" s="116">
        <v>656.2</v>
      </c>
      <c r="Q769" s="116">
        <v>679.65</v>
      </c>
      <c r="R769">
        <v>74249</v>
      </c>
    </row>
    <row r="770" spans="1:18" x14ac:dyDescent="0.25">
      <c r="A770" s="169">
        <v>43133</v>
      </c>
      <c r="B770" s="116">
        <v>670</v>
      </c>
      <c r="C770" s="116">
        <v>618.9</v>
      </c>
      <c r="D770" s="116">
        <v>611</v>
      </c>
      <c r="E770" s="116">
        <v>662</v>
      </c>
      <c r="F770" s="116">
        <v>618.9</v>
      </c>
      <c r="G770">
        <v>30067</v>
      </c>
      <c r="H770" s="116"/>
      <c r="I770" s="116"/>
      <c r="L770" s="169">
        <v>43133</v>
      </c>
      <c r="M770" s="116">
        <v>622.54999999999995</v>
      </c>
      <c r="N770" s="116">
        <v>678.5</v>
      </c>
      <c r="O770" s="116">
        <v>612.1</v>
      </c>
      <c r="P770" s="116">
        <v>666</v>
      </c>
      <c r="Q770" s="116">
        <v>622.54999999999995</v>
      </c>
      <c r="R770">
        <v>123273</v>
      </c>
    </row>
    <row r="771" spans="1:18" x14ac:dyDescent="0.25">
      <c r="A771" s="169">
        <v>43136</v>
      </c>
      <c r="B771" s="116">
        <v>640</v>
      </c>
      <c r="C771" s="116">
        <v>627.75</v>
      </c>
      <c r="D771" s="116">
        <v>582.5</v>
      </c>
      <c r="E771" s="116">
        <v>591.70000000000005</v>
      </c>
      <c r="F771" s="116">
        <v>627.75</v>
      </c>
      <c r="G771">
        <v>11961</v>
      </c>
      <c r="H771" s="116"/>
      <c r="I771" s="116"/>
      <c r="L771" s="169">
        <v>43136</v>
      </c>
      <c r="M771" s="116">
        <v>624.25</v>
      </c>
      <c r="N771" s="116">
        <v>635</v>
      </c>
      <c r="O771" s="116">
        <v>580.1</v>
      </c>
      <c r="P771" s="116">
        <v>580.1</v>
      </c>
      <c r="Q771" s="116">
        <v>624.25</v>
      </c>
      <c r="R771">
        <v>62629</v>
      </c>
    </row>
    <row r="772" spans="1:18" x14ac:dyDescent="0.25">
      <c r="A772" s="169">
        <v>43137</v>
      </c>
      <c r="B772" s="116">
        <v>607</v>
      </c>
      <c r="C772" s="116">
        <v>590.4</v>
      </c>
      <c r="D772" s="116">
        <v>549.65</v>
      </c>
      <c r="E772" s="116">
        <v>597.70000000000005</v>
      </c>
      <c r="F772" s="116">
        <v>590.4</v>
      </c>
      <c r="G772">
        <v>24966</v>
      </c>
      <c r="H772" s="116"/>
      <c r="I772" s="116"/>
      <c r="L772" s="169">
        <v>43137</v>
      </c>
      <c r="M772" s="116">
        <v>586.4</v>
      </c>
      <c r="N772" s="116">
        <v>603.54999999999995</v>
      </c>
      <c r="O772" s="116">
        <v>550</v>
      </c>
      <c r="P772" s="116">
        <v>570</v>
      </c>
      <c r="Q772" s="116">
        <v>586.4</v>
      </c>
      <c r="R772">
        <v>93139</v>
      </c>
    </row>
    <row r="773" spans="1:18" x14ac:dyDescent="0.25">
      <c r="A773" s="169">
        <v>43138</v>
      </c>
      <c r="B773" s="116">
        <v>630</v>
      </c>
      <c r="C773" s="116">
        <v>616.25</v>
      </c>
      <c r="D773" s="116">
        <v>597</v>
      </c>
      <c r="E773" s="116">
        <v>608.4</v>
      </c>
      <c r="F773" s="116">
        <v>616.25</v>
      </c>
      <c r="G773">
        <v>9530</v>
      </c>
      <c r="H773" s="116"/>
      <c r="I773" s="116"/>
      <c r="L773" s="169">
        <v>43138</v>
      </c>
      <c r="M773" s="116">
        <v>612.25</v>
      </c>
      <c r="N773" s="116">
        <v>639.1</v>
      </c>
      <c r="O773" s="116">
        <v>587</v>
      </c>
      <c r="P773" s="116">
        <v>600.1</v>
      </c>
      <c r="Q773" s="116">
        <v>612.25</v>
      </c>
      <c r="R773">
        <v>56734</v>
      </c>
    </row>
    <row r="774" spans="1:18" x14ac:dyDescent="0.25">
      <c r="A774" s="169">
        <v>43139</v>
      </c>
      <c r="B774" s="116">
        <v>649.20000000000005</v>
      </c>
      <c r="C774" s="116">
        <v>637.95000000000005</v>
      </c>
      <c r="D774" s="116">
        <v>547</v>
      </c>
      <c r="E774" s="116">
        <v>621</v>
      </c>
      <c r="F774" s="116">
        <v>637.95000000000005</v>
      </c>
      <c r="G774">
        <v>14714</v>
      </c>
      <c r="H774" s="116"/>
      <c r="I774" s="116"/>
      <c r="L774" s="169">
        <v>43139</v>
      </c>
      <c r="M774" s="116">
        <v>641.1</v>
      </c>
      <c r="N774" s="116">
        <v>648.9</v>
      </c>
      <c r="O774" s="116">
        <v>617.9</v>
      </c>
      <c r="P774" s="116">
        <v>617.9</v>
      </c>
      <c r="Q774" s="116">
        <v>641.1</v>
      </c>
      <c r="R774">
        <v>64009</v>
      </c>
    </row>
    <row r="775" spans="1:18" x14ac:dyDescent="0.25">
      <c r="A775" s="169">
        <v>43140</v>
      </c>
      <c r="B775" s="116">
        <v>655.5</v>
      </c>
      <c r="C775" s="116">
        <v>644</v>
      </c>
      <c r="D775" s="116">
        <v>597</v>
      </c>
      <c r="E775" s="116">
        <v>615</v>
      </c>
      <c r="F775" s="116">
        <v>644</v>
      </c>
      <c r="G775">
        <v>10709</v>
      </c>
      <c r="H775" s="116"/>
      <c r="I775" s="116"/>
      <c r="L775" s="169">
        <v>43140</v>
      </c>
      <c r="M775" s="116">
        <v>644.65</v>
      </c>
      <c r="N775" s="116">
        <v>655</v>
      </c>
      <c r="O775" s="116">
        <v>605.20000000000005</v>
      </c>
      <c r="P775" s="116">
        <v>610.95000000000005</v>
      </c>
      <c r="Q775" s="116">
        <v>644.65</v>
      </c>
      <c r="R775">
        <v>56446</v>
      </c>
    </row>
    <row r="776" spans="1:18" x14ac:dyDescent="0.25">
      <c r="A776" s="169">
        <v>43143</v>
      </c>
      <c r="B776" s="116">
        <v>689.4</v>
      </c>
      <c r="C776" s="116">
        <v>673</v>
      </c>
      <c r="D776" s="116">
        <v>659.1</v>
      </c>
      <c r="E776" s="116">
        <v>662.9</v>
      </c>
      <c r="F776" s="116">
        <v>673</v>
      </c>
      <c r="G776">
        <v>20048</v>
      </c>
      <c r="H776" s="116"/>
      <c r="I776" s="116"/>
      <c r="L776" s="169">
        <v>43143</v>
      </c>
      <c r="M776" s="116">
        <v>673.05</v>
      </c>
      <c r="N776" s="116">
        <v>689</v>
      </c>
      <c r="O776" s="116">
        <v>657.1</v>
      </c>
      <c r="P776" s="116">
        <v>665</v>
      </c>
      <c r="Q776" s="116">
        <v>673.05</v>
      </c>
      <c r="R776">
        <v>80022</v>
      </c>
    </row>
    <row r="777" spans="1:18" x14ac:dyDescent="0.25">
      <c r="A777" s="169">
        <v>43145</v>
      </c>
      <c r="B777" s="116">
        <v>698.5</v>
      </c>
      <c r="C777" s="116">
        <v>672.2</v>
      </c>
      <c r="D777" s="116">
        <v>666.2</v>
      </c>
      <c r="E777" s="116">
        <v>685</v>
      </c>
      <c r="F777" s="116">
        <v>672.2</v>
      </c>
      <c r="G777">
        <v>12061</v>
      </c>
      <c r="H777" s="116"/>
      <c r="I777" s="116"/>
      <c r="L777" s="169">
        <v>43145</v>
      </c>
      <c r="M777" s="116">
        <v>669.95</v>
      </c>
      <c r="N777" s="116">
        <v>698</v>
      </c>
      <c r="O777" s="116">
        <v>662.35</v>
      </c>
      <c r="P777" s="116">
        <v>677</v>
      </c>
      <c r="Q777" s="116">
        <v>669.95</v>
      </c>
      <c r="R777">
        <v>56832</v>
      </c>
    </row>
    <row r="778" spans="1:18" x14ac:dyDescent="0.25">
      <c r="A778" s="169">
        <v>43146</v>
      </c>
      <c r="B778" s="116">
        <v>688.15</v>
      </c>
      <c r="C778" s="116">
        <v>654.20000000000005</v>
      </c>
      <c r="D778" s="116">
        <v>650.1</v>
      </c>
      <c r="E778" s="116">
        <v>688.15</v>
      </c>
      <c r="F778" s="116">
        <v>654.20000000000005</v>
      </c>
      <c r="G778">
        <v>5533</v>
      </c>
      <c r="H778" s="116"/>
      <c r="I778" s="116"/>
      <c r="L778" s="169">
        <v>43146</v>
      </c>
      <c r="M778" s="116">
        <v>654.20000000000005</v>
      </c>
      <c r="N778" s="116">
        <v>687.4</v>
      </c>
      <c r="O778" s="116">
        <v>650</v>
      </c>
      <c r="P778" s="116">
        <v>678.7</v>
      </c>
      <c r="Q778" s="116">
        <v>654.20000000000005</v>
      </c>
      <c r="R778">
        <v>30414</v>
      </c>
    </row>
    <row r="779" spans="1:18" x14ac:dyDescent="0.25">
      <c r="A779" s="169">
        <v>43147</v>
      </c>
      <c r="B779" s="116">
        <v>669.8</v>
      </c>
      <c r="C779" s="116">
        <v>649.75</v>
      </c>
      <c r="D779" s="116">
        <v>644.1</v>
      </c>
      <c r="E779" s="116">
        <v>661.4</v>
      </c>
      <c r="F779" s="116">
        <v>649.75</v>
      </c>
      <c r="G779">
        <v>8649</v>
      </c>
      <c r="H779" s="116"/>
      <c r="I779" s="116"/>
      <c r="L779" s="169">
        <v>43147</v>
      </c>
      <c r="M779" s="116">
        <v>650.15</v>
      </c>
      <c r="N779" s="116">
        <v>670</v>
      </c>
      <c r="O779" s="116">
        <v>641.35</v>
      </c>
      <c r="P779" s="116">
        <v>653</v>
      </c>
      <c r="Q779" s="116">
        <v>650.15</v>
      </c>
      <c r="R779">
        <v>27813</v>
      </c>
    </row>
    <row r="780" spans="1:18" x14ac:dyDescent="0.25">
      <c r="A780" s="169">
        <v>43150</v>
      </c>
      <c r="B780" s="116">
        <v>660</v>
      </c>
      <c r="C780" s="116">
        <v>632.35</v>
      </c>
      <c r="D780" s="116">
        <v>625.04999999999995</v>
      </c>
      <c r="E780" s="116">
        <v>653.65</v>
      </c>
      <c r="F780" s="116">
        <v>632.35</v>
      </c>
      <c r="G780">
        <v>5504</v>
      </c>
      <c r="H780" s="116"/>
      <c r="I780" s="116"/>
      <c r="L780" s="169">
        <v>43150</v>
      </c>
      <c r="M780" s="116">
        <v>633</v>
      </c>
      <c r="N780" s="116">
        <v>662.05</v>
      </c>
      <c r="O780" s="116">
        <v>625</v>
      </c>
      <c r="P780" s="116">
        <v>656</v>
      </c>
      <c r="Q780" s="116">
        <v>633</v>
      </c>
      <c r="R780">
        <v>24902</v>
      </c>
    </row>
    <row r="781" spans="1:18" x14ac:dyDescent="0.25">
      <c r="A781" s="169">
        <v>43151</v>
      </c>
      <c r="B781" s="116">
        <v>674.35</v>
      </c>
      <c r="C781" s="116">
        <v>662.2</v>
      </c>
      <c r="D781" s="116">
        <v>630</v>
      </c>
      <c r="E781" s="116">
        <v>634.35</v>
      </c>
      <c r="F781" s="116">
        <v>662.2</v>
      </c>
      <c r="G781">
        <v>18002</v>
      </c>
      <c r="H781" s="116"/>
      <c r="I781" s="116"/>
      <c r="L781" s="169">
        <v>43151</v>
      </c>
      <c r="M781" s="116">
        <v>658.1</v>
      </c>
      <c r="N781" s="116">
        <v>672.05</v>
      </c>
      <c r="O781" s="116">
        <v>630.1</v>
      </c>
      <c r="P781" s="116">
        <v>632.95000000000005</v>
      </c>
      <c r="Q781" s="116">
        <v>658.1</v>
      </c>
      <c r="R781">
        <v>54922</v>
      </c>
    </row>
    <row r="782" spans="1:18" x14ac:dyDescent="0.25">
      <c r="A782" s="169">
        <v>43152</v>
      </c>
      <c r="B782" s="116">
        <v>670.75</v>
      </c>
      <c r="C782" s="116">
        <v>653.4</v>
      </c>
      <c r="D782" s="116">
        <v>649.54999999999995</v>
      </c>
      <c r="E782" s="116">
        <v>665</v>
      </c>
      <c r="F782" s="116">
        <v>653.4</v>
      </c>
      <c r="G782">
        <v>2862</v>
      </c>
      <c r="H782" s="116"/>
      <c r="I782" s="116"/>
      <c r="L782" s="169">
        <v>43152</v>
      </c>
      <c r="M782" s="116">
        <v>654.75</v>
      </c>
      <c r="N782" s="116">
        <v>671.65</v>
      </c>
      <c r="O782" s="116">
        <v>648.04999999999995</v>
      </c>
      <c r="P782" s="116">
        <v>665.9</v>
      </c>
      <c r="Q782" s="116">
        <v>654.75</v>
      </c>
      <c r="R782">
        <v>26550</v>
      </c>
    </row>
    <row r="783" spans="1:18" x14ac:dyDescent="0.25">
      <c r="A783" s="169">
        <v>43153</v>
      </c>
      <c r="B783" s="116">
        <v>659</v>
      </c>
      <c r="C783" s="116">
        <v>651.45000000000005</v>
      </c>
      <c r="D783" s="116">
        <v>639.85</v>
      </c>
      <c r="E783" s="116">
        <v>645.79999999999995</v>
      </c>
      <c r="F783" s="116">
        <v>651.45000000000005</v>
      </c>
      <c r="G783">
        <v>3145</v>
      </c>
      <c r="H783" s="116"/>
      <c r="I783" s="116"/>
      <c r="L783" s="169">
        <v>43153</v>
      </c>
      <c r="M783" s="116">
        <v>652.45000000000005</v>
      </c>
      <c r="N783" s="116">
        <v>658.9</v>
      </c>
      <c r="O783" s="116">
        <v>641.15</v>
      </c>
      <c r="P783" s="116">
        <v>650</v>
      </c>
      <c r="Q783" s="116">
        <v>652.45000000000005</v>
      </c>
      <c r="R783">
        <v>13283</v>
      </c>
    </row>
    <row r="784" spans="1:18" x14ac:dyDescent="0.25">
      <c r="A784" s="169">
        <v>43154</v>
      </c>
      <c r="B784" s="116">
        <v>677</v>
      </c>
      <c r="C784" s="116">
        <v>666.7</v>
      </c>
      <c r="D784" s="116">
        <v>654.54999999999995</v>
      </c>
      <c r="E784" s="116">
        <v>674</v>
      </c>
      <c r="F784" s="116">
        <v>666.7</v>
      </c>
      <c r="G784">
        <v>13386</v>
      </c>
      <c r="H784" s="116"/>
      <c r="I784" s="116"/>
      <c r="L784" s="169">
        <v>43154</v>
      </c>
      <c r="M784" s="116">
        <v>665.35</v>
      </c>
      <c r="N784" s="116">
        <v>678</v>
      </c>
      <c r="O784" s="116">
        <v>654.5</v>
      </c>
      <c r="P784" s="116">
        <v>669.45</v>
      </c>
      <c r="Q784" s="116">
        <v>665.35</v>
      </c>
      <c r="R784">
        <v>62334</v>
      </c>
    </row>
    <row r="785" spans="1:18" x14ac:dyDescent="0.25">
      <c r="A785" s="169">
        <v>43157</v>
      </c>
      <c r="B785" s="116">
        <v>677</v>
      </c>
      <c r="C785" s="116">
        <v>668</v>
      </c>
      <c r="D785" s="116">
        <v>650.1</v>
      </c>
      <c r="E785" s="116">
        <v>657</v>
      </c>
      <c r="F785" s="116">
        <v>668</v>
      </c>
      <c r="G785">
        <v>10158</v>
      </c>
      <c r="H785" s="116"/>
      <c r="I785" s="116"/>
      <c r="L785" s="169">
        <v>43157</v>
      </c>
      <c r="M785" s="116">
        <v>663.55</v>
      </c>
      <c r="N785" s="116">
        <v>678.7</v>
      </c>
      <c r="O785" s="116">
        <v>661.2</v>
      </c>
      <c r="P785" s="116">
        <v>669.5</v>
      </c>
      <c r="Q785" s="116">
        <v>663.55</v>
      </c>
      <c r="R785">
        <v>32228</v>
      </c>
    </row>
    <row r="786" spans="1:18" x14ac:dyDescent="0.25">
      <c r="A786" s="169">
        <v>43158</v>
      </c>
      <c r="B786" s="116">
        <v>679</v>
      </c>
      <c r="C786" s="116">
        <v>657.95</v>
      </c>
      <c r="D786" s="116">
        <v>653.04999999999995</v>
      </c>
      <c r="E786" s="116">
        <v>679</v>
      </c>
      <c r="F786" s="116">
        <v>657.95</v>
      </c>
      <c r="G786">
        <v>4563</v>
      </c>
      <c r="H786" s="116"/>
      <c r="I786" s="116"/>
      <c r="L786" s="169">
        <v>43158</v>
      </c>
      <c r="M786" s="116">
        <v>661.15</v>
      </c>
      <c r="N786" s="116">
        <v>670</v>
      </c>
      <c r="O786" s="116">
        <v>655.29999999999995</v>
      </c>
      <c r="P786" s="116">
        <v>668</v>
      </c>
      <c r="Q786" s="116">
        <v>661.15</v>
      </c>
      <c r="R786">
        <v>23293</v>
      </c>
    </row>
    <row r="787" spans="1:18" x14ac:dyDescent="0.25">
      <c r="A787" s="169">
        <v>43159</v>
      </c>
      <c r="B787" s="116">
        <v>651.70000000000005</v>
      </c>
      <c r="C787" s="116">
        <v>644.54999999999995</v>
      </c>
      <c r="D787" s="116">
        <v>630</v>
      </c>
      <c r="E787" s="116">
        <v>651.70000000000005</v>
      </c>
      <c r="F787" s="116">
        <v>644.54999999999995</v>
      </c>
      <c r="G787">
        <v>12227</v>
      </c>
      <c r="H787" s="116"/>
      <c r="I787" s="116"/>
      <c r="L787" s="169">
        <v>43159</v>
      </c>
      <c r="M787" s="116">
        <v>642.35</v>
      </c>
      <c r="N787" s="116">
        <v>651.5</v>
      </c>
      <c r="O787" s="116">
        <v>621.5</v>
      </c>
      <c r="P787" s="116">
        <v>651</v>
      </c>
      <c r="Q787" s="116">
        <v>642.35</v>
      </c>
      <c r="R787">
        <v>26347</v>
      </c>
    </row>
    <row r="788" spans="1:18" x14ac:dyDescent="0.25">
      <c r="A788" s="169">
        <v>43160</v>
      </c>
      <c r="B788" s="116">
        <v>653.54999999999995</v>
      </c>
      <c r="C788" s="116">
        <v>633.25</v>
      </c>
      <c r="D788" s="116">
        <v>630</v>
      </c>
      <c r="E788" s="116">
        <v>644</v>
      </c>
      <c r="F788" s="116">
        <v>633.25</v>
      </c>
      <c r="G788">
        <v>7162</v>
      </c>
      <c r="H788" s="116"/>
      <c r="I788" s="116"/>
      <c r="L788" s="169">
        <v>43160</v>
      </c>
      <c r="M788" s="116">
        <v>630.79999999999995</v>
      </c>
      <c r="N788" s="116">
        <v>655.15</v>
      </c>
      <c r="O788" s="116">
        <v>625.9</v>
      </c>
      <c r="P788" s="116">
        <v>642.25</v>
      </c>
      <c r="Q788" s="116">
        <v>630.79999999999995</v>
      </c>
      <c r="R788">
        <v>51648</v>
      </c>
    </row>
    <row r="789" spans="1:18" x14ac:dyDescent="0.25">
      <c r="A789" s="169">
        <v>43164</v>
      </c>
      <c r="B789" s="116">
        <v>638.9</v>
      </c>
      <c r="C789" s="116">
        <v>624.4</v>
      </c>
      <c r="D789" s="116">
        <v>621.29999999999995</v>
      </c>
      <c r="E789" s="116">
        <v>629.20000000000005</v>
      </c>
      <c r="F789" s="116">
        <v>624.4</v>
      </c>
      <c r="G789">
        <v>7331</v>
      </c>
      <c r="H789" s="116"/>
      <c r="I789" s="116"/>
      <c r="L789" s="169">
        <v>43164</v>
      </c>
      <c r="M789" s="116">
        <v>627.45000000000005</v>
      </c>
      <c r="N789" s="116">
        <v>639.79999999999995</v>
      </c>
      <c r="O789" s="116">
        <v>623.04999999999995</v>
      </c>
      <c r="P789" s="116">
        <v>630.79999999999995</v>
      </c>
      <c r="Q789" s="116">
        <v>627.45000000000005</v>
      </c>
      <c r="R789">
        <v>23659</v>
      </c>
    </row>
    <row r="790" spans="1:18" x14ac:dyDescent="0.25">
      <c r="A790" s="169">
        <v>43165</v>
      </c>
      <c r="B790" s="116">
        <v>633.85</v>
      </c>
      <c r="C790" s="116">
        <v>613.29999999999995</v>
      </c>
      <c r="D790" s="116">
        <v>608</v>
      </c>
      <c r="E790" s="116">
        <v>626</v>
      </c>
      <c r="F790" s="116">
        <v>613.29999999999995</v>
      </c>
      <c r="G790">
        <v>8391</v>
      </c>
      <c r="H790" s="116"/>
      <c r="I790" s="116"/>
      <c r="L790" s="169">
        <v>43165</v>
      </c>
      <c r="M790" s="116">
        <v>616.45000000000005</v>
      </c>
      <c r="N790" s="116">
        <v>635.04999999999995</v>
      </c>
      <c r="O790" s="116">
        <v>613</v>
      </c>
      <c r="P790" s="116">
        <v>633</v>
      </c>
      <c r="Q790" s="116">
        <v>616.45000000000005</v>
      </c>
      <c r="R790">
        <v>25742</v>
      </c>
    </row>
    <row r="791" spans="1:18" x14ac:dyDescent="0.25">
      <c r="A791" s="169">
        <v>43166</v>
      </c>
      <c r="B791" s="116">
        <v>615.9</v>
      </c>
      <c r="C791" s="116">
        <v>591.5</v>
      </c>
      <c r="D791" s="116">
        <v>588.75</v>
      </c>
      <c r="E791" s="116">
        <v>607.4</v>
      </c>
      <c r="F791" s="116">
        <v>591.5</v>
      </c>
      <c r="G791">
        <v>11200</v>
      </c>
      <c r="H791" s="116"/>
      <c r="I791" s="116"/>
      <c r="L791" s="169">
        <v>43166</v>
      </c>
      <c r="M791" s="116">
        <v>592.95000000000005</v>
      </c>
      <c r="N791" s="116">
        <v>615.35</v>
      </c>
      <c r="O791" s="116">
        <v>585</v>
      </c>
      <c r="P791" s="116">
        <v>608.25</v>
      </c>
      <c r="Q791" s="116">
        <v>592.95000000000005</v>
      </c>
      <c r="R791">
        <v>44422</v>
      </c>
    </row>
    <row r="792" spans="1:18" x14ac:dyDescent="0.25">
      <c r="A792" s="169">
        <v>43167</v>
      </c>
      <c r="B792" s="116">
        <v>602</v>
      </c>
      <c r="C792" s="116">
        <v>597.5</v>
      </c>
      <c r="D792" s="116">
        <v>573</v>
      </c>
      <c r="E792" s="116">
        <v>600</v>
      </c>
      <c r="F792" s="116">
        <v>597.5</v>
      </c>
      <c r="G792">
        <v>11154</v>
      </c>
      <c r="H792" s="116"/>
      <c r="I792" s="116"/>
      <c r="L792" s="169">
        <v>43167</v>
      </c>
      <c r="M792" s="116">
        <v>595.54999999999995</v>
      </c>
      <c r="N792" s="116">
        <v>605.04999999999995</v>
      </c>
      <c r="O792" s="116">
        <v>572.1</v>
      </c>
      <c r="P792" s="116">
        <v>594.04999999999995</v>
      </c>
      <c r="Q792" s="116">
        <v>595.54999999999995</v>
      </c>
      <c r="R792">
        <v>57320</v>
      </c>
    </row>
    <row r="793" spans="1:18" x14ac:dyDescent="0.25">
      <c r="A793" s="169">
        <v>43168</v>
      </c>
      <c r="B793" s="116">
        <v>606</v>
      </c>
      <c r="C793" s="116">
        <v>576</v>
      </c>
      <c r="D793" s="116">
        <v>572.9</v>
      </c>
      <c r="E793" s="116">
        <v>604.25</v>
      </c>
      <c r="F793" s="116">
        <v>576</v>
      </c>
      <c r="G793">
        <v>11499</v>
      </c>
      <c r="H793" s="116"/>
      <c r="I793" s="116"/>
      <c r="L793" s="169">
        <v>43168</v>
      </c>
      <c r="M793" s="116">
        <v>576.4</v>
      </c>
      <c r="N793" s="116">
        <v>607.45000000000005</v>
      </c>
      <c r="O793" s="116">
        <v>573</v>
      </c>
      <c r="P793" s="116">
        <v>596.20000000000005</v>
      </c>
      <c r="Q793" s="116">
        <v>576.4</v>
      </c>
      <c r="R793">
        <v>33316</v>
      </c>
    </row>
    <row r="794" spans="1:18" x14ac:dyDescent="0.25">
      <c r="A794" s="169">
        <v>43171</v>
      </c>
      <c r="B794" s="116">
        <v>586.95000000000005</v>
      </c>
      <c r="C794" s="116">
        <v>572.5</v>
      </c>
      <c r="D794" s="116">
        <v>563.85</v>
      </c>
      <c r="E794" s="116">
        <v>586.95000000000005</v>
      </c>
      <c r="F794" s="116">
        <v>572.5</v>
      </c>
      <c r="G794">
        <v>8763</v>
      </c>
      <c r="H794" s="116"/>
      <c r="I794" s="116"/>
      <c r="L794" s="169">
        <v>43171</v>
      </c>
      <c r="M794" s="116">
        <v>572.65</v>
      </c>
      <c r="N794" s="116">
        <v>588</v>
      </c>
      <c r="O794" s="116">
        <v>567.65</v>
      </c>
      <c r="P794" s="116">
        <v>583</v>
      </c>
      <c r="Q794" s="116">
        <v>572.65</v>
      </c>
      <c r="R794">
        <v>31048</v>
      </c>
    </row>
    <row r="795" spans="1:18" x14ac:dyDescent="0.25">
      <c r="A795" s="169">
        <v>43172</v>
      </c>
      <c r="B795" s="116">
        <v>594.95000000000005</v>
      </c>
      <c r="C795" s="116">
        <v>582.54999999999995</v>
      </c>
      <c r="D795" s="116">
        <v>571.79999999999995</v>
      </c>
      <c r="E795" s="116">
        <v>571.79999999999995</v>
      </c>
      <c r="F795" s="116">
        <v>582.54999999999995</v>
      </c>
      <c r="G795">
        <v>11650</v>
      </c>
      <c r="H795" s="116"/>
      <c r="I795" s="116"/>
      <c r="L795" s="169">
        <v>43172</v>
      </c>
      <c r="M795" s="116">
        <v>580.95000000000005</v>
      </c>
      <c r="N795" s="116">
        <v>595</v>
      </c>
      <c r="O795" s="116">
        <v>568.54999999999995</v>
      </c>
      <c r="P795" s="116">
        <v>574.95000000000005</v>
      </c>
      <c r="Q795" s="116">
        <v>580.95000000000005</v>
      </c>
      <c r="R795">
        <v>55774</v>
      </c>
    </row>
    <row r="796" spans="1:18" x14ac:dyDescent="0.25">
      <c r="A796" s="169">
        <v>43173</v>
      </c>
      <c r="B796" s="116">
        <v>614</v>
      </c>
      <c r="C796" s="116">
        <v>609</v>
      </c>
      <c r="D796" s="116">
        <v>580</v>
      </c>
      <c r="E796" s="116">
        <v>588.5</v>
      </c>
      <c r="F796" s="116">
        <v>609</v>
      </c>
      <c r="G796">
        <v>13490</v>
      </c>
      <c r="H796" s="116"/>
      <c r="I796" s="116"/>
      <c r="L796" s="169">
        <v>43173</v>
      </c>
      <c r="M796" s="116">
        <v>608.5</v>
      </c>
      <c r="N796" s="116">
        <v>613.95000000000005</v>
      </c>
      <c r="O796" s="116">
        <v>580.95000000000005</v>
      </c>
      <c r="P796" s="116">
        <v>580.95000000000005</v>
      </c>
      <c r="Q796" s="116">
        <v>608.5</v>
      </c>
      <c r="R796">
        <v>158396</v>
      </c>
    </row>
    <row r="797" spans="1:18" x14ac:dyDescent="0.25">
      <c r="A797" s="169">
        <v>43174</v>
      </c>
      <c r="B797" s="116">
        <v>631.9</v>
      </c>
      <c r="C797" s="116">
        <v>626.5</v>
      </c>
      <c r="D797" s="116">
        <v>612</v>
      </c>
      <c r="E797" s="116">
        <v>614.85</v>
      </c>
      <c r="F797" s="116">
        <v>626.5</v>
      </c>
      <c r="G797">
        <v>8611</v>
      </c>
      <c r="H797" s="116"/>
      <c r="I797" s="116"/>
      <c r="L797" s="169">
        <v>43174</v>
      </c>
      <c r="M797" s="116">
        <v>629.04999999999995</v>
      </c>
      <c r="N797" s="116">
        <v>634.9</v>
      </c>
      <c r="O797" s="116">
        <v>610</v>
      </c>
      <c r="P797" s="116">
        <v>612.29999999999995</v>
      </c>
      <c r="Q797" s="116">
        <v>629.04999999999995</v>
      </c>
      <c r="R797">
        <v>76139</v>
      </c>
    </row>
    <row r="798" spans="1:18" x14ac:dyDescent="0.25">
      <c r="A798" s="169">
        <v>43175</v>
      </c>
      <c r="B798" s="116">
        <v>624.45000000000005</v>
      </c>
      <c r="C798" s="116">
        <v>597.35</v>
      </c>
      <c r="D798" s="116">
        <v>592</v>
      </c>
      <c r="E798" s="116">
        <v>624.45000000000005</v>
      </c>
      <c r="F798" s="116">
        <v>597.35</v>
      </c>
      <c r="G798">
        <v>11882</v>
      </c>
      <c r="H798" s="116"/>
      <c r="I798" s="116"/>
      <c r="L798" s="169">
        <v>43175</v>
      </c>
      <c r="M798" s="116">
        <v>600.29999999999995</v>
      </c>
      <c r="N798" s="116">
        <v>626.1</v>
      </c>
      <c r="O798" s="116">
        <v>592.85</v>
      </c>
      <c r="P798" s="116">
        <v>622.5</v>
      </c>
      <c r="Q798" s="116">
        <v>600.29999999999995</v>
      </c>
      <c r="R798">
        <v>44115</v>
      </c>
    </row>
    <row r="799" spans="1:18" x14ac:dyDescent="0.25">
      <c r="A799" s="169">
        <v>43178</v>
      </c>
      <c r="B799" s="116">
        <v>610.85</v>
      </c>
      <c r="C799" s="116">
        <v>582.9</v>
      </c>
      <c r="D799" s="116">
        <v>580.6</v>
      </c>
      <c r="E799" s="116">
        <v>600</v>
      </c>
      <c r="F799" s="116">
        <v>582.9</v>
      </c>
      <c r="G799">
        <v>4892</v>
      </c>
      <c r="H799" s="116"/>
      <c r="I799" s="116"/>
      <c r="L799" s="169">
        <v>43178</v>
      </c>
      <c r="M799" s="116">
        <v>582.95000000000005</v>
      </c>
      <c r="N799" s="116">
        <v>607.4</v>
      </c>
      <c r="O799" s="116">
        <v>580.1</v>
      </c>
      <c r="P799" s="116">
        <v>600</v>
      </c>
      <c r="Q799" s="116">
        <v>582.95000000000005</v>
      </c>
      <c r="R799">
        <v>41417</v>
      </c>
    </row>
    <row r="800" spans="1:18" x14ac:dyDescent="0.25">
      <c r="A800" s="169">
        <v>43179</v>
      </c>
      <c r="B800" s="116">
        <v>604.04999999999995</v>
      </c>
      <c r="C800" s="116">
        <v>583.85</v>
      </c>
      <c r="D800" s="116">
        <v>568.1</v>
      </c>
      <c r="E800" s="116">
        <v>577</v>
      </c>
      <c r="F800" s="116">
        <v>583.85</v>
      </c>
      <c r="G800">
        <v>67273</v>
      </c>
      <c r="H800" s="116"/>
      <c r="I800" s="116"/>
      <c r="L800" s="169">
        <v>43179</v>
      </c>
      <c r="M800" s="116">
        <v>582.75</v>
      </c>
      <c r="N800" s="116">
        <v>605</v>
      </c>
      <c r="O800" s="116">
        <v>572.5</v>
      </c>
      <c r="P800" s="116">
        <v>572.5</v>
      </c>
      <c r="Q800" s="116">
        <v>582.75</v>
      </c>
      <c r="R800">
        <v>41746</v>
      </c>
    </row>
    <row r="801" spans="1:18" x14ac:dyDescent="0.25">
      <c r="A801" s="169">
        <v>43180</v>
      </c>
      <c r="B801" s="116">
        <v>609</v>
      </c>
      <c r="C801" s="116">
        <v>584.45000000000005</v>
      </c>
      <c r="D801" s="116">
        <v>581</v>
      </c>
      <c r="E801" s="116">
        <v>588</v>
      </c>
      <c r="F801" s="116">
        <v>584.45000000000005</v>
      </c>
      <c r="G801">
        <v>3890</v>
      </c>
      <c r="H801" s="116"/>
      <c r="I801" s="116"/>
      <c r="L801" s="169">
        <v>43180</v>
      </c>
      <c r="M801" s="116">
        <v>583.1</v>
      </c>
      <c r="N801" s="116">
        <v>609.75</v>
      </c>
      <c r="O801" s="116">
        <v>581</v>
      </c>
      <c r="P801" s="116">
        <v>586.29999999999995</v>
      </c>
      <c r="Q801" s="116">
        <v>583.1</v>
      </c>
      <c r="R801">
        <v>32784</v>
      </c>
    </row>
    <row r="802" spans="1:18" x14ac:dyDescent="0.25">
      <c r="A802" s="169">
        <v>43181</v>
      </c>
      <c r="B802" s="116">
        <v>593.35</v>
      </c>
      <c r="C802" s="116">
        <v>572.4</v>
      </c>
      <c r="D802" s="116">
        <v>570</v>
      </c>
      <c r="E802" s="116">
        <v>585</v>
      </c>
      <c r="F802" s="116">
        <v>572.4</v>
      </c>
      <c r="G802">
        <v>4613</v>
      </c>
      <c r="H802" s="116"/>
      <c r="I802" s="116"/>
      <c r="L802" s="169">
        <v>43181</v>
      </c>
      <c r="M802" s="116">
        <v>573.35</v>
      </c>
      <c r="N802" s="116">
        <v>590.25</v>
      </c>
      <c r="O802" s="116">
        <v>571.29999999999995</v>
      </c>
      <c r="P802" s="116">
        <v>587.79999999999995</v>
      </c>
      <c r="Q802" s="116">
        <v>573.35</v>
      </c>
      <c r="R802">
        <v>30248</v>
      </c>
    </row>
    <row r="803" spans="1:18" x14ac:dyDescent="0.25">
      <c r="A803" s="169">
        <v>43182</v>
      </c>
      <c r="B803" s="116">
        <v>577.9</v>
      </c>
      <c r="C803" s="116">
        <v>570.95000000000005</v>
      </c>
      <c r="D803" s="116">
        <v>555</v>
      </c>
      <c r="E803" s="116">
        <v>572.4</v>
      </c>
      <c r="F803" s="116">
        <v>570.95000000000005</v>
      </c>
      <c r="G803">
        <v>5506</v>
      </c>
      <c r="H803" s="116"/>
      <c r="I803" s="116"/>
      <c r="L803" s="169">
        <v>43182</v>
      </c>
      <c r="M803" s="116">
        <v>573.95000000000005</v>
      </c>
      <c r="N803" s="116">
        <v>578.95000000000005</v>
      </c>
      <c r="O803" s="116">
        <v>560</v>
      </c>
      <c r="P803" s="116">
        <v>560</v>
      </c>
      <c r="Q803" s="116">
        <v>573.95000000000005</v>
      </c>
      <c r="R803">
        <v>42750</v>
      </c>
    </row>
    <row r="804" spans="1:18" x14ac:dyDescent="0.25">
      <c r="A804" s="169">
        <v>43185</v>
      </c>
      <c r="B804" s="116">
        <v>581.9</v>
      </c>
      <c r="C804" s="116">
        <v>571.15</v>
      </c>
      <c r="D804" s="116">
        <v>556</v>
      </c>
      <c r="E804" s="116">
        <v>561.5</v>
      </c>
      <c r="F804" s="116">
        <v>571.15</v>
      </c>
      <c r="G804">
        <v>7721</v>
      </c>
      <c r="H804" s="116"/>
      <c r="I804" s="116"/>
      <c r="L804" s="169">
        <v>43185</v>
      </c>
      <c r="M804" s="116">
        <v>574.65</v>
      </c>
      <c r="N804" s="116">
        <v>590</v>
      </c>
      <c r="O804" s="116">
        <v>560</v>
      </c>
      <c r="P804" s="116">
        <v>565.25</v>
      </c>
      <c r="Q804" s="116">
        <v>574.65</v>
      </c>
      <c r="R804">
        <v>31812</v>
      </c>
    </row>
    <row r="805" spans="1:18" x14ac:dyDescent="0.25">
      <c r="A805" s="169">
        <v>43186</v>
      </c>
      <c r="B805" s="116">
        <v>590.45000000000005</v>
      </c>
      <c r="C805" s="116">
        <v>570.65</v>
      </c>
      <c r="D805" s="116">
        <v>568</v>
      </c>
      <c r="E805" s="116">
        <v>577.85</v>
      </c>
      <c r="F805" s="116">
        <v>570.65</v>
      </c>
      <c r="G805">
        <v>6859</v>
      </c>
      <c r="H805" s="116"/>
      <c r="I805" s="116"/>
      <c r="L805" s="169">
        <v>43186</v>
      </c>
      <c r="M805" s="116">
        <v>571.6</v>
      </c>
      <c r="N805" s="116">
        <v>589</v>
      </c>
      <c r="O805" s="116">
        <v>569.85</v>
      </c>
      <c r="P805" s="116">
        <v>576.04999999999995</v>
      </c>
      <c r="Q805" s="116">
        <v>571.6</v>
      </c>
      <c r="R805">
        <v>29508</v>
      </c>
    </row>
    <row r="806" spans="1:18" x14ac:dyDescent="0.25">
      <c r="A806" s="169">
        <v>43187</v>
      </c>
      <c r="B806" s="116">
        <v>570</v>
      </c>
      <c r="C806" s="116">
        <v>562.75</v>
      </c>
      <c r="D806" s="116">
        <v>560</v>
      </c>
      <c r="E806" s="116">
        <v>570</v>
      </c>
      <c r="F806" s="116">
        <v>562.75</v>
      </c>
      <c r="G806">
        <v>7477</v>
      </c>
      <c r="H806" s="116"/>
      <c r="I806" s="116"/>
      <c r="L806" s="169">
        <v>43187</v>
      </c>
      <c r="M806" s="116">
        <v>561.04999999999995</v>
      </c>
      <c r="N806" s="116">
        <v>573.1</v>
      </c>
      <c r="O806" s="116">
        <v>556.65</v>
      </c>
      <c r="P806" s="116">
        <v>570</v>
      </c>
      <c r="Q806" s="116">
        <v>561.04999999999995</v>
      </c>
      <c r="R806">
        <v>31449</v>
      </c>
    </row>
    <row r="807" spans="1:18" x14ac:dyDescent="0.25">
      <c r="A807" s="169">
        <v>43192</v>
      </c>
      <c r="B807" s="116">
        <v>599</v>
      </c>
      <c r="C807" s="116">
        <v>593.70000000000005</v>
      </c>
      <c r="D807" s="116">
        <v>564.15</v>
      </c>
      <c r="E807" s="116">
        <v>569.5</v>
      </c>
      <c r="F807" s="116">
        <v>593.70000000000005</v>
      </c>
      <c r="G807">
        <v>6615</v>
      </c>
      <c r="H807" s="116"/>
      <c r="I807" s="116"/>
      <c r="L807" s="169">
        <v>43192</v>
      </c>
      <c r="M807" s="116">
        <v>590.15</v>
      </c>
      <c r="N807" s="116">
        <v>595</v>
      </c>
      <c r="O807" s="116">
        <v>563.5</v>
      </c>
      <c r="P807" s="116">
        <v>563.5</v>
      </c>
      <c r="Q807" s="116">
        <v>590.15</v>
      </c>
      <c r="R807">
        <v>25230</v>
      </c>
    </row>
    <row r="808" spans="1:18" x14ac:dyDescent="0.25">
      <c r="A808" s="169">
        <v>43193</v>
      </c>
      <c r="B808" s="116">
        <v>593</v>
      </c>
      <c r="C808" s="116">
        <v>587.75</v>
      </c>
      <c r="D808" s="116">
        <v>575.85</v>
      </c>
      <c r="E808" s="116">
        <v>584.85</v>
      </c>
      <c r="F808" s="116">
        <v>587.75</v>
      </c>
      <c r="G808">
        <v>5580</v>
      </c>
      <c r="H808" s="116"/>
      <c r="I808" s="116"/>
      <c r="L808" s="169">
        <v>43193</v>
      </c>
      <c r="M808" s="116">
        <v>587.5</v>
      </c>
      <c r="N808" s="116">
        <v>594.79999999999995</v>
      </c>
      <c r="O808" s="116">
        <v>576.1</v>
      </c>
      <c r="P808" s="116">
        <v>582.15</v>
      </c>
      <c r="Q808" s="116">
        <v>587.5</v>
      </c>
      <c r="R808">
        <v>20192</v>
      </c>
    </row>
    <row r="809" spans="1:18" x14ac:dyDescent="0.25">
      <c r="A809" s="169">
        <v>43194</v>
      </c>
      <c r="B809" s="116">
        <v>608.20000000000005</v>
      </c>
      <c r="C809" s="116">
        <v>592.20000000000005</v>
      </c>
      <c r="D809" s="116">
        <v>585.95000000000005</v>
      </c>
      <c r="E809" s="116">
        <v>593.04999999999995</v>
      </c>
      <c r="F809" s="116">
        <v>592.20000000000005</v>
      </c>
      <c r="G809">
        <v>9346</v>
      </c>
      <c r="H809" s="116"/>
      <c r="I809" s="116"/>
      <c r="L809" s="169">
        <v>43194</v>
      </c>
      <c r="M809" s="116">
        <v>589.79999999999995</v>
      </c>
      <c r="N809" s="116">
        <v>610</v>
      </c>
      <c r="O809" s="116">
        <v>586.15</v>
      </c>
      <c r="P809" s="116">
        <v>589.95000000000005</v>
      </c>
      <c r="Q809" s="116">
        <v>589.79999999999995</v>
      </c>
      <c r="R809">
        <v>35891</v>
      </c>
    </row>
    <row r="810" spans="1:18" x14ac:dyDescent="0.25">
      <c r="A810" s="169">
        <v>43195</v>
      </c>
      <c r="B810" s="116">
        <v>612.5</v>
      </c>
      <c r="C810" s="116">
        <v>603.6</v>
      </c>
      <c r="D810" s="116">
        <v>597.15</v>
      </c>
      <c r="E810" s="116">
        <v>600.70000000000005</v>
      </c>
      <c r="F810" s="116">
        <v>603.6</v>
      </c>
      <c r="G810">
        <v>9328</v>
      </c>
      <c r="H810" s="116"/>
      <c r="I810" s="116"/>
      <c r="L810" s="169">
        <v>43195</v>
      </c>
      <c r="M810" s="116">
        <v>604.29999999999995</v>
      </c>
      <c r="N810" s="116">
        <v>615</v>
      </c>
      <c r="O810" s="116">
        <v>601.5</v>
      </c>
      <c r="P810" s="116">
        <v>601.54999999999995</v>
      </c>
      <c r="Q810" s="116">
        <v>604.29999999999995</v>
      </c>
      <c r="R810">
        <v>29966</v>
      </c>
    </row>
    <row r="811" spans="1:18" x14ac:dyDescent="0.25">
      <c r="A811" s="169">
        <v>43196</v>
      </c>
      <c r="B811" s="116">
        <v>633</v>
      </c>
      <c r="C811" s="116">
        <v>619.45000000000005</v>
      </c>
      <c r="D811" s="116">
        <v>604.75</v>
      </c>
      <c r="E811" s="116">
        <v>606.35</v>
      </c>
      <c r="F811" s="116">
        <v>619.45000000000005</v>
      </c>
      <c r="G811">
        <v>8643</v>
      </c>
      <c r="H811" s="116"/>
      <c r="I811" s="116"/>
      <c r="L811" s="169">
        <v>43196</v>
      </c>
      <c r="M811" s="116">
        <v>622.6</v>
      </c>
      <c r="N811" s="116">
        <v>632</v>
      </c>
      <c r="O811" s="116">
        <v>597</v>
      </c>
      <c r="P811" s="116">
        <v>597</v>
      </c>
      <c r="Q811" s="116">
        <v>622.6</v>
      </c>
      <c r="R811">
        <v>37456</v>
      </c>
    </row>
    <row r="812" spans="1:18" x14ac:dyDescent="0.25">
      <c r="A812" s="169">
        <v>43199</v>
      </c>
      <c r="B812" s="116">
        <v>654.04999999999995</v>
      </c>
      <c r="C812" s="116">
        <v>636.5</v>
      </c>
      <c r="D812" s="116">
        <v>623</v>
      </c>
      <c r="E812" s="116">
        <v>623</v>
      </c>
      <c r="F812" s="116">
        <v>636.5</v>
      </c>
      <c r="G812">
        <v>14011</v>
      </c>
      <c r="H812" s="116"/>
      <c r="I812" s="116"/>
      <c r="L812" s="169">
        <v>43199</v>
      </c>
      <c r="M812" s="116">
        <v>631.79999999999995</v>
      </c>
      <c r="N812" s="116">
        <v>653.95000000000005</v>
      </c>
      <c r="O812" s="116">
        <v>625</v>
      </c>
      <c r="P812" s="116">
        <v>627.95000000000005</v>
      </c>
      <c r="Q812" s="116">
        <v>631.79999999999995</v>
      </c>
      <c r="R812">
        <v>69059</v>
      </c>
    </row>
    <row r="813" spans="1:18" x14ac:dyDescent="0.25">
      <c r="A813" s="169">
        <v>43200</v>
      </c>
      <c r="B813" s="116">
        <v>663</v>
      </c>
      <c r="C813" s="116">
        <v>650.25</v>
      </c>
      <c r="D813" s="116">
        <v>630</v>
      </c>
      <c r="E813" s="116">
        <v>639.95000000000005</v>
      </c>
      <c r="F813" s="116">
        <v>650.25</v>
      </c>
      <c r="G813">
        <v>9921</v>
      </c>
      <c r="H813" s="116"/>
      <c r="I813" s="116"/>
      <c r="L813" s="169">
        <v>43200</v>
      </c>
      <c r="M813" s="116">
        <v>650.9</v>
      </c>
      <c r="N813" s="116">
        <v>664.85</v>
      </c>
      <c r="O813" s="116">
        <v>630.85</v>
      </c>
      <c r="P813" s="116">
        <v>637.6</v>
      </c>
      <c r="Q813" s="116">
        <v>650.9</v>
      </c>
      <c r="R813">
        <v>58658</v>
      </c>
    </row>
    <row r="814" spans="1:18" x14ac:dyDescent="0.25">
      <c r="A814" s="169">
        <v>43201</v>
      </c>
      <c r="B814" s="116">
        <v>660</v>
      </c>
      <c r="C814" s="116">
        <v>651.1</v>
      </c>
      <c r="D814" s="116">
        <v>642.5</v>
      </c>
      <c r="E814" s="116">
        <v>655</v>
      </c>
      <c r="F814" s="116">
        <v>651.1</v>
      </c>
      <c r="G814">
        <v>5220</v>
      </c>
      <c r="H814" s="116"/>
      <c r="I814" s="116"/>
      <c r="L814" s="169">
        <v>43201</v>
      </c>
      <c r="M814" s="116">
        <v>656.7</v>
      </c>
      <c r="N814" s="116">
        <v>662.05</v>
      </c>
      <c r="O814" s="116">
        <v>641.75</v>
      </c>
      <c r="P814" s="116">
        <v>651</v>
      </c>
      <c r="Q814" s="116">
        <v>656.7</v>
      </c>
      <c r="R814">
        <v>44075</v>
      </c>
    </row>
    <row r="815" spans="1:18" x14ac:dyDescent="0.25">
      <c r="A815" s="169">
        <v>43202</v>
      </c>
      <c r="B815" s="116">
        <v>681.75</v>
      </c>
      <c r="C815" s="116">
        <v>668.6</v>
      </c>
      <c r="D815" s="116">
        <v>653.35</v>
      </c>
      <c r="E815" s="116">
        <v>653.35</v>
      </c>
      <c r="F815" s="116">
        <v>668.6</v>
      </c>
      <c r="G815">
        <v>6714</v>
      </c>
      <c r="H815" s="116"/>
      <c r="I815" s="116"/>
      <c r="L815" s="169">
        <v>43202</v>
      </c>
      <c r="M815" s="116">
        <v>672.2</v>
      </c>
      <c r="N815" s="116">
        <v>684.8</v>
      </c>
      <c r="O815" s="116">
        <v>650</v>
      </c>
      <c r="P815" s="116">
        <v>656.7</v>
      </c>
      <c r="Q815" s="116">
        <v>672.2</v>
      </c>
      <c r="R815">
        <v>57511</v>
      </c>
    </row>
    <row r="816" spans="1:18" x14ac:dyDescent="0.25">
      <c r="A816" s="169">
        <v>43203</v>
      </c>
      <c r="B816" s="116">
        <v>686.7</v>
      </c>
      <c r="C816" s="116">
        <v>670.85</v>
      </c>
      <c r="D816" s="116">
        <v>669</v>
      </c>
      <c r="E816" s="116">
        <v>679.95</v>
      </c>
      <c r="F816" s="116">
        <v>670.85</v>
      </c>
      <c r="G816">
        <v>3352</v>
      </c>
      <c r="H816" s="116"/>
      <c r="I816" s="116"/>
      <c r="L816" s="169">
        <v>43203</v>
      </c>
      <c r="M816" s="116">
        <v>672.45</v>
      </c>
      <c r="N816" s="116">
        <v>689</v>
      </c>
      <c r="O816" s="116">
        <v>670</v>
      </c>
      <c r="P816" s="116">
        <v>674.9</v>
      </c>
      <c r="Q816" s="116">
        <v>672.45</v>
      </c>
      <c r="R816">
        <v>33188</v>
      </c>
    </row>
    <row r="817" spans="1:18" x14ac:dyDescent="0.25">
      <c r="A817" s="169">
        <v>43206</v>
      </c>
      <c r="B817" s="116">
        <v>677.55</v>
      </c>
      <c r="C817" s="116">
        <v>671.6</v>
      </c>
      <c r="D817" s="116">
        <v>658.35</v>
      </c>
      <c r="E817" s="116">
        <v>658.4</v>
      </c>
      <c r="F817" s="116">
        <v>671.6</v>
      </c>
      <c r="G817">
        <v>2599</v>
      </c>
      <c r="H817" s="116"/>
      <c r="I817" s="116"/>
      <c r="L817" s="169">
        <v>43206</v>
      </c>
      <c r="M817" s="116">
        <v>674.15</v>
      </c>
      <c r="N817" s="116">
        <v>677.85</v>
      </c>
      <c r="O817" s="116">
        <v>657</v>
      </c>
      <c r="P817" s="116">
        <v>657</v>
      </c>
      <c r="Q817" s="116">
        <v>674.15</v>
      </c>
      <c r="R817">
        <v>29582</v>
      </c>
    </row>
    <row r="818" spans="1:18" x14ac:dyDescent="0.25">
      <c r="A818" s="169">
        <v>43207</v>
      </c>
      <c r="B818" s="116">
        <v>690</v>
      </c>
      <c r="C818" s="116">
        <v>675</v>
      </c>
      <c r="D818" s="116">
        <v>671.35</v>
      </c>
      <c r="E818" s="116">
        <v>673.8</v>
      </c>
      <c r="F818" s="116">
        <v>675</v>
      </c>
      <c r="G818">
        <v>2591</v>
      </c>
      <c r="H818" s="116"/>
      <c r="I818" s="116"/>
      <c r="L818" s="169">
        <v>43207</v>
      </c>
      <c r="M818" s="116">
        <v>674.9</v>
      </c>
      <c r="N818" s="116">
        <v>693</v>
      </c>
      <c r="O818" s="116">
        <v>670.1</v>
      </c>
      <c r="P818" s="116">
        <v>678.1</v>
      </c>
      <c r="Q818" s="116">
        <v>674.9</v>
      </c>
      <c r="R818">
        <v>30730</v>
      </c>
    </row>
    <row r="819" spans="1:18" x14ac:dyDescent="0.25">
      <c r="A819" s="169">
        <v>43208</v>
      </c>
      <c r="B819" s="116">
        <v>687</v>
      </c>
      <c r="C819" s="116">
        <v>672.05</v>
      </c>
      <c r="D819" s="116">
        <v>670.05</v>
      </c>
      <c r="E819" s="116">
        <v>676.2</v>
      </c>
      <c r="F819" s="116">
        <v>672.05</v>
      </c>
      <c r="G819">
        <v>7680</v>
      </c>
      <c r="H819" s="116"/>
      <c r="I819" s="116"/>
      <c r="L819" s="169">
        <v>43208</v>
      </c>
      <c r="M819" s="116">
        <v>676.2</v>
      </c>
      <c r="N819" s="116">
        <v>689</v>
      </c>
      <c r="O819" s="116">
        <v>671</v>
      </c>
      <c r="P819" s="116">
        <v>682.5</v>
      </c>
      <c r="Q819" s="116">
        <v>676.2</v>
      </c>
      <c r="R819">
        <v>28790</v>
      </c>
    </row>
    <row r="820" spans="1:18" x14ac:dyDescent="0.25">
      <c r="A820" s="169">
        <v>43209</v>
      </c>
      <c r="B820" s="116">
        <v>685</v>
      </c>
      <c r="C820" s="116">
        <v>672.45</v>
      </c>
      <c r="D820" s="116">
        <v>666.6</v>
      </c>
      <c r="E820" s="116">
        <v>673.85</v>
      </c>
      <c r="F820" s="116">
        <v>672.45</v>
      </c>
      <c r="G820">
        <v>1078</v>
      </c>
      <c r="H820" s="116"/>
      <c r="I820" s="116"/>
      <c r="L820" s="169">
        <v>43209</v>
      </c>
      <c r="M820" s="116">
        <v>674.4</v>
      </c>
      <c r="N820" s="116">
        <v>685.5</v>
      </c>
      <c r="O820" s="116">
        <v>668.85</v>
      </c>
      <c r="P820" s="116">
        <v>678.5</v>
      </c>
      <c r="Q820" s="116">
        <v>674.4</v>
      </c>
      <c r="R820">
        <v>12154</v>
      </c>
    </row>
    <row r="821" spans="1:18" x14ac:dyDescent="0.25">
      <c r="A821" s="169">
        <v>43210</v>
      </c>
      <c r="B821" s="116">
        <v>685.5</v>
      </c>
      <c r="C821" s="116">
        <v>675.9</v>
      </c>
      <c r="D821" s="116">
        <v>667.85</v>
      </c>
      <c r="E821" s="116">
        <v>672</v>
      </c>
      <c r="F821" s="116">
        <v>675.9</v>
      </c>
      <c r="G821">
        <v>1159</v>
      </c>
      <c r="H821" s="116"/>
      <c r="I821" s="116"/>
      <c r="L821" s="169">
        <v>43210</v>
      </c>
      <c r="M821" s="116">
        <v>677.05</v>
      </c>
      <c r="N821" s="116">
        <v>686.85</v>
      </c>
      <c r="O821" s="116">
        <v>668.95</v>
      </c>
      <c r="P821" s="116">
        <v>679.9</v>
      </c>
      <c r="Q821" s="116">
        <v>677.05</v>
      </c>
      <c r="R821">
        <v>17070</v>
      </c>
    </row>
    <row r="822" spans="1:18" x14ac:dyDescent="0.25">
      <c r="A822" s="169">
        <v>43213</v>
      </c>
      <c r="B822" s="116">
        <v>684.15</v>
      </c>
      <c r="C822" s="116">
        <v>676.95</v>
      </c>
      <c r="D822" s="116">
        <v>670.35</v>
      </c>
      <c r="E822" s="116">
        <v>675.9</v>
      </c>
      <c r="F822" s="116">
        <v>676.95</v>
      </c>
      <c r="G822">
        <v>1196</v>
      </c>
      <c r="H822" s="116"/>
      <c r="I822" s="116"/>
      <c r="L822" s="169">
        <v>43213</v>
      </c>
      <c r="M822" s="116">
        <v>680.05</v>
      </c>
      <c r="N822" s="116">
        <v>700</v>
      </c>
      <c r="O822" s="116">
        <v>665.6</v>
      </c>
      <c r="P822" s="116">
        <v>676.95</v>
      </c>
      <c r="Q822" s="116">
        <v>680.05</v>
      </c>
      <c r="R822">
        <v>23411</v>
      </c>
    </row>
    <row r="823" spans="1:18" x14ac:dyDescent="0.25">
      <c r="A823" s="169">
        <v>43214</v>
      </c>
      <c r="B823" s="116">
        <v>686.9</v>
      </c>
      <c r="C823" s="116">
        <v>680.35</v>
      </c>
      <c r="D823" s="116">
        <v>674.35</v>
      </c>
      <c r="E823" s="116">
        <v>681</v>
      </c>
      <c r="F823" s="116">
        <v>680.35</v>
      </c>
      <c r="G823">
        <v>1390</v>
      </c>
      <c r="H823" s="116"/>
      <c r="I823" s="116"/>
      <c r="L823" s="169">
        <v>43214</v>
      </c>
      <c r="M823" s="116">
        <v>682.7</v>
      </c>
      <c r="N823" s="116">
        <v>689.9</v>
      </c>
      <c r="O823" s="116">
        <v>675</v>
      </c>
      <c r="P823" s="116">
        <v>679.8</v>
      </c>
      <c r="Q823" s="116">
        <v>682.7</v>
      </c>
      <c r="R823">
        <v>24633</v>
      </c>
    </row>
    <row r="824" spans="1:18" x14ac:dyDescent="0.25">
      <c r="A824" s="169">
        <v>43215</v>
      </c>
      <c r="B824" s="116">
        <v>700</v>
      </c>
      <c r="C824" s="116">
        <v>688.95</v>
      </c>
      <c r="D824" s="116">
        <v>667</v>
      </c>
      <c r="E824" s="116">
        <v>677</v>
      </c>
      <c r="F824" s="116">
        <v>688.95</v>
      </c>
      <c r="G824">
        <v>7058</v>
      </c>
      <c r="H824" s="116"/>
      <c r="I824" s="116"/>
      <c r="L824" s="169">
        <v>43215</v>
      </c>
      <c r="M824" s="116">
        <v>690.15</v>
      </c>
      <c r="N824" s="116">
        <v>699</v>
      </c>
      <c r="O824" s="116">
        <v>666.05</v>
      </c>
      <c r="P824" s="116">
        <v>682</v>
      </c>
      <c r="Q824" s="116">
        <v>690.15</v>
      </c>
      <c r="R824">
        <v>39647</v>
      </c>
    </row>
    <row r="825" spans="1:18" x14ac:dyDescent="0.25">
      <c r="A825" s="169">
        <v>43216</v>
      </c>
      <c r="B825" s="116">
        <v>723.95</v>
      </c>
      <c r="C825" s="116">
        <v>710.25</v>
      </c>
      <c r="D825" s="116">
        <v>675.1</v>
      </c>
      <c r="E825" s="116">
        <v>696</v>
      </c>
      <c r="F825" s="116">
        <v>710.25</v>
      </c>
      <c r="G825">
        <v>17513</v>
      </c>
      <c r="H825" s="116"/>
      <c r="I825" s="116"/>
      <c r="L825" s="169">
        <v>43216</v>
      </c>
      <c r="M825" s="116">
        <v>709.9</v>
      </c>
      <c r="N825" s="116">
        <v>725</v>
      </c>
      <c r="O825" s="116">
        <v>685.3</v>
      </c>
      <c r="P825" s="116">
        <v>690.15</v>
      </c>
      <c r="Q825" s="116">
        <v>709.9</v>
      </c>
      <c r="R825">
        <v>92633</v>
      </c>
    </row>
    <row r="826" spans="1:18" x14ac:dyDescent="0.25">
      <c r="A826" s="169">
        <v>43217</v>
      </c>
      <c r="B826" s="116">
        <v>727.05</v>
      </c>
      <c r="C826" s="116">
        <v>712.3</v>
      </c>
      <c r="D826" s="116">
        <v>706</v>
      </c>
      <c r="E826" s="116">
        <v>724.9</v>
      </c>
      <c r="F826" s="116">
        <v>712.3</v>
      </c>
      <c r="G826">
        <v>8691</v>
      </c>
      <c r="H826" s="116"/>
      <c r="I826" s="116"/>
      <c r="L826" s="169">
        <v>43217</v>
      </c>
      <c r="M826" s="116">
        <v>716.2</v>
      </c>
      <c r="N826" s="116">
        <v>730</v>
      </c>
      <c r="O826" s="116">
        <v>711</v>
      </c>
      <c r="P826" s="116">
        <v>724</v>
      </c>
      <c r="Q826" s="116">
        <v>716.2</v>
      </c>
      <c r="R826">
        <v>54477</v>
      </c>
    </row>
    <row r="827" spans="1:18" x14ac:dyDescent="0.25">
      <c r="A827" s="169">
        <v>43220</v>
      </c>
      <c r="B827" s="116">
        <v>724.7</v>
      </c>
      <c r="C827" s="116">
        <v>712.65</v>
      </c>
      <c r="D827" s="116">
        <v>702.4</v>
      </c>
      <c r="E827" s="116">
        <v>715</v>
      </c>
      <c r="F827" s="116">
        <v>712.65</v>
      </c>
      <c r="G827">
        <v>2445</v>
      </c>
      <c r="H827" s="116"/>
      <c r="I827" s="116"/>
      <c r="L827" s="169">
        <v>43220</v>
      </c>
      <c r="M827" s="116">
        <v>713.6</v>
      </c>
      <c r="N827" s="116">
        <v>728.45</v>
      </c>
      <c r="O827" s="116">
        <v>702.3</v>
      </c>
      <c r="P827" s="116">
        <v>716.25</v>
      </c>
      <c r="Q827" s="116">
        <v>713.6</v>
      </c>
      <c r="R827">
        <v>29299</v>
      </c>
    </row>
    <row r="828" spans="1:18" x14ac:dyDescent="0.25">
      <c r="A828" s="169">
        <v>43222</v>
      </c>
      <c r="B828" s="116">
        <v>723.4</v>
      </c>
      <c r="C828" s="116">
        <v>683.75</v>
      </c>
      <c r="D828" s="116">
        <v>677.5</v>
      </c>
      <c r="E828" s="116">
        <v>720</v>
      </c>
      <c r="F828" s="116">
        <v>683.75</v>
      </c>
      <c r="G828">
        <v>4794</v>
      </c>
      <c r="H828" s="116"/>
      <c r="I828" s="116"/>
      <c r="L828" s="169">
        <v>43222</v>
      </c>
      <c r="M828" s="116">
        <v>680.3</v>
      </c>
      <c r="N828" s="116">
        <v>718.85</v>
      </c>
      <c r="O828" s="116">
        <v>670.35</v>
      </c>
      <c r="P828" s="116">
        <v>711.8</v>
      </c>
      <c r="Q828" s="116">
        <v>680.3</v>
      </c>
      <c r="R828">
        <v>37483</v>
      </c>
    </row>
    <row r="829" spans="1:18" x14ac:dyDescent="0.25">
      <c r="A829" s="169">
        <v>43223</v>
      </c>
      <c r="B829" s="116">
        <v>681</v>
      </c>
      <c r="C829" s="116">
        <v>669.1</v>
      </c>
      <c r="D829" s="116">
        <v>666.05</v>
      </c>
      <c r="E829" s="116">
        <v>681</v>
      </c>
      <c r="F829" s="116">
        <v>669.1</v>
      </c>
      <c r="G829">
        <v>3278</v>
      </c>
      <c r="H829" s="116"/>
      <c r="I829" s="116"/>
      <c r="L829" s="169">
        <v>43223</v>
      </c>
      <c r="M829" s="116">
        <v>669.75</v>
      </c>
      <c r="N829" s="116">
        <v>685</v>
      </c>
      <c r="O829" s="116">
        <v>665.25</v>
      </c>
      <c r="P829" s="116">
        <v>685</v>
      </c>
      <c r="Q829" s="116">
        <v>669.75</v>
      </c>
      <c r="R829">
        <v>27787</v>
      </c>
    </row>
    <row r="830" spans="1:18" x14ac:dyDescent="0.25">
      <c r="A830" s="169">
        <v>43224</v>
      </c>
      <c r="B830" s="116">
        <v>692.65</v>
      </c>
      <c r="C830" s="116">
        <v>661.7</v>
      </c>
      <c r="D830" s="116">
        <v>652.04999999999995</v>
      </c>
      <c r="E830" s="116">
        <v>673</v>
      </c>
      <c r="F830" s="116">
        <v>661.7</v>
      </c>
      <c r="G830">
        <v>3557</v>
      </c>
      <c r="H830" s="116"/>
      <c r="I830" s="116"/>
      <c r="L830" s="169">
        <v>43224</v>
      </c>
      <c r="M830" s="116">
        <v>662.35</v>
      </c>
      <c r="N830" s="116">
        <v>693.9</v>
      </c>
      <c r="O830" s="116">
        <v>650.95000000000005</v>
      </c>
      <c r="P830" s="116">
        <v>669.2</v>
      </c>
      <c r="Q830" s="116">
        <v>662.35</v>
      </c>
      <c r="R830">
        <v>33005</v>
      </c>
    </row>
    <row r="831" spans="1:18" x14ac:dyDescent="0.25">
      <c r="A831" s="169">
        <v>43227</v>
      </c>
      <c r="B831" s="116">
        <v>675</v>
      </c>
      <c r="C831" s="116">
        <v>661.9</v>
      </c>
      <c r="D831" s="116">
        <v>656.45</v>
      </c>
      <c r="E831" s="116">
        <v>660.85</v>
      </c>
      <c r="F831" s="116">
        <v>661.9</v>
      </c>
      <c r="G831">
        <v>763</v>
      </c>
      <c r="H831" s="116"/>
      <c r="I831" s="116"/>
      <c r="L831" s="169">
        <v>43227</v>
      </c>
      <c r="M831" s="116">
        <v>661.1</v>
      </c>
      <c r="N831" s="116">
        <v>675.15</v>
      </c>
      <c r="O831" s="116">
        <v>655.20000000000005</v>
      </c>
      <c r="P831" s="116">
        <v>663.7</v>
      </c>
      <c r="Q831" s="116">
        <v>661.1</v>
      </c>
      <c r="R831">
        <v>10374</v>
      </c>
    </row>
    <row r="832" spans="1:18" x14ac:dyDescent="0.25">
      <c r="A832" s="169">
        <v>43228</v>
      </c>
      <c r="B832" s="116">
        <v>672</v>
      </c>
      <c r="C832" s="116">
        <v>653.4</v>
      </c>
      <c r="D832" s="116">
        <v>651.85</v>
      </c>
      <c r="E832" s="116">
        <v>655.04999999999995</v>
      </c>
      <c r="F832" s="116">
        <v>653.4</v>
      </c>
      <c r="G832">
        <v>5318</v>
      </c>
      <c r="H832" s="116"/>
      <c r="I832" s="116"/>
      <c r="L832" s="169">
        <v>43228</v>
      </c>
      <c r="M832" s="116">
        <v>661.3</v>
      </c>
      <c r="N832" s="116">
        <v>681.5</v>
      </c>
      <c r="O832" s="116">
        <v>651</v>
      </c>
      <c r="P832" s="116">
        <v>660.15</v>
      </c>
      <c r="Q832" s="116">
        <v>661.3</v>
      </c>
      <c r="R832">
        <v>35411</v>
      </c>
    </row>
    <row r="833" spans="1:18" x14ac:dyDescent="0.25">
      <c r="A833" s="169">
        <v>43229</v>
      </c>
      <c r="B833" s="116">
        <v>680</v>
      </c>
      <c r="C833" s="116">
        <v>669.9</v>
      </c>
      <c r="D833" s="116">
        <v>645</v>
      </c>
      <c r="E833" s="116">
        <v>651</v>
      </c>
      <c r="F833" s="116">
        <v>669.9</v>
      </c>
      <c r="G833">
        <v>7590</v>
      </c>
      <c r="H833" s="116"/>
      <c r="I833" s="116"/>
      <c r="L833" s="169">
        <v>43229</v>
      </c>
      <c r="M833" s="116">
        <v>666.6</v>
      </c>
      <c r="N833" s="116">
        <v>681.5</v>
      </c>
      <c r="O833" s="116">
        <v>634.79999999999995</v>
      </c>
      <c r="P833" s="116">
        <v>661.6</v>
      </c>
      <c r="Q833" s="116">
        <v>666.6</v>
      </c>
      <c r="R833">
        <v>27186</v>
      </c>
    </row>
    <row r="834" spans="1:18" x14ac:dyDescent="0.25">
      <c r="A834" s="169">
        <v>43230</v>
      </c>
      <c r="B834" s="116">
        <v>673.5</v>
      </c>
      <c r="C834" s="116">
        <v>668.15</v>
      </c>
      <c r="D834" s="116">
        <v>668</v>
      </c>
      <c r="E834" s="116">
        <v>670</v>
      </c>
      <c r="F834" s="116">
        <v>668.15</v>
      </c>
      <c r="G834">
        <v>1121</v>
      </c>
      <c r="H834" s="116"/>
      <c r="I834" s="116"/>
      <c r="L834" s="169">
        <v>43230</v>
      </c>
      <c r="M834" s="116">
        <v>670.55</v>
      </c>
      <c r="N834" s="116">
        <v>675</v>
      </c>
      <c r="O834" s="116">
        <v>667.05</v>
      </c>
      <c r="P834" s="116">
        <v>667.4</v>
      </c>
      <c r="Q834" s="116">
        <v>670.55</v>
      </c>
      <c r="R834">
        <v>24439</v>
      </c>
    </row>
    <row r="835" spans="1:18" x14ac:dyDescent="0.25">
      <c r="A835" s="169">
        <v>43231</v>
      </c>
      <c r="B835" s="116">
        <v>671.95</v>
      </c>
      <c r="C835" s="116">
        <v>660.2</v>
      </c>
      <c r="D835" s="116">
        <v>658.6</v>
      </c>
      <c r="E835" s="116">
        <v>671.95</v>
      </c>
      <c r="F835" s="116">
        <v>660.2</v>
      </c>
      <c r="G835">
        <v>4057</v>
      </c>
      <c r="H835" s="116"/>
      <c r="I835" s="116"/>
      <c r="L835" s="169">
        <v>43231</v>
      </c>
      <c r="M835" s="116">
        <v>661</v>
      </c>
      <c r="N835" s="116">
        <v>674.65</v>
      </c>
      <c r="O835" s="116">
        <v>655</v>
      </c>
      <c r="P835" s="116">
        <v>665</v>
      </c>
      <c r="Q835" s="116">
        <v>661</v>
      </c>
      <c r="R835">
        <v>22085</v>
      </c>
    </row>
    <row r="836" spans="1:18" x14ac:dyDescent="0.25">
      <c r="A836" s="169">
        <v>43234</v>
      </c>
      <c r="B836" s="116">
        <v>678.95</v>
      </c>
      <c r="C836" s="116">
        <v>654.70000000000005</v>
      </c>
      <c r="D836" s="116">
        <v>645.5</v>
      </c>
      <c r="E836" s="116">
        <v>671.7</v>
      </c>
      <c r="F836" s="116">
        <v>654.70000000000005</v>
      </c>
      <c r="G836">
        <v>4388</v>
      </c>
      <c r="H836" s="116"/>
      <c r="I836" s="116"/>
      <c r="L836" s="169">
        <v>43234</v>
      </c>
      <c r="M836" s="116">
        <v>653.9</v>
      </c>
      <c r="N836" s="116">
        <v>679</v>
      </c>
      <c r="O836" s="116">
        <v>647.25</v>
      </c>
      <c r="P836" s="116">
        <v>665</v>
      </c>
      <c r="Q836" s="116">
        <v>653.9</v>
      </c>
      <c r="R836">
        <v>35030</v>
      </c>
    </row>
    <row r="837" spans="1:18" x14ac:dyDescent="0.25">
      <c r="A837" s="169">
        <v>43235</v>
      </c>
      <c r="B837" s="116">
        <v>681.7</v>
      </c>
      <c r="C837" s="116">
        <v>652.29999999999995</v>
      </c>
      <c r="D837" s="116">
        <v>650</v>
      </c>
      <c r="E837" s="116">
        <v>681.7</v>
      </c>
      <c r="F837" s="116">
        <v>652.29999999999995</v>
      </c>
      <c r="G837">
        <v>15238</v>
      </c>
      <c r="H837" s="116"/>
      <c r="I837" s="116"/>
      <c r="L837" s="169">
        <v>43235</v>
      </c>
      <c r="M837" s="116">
        <v>647.25</v>
      </c>
      <c r="N837" s="116">
        <v>681</v>
      </c>
      <c r="O837" s="116">
        <v>644.1</v>
      </c>
      <c r="P837" s="116">
        <v>655</v>
      </c>
      <c r="Q837" s="116">
        <v>647.25</v>
      </c>
      <c r="R837">
        <v>49366</v>
      </c>
    </row>
    <row r="838" spans="1:18" x14ac:dyDescent="0.25">
      <c r="A838" s="169">
        <v>43236</v>
      </c>
      <c r="B838" s="116">
        <v>644.85</v>
      </c>
      <c r="C838" s="116">
        <v>634.79999999999995</v>
      </c>
      <c r="D838" s="116">
        <v>625.29999999999995</v>
      </c>
      <c r="E838" s="116">
        <v>644.85</v>
      </c>
      <c r="F838" s="116">
        <v>634.79999999999995</v>
      </c>
      <c r="G838">
        <v>7431</v>
      </c>
      <c r="H838" s="116"/>
      <c r="I838" s="116"/>
      <c r="L838" s="169">
        <v>43236</v>
      </c>
      <c r="M838" s="116">
        <v>636</v>
      </c>
      <c r="N838" s="116">
        <v>645.9</v>
      </c>
      <c r="O838" s="116">
        <v>626.25</v>
      </c>
      <c r="P838" s="116">
        <v>645.9</v>
      </c>
      <c r="Q838" s="116">
        <v>636</v>
      </c>
      <c r="R838">
        <v>21783</v>
      </c>
    </row>
    <row r="839" spans="1:18" x14ac:dyDescent="0.25">
      <c r="A839" s="169">
        <v>43237</v>
      </c>
      <c r="B839" s="116">
        <v>644</v>
      </c>
      <c r="C839" s="116">
        <v>634</v>
      </c>
      <c r="D839" s="116">
        <v>630.45000000000005</v>
      </c>
      <c r="E839" s="116">
        <v>630.45000000000005</v>
      </c>
      <c r="F839" s="116">
        <v>634</v>
      </c>
      <c r="G839">
        <v>3947</v>
      </c>
      <c r="H839" s="116"/>
      <c r="I839" s="116"/>
      <c r="L839" s="169">
        <v>43237</v>
      </c>
      <c r="M839" s="116">
        <v>637.45000000000005</v>
      </c>
      <c r="N839" s="116">
        <v>644</v>
      </c>
      <c r="O839" s="116">
        <v>629.95000000000005</v>
      </c>
      <c r="P839" s="116">
        <v>635.85</v>
      </c>
      <c r="Q839" s="116">
        <v>637.45000000000005</v>
      </c>
      <c r="R839">
        <v>18123</v>
      </c>
    </row>
    <row r="840" spans="1:18" x14ac:dyDescent="0.25">
      <c r="A840" s="169">
        <v>43238</v>
      </c>
      <c r="B840" s="116">
        <v>645</v>
      </c>
      <c r="C840" s="116">
        <v>632.1</v>
      </c>
      <c r="D840" s="116">
        <v>628.04999999999995</v>
      </c>
      <c r="E840" s="116">
        <v>632.54999999999995</v>
      </c>
      <c r="F840" s="116">
        <v>632.1</v>
      </c>
      <c r="G840">
        <v>815</v>
      </c>
      <c r="H840" s="116"/>
      <c r="I840" s="116"/>
      <c r="L840" s="169">
        <v>43238</v>
      </c>
      <c r="M840" s="116">
        <v>633.6</v>
      </c>
      <c r="N840" s="116">
        <v>643.45000000000005</v>
      </c>
      <c r="O840" s="116">
        <v>625.25</v>
      </c>
      <c r="P840" s="116">
        <v>636</v>
      </c>
      <c r="Q840" s="116">
        <v>633.6</v>
      </c>
      <c r="R840">
        <v>28503</v>
      </c>
    </row>
    <row r="841" spans="1:18" x14ac:dyDescent="0.25">
      <c r="A841" s="169">
        <v>43241</v>
      </c>
      <c r="B841" s="116">
        <v>636.29999999999995</v>
      </c>
      <c r="C841" s="116">
        <v>595.9</v>
      </c>
      <c r="D841" s="116">
        <v>587.4</v>
      </c>
      <c r="E841" s="116">
        <v>634</v>
      </c>
      <c r="F841" s="116">
        <v>595.9</v>
      </c>
      <c r="G841">
        <v>10730</v>
      </c>
      <c r="H841" s="116"/>
      <c r="I841" s="116"/>
      <c r="L841" s="169">
        <v>43241</v>
      </c>
      <c r="M841" s="116">
        <v>595.35</v>
      </c>
      <c r="N841" s="116">
        <v>636.04999999999995</v>
      </c>
      <c r="O841" s="116">
        <v>592.79999999999995</v>
      </c>
      <c r="P841" s="116">
        <v>635</v>
      </c>
      <c r="Q841" s="116">
        <v>595.35</v>
      </c>
      <c r="R841">
        <v>29975</v>
      </c>
    </row>
    <row r="842" spans="1:18" x14ac:dyDescent="0.25">
      <c r="A842" s="169">
        <v>43242</v>
      </c>
      <c r="B842" s="116">
        <v>607.79999999999995</v>
      </c>
      <c r="C842" s="116">
        <v>590.95000000000005</v>
      </c>
      <c r="D842" s="116">
        <v>583.4</v>
      </c>
      <c r="E842" s="116">
        <v>594.15</v>
      </c>
      <c r="F842" s="116">
        <v>590.95000000000005</v>
      </c>
      <c r="G842">
        <v>4316</v>
      </c>
      <c r="H842" s="116"/>
      <c r="I842" s="116"/>
      <c r="L842" s="169">
        <v>43242</v>
      </c>
      <c r="M842" s="116">
        <v>586.79999999999995</v>
      </c>
      <c r="N842" s="116">
        <v>605.45000000000005</v>
      </c>
      <c r="O842" s="116">
        <v>580</v>
      </c>
      <c r="P842" s="116">
        <v>586</v>
      </c>
      <c r="Q842" s="116">
        <v>586.79999999999995</v>
      </c>
      <c r="R842">
        <v>19761</v>
      </c>
    </row>
    <row r="843" spans="1:18" x14ac:dyDescent="0.25">
      <c r="A843" s="169">
        <v>43243</v>
      </c>
      <c r="B843" s="116">
        <v>605.9</v>
      </c>
      <c r="C843" s="116">
        <v>568.65</v>
      </c>
      <c r="D843" s="116">
        <v>562.65</v>
      </c>
      <c r="E843" s="116">
        <v>596.5</v>
      </c>
      <c r="F843" s="116">
        <v>568.65</v>
      </c>
      <c r="G843">
        <v>5979</v>
      </c>
      <c r="H843" s="116"/>
      <c r="I843" s="116"/>
      <c r="L843" s="169">
        <v>43243</v>
      </c>
      <c r="M843" s="116">
        <v>570.45000000000005</v>
      </c>
      <c r="N843" s="116">
        <v>602.65</v>
      </c>
      <c r="O843" s="116">
        <v>566.79999999999995</v>
      </c>
      <c r="P843" s="116">
        <v>590</v>
      </c>
      <c r="Q843" s="116">
        <v>570.45000000000005</v>
      </c>
      <c r="R843">
        <v>32032</v>
      </c>
    </row>
    <row r="844" spans="1:18" x14ac:dyDescent="0.25">
      <c r="A844" s="169">
        <v>43244</v>
      </c>
      <c r="B844" s="116">
        <v>592</v>
      </c>
      <c r="C844" s="116">
        <v>588.04999999999995</v>
      </c>
      <c r="D844" s="116">
        <v>571.70000000000005</v>
      </c>
      <c r="E844" s="116">
        <v>571.70000000000005</v>
      </c>
      <c r="F844" s="116">
        <v>588.04999999999995</v>
      </c>
      <c r="G844">
        <v>615</v>
      </c>
      <c r="H844" s="116"/>
      <c r="I844" s="116"/>
      <c r="L844" s="169">
        <v>43244</v>
      </c>
      <c r="M844" s="116">
        <v>588.4</v>
      </c>
      <c r="N844" s="116">
        <v>595</v>
      </c>
      <c r="O844" s="116">
        <v>571</v>
      </c>
      <c r="P844" s="116">
        <v>571</v>
      </c>
      <c r="Q844" s="116">
        <v>588.4</v>
      </c>
      <c r="R844">
        <v>13599</v>
      </c>
    </row>
    <row r="845" spans="1:18" x14ac:dyDescent="0.25">
      <c r="A845" s="169">
        <v>43245</v>
      </c>
      <c r="B845" s="116">
        <v>617.95000000000005</v>
      </c>
      <c r="C845" s="116">
        <v>614.6</v>
      </c>
      <c r="D845" s="116">
        <v>592.54999999999995</v>
      </c>
      <c r="E845" s="116">
        <v>594</v>
      </c>
      <c r="F845" s="116">
        <v>614.6</v>
      </c>
      <c r="G845">
        <v>3140</v>
      </c>
      <c r="H845" s="116"/>
      <c r="I845" s="116"/>
      <c r="L845" s="169">
        <v>43245</v>
      </c>
      <c r="M845" s="116">
        <v>612.85</v>
      </c>
      <c r="N845" s="116">
        <v>618</v>
      </c>
      <c r="O845" s="116">
        <v>588</v>
      </c>
      <c r="P845" s="116">
        <v>588</v>
      </c>
      <c r="Q845" s="116">
        <v>612.85</v>
      </c>
      <c r="R845">
        <v>23782</v>
      </c>
    </row>
    <row r="846" spans="1:18" x14ac:dyDescent="0.25">
      <c r="A846" s="169">
        <v>43248</v>
      </c>
      <c r="B846" s="116">
        <v>630</v>
      </c>
      <c r="C846" s="116">
        <v>626.35</v>
      </c>
      <c r="D846" s="116">
        <v>613.15</v>
      </c>
      <c r="E846" s="116">
        <v>616</v>
      </c>
      <c r="F846" s="116">
        <v>626.35</v>
      </c>
      <c r="G846">
        <v>2631</v>
      </c>
      <c r="H846" s="116"/>
      <c r="I846" s="116"/>
      <c r="L846" s="169">
        <v>43248</v>
      </c>
      <c r="M846" s="116">
        <v>627.75</v>
      </c>
      <c r="N846" s="116">
        <v>630.9</v>
      </c>
      <c r="O846" s="116">
        <v>611.54999999999995</v>
      </c>
      <c r="P846" s="116">
        <v>618</v>
      </c>
      <c r="Q846" s="116">
        <v>627.75</v>
      </c>
      <c r="R846">
        <v>14555</v>
      </c>
    </row>
    <row r="847" spans="1:18" x14ac:dyDescent="0.25">
      <c r="A847" s="169">
        <v>43249</v>
      </c>
      <c r="B847" s="116">
        <v>628.75</v>
      </c>
      <c r="C847" s="116">
        <v>611.15</v>
      </c>
      <c r="D847" s="116">
        <v>607.04999999999995</v>
      </c>
      <c r="E847" s="116">
        <v>622.5</v>
      </c>
      <c r="F847" s="116">
        <v>611.15</v>
      </c>
      <c r="G847">
        <v>2582</v>
      </c>
      <c r="H847" s="116"/>
      <c r="I847" s="116"/>
      <c r="L847" s="169">
        <v>43249</v>
      </c>
      <c r="M847" s="116">
        <v>616.04999999999995</v>
      </c>
      <c r="N847" s="116">
        <v>630</v>
      </c>
      <c r="O847" s="116">
        <v>611.29999999999995</v>
      </c>
      <c r="P847" s="116">
        <v>627.75</v>
      </c>
      <c r="Q847" s="116">
        <v>616.04999999999995</v>
      </c>
      <c r="R847">
        <v>7132</v>
      </c>
    </row>
    <row r="848" spans="1:18" x14ac:dyDescent="0.25">
      <c r="A848" s="169">
        <v>43250</v>
      </c>
      <c r="B848" s="116">
        <v>630</v>
      </c>
      <c r="C848" s="116">
        <v>610.79999999999995</v>
      </c>
      <c r="D848" s="116">
        <v>601.5</v>
      </c>
      <c r="E848" s="116">
        <v>607.79999999999995</v>
      </c>
      <c r="F848" s="116">
        <v>610.79999999999995</v>
      </c>
      <c r="G848">
        <v>1133</v>
      </c>
      <c r="H848" s="116"/>
      <c r="I848" s="116"/>
      <c r="L848" s="169">
        <v>43250</v>
      </c>
      <c r="M848" s="116">
        <v>607.79999999999995</v>
      </c>
      <c r="N848" s="116">
        <v>633.70000000000005</v>
      </c>
      <c r="O848" s="116">
        <v>601.35</v>
      </c>
      <c r="P848" s="116">
        <v>610</v>
      </c>
      <c r="Q848" s="116">
        <v>607.79999999999995</v>
      </c>
      <c r="R848">
        <v>12269</v>
      </c>
    </row>
    <row r="849" spans="1:18" x14ac:dyDescent="0.25">
      <c r="A849" s="169">
        <v>43251</v>
      </c>
      <c r="B849" s="116">
        <v>615</v>
      </c>
      <c r="C849" s="116">
        <v>599.54999999999995</v>
      </c>
      <c r="D849" s="116">
        <v>595</v>
      </c>
      <c r="E849" s="116">
        <v>613.5</v>
      </c>
      <c r="F849" s="116">
        <v>599.54999999999995</v>
      </c>
      <c r="G849">
        <v>1919</v>
      </c>
      <c r="H849" s="116"/>
      <c r="I849" s="116"/>
      <c r="L849" s="169">
        <v>43251</v>
      </c>
      <c r="M849" s="116">
        <v>595.35</v>
      </c>
      <c r="N849" s="116">
        <v>620.95000000000005</v>
      </c>
      <c r="O849" s="116">
        <v>592</v>
      </c>
      <c r="P849" s="116">
        <v>604</v>
      </c>
      <c r="Q849" s="116">
        <v>595.35</v>
      </c>
      <c r="R849">
        <v>18164</v>
      </c>
    </row>
    <row r="850" spans="1:18" x14ac:dyDescent="0.25">
      <c r="A850" s="169">
        <v>43252</v>
      </c>
      <c r="B850" s="116">
        <v>600</v>
      </c>
      <c r="C850" s="116">
        <v>591.29999999999995</v>
      </c>
      <c r="D850" s="116">
        <v>582</v>
      </c>
      <c r="E850" s="116">
        <v>596.20000000000005</v>
      </c>
      <c r="F850" s="116">
        <v>591.29999999999995</v>
      </c>
      <c r="G850">
        <v>1589</v>
      </c>
      <c r="H850" s="116"/>
      <c r="I850" s="116"/>
      <c r="L850" s="169">
        <v>43252</v>
      </c>
      <c r="M850" s="116">
        <v>587</v>
      </c>
      <c r="N850" s="116">
        <v>605</v>
      </c>
      <c r="O850" s="116">
        <v>579.95000000000005</v>
      </c>
      <c r="P850" s="116">
        <v>597</v>
      </c>
      <c r="Q850" s="116">
        <v>587</v>
      </c>
      <c r="R850">
        <v>17943</v>
      </c>
    </row>
    <row r="851" spans="1:18" x14ac:dyDescent="0.25">
      <c r="A851" s="169">
        <v>43255</v>
      </c>
      <c r="B851" s="116">
        <v>597</v>
      </c>
      <c r="C851" s="116">
        <v>563.20000000000005</v>
      </c>
      <c r="D851" s="116">
        <v>553.6</v>
      </c>
      <c r="E851" s="116">
        <v>588.25</v>
      </c>
      <c r="F851" s="116">
        <v>563.20000000000005</v>
      </c>
      <c r="G851">
        <v>8726</v>
      </c>
      <c r="H851" s="116"/>
      <c r="I851" s="116"/>
      <c r="L851" s="169">
        <v>43255</v>
      </c>
      <c r="M851" s="116">
        <v>567.25</v>
      </c>
      <c r="N851" s="116">
        <v>598.25</v>
      </c>
      <c r="O851" s="116">
        <v>560</v>
      </c>
      <c r="P851" s="116">
        <v>591.95000000000005</v>
      </c>
      <c r="Q851" s="116">
        <v>567.25</v>
      </c>
      <c r="R851">
        <v>23171</v>
      </c>
    </row>
    <row r="852" spans="1:18" x14ac:dyDescent="0.25">
      <c r="A852" s="169">
        <v>43256</v>
      </c>
      <c r="B852" s="116">
        <v>563.4</v>
      </c>
      <c r="C852" s="116">
        <v>523.6</v>
      </c>
      <c r="D852" s="116">
        <v>516.85</v>
      </c>
      <c r="E852" s="116">
        <v>560</v>
      </c>
      <c r="F852" s="116">
        <v>523.6</v>
      </c>
      <c r="G852">
        <v>11965</v>
      </c>
      <c r="H852" s="116"/>
      <c r="I852" s="116"/>
      <c r="L852" s="169">
        <v>43256</v>
      </c>
      <c r="M852" s="116">
        <v>522.15</v>
      </c>
      <c r="N852" s="116">
        <v>567.25</v>
      </c>
      <c r="O852" s="116">
        <v>518</v>
      </c>
      <c r="P852" s="116">
        <v>567.25</v>
      </c>
      <c r="Q852" s="116">
        <v>522.15</v>
      </c>
      <c r="R852">
        <v>45388</v>
      </c>
    </row>
    <row r="853" spans="1:18" x14ac:dyDescent="0.25">
      <c r="A853" s="169">
        <v>43257</v>
      </c>
      <c r="B853" s="116">
        <v>568.70000000000005</v>
      </c>
      <c r="C853" s="116">
        <v>563.15</v>
      </c>
      <c r="D853" s="116">
        <v>506.85</v>
      </c>
      <c r="E853" s="116">
        <v>516.35</v>
      </c>
      <c r="F853" s="116">
        <v>563.15</v>
      </c>
      <c r="G853">
        <v>7021</v>
      </c>
      <c r="H853" s="116"/>
      <c r="I853" s="116"/>
      <c r="L853" s="169">
        <v>43257</v>
      </c>
      <c r="M853" s="116">
        <v>561.25</v>
      </c>
      <c r="N853" s="116">
        <v>565.70000000000005</v>
      </c>
      <c r="O853" s="116">
        <v>506.85</v>
      </c>
      <c r="P853" s="116">
        <v>524.04999999999995</v>
      </c>
      <c r="Q853" s="116">
        <v>561.25</v>
      </c>
      <c r="R853">
        <v>51516</v>
      </c>
    </row>
    <row r="854" spans="1:18" x14ac:dyDescent="0.25">
      <c r="A854" s="169">
        <v>43258</v>
      </c>
      <c r="B854" s="116">
        <v>607.70000000000005</v>
      </c>
      <c r="C854" s="116">
        <v>599.1</v>
      </c>
      <c r="D854" s="116">
        <v>570.04999999999995</v>
      </c>
      <c r="E854" s="116">
        <v>574</v>
      </c>
      <c r="F854" s="116">
        <v>599.1</v>
      </c>
      <c r="G854">
        <v>8567</v>
      </c>
      <c r="H854" s="116"/>
      <c r="I854" s="116"/>
      <c r="L854" s="169">
        <v>43258</v>
      </c>
      <c r="M854" s="116">
        <v>598</v>
      </c>
      <c r="N854" s="116">
        <v>609.95000000000005</v>
      </c>
      <c r="O854" s="116">
        <v>566.45000000000005</v>
      </c>
      <c r="P854" s="116">
        <v>567.70000000000005</v>
      </c>
      <c r="Q854" s="116">
        <v>598</v>
      </c>
      <c r="R854">
        <v>27468</v>
      </c>
    </row>
    <row r="855" spans="1:18" x14ac:dyDescent="0.25">
      <c r="A855" s="169">
        <v>43259</v>
      </c>
      <c r="B855" s="116">
        <v>611</v>
      </c>
      <c r="C855" s="116">
        <v>594.5</v>
      </c>
      <c r="D855" s="116">
        <v>569</v>
      </c>
      <c r="E855" s="116">
        <v>583.15</v>
      </c>
      <c r="F855" s="116">
        <v>594.5</v>
      </c>
      <c r="G855">
        <v>4085</v>
      </c>
      <c r="H855" s="116"/>
      <c r="I855" s="116"/>
      <c r="L855" s="169">
        <v>43259</v>
      </c>
      <c r="M855" s="116">
        <v>595.75</v>
      </c>
      <c r="N855" s="116">
        <v>610.9</v>
      </c>
      <c r="O855" s="116">
        <v>583</v>
      </c>
      <c r="P855" s="116">
        <v>598</v>
      </c>
      <c r="Q855" s="116">
        <v>595.75</v>
      </c>
      <c r="R855">
        <v>15055</v>
      </c>
    </row>
    <row r="856" spans="1:18" x14ac:dyDescent="0.25">
      <c r="A856" s="169">
        <v>43262</v>
      </c>
      <c r="B856" s="116">
        <v>616</v>
      </c>
      <c r="C856" s="116">
        <v>613.6</v>
      </c>
      <c r="D856" s="116">
        <v>586.45000000000005</v>
      </c>
      <c r="E856" s="116">
        <v>600</v>
      </c>
      <c r="F856" s="116">
        <v>613.6</v>
      </c>
      <c r="G856">
        <v>1196</v>
      </c>
      <c r="H856" s="116"/>
      <c r="I856" s="116"/>
      <c r="L856" s="169">
        <v>43262</v>
      </c>
      <c r="M856" s="116">
        <v>613.79999999999995</v>
      </c>
      <c r="N856" s="116">
        <v>620</v>
      </c>
      <c r="O856" s="116">
        <v>590</v>
      </c>
      <c r="P856" s="116">
        <v>595.75</v>
      </c>
      <c r="Q856" s="116">
        <v>613.79999999999995</v>
      </c>
      <c r="R856">
        <v>16735</v>
      </c>
    </row>
    <row r="857" spans="1:18" x14ac:dyDescent="0.25">
      <c r="A857" s="169">
        <v>43263</v>
      </c>
      <c r="B857" s="116">
        <v>630</v>
      </c>
      <c r="C857" s="116">
        <v>617.4</v>
      </c>
      <c r="D857" s="116">
        <v>611.1</v>
      </c>
      <c r="E857" s="116">
        <v>623.4</v>
      </c>
      <c r="F857" s="116">
        <v>617.4</v>
      </c>
      <c r="G857">
        <v>7004</v>
      </c>
      <c r="H857" s="116"/>
      <c r="I857" s="116"/>
      <c r="L857" s="169">
        <v>43263</v>
      </c>
      <c r="M857" s="116">
        <v>618.9</v>
      </c>
      <c r="N857" s="116">
        <v>632.75</v>
      </c>
      <c r="O857" s="116">
        <v>611.29999999999995</v>
      </c>
      <c r="P857" s="116">
        <v>618</v>
      </c>
      <c r="Q857" s="116">
        <v>618.9</v>
      </c>
      <c r="R857">
        <v>18150</v>
      </c>
    </row>
    <row r="858" spans="1:18" x14ac:dyDescent="0.25">
      <c r="A858" s="169">
        <v>43264</v>
      </c>
      <c r="B858" s="116">
        <v>616</v>
      </c>
      <c r="C858" s="116">
        <v>600.45000000000005</v>
      </c>
      <c r="D858" s="116">
        <v>598</v>
      </c>
      <c r="E858" s="116">
        <v>615</v>
      </c>
      <c r="F858" s="116">
        <v>600.45000000000005</v>
      </c>
      <c r="G858">
        <v>1792</v>
      </c>
      <c r="H858" s="116"/>
      <c r="I858" s="116"/>
      <c r="L858" s="169">
        <v>43264</v>
      </c>
      <c r="M858" s="116">
        <v>598.25</v>
      </c>
      <c r="N858" s="116">
        <v>621.9</v>
      </c>
      <c r="O858" s="116">
        <v>594.1</v>
      </c>
      <c r="P858" s="116">
        <v>615.1</v>
      </c>
      <c r="Q858" s="116">
        <v>598.25</v>
      </c>
      <c r="R858">
        <v>17329</v>
      </c>
    </row>
    <row r="859" spans="1:18" x14ac:dyDescent="0.25">
      <c r="A859" s="169">
        <v>43265</v>
      </c>
      <c r="B859" s="116">
        <v>618.20000000000005</v>
      </c>
      <c r="C859" s="116">
        <v>610.70000000000005</v>
      </c>
      <c r="D859" s="116">
        <v>593.95000000000005</v>
      </c>
      <c r="E859" s="116">
        <v>596.29999999999995</v>
      </c>
      <c r="F859" s="116">
        <v>610.70000000000005</v>
      </c>
      <c r="G859">
        <v>5580</v>
      </c>
      <c r="H859" s="116"/>
      <c r="I859" s="116"/>
      <c r="L859" s="169">
        <v>43265</v>
      </c>
      <c r="M859" s="116">
        <v>609.6</v>
      </c>
      <c r="N859" s="116">
        <v>618.70000000000005</v>
      </c>
      <c r="O859" s="116">
        <v>590.4</v>
      </c>
      <c r="P859" s="116">
        <v>597.9</v>
      </c>
      <c r="Q859" s="116">
        <v>609.6</v>
      </c>
      <c r="R859">
        <v>24418</v>
      </c>
    </row>
    <row r="860" spans="1:18" x14ac:dyDescent="0.25">
      <c r="A860" s="169">
        <v>43266</v>
      </c>
      <c r="B860" s="116">
        <v>614.95000000000005</v>
      </c>
      <c r="C860" s="116">
        <v>602.6</v>
      </c>
      <c r="D860" s="116">
        <v>595</v>
      </c>
      <c r="E860" s="116">
        <v>605.9</v>
      </c>
      <c r="F860" s="116">
        <v>602.6</v>
      </c>
      <c r="G860">
        <v>7271</v>
      </c>
      <c r="H860" s="116"/>
      <c r="I860" s="116"/>
      <c r="L860" s="169">
        <v>43266</v>
      </c>
      <c r="M860" s="116">
        <v>601.70000000000005</v>
      </c>
      <c r="N860" s="116">
        <v>613</v>
      </c>
      <c r="O860" s="116">
        <v>593.25</v>
      </c>
      <c r="P860" s="116">
        <v>605.15</v>
      </c>
      <c r="Q860" s="116">
        <v>601.70000000000005</v>
      </c>
      <c r="R860">
        <v>13183</v>
      </c>
    </row>
    <row r="861" spans="1:18" x14ac:dyDescent="0.25">
      <c r="A861" s="169">
        <v>43269</v>
      </c>
      <c r="B861" s="116">
        <v>607.6</v>
      </c>
      <c r="C861" s="116">
        <v>596.54999999999995</v>
      </c>
      <c r="D861" s="116">
        <v>594</v>
      </c>
      <c r="E861" s="116">
        <v>604</v>
      </c>
      <c r="F861" s="116">
        <v>596.54999999999995</v>
      </c>
      <c r="G861">
        <v>841</v>
      </c>
      <c r="H861" s="116"/>
      <c r="I861" s="116"/>
      <c r="L861" s="169">
        <v>43269</v>
      </c>
      <c r="M861" s="116">
        <v>599.65</v>
      </c>
      <c r="N861" s="116">
        <v>608</v>
      </c>
      <c r="O861" s="116">
        <v>594.79999999999995</v>
      </c>
      <c r="P861" s="116">
        <v>595</v>
      </c>
      <c r="Q861" s="116">
        <v>599.65</v>
      </c>
      <c r="R861">
        <v>21431</v>
      </c>
    </row>
    <row r="862" spans="1:18" x14ac:dyDescent="0.25">
      <c r="A862" s="169">
        <v>43270</v>
      </c>
      <c r="B862" s="116">
        <v>593.54999999999995</v>
      </c>
      <c r="C862" s="116">
        <v>580.1</v>
      </c>
      <c r="D862" s="116">
        <v>570.25</v>
      </c>
      <c r="E862" s="116">
        <v>593.54999999999995</v>
      </c>
      <c r="F862" s="116">
        <v>580.1</v>
      </c>
      <c r="G862">
        <v>4630</v>
      </c>
      <c r="H862" s="116"/>
      <c r="I862" s="116"/>
      <c r="L862" s="169">
        <v>43270</v>
      </c>
      <c r="M862" s="116">
        <v>581.04999999999995</v>
      </c>
      <c r="N862" s="116">
        <v>595.1</v>
      </c>
      <c r="O862" s="116">
        <v>576</v>
      </c>
      <c r="P862" s="116">
        <v>594</v>
      </c>
      <c r="Q862" s="116">
        <v>581.04999999999995</v>
      </c>
      <c r="R862">
        <v>15388</v>
      </c>
    </row>
    <row r="863" spans="1:18" x14ac:dyDescent="0.25">
      <c r="A863" s="169">
        <v>43271</v>
      </c>
      <c r="B863" s="116">
        <v>599.95000000000005</v>
      </c>
      <c r="C863" s="116">
        <v>593.85</v>
      </c>
      <c r="D863" s="116">
        <v>581.5</v>
      </c>
      <c r="E863" s="116">
        <v>588.15</v>
      </c>
      <c r="F863" s="116">
        <v>593.85</v>
      </c>
      <c r="G863">
        <v>1565</v>
      </c>
      <c r="H863" s="116"/>
      <c r="I863" s="116"/>
      <c r="L863" s="169">
        <v>43271</v>
      </c>
      <c r="M863" s="116">
        <v>590.79999999999995</v>
      </c>
      <c r="N863" s="116">
        <v>599</v>
      </c>
      <c r="O863" s="116">
        <v>585</v>
      </c>
      <c r="P863" s="116">
        <v>587</v>
      </c>
      <c r="Q863" s="116">
        <v>590.79999999999995</v>
      </c>
      <c r="R863">
        <v>19637</v>
      </c>
    </row>
    <row r="864" spans="1:18" x14ac:dyDescent="0.25">
      <c r="A864" s="169">
        <v>43272</v>
      </c>
      <c r="B864" s="116">
        <v>608.4</v>
      </c>
      <c r="C864" s="116">
        <v>587.95000000000005</v>
      </c>
      <c r="D864" s="116">
        <v>583.5</v>
      </c>
      <c r="E864" s="116">
        <v>599.85</v>
      </c>
      <c r="F864" s="116">
        <v>587.95000000000005</v>
      </c>
      <c r="G864">
        <v>577</v>
      </c>
      <c r="H864" s="116"/>
      <c r="I864" s="116"/>
      <c r="L864" s="169">
        <v>43272</v>
      </c>
      <c r="M864" s="116">
        <v>590.65</v>
      </c>
      <c r="N864" s="116">
        <v>604.95000000000005</v>
      </c>
      <c r="O864" s="116">
        <v>585</v>
      </c>
      <c r="P864" s="116">
        <v>600</v>
      </c>
      <c r="Q864" s="116">
        <v>590.65</v>
      </c>
      <c r="R864">
        <v>14278</v>
      </c>
    </row>
    <row r="865" spans="1:18" x14ac:dyDescent="0.25">
      <c r="A865" s="169">
        <v>43273</v>
      </c>
      <c r="B865" s="116">
        <v>592.4</v>
      </c>
      <c r="C865" s="116">
        <v>591.4</v>
      </c>
      <c r="D865" s="116">
        <v>580.5</v>
      </c>
      <c r="E865" s="116">
        <v>580.5</v>
      </c>
      <c r="F865" s="116">
        <v>591.4</v>
      </c>
      <c r="G865">
        <v>180</v>
      </c>
      <c r="H865" s="116"/>
      <c r="I865" s="116"/>
      <c r="L865" s="169">
        <v>43273</v>
      </c>
      <c r="M865" s="116">
        <v>592.5</v>
      </c>
      <c r="N865" s="116">
        <v>598</v>
      </c>
      <c r="O865" s="116">
        <v>584.95000000000005</v>
      </c>
      <c r="P865" s="116">
        <v>590.25</v>
      </c>
      <c r="Q865" s="116">
        <v>592.5</v>
      </c>
      <c r="R865">
        <v>5315</v>
      </c>
    </row>
    <row r="866" spans="1:18" x14ac:dyDescent="0.25">
      <c r="A866" s="169">
        <v>43276</v>
      </c>
      <c r="B866" s="116">
        <v>595.75</v>
      </c>
      <c r="C866" s="116">
        <v>585.4</v>
      </c>
      <c r="D866" s="116">
        <v>577.79999999999995</v>
      </c>
      <c r="E866" s="116">
        <v>587.15</v>
      </c>
      <c r="F866" s="116">
        <v>585.4</v>
      </c>
      <c r="G866">
        <v>827</v>
      </c>
      <c r="H866" s="116"/>
      <c r="I866" s="116"/>
      <c r="L866" s="169">
        <v>43276</v>
      </c>
      <c r="M866" s="116">
        <v>583.70000000000005</v>
      </c>
      <c r="N866" s="116">
        <v>599.15</v>
      </c>
      <c r="O866" s="116">
        <v>581.1</v>
      </c>
      <c r="P866" s="116">
        <v>599.15</v>
      </c>
      <c r="Q866" s="116">
        <v>583.70000000000005</v>
      </c>
      <c r="R866">
        <v>7231</v>
      </c>
    </row>
    <row r="867" spans="1:18" x14ac:dyDescent="0.25">
      <c r="A867" s="169">
        <v>43277</v>
      </c>
      <c r="B867" s="116">
        <v>582.54999999999995</v>
      </c>
      <c r="C867" s="116">
        <v>573.5</v>
      </c>
      <c r="D867" s="116">
        <v>572</v>
      </c>
      <c r="E867" s="116">
        <v>580</v>
      </c>
      <c r="F867" s="116">
        <v>573.5</v>
      </c>
      <c r="G867">
        <v>1189</v>
      </c>
      <c r="H867" s="116"/>
      <c r="I867" s="116"/>
      <c r="L867" s="169">
        <v>43277</v>
      </c>
      <c r="M867" s="116">
        <v>574.79999999999995</v>
      </c>
      <c r="N867" s="116">
        <v>583</v>
      </c>
      <c r="O867" s="116">
        <v>572</v>
      </c>
      <c r="P867" s="116">
        <v>580</v>
      </c>
      <c r="Q867" s="116">
        <v>574.79999999999995</v>
      </c>
      <c r="R867">
        <v>19028</v>
      </c>
    </row>
    <row r="868" spans="1:18" x14ac:dyDescent="0.25">
      <c r="A868" s="169">
        <v>43278</v>
      </c>
      <c r="B868" s="116">
        <v>572.04999999999995</v>
      </c>
      <c r="C868" s="116">
        <v>549.15</v>
      </c>
      <c r="D868" s="116">
        <v>535</v>
      </c>
      <c r="E868" s="116">
        <v>571.65</v>
      </c>
      <c r="F868" s="116">
        <v>549.15</v>
      </c>
      <c r="G868">
        <v>8598</v>
      </c>
      <c r="H868" s="116"/>
      <c r="I868" s="116"/>
      <c r="L868" s="169">
        <v>43278</v>
      </c>
      <c r="M868" s="116">
        <v>551.04999999999995</v>
      </c>
      <c r="N868" s="116">
        <v>575.25</v>
      </c>
      <c r="O868" s="116">
        <v>541.29999999999995</v>
      </c>
      <c r="P868" s="116">
        <v>570</v>
      </c>
      <c r="Q868" s="116">
        <v>551.04999999999995</v>
      </c>
      <c r="R868">
        <v>34227</v>
      </c>
    </row>
    <row r="869" spans="1:18" x14ac:dyDescent="0.25">
      <c r="A869" s="169">
        <v>43279</v>
      </c>
      <c r="B869" s="116">
        <v>546.70000000000005</v>
      </c>
      <c r="C869" s="116">
        <v>528.9</v>
      </c>
      <c r="D869" s="116">
        <v>520</v>
      </c>
      <c r="E869" s="116">
        <v>535.85</v>
      </c>
      <c r="F869" s="116">
        <v>528.9</v>
      </c>
      <c r="G869">
        <v>8812</v>
      </c>
      <c r="H869" s="116"/>
      <c r="I869" s="116"/>
      <c r="L869" s="169">
        <v>43279</v>
      </c>
      <c r="M869" s="116">
        <v>529.6</v>
      </c>
      <c r="N869" s="116">
        <v>549.95000000000005</v>
      </c>
      <c r="O869" s="116">
        <v>526.1</v>
      </c>
      <c r="P869" s="116">
        <v>549.95000000000005</v>
      </c>
      <c r="Q869" s="116">
        <v>529.6</v>
      </c>
      <c r="R869">
        <v>18060</v>
      </c>
    </row>
    <row r="870" spans="1:18" x14ac:dyDescent="0.25">
      <c r="A870" s="169">
        <v>43280</v>
      </c>
      <c r="B870" s="116">
        <v>559.95000000000005</v>
      </c>
      <c r="C870" s="116">
        <v>549.04999999999995</v>
      </c>
      <c r="D870" s="116">
        <v>530</v>
      </c>
      <c r="E870" s="116">
        <v>530</v>
      </c>
      <c r="F870" s="116">
        <v>549.04999999999995</v>
      </c>
      <c r="G870">
        <v>1838</v>
      </c>
      <c r="H870" s="116"/>
      <c r="I870" s="116"/>
      <c r="L870" s="169">
        <v>43280</v>
      </c>
      <c r="M870" s="116">
        <v>551</v>
      </c>
      <c r="N870" s="116">
        <v>561.70000000000005</v>
      </c>
      <c r="O870" s="116">
        <v>529.65</v>
      </c>
      <c r="P870" s="116">
        <v>529.65</v>
      </c>
      <c r="Q870" s="116">
        <v>551</v>
      </c>
      <c r="R870">
        <v>26771</v>
      </c>
    </row>
    <row r="871" spans="1:18" x14ac:dyDescent="0.25">
      <c r="A871" s="169">
        <v>43283</v>
      </c>
      <c r="B871" s="116">
        <v>559.95000000000005</v>
      </c>
      <c r="C871" s="116">
        <v>524.1</v>
      </c>
      <c r="D871" s="116">
        <v>518.75</v>
      </c>
      <c r="E871" s="116">
        <v>550</v>
      </c>
      <c r="F871" s="116">
        <v>524.1</v>
      </c>
      <c r="G871">
        <v>8947</v>
      </c>
      <c r="H871" s="116"/>
      <c r="I871" s="116"/>
      <c r="L871" s="169">
        <v>43283</v>
      </c>
      <c r="M871" s="116">
        <v>525.45000000000005</v>
      </c>
      <c r="N871" s="116">
        <v>565</v>
      </c>
      <c r="O871" s="116">
        <v>521</v>
      </c>
      <c r="P871" s="116">
        <v>551.35</v>
      </c>
      <c r="Q871" s="116">
        <v>525.45000000000005</v>
      </c>
      <c r="R871">
        <v>24590</v>
      </c>
    </row>
    <row r="872" spans="1:18" x14ac:dyDescent="0.25">
      <c r="A872" s="169">
        <v>43284</v>
      </c>
      <c r="B872" s="116">
        <v>538.20000000000005</v>
      </c>
      <c r="C872" s="116">
        <v>534.6</v>
      </c>
      <c r="D872" s="116">
        <v>510</v>
      </c>
      <c r="E872" s="116">
        <v>521.15</v>
      </c>
      <c r="F872" s="116">
        <v>534.6</v>
      </c>
      <c r="G872">
        <v>4651</v>
      </c>
      <c r="H872" s="116"/>
      <c r="I872" s="116"/>
      <c r="L872" s="169">
        <v>43284</v>
      </c>
      <c r="M872" s="116">
        <v>538.85</v>
      </c>
      <c r="N872" s="116">
        <v>547</v>
      </c>
      <c r="O872" s="116">
        <v>511</v>
      </c>
      <c r="P872" s="116">
        <v>525.45000000000005</v>
      </c>
      <c r="Q872" s="116">
        <v>538.85</v>
      </c>
      <c r="R872">
        <v>14222</v>
      </c>
    </row>
    <row r="873" spans="1:18" x14ac:dyDescent="0.25">
      <c r="A873" s="169">
        <v>43285</v>
      </c>
      <c r="B873" s="116">
        <v>543.6</v>
      </c>
      <c r="C873" s="116">
        <v>533.29999999999995</v>
      </c>
      <c r="D873" s="116">
        <v>530</v>
      </c>
      <c r="E873" s="116">
        <v>534.79999999999995</v>
      </c>
      <c r="F873" s="116">
        <v>533.29999999999995</v>
      </c>
      <c r="G873">
        <v>1527</v>
      </c>
      <c r="H873" s="116"/>
      <c r="I873" s="116"/>
      <c r="L873" s="169">
        <v>43285</v>
      </c>
      <c r="M873" s="116">
        <v>535.75</v>
      </c>
      <c r="N873" s="116">
        <v>550.85</v>
      </c>
      <c r="O873" s="116">
        <v>532.5</v>
      </c>
      <c r="P873" s="116">
        <v>538.85</v>
      </c>
      <c r="Q873" s="116">
        <v>535.75</v>
      </c>
      <c r="R873">
        <v>10753</v>
      </c>
    </row>
    <row r="874" spans="1:18" x14ac:dyDescent="0.25">
      <c r="A874" s="169">
        <v>43286</v>
      </c>
      <c r="B874" s="116">
        <v>541.75</v>
      </c>
      <c r="C874" s="116">
        <v>525.65</v>
      </c>
      <c r="D874" s="116">
        <v>521.65</v>
      </c>
      <c r="E874" s="116">
        <v>530.04999999999995</v>
      </c>
      <c r="F874" s="116">
        <v>525.65</v>
      </c>
      <c r="G874">
        <v>1507</v>
      </c>
      <c r="H874" s="116"/>
      <c r="I874" s="116"/>
      <c r="L874" s="169">
        <v>43286</v>
      </c>
      <c r="M874" s="116">
        <v>531</v>
      </c>
      <c r="N874" s="116">
        <v>542</v>
      </c>
      <c r="O874" s="116">
        <v>525</v>
      </c>
      <c r="P874" s="116">
        <v>530.35</v>
      </c>
      <c r="Q874" s="116">
        <v>531</v>
      </c>
      <c r="R874">
        <v>5545</v>
      </c>
    </row>
    <row r="875" spans="1:18" x14ac:dyDescent="0.25">
      <c r="A875" s="169">
        <v>43287</v>
      </c>
      <c r="B875" s="116">
        <v>537</v>
      </c>
      <c r="C875" s="116">
        <v>531.65</v>
      </c>
      <c r="D875" s="116">
        <v>520.20000000000005</v>
      </c>
      <c r="E875" s="116">
        <v>530.04999999999995</v>
      </c>
      <c r="F875" s="116">
        <v>531.65</v>
      </c>
      <c r="G875">
        <v>4003</v>
      </c>
      <c r="H875" s="116"/>
      <c r="I875" s="116"/>
      <c r="L875" s="169">
        <v>43287</v>
      </c>
      <c r="M875" s="116">
        <v>531.20000000000005</v>
      </c>
      <c r="N875" s="116">
        <v>535.5</v>
      </c>
      <c r="O875" s="116">
        <v>521</v>
      </c>
      <c r="P875" s="116">
        <v>529.9</v>
      </c>
      <c r="Q875" s="116">
        <v>531.20000000000005</v>
      </c>
      <c r="R875">
        <v>9934</v>
      </c>
    </row>
    <row r="876" spans="1:18" x14ac:dyDescent="0.25">
      <c r="A876" s="169">
        <v>43290</v>
      </c>
      <c r="B876" s="116">
        <v>540.04999999999995</v>
      </c>
      <c r="C876" s="116">
        <v>539.79999999999995</v>
      </c>
      <c r="D876" s="116">
        <v>532.75</v>
      </c>
      <c r="E876" s="116">
        <v>532.75</v>
      </c>
      <c r="F876" s="116">
        <v>539.79999999999995</v>
      </c>
      <c r="G876">
        <v>1072</v>
      </c>
      <c r="H876" s="116"/>
      <c r="I876" s="116"/>
      <c r="L876" s="169">
        <v>43290</v>
      </c>
      <c r="M876" s="116">
        <v>539.4</v>
      </c>
      <c r="N876" s="116">
        <v>544.65</v>
      </c>
      <c r="O876" s="116">
        <v>532</v>
      </c>
      <c r="P876" s="116">
        <v>535.25</v>
      </c>
      <c r="Q876" s="116">
        <v>539.4</v>
      </c>
      <c r="R876">
        <v>18825</v>
      </c>
    </row>
    <row r="877" spans="1:18" x14ac:dyDescent="0.25">
      <c r="A877" s="169">
        <v>43291</v>
      </c>
      <c r="B877" s="116">
        <v>552.5</v>
      </c>
      <c r="C877" s="116">
        <v>543</v>
      </c>
      <c r="D877" s="116">
        <v>540</v>
      </c>
      <c r="E877" s="116">
        <v>542</v>
      </c>
      <c r="F877" s="116">
        <v>543</v>
      </c>
      <c r="G877">
        <v>1929</v>
      </c>
      <c r="H877" s="116"/>
      <c r="I877" s="116"/>
      <c r="L877" s="169">
        <v>43291</v>
      </c>
      <c r="M877" s="116">
        <v>543.35</v>
      </c>
      <c r="N877" s="116">
        <v>546</v>
      </c>
      <c r="O877" s="116">
        <v>539</v>
      </c>
      <c r="P877" s="116">
        <v>540</v>
      </c>
      <c r="Q877" s="116">
        <v>543.35</v>
      </c>
      <c r="R877">
        <v>17686</v>
      </c>
    </row>
    <row r="878" spans="1:18" x14ac:dyDescent="0.25">
      <c r="A878" s="169">
        <v>43292</v>
      </c>
      <c r="B878" s="116">
        <v>575</v>
      </c>
      <c r="C878" s="116">
        <v>552.45000000000005</v>
      </c>
      <c r="D878" s="116">
        <v>539.5</v>
      </c>
      <c r="E878" s="116">
        <v>543</v>
      </c>
      <c r="F878" s="116">
        <v>552.45000000000005</v>
      </c>
      <c r="G878">
        <v>1690</v>
      </c>
      <c r="H878" s="116"/>
      <c r="I878" s="116"/>
      <c r="L878" s="169">
        <v>43292</v>
      </c>
      <c r="M878" s="116">
        <v>554.6</v>
      </c>
      <c r="N878" s="116">
        <v>577.6</v>
      </c>
      <c r="O878" s="116">
        <v>535.54999999999995</v>
      </c>
      <c r="P878" s="116">
        <v>538.5</v>
      </c>
      <c r="Q878" s="116">
        <v>554.6</v>
      </c>
      <c r="R878">
        <v>22556</v>
      </c>
    </row>
    <row r="879" spans="1:18" x14ac:dyDescent="0.25">
      <c r="A879" s="169">
        <v>43293</v>
      </c>
      <c r="B879" s="116">
        <v>566</v>
      </c>
      <c r="C879" s="116">
        <v>537.4</v>
      </c>
      <c r="D879" s="116">
        <v>532</v>
      </c>
      <c r="E879" s="116">
        <v>564.75</v>
      </c>
      <c r="F879" s="116">
        <v>537.4</v>
      </c>
      <c r="G879">
        <v>1323</v>
      </c>
      <c r="H879" s="116"/>
      <c r="I879" s="116"/>
      <c r="L879" s="169">
        <v>43293</v>
      </c>
      <c r="M879" s="116">
        <v>536.75</v>
      </c>
      <c r="N879" s="116">
        <v>566.25</v>
      </c>
      <c r="O879" s="116">
        <v>533</v>
      </c>
      <c r="P879" s="116">
        <v>561.9</v>
      </c>
      <c r="Q879" s="116">
        <v>536.75</v>
      </c>
      <c r="R879">
        <v>19360</v>
      </c>
    </row>
    <row r="880" spans="1:18" x14ac:dyDescent="0.25">
      <c r="A880" s="169">
        <v>43294</v>
      </c>
      <c r="B880" s="116">
        <v>541.70000000000005</v>
      </c>
      <c r="C880" s="116">
        <v>531.04999999999995</v>
      </c>
      <c r="D880" s="116">
        <v>526.04999999999995</v>
      </c>
      <c r="E880" s="116">
        <v>541.70000000000005</v>
      </c>
      <c r="F880" s="116">
        <v>531.04999999999995</v>
      </c>
      <c r="G880">
        <v>1179</v>
      </c>
      <c r="H880" s="116"/>
      <c r="I880" s="116"/>
      <c r="L880" s="169">
        <v>43294</v>
      </c>
      <c r="M880" s="116">
        <v>533.70000000000005</v>
      </c>
      <c r="N880" s="116">
        <v>546</v>
      </c>
      <c r="O880" s="116">
        <v>527.6</v>
      </c>
      <c r="P880" s="116">
        <v>536.75</v>
      </c>
      <c r="Q880" s="116">
        <v>533.70000000000005</v>
      </c>
      <c r="R880">
        <v>9975</v>
      </c>
    </row>
    <row r="881" spans="1:18" x14ac:dyDescent="0.25">
      <c r="A881" s="169">
        <v>43297</v>
      </c>
      <c r="B881" s="116">
        <v>532.54999999999995</v>
      </c>
      <c r="C881" s="116">
        <v>508.5</v>
      </c>
      <c r="D881" s="116">
        <v>500</v>
      </c>
      <c r="E881" s="116">
        <v>532.54999999999995</v>
      </c>
      <c r="F881" s="116">
        <v>508.5</v>
      </c>
      <c r="G881">
        <v>6041</v>
      </c>
      <c r="H881" s="116"/>
      <c r="I881" s="116"/>
      <c r="L881" s="169">
        <v>43297</v>
      </c>
      <c r="M881" s="116">
        <v>503.2</v>
      </c>
      <c r="N881" s="116">
        <v>530.65</v>
      </c>
      <c r="O881" s="116">
        <v>497.8</v>
      </c>
      <c r="P881" s="116">
        <v>530</v>
      </c>
      <c r="Q881" s="116">
        <v>503.2</v>
      </c>
      <c r="R881">
        <v>24144</v>
      </c>
    </row>
    <row r="882" spans="1:18" x14ac:dyDescent="0.25">
      <c r="A882" s="169">
        <v>43298</v>
      </c>
      <c r="B882" s="116">
        <v>516.5</v>
      </c>
      <c r="C882" s="116">
        <v>491.05</v>
      </c>
      <c r="D882" s="116">
        <v>470</v>
      </c>
      <c r="E882" s="116">
        <v>509.95</v>
      </c>
      <c r="F882" s="116">
        <v>491.05</v>
      </c>
      <c r="G882">
        <v>11639</v>
      </c>
      <c r="H882" s="116"/>
      <c r="I882" s="116"/>
      <c r="L882" s="169">
        <v>43298</v>
      </c>
      <c r="M882" s="116">
        <v>492.5</v>
      </c>
      <c r="N882" s="116">
        <v>516.5</v>
      </c>
      <c r="O882" s="116">
        <v>475</v>
      </c>
      <c r="P882" s="116">
        <v>504.05</v>
      </c>
      <c r="Q882" s="116">
        <v>492.5</v>
      </c>
      <c r="R882">
        <v>86646</v>
      </c>
    </row>
    <row r="883" spans="1:18" x14ac:dyDescent="0.25">
      <c r="A883" s="169">
        <v>43299</v>
      </c>
      <c r="B883" s="116">
        <v>520</v>
      </c>
      <c r="C883" s="116">
        <v>505.35</v>
      </c>
      <c r="D883" s="116">
        <v>497.05</v>
      </c>
      <c r="E883" s="116">
        <v>500</v>
      </c>
      <c r="F883" s="116">
        <v>505.35</v>
      </c>
      <c r="G883">
        <v>2653</v>
      </c>
      <c r="H883" s="116"/>
      <c r="I883" s="116"/>
      <c r="L883" s="169">
        <v>43299</v>
      </c>
      <c r="M883" s="116">
        <v>505.5</v>
      </c>
      <c r="N883" s="116">
        <v>514.75</v>
      </c>
      <c r="O883" s="116">
        <v>493</v>
      </c>
      <c r="P883" s="116">
        <v>493</v>
      </c>
      <c r="Q883" s="116">
        <v>505.5</v>
      </c>
      <c r="R883">
        <v>17005</v>
      </c>
    </row>
    <row r="884" spans="1:18" x14ac:dyDescent="0.25">
      <c r="A884" s="169">
        <v>43300</v>
      </c>
      <c r="B884" s="116">
        <v>513.1</v>
      </c>
      <c r="C884" s="116">
        <v>498.5</v>
      </c>
      <c r="D884" s="116">
        <v>495</v>
      </c>
      <c r="E884" s="116">
        <v>513.1</v>
      </c>
      <c r="F884" s="116">
        <v>498.5</v>
      </c>
      <c r="G884">
        <v>2977</v>
      </c>
      <c r="H884" s="116"/>
      <c r="I884" s="116"/>
      <c r="L884" s="169">
        <v>43300</v>
      </c>
      <c r="M884" s="116">
        <v>500.3</v>
      </c>
      <c r="N884" s="116">
        <v>523.15</v>
      </c>
      <c r="O884" s="116">
        <v>496</v>
      </c>
      <c r="P884" s="116">
        <v>505.5</v>
      </c>
      <c r="Q884" s="116">
        <v>500.3</v>
      </c>
      <c r="R884">
        <v>11209</v>
      </c>
    </row>
    <row r="885" spans="1:18" x14ac:dyDescent="0.25">
      <c r="A885" s="169">
        <v>43301</v>
      </c>
      <c r="B885" s="116">
        <v>529</v>
      </c>
      <c r="C885" s="116">
        <v>502.5</v>
      </c>
      <c r="D885" s="116">
        <v>487.55</v>
      </c>
      <c r="E885" s="116">
        <v>494.95</v>
      </c>
      <c r="F885" s="116">
        <v>502.5</v>
      </c>
      <c r="G885">
        <v>786</v>
      </c>
      <c r="H885" s="116"/>
      <c r="I885" s="116"/>
      <c r="L885" s="169">
        <v>43301</v>
      </c>
      <c r="M885" s="116">
        <v>497.85</v>
      </c>
      <c r="N885" s="116">
        <v>510</v>
      </c>
      <c r="O885" s="116">
        <v>485</v>
      </c>
      <c r="P885" s="116">
        <v>499.85</v>
      </c>
      <c r="Q885" s="116">
        <v>497.85</v>
      </c>
      <c r="R885">
        <v>18343</v>
      </c>
    </row>
    <row r="886" spans="1:18" x14ac:dyDescent="0.25">
      <c r="A886" s="169">
        <v>43304</v>
      </c>
      <c r="B886" s="116">
        <v>529.9</v>
      </c>
      <c r="C886" s="116">
        <v>519.70000000000005</v>
      </c>
      <c r="D886" s="116">
        <v>503</v>
      </c>
      <c r="E886" s="116">
        <v>503.8</v>
      </c>
      <c r="F886" s="116">
        <v>519.70000000000005</v>
      </c>
      <c r="G886">
        <v>4330</v>
      </c>
      <c r="H886" s="116"/>
      <c r="I886" s="116"/>
      <c r="L886" s="169">
        <v>43304</v>
      </c>
      <c r="M886" s="116">
        <v>523.79999999999995</v>
      </c>
      <c r="N886" s="116">
        <v>528.4</v>
      </c>
      <c r="O886" s="116">
        <v>497.1</v>
      </c>
      <c r="P886" s="116">
        <v>508.95</v>
      </c>
      <c r="Q886" s="116">
        <v>523.79999999999995</v>
      </c>
      <c r="R886">
        <v>31986</v>
      </c>
    </row>
    <row r="887" spans="1:18" x14ac:dyDescent="0.25">
      <c r="A887" s="169">
        <v>43305</v>
      </c>
      <c r="B887" s="116">
        <v>599</v>
      </c>
      <c r="C887" s="116">
        <v>575.9</v>
      </c>
      <c r="D887" s="116">
        <v>540</v>
      </c>
      <c r="E887" s="116">
        <v>541</v>
      </c>
      <c r="F887" s="116">
        <v>575.9</v>
      </c>
      <c r="G887">
        <v>22270</v>
      </c>
      <c r="H887" s="116"/>
      <c r="I887" s="116"/>
      <c r="L887" s="169">
        <v>43305</v>
      </c>
      <c r="M887" s="116">
        <v>574.95000000000005</v>
      </c>
      <c r="N887" s="116">
        <v>596.5</v>
      </c>
      <c r="O887" s="116">
        <v>537.1</v>
      </c>
      <c r="P887" s="116">
        <v>537.1</v>
      </c>
      <c r="Q887" s="116">
        <v>574.95000000000005</v>
      </c>
      <c r="R887">
        <v>189762</v>
      </c>
    </row>
    <row r="888" spans="1:18" x14ac:dyDescent="0.25">
      <c r="A888" s="169">
        <v>43306</v>
      </c>
      <c r="B888" s="116">
        <v>582.04999999999995</v>
      </c>
      <c r="C888" s="116">
        <v>570.29999999999995</v>
      </c>
      <c r="D888" s="116">
        <v>560.1</v>
      </c>
      <c r="E888" s="116">
        <v>580.04999999999995</v>
      </c>
      <c r="F888" s="116">
        <v>570.29999999999995</v>
      </c>
      <c r="G888">
        <v>5520</v>
      </c>
      <c r="H888" s="116"/>
      <c r="I888" s="116"/>
      <c r="L888" s="169">
        <v>43306</v>
      </c>
      <c r="M888" s="116">
        <v>567.25</v>
      </c>
      <c r="N888" s="116">
        <v>580.65</v>
      </c>
      <c r="O888" s="116">
        <v>555.79999999999995</v>
      </c>
      <c r="P888" s="116">
        <v>580.6</v>
      </c>
      <c r="Q888" s="116">
        <v>567.25</v>
      </c>
      <c r="R888">
        <v>33909</v>
      </c>
    </row>
    <row r="889" spans="1:18" x14ac:dyDescent="0.25">
      <c r="A889" s="169">
        <v>43307</v>
      </c>
      <c r="B889" s="116">
        <v>565.75</v>
      </c>
      <c r="C889" s="116">
        <v>553.79999999999995</v>
      </c>
      <c r="D889" s="116">
        <v>550.54999999999995</v>
      </c>
      <c r="E889" s="116">
        <v>565</v>
      </c>
      <c r="F889" s="116">
        <v>553.79999999999995</v>
      </c>
      <c r="G889">
        <v>5073</v>
      </c>
      <c r="H889" s="116"/>
      <c r="I889" s="116"/>
      <c r="L889" s="169">
        <v>43307</v>
      </c>
      <c r="M889" s="116">
        <v>551.54999999999995</v>
      </c>
      <c r="N889" s="116">
        <v>572.65</v>
      </c>
      <c r="O889" s="116">
        <v>547.5</v>
      </c>
      <c r="P889" s="116">
        <v>572.65</v>
      </c>
      <c r="Q889" s="116">
        <v>551.54999999999995</v>
      </c>
      <c r="R889">
        <v>20998</v>
      </c>
    </row>
    <row r="890" spans="1:18" x14ac:dyDescent="0.25">
      <c r="A890" s="169">
        <v>43308</v>
      </c>
      <c r="B890" s="116">
        <v>567.29999999999995</v>
      </c>
      <c r="C890" s="116">
        <v>558</v>
      </c>
      <c r="D890" s="116">
        <v>550</v>
      </c>
      <c r="E890" s="116">
        <v>557.85</v>
      </c>
      <c r="F890" s="116">
        <v>558</v>
      </c>
      <c r="G890">
        <v>4279</v>
      </c>
      <c r="H890" s="116"/>
      <c r="I890" s="116"/>
      <c r="L890" s="169">
        <v>43308</v>
      </c>
      <c r="M890" s="116">
        <v>556.9</v>
      </c>
      <c r="N890" s="116">
        <v>569</v>
      </c>
      <c r="O890" s="116">
        <v>551</v>
      </c>
      <c r="P890" s="116">
        <v>552.6</v>
      </c>
      <c r="Q890" s="116">
        <v>556.9</v>
      </c>
      <c r="R890">
        <v>22893</v>
      </c>
    </row>
    <row r="891" spans="1:18" x14ac:dyDescent="0.25">
      <c r="A891" s="169">
        <v>43311</v>
      </c>
      <c r="B891" s="116">
        <v>588</v>
      </c>
      <c r="C891" s="116">
        <v>581.70000000000005</v>
      </c>
      <c r="D891" s="116">
        <v>560.79999999999995</v>
      </c>
      <c r="E891" s="116">
        <v>573.70000000000005</v>
      </c>
      <c r="F891" s="116">
        <v>581.70000000000005</v>
      </c>
      <c r="G891">
        <v>10822</v>
      </c>
      <c r="H891" s="116"/>
      <c r="I891" s="116"/>
      <c r="L891" s="169">
        <v>43311</v>
      </c>
      <c r="M891" s="116">
        <v>580.75</v>
      </c>
      <c r="N891" s="116">
        <v>588</v>
      </c>
      <c r="O891" s="116">
        <v>559.95000000000005</v>
      </c>
      <c r="P891" s="116">
        <v>567.54999999999995</v>
      </c>
      <c r="Q891" s="116">
        <v>580.75</v>
      </c>
      <c r="R891">
        <v>81515</v>
      </c>
    </row>
    <row r="892" spans="1:18" x14ac:dyDescent="0.25">
      <c r="A892" s="169">
        <v>43312</v>
      </c>
      <c r="B892" s="116">
        <v>591.29999999999995</v>
      </c>
      <c r="C892" s="116">
        <v>585.25</v>
      </c>
      <c r="D892" s="116">
        <v>571</v>
      </c>
      <c r="E892" s="116">
        <v>571</v>
      </c>
      <c r="F892" s="116">
        <v>585.25</v>
      </c>
      <c r="G892">
        <v>2741</v>
      </c>
      <c r="H892" s="116"/>
      <c r="I892" s="116"/>
      <c r="L892" s="169">
        <v>43312</v>
      </c>
      <c r="M892" s="116">
        <v>583.65</v>
      </c>
      <c r="N892" s="116">
        <v>591.4</v>
      </c>
      <c r="O892" s="116">
        <v>570.04999999999995</v>
      </c>
      <c r="P892" s="116">
        <v>572</v>
      </c>
      <c r="Q892" s="116">
        <v>583.65</v>
      </c>
      <c r="R892">
        <v>31781</v>
      </c>
    </row>
    <row r="893" spans="1:18" x14ac:dyDescent="0.25">
      <c r="A893" s="169">
        <v>43313</v>
      </c>
      <c r="B893" s="116">
        <v>596</v>
      </c>
      <c r="C893" s="116">
        <v>581.9</v>
      </c>
      <c r="D893" s="116">
        <v>573.20000000000005</v>
      </c>
      <c r="E893" s="116">
        <v>586.95000000000005</v>
      </c>
      <c r="F893" s="116">
        <v>581.9</v>
      </c>
      <c r="G893">
        <v>2579</v>
      </c>
      <c r="H893" s="116"/>
      <c r="I893" s="116"/>
      <c r="L893" s="169">
        <v>43313</v>
      </c>
      <c r="M893" s="116">
        <v>578.1</v>
      </c>
      <c r="N893" s="116">
        <v>594.9</v>
      </c>
      <c r="O893" s="116">
        <v>573</v>
      </c>
      <c r="P893" s="116">
        <v>583.75</v>
      </c>
      <c r="Q893" s="116">
        <v>578.1</v>
      </c>
      <c r="R893">
        <v>25528</v>
      </c>
    </row>
    <row r="894" spans="1:18" x14ac:dyDescent="0.25">
      <c r="A894" s="169">
        <v>43314</v>
      </c>
      <c r="B894" s="116">
        <v>584.79999999999995</v>
      </c>
      <c r="C894" s="116">
        <v>570</v>
      </c>
      <c r="D894" s="116">
        <v>568</v>
      </c>
      <c r="E894" s="116">
        <v>580.15</v>
      </c>
      <c r="F894" s="116">
        <v>570</v>
      </c>
      <c r="G894">
        <v>2761</v>
      </c>
      <c r="H894" s="116"/>
      <c r="I894" s="116"/>
      <c r="L894" s="169">
        <v>43314</v>
      </c>
      <c r="M894" s="116">
        <v>569.9</v>
      </c>
      <c r="N894" s="116">
        <v>585</v>
      </c>
      <c r="O894" s="116">
        <v>567</v>
      </c>
      <c r="P894" s="116">
        <v>578.1</v>
      </c>
      <c r="Q894" s="116">
        <v>569.9</v>
      </c>
      <c r="R894">
        <v>21348</v>
      </c>
    </row>
    <row r="895" spans="1:18" x14ac:dyDescent="0.25">
      <c r="A895" s="169">
        <v>43315</v>
      </c>
      <c r="B895" s="116">
        <v>584.9</v>
      </c>
      <c r="C895" s="116">
        <v>571.45000000000005</v>
      </c>
      <c r="D895" s="116">
        <v>569.75</v>
      </c>
      <c r="E895" s="116">
        <v>581.1</v>
      </c>
      <c r="F895" s="116">
        <v>571.45000000000005</v>
      </c>
      <c r="G895">
        <v>2956</v>
      </c>
      <c r="H895" s="116"/>
      <c r="I895" s="116"/>
      <c r="L895" s="169">
        <v>43315</v>
      </c>
      <c r="M895" s="116">
        <v>575.1</v>
      </c>
      <c r="N895" s="116">
        <v>583.75</v>
      </c>
      <c r="O895" s="116">
        <v>561.04999999999995</v>
      </c>
      <c r="P895" s="116">
        <v>576.95000000000005</v>
      </c>
      <c r="Q895" s="116">
        <v>575.1</v>
      </c>
      <c r="R895">
        <v>35846</v>
      </c>
    </row>
    <row r="896" spans="1:18" x14ac:dyDescent="0.25">
      <c r="A896" s="169">
        <v>43318</v>
      </c>
      <c r="B896" s="116">
        <v>582.5</v>
      </c>
      <c r="C896" s="116">
        <v>570.20000000000005</v>
      </c>
      <c r="D896" s="116">
        <v>565</v>
      </c>
      <c r="E896" s="116">
        <v>582.5</v>
      </c>
      <c r="F896" s="116">
        <v>570.20000000000005</v>
      </c>
      <c r="G896">
        <v>7148</v>
      </c>
      <c r="H896" s="116"/>
      <c r="I896" s="116"/>
      <c r="L896" s="169">
        <v>43318</v>
      </c>
      <c r="M896" s="116">
        <v>570.95000000000005</v>
      </c>
      <c r="N896" s="116">
        <v>590.95000000000005</v>
      </c>
      <c r="O896" s="116">
        <v>567.79999999999995</v>
      </c>
      <c r="P896" s="116">
        <v>580.6</v>
      </c>
      <c r="Q896" s="116">
        <v>570.95000000000005</v>
      </c>
      <c r="R896">
        <v>23205</v>
      </c>
    </row>
    <row r="897" spans="1:18" x14ac:dyDescent="0.25">
      <c r="A897" s="169">
        <v>43319</v>
      </c>
      <c r="B897" s="116">
        <v>573.29999999999995</v>
      </c>
      <c r="C897" s="116">
        <v>569</v>
      </c>
      <c r="D897" s="116">
        <v>563</v>
      </c>
      <c r="E897" s="116">
        <v>571.04999999999995</v>
      </c>
      <c r="F897" s="116">
        <v>569</v>
      </c>
      <c r="G897">
        <v>1285</v>
      </c>
      <c r="H897" s="116"/>
      <c r="I897" s="116"/>
      <c r="L897" s="169">
        <v>43319</v>
      </c>
      <c r="M897" s="116">
        <v>570.9</v>
      </c>
      <c r="N897" s="116">
        <v>575.45000000000005</v>
      </c>
      <c r="O897" s="116">
        <v>565.20000000000005</v>
      </c>
      <c r="P897" s="116">
        <v>571</v>
      </c>
      <c r="Q897" s="116">
        <v>570.9</v>
      </c>
      <c r="R897">
        <v>10531</v>
      </c>
    </row>
    <row r="898" spans="1:18" x14ac:dyDescent="0.25">
      <c r="A898" s="169">
        <v>43320</v>
      </c>
      <c r="B898" s="116">
        <v>572.29999999999995</v>
      </c>
      <c r="C898" s="116">
        <v>562.45000000000005</v>
      </c>
      <c r="D898" s="116">
        <v>557.95000000000005</v>
      </c>
      <c r="E898" s="116">
        <v>566</v>
      </c>
      <c r="F898" s="116">
        <v>562.45000000000005</v>
      </c>
      <c r="G898">
        <v>7950</v>
      </c>
      <c r="H898" s="116"/>
      <c r="I898" s="116"/>
      <c r="L898" s="169">
        <v>43320</v>
      </c>
      <c r="M898" s="116">
        <v>566.20000000000005</v>
      </c>
      <c r="N898" s="116">
        <v>573</v>
      </c>
      <c r="O898" s="116">
        <v>562</v>
      </c>
      <c r="P898" s="116">
        <v>563.6</v>
      </c>
      <c r="Q898" s="116">
        <v>566.20000000000005</v>
      </c>
      <c r="R898">
        <v>20944</v>
      </c>
    </row>
    <row r="899" spans="1:18" x14ac:dyDescent="0.25">
      <c r="A899" s="169">
        <v>43321</v>
      </c>
      <c r="B899" s="116">
        <v>575</v>
      </c>
      <c r="C899" s="116">
        <v>569.70000000000005</v>
      </c>
      <c r="D899" s="116">
        <v>555</v>
      </c>
      <c r="E899" s="116">
        <v>562.54999999999995</v>
      </c>
      <c r="F899" s="116">
        <v>569.70000000000005</v>
      </c>
      <c r="G899">
        <v>2286</v>
      </c>
      <c r="H899" s="116"/>
      <c r="I899" s="116"/>
      <c r="L899" s="169">
        <v>43321</v>
      </c>
      <c r="M899" s="116">
        <v>570</v>
      </c>
      <c r="N899" s="116">
        <v>574.04999999999995</v>
      </c>
      <c r="O899" s="116">
        <v>553</v>
      </c>
      <c r="P899" s="116">
        <v>563</v>
      </c>
      <c r="Q899" s="116">
        <v>570</v>
      </c>
      <c r="R899">
        <v>24691</v>
      </c>
    </row>
    <row r="900" spans="1:18" x14ac:dyDescent="0.25">
      <c r="A900" s="169">
        <v>43322</v>
      </c>
      <c r="B900" s="116">
        <v>579</v>
      </c>
      <c r="C900" s="116">
        <v>565.4</v>
      </c>
      <c r="D900" s="116">
        <v>561.5</v>
      </c>
      <c r="E900" s="116">
        <v>563</v>
      </c>
      <c r="F900" s="116">
        <v>565.4</v>
      </c>
      <c r="G900">
        <v>1383</v>
      </c>
      <c r="H900" s="116"/>
      <c r="I900" s="116"/>
      <c r="L900" s="169">
        <v>43322</v>
      </c>
      <c r="M900" s="116">
        <v>561.04999999999995</v>
      </c>
      <c r="N900" s="116">
        <v>577.45000000000005</v>
      </c>
      <c r="O900" s="116">
        <v>559</v>
      </c>
      <c r="P900" s="116">
        <v>574.04999999999995</v>
      </c>
      <c r="Q900" s="116">
        <v>561.04999999999995</v>
      </c>
      <c r="R900">
        <v>19844</v>
      </c>
    </row>
    <row r="901" spans="1:18" x14ac:dyDescent="0.25">
      <c r="A901" s="169">
        <v>43325</v>
      </c>
      <c r="B901" s="116">
        <v>555</v>
      </c>
      <c r="C901" s="116">
        <v>545.04999999999995</v>
      </c>
      <c r="D901" s="116">
        <v>545</v>
      </c>
      <c r="E901" s="116">
        <v>555</v>
      </c>
      <c r="F901" s="116">
        <v>545.04999999999995</v>
      </c>
      <c r="G901">
        <v>1284</v>
      </c>
      <c r="H901" s="116"/>
      <c r="I901" s="116"/>
      <c r="L901" s="169">
        <v>43325</v>
      </c>
      <c r="M901" s="116">
        <v>545.20000000000005</v>
      </c>
      <c r="N901" s="116">
        <v>557.79999999999995</v>
      </c>
      <c r="O901" s="116">
        <v>542.65</v>
      </c>
      <c r="P901" s="116">
        <v>550</v>
      </c>
      <c r="Q901" s="116">
        <v>545.20000000000005</v>
      </c>
      <c r="R901">
        <v>13502</v>
      </c>
    </row>
    <row r="902" spans="1:18" x14ac:dyDescent="0.25">
      <c r="A902" s="169">
        <v>43326</v>
      </c>
      <c r="B902" s="116">
        <v>556.9</v>
      </c>
      <c r="C902" s="116">
        <v>551.95000000000005</v>
      </c>
      <c r="D902" s="116">
        <v>544.29999999999995</v>
      </c>
      <c r="E902" s="116">
        <v>545</v>
      </c>
      <c r="F902" s="116">
        <v>551.95000000000005</v>
      </c>
      <c r="G902">
        <v>2669</v>
      </c>
      <c r="H902" s="116"/>
      <c r="I902" s="116"/>
      <c r="L902" s="169">
        <v>43326</v>
      </c>
      <c r="M902" s="116">
        <v>553.6</v>
      </c>
      <c r="N902" s="116">
        <v>555.75</v>
      </c>
      <c r="O902" s="116">
        <v>545.35</v>
      </c>
      <c r="P902" s="116">
        <v>547</v>
      </c>
      <c r="Q902" s="116">
        <v>553.6</v>
      </c>
      <c r="R902">
        <v>12868</v>
      </c>
    </row>
    <row r="903" spans="1:18" x14ac:dyDescent="0.25">
      <c r="A903" s="169">
        <v>43328</v>
      </c>
      <c r="B903" s="116">
        <v>554.35</v>
      </c>
      <c r="C903" s="116">
        <v>535.6</v>
      </c>
      <c r="D903" s="116">
        <v>532</v>
      </c>
      <c r="E903" s="116">
        <v>551.4</v>
      </c>
      <c r="F903" s="116">
        <v>535.6</v>
      </c>
      <c r="G903">
        <v>5200</v>
      </c>
      <c r="H903" s="116"/>
      <c r="I903" s="116"/>
      <c r="L903" s="169">
        <v>43328</v>
      </c>
      <c r="M903" s="116">
        <v>537.25</v>
      </c>
      <c r="N903" s="116">
        <v>556.85</v>
      </c>
      <c r="O903" s="116">
        <v>535</v>
      </c>
      <c r="P903" s="116">
        <v>556.85</v>
      </c>
      <c r="Q903" s="116">
        <v>537.25</v>
      </c>
      <c r="R903">
        <v>22672</v>
      </c>
    </row>
    <row r="904" spans="1:18" x14ac:dyDescent="0.25">
      <c r="A904" s="169">
        <v>43329</v>
      </c>
      <c r="B904" s="116">
        <v>551.85</v>
      </c>
      <c r="C904" s="116">
        <v>547.95000000000005</v>
      </c>
      <c r="D904" s="116">
        <v>535.25</v>
      </c>
      <c r="E904" s="116">
        <v>538.29999999999995</v>
      </c>
      <c r="F904" s="116">
        <v>547.95000000000005</v>
      </c>
      <c r="G904">
        <v>1642</v>
      </c>
      <c r="H904" s="116"/>
      <c r="I904" s="116"/>
      <c r="L904" s="169">
        <v>43329</v>
      </c>
      <c r="M904" s="116">
        <v>547.95000000000005</v>
      </c>
      <c r="N904" s="116">
        <v>553</v>
      </c>
      <c r="O904" s="116">
        <v>535</v>
      </c>
      <c r="P904" s="116">
        <v>544.79999999999995</v>
      </c>
      <c r="Q904" s="116">
        <v>547.95000000000005</v>
      </c>
      <c r="R904">
        <v>28148</v>
      </c>
    </row>
    <row r="905" spans="1:18" x14ac:dyDescent="0.25">
      <c r="A905" s="169">
        <v>43332</v>
      </c>
      <c r="B905" s="116">
        <v>555.85</v>
      </c>
      <c r="C905" s="116">
        <v>546.95000000000005</v>
      </c>
      <c r="D905" s="116">
        <v>542.85</v>
      </c>
      <c r="E905" s="116">
        <v>555.20000000000005</v>
      </c>
      <c r="F905" s="116">
        <v>546.95000000000005</v>
      </c>
      <c r="G905">
        <v>2535</v>
      </c>
      <c r="H905" s="116"/>
      <c r="I905" s="116"/>
      <c r="L905" s="169">
        <v>43332</v>
      </c>
      <c r="M905" s="116">
        <v>547.75</v>
      </c>
      <c r="N905" s="116">
        <v>554.5</v>
      </c>
      <c r="O905" s="116">
        <v>540.45000000000005</v>
      </c>
      <c r="P905" s="116">
        <v>549.65</v>
      </c>
      <c r="Q905" s="116">
        <v>547.75</v>
      </c>
      <c r="R905">
        <v>17906</v>
      </c>
    </row>
    <row r="906" spans="1:18" x14ac:dyDescent="0.25">
      <c r="A906" s="169">
        <v>43333</v>
      </c>
      <c r="B906" s="116">
        <v>556</v>
      </c>
      <c r="C906" s="116">
        <v>552.65</v>
      </c>
      <c r="D906" s="116">
        <v>539.29999999999995</v>
      </c>
      <c r="E906" s="116">
        <v>541.5</v>
      </c>
      <c r="F906" s="116">
        <v>552.65</v>
      </c>
      <c r="G906">
        <v>1737</v>
      </c>
      <c r="H906" s="116"/>
      <c r="I906" s="116"/>
      <c r="L906" s="169">
        <v>43333</v>
      </c>
      <c r="M906" s="116">
        <v>554.45000000000005</v>
      </c>
      <c r="N906" s="116">
        <v>559.5</v>
      </c>
      <c r="O906" s="116">
        <v>540.85</v>
      </c>
      <c r="P906" s="116">
        <v>554.70000000000005</v>
      </c>
      <c r="Q906" s="116">
        <v>554.45000000000005</v>
      </c>
      <c r="R906">
        <v>16395</v>
      </c>
    </row>
    <row r="907" spans="1:18" x14ac:dyDescent="0.25">
      <c r="A907" s="169">
        <v>43335</v>
      </c>
      <c r="B907" s="116">
        <v>559.95000000000005</v>
      </c>
      <c r="C907" s="116">
        <v>545.45000000000005</v>
      </c>
      <c r="D907" s="116">
        <v>540.85</v>
      </c>
      <c r="E907" s="116">
        <v>552.65</v>
      </c>
      <c r="F907" s="116">
        <v>545.45000000000005</v>
      </c>
      <c r="G907">
        <v>3223</v>
      </c>
      <c r="H907" s="116"/>
      <c r="I907" s="116"/>
      <c r="L907" s="169">
        <v>43335</v>
      </c>
      <c r="M907" s="116">
        <v>549.04999999999995</v>
      </c>
      <c r="N907" s="116">
        <v>561</v>
      </c>
      <c r="O907" s="116">
        <v>547.45000000000005</v>
      </c>
      <c r="P907" s="116">
        <v>554.5</v>
      </c>
      <c r="Q907" s="116">
        <v>549.04999999999995</v>
      </c>
      <c r="R907">
        <v>31563</v>
      </c>
    </row>
    <row r="908" spans="1:18" x14ac:dyDescent="0.25">
      <c r="A908" s="169">
        <v>43336</v>
      </c>
      <c r="B908" s="116">
        <v>547</v>
      </c>
      <c r="C908" s="116">
        <v>542.29999999999995</v>
      </c>
      <c r="D908" s="116">
        <v>536.25</v>
      </c>
      <c r="E908" s="116">
        <v>545.45000000000005</v>
      </c>
      <c r="F908" s="116">
        <v>542.29999999999995</v>
      </c>
      <c r="G908">
        <v>2382</v>
      </c>
      <c r="H908" s="116"/>
      <c r="I908" s="116"/>
      <c r="L908" s="169">
        <v>43336</v>
      </c>
      <c r="M908" s="116">
        <v>540.70000000000005</v>
      </c>
      <c r="N908" s="116">
        <v>551.5</v>
      </c>
      <c r="O908" s="116">
        <v>535</v>
      </c>
      <c r="P908" s="116">
        <v>548.6</v>
      </c>
      <c r="Q908" s="116">
        <v>540.70000000000005</v>
      </c>
      <c r="R908">
        <v>14713</v>
      </c>
    </row>
    <row r="909" spans="1:18" x14ac:dyDescent="0.25">
      <c r="A909" s="169">
        <v>43339</v>
      </c>
      <c r="B909" s="116">
        <v>550.04999999999995</v>
      </c>
      <c r="C909" s="116">
        <v>546.25</v>
      </c>
      <c r="D909" s="116">
        <v>541.04999999999995</v>
      </c>
      <c r="E909" s="116">
        <v>542.35</v>
      </c>
      <c r="F909" s="116">
        <v>546.25</v>
      </c>
      <c r="G909">
        <v>1155</v>
      </c>
      <c r="H909" s="116"/>
      <c r="I909" s="116"/>
      <c r="L909" s="169">
        <v>43339</v>
      </c>
      <c r="M909" s="116">
        <v>546.5</v>
      </c>
      <c r="N909" s="116">
        <v>552</v>
      </c>
      <c r="O909" s="116">
        <v>540</v>
      </c>
      <c r="P909" s="116">
        <v>541.04999999999995</v>
      </c>
      <c r="Q909" s="116">
        <v>546.5</v>
      </c>
      <c r="R909">
        <v>19702</v>
      </c>
    </row>
    <row r="910" spans="1:18" x14ac:dyDescent="0.25">
      <c r="A910" s="169">
        <v>43340</v>
      </c>
      <c r="B910" s="116">
        <v>565</v>
      </c>
      <c r="C910" s="116">
        <v>562.95000000000005</v>
      </c>
      <c r="D910" s="116">
        <v>547</v>
      </c>
      <c r="E910" s="116">
        <v>548.6</v>
      </c>
      <c r="F910" s="116">
        <v>562.95000000000005</v>
      </c>
      <c r="G910">
        <v>4401</v>
      </c>
      <c r="H910" s="116"/>
      <c r="I910" s="116"/>
      <c r="L910" s="169">
        <v>43340</v>
      </c>
      <c r="M910" s="116">
        <v>561.79999999999995</v>
      </c>
      <c r="N910" s="116">
        <v>565.95000000000005</v>
      </c>
      <c r="O910" s="116">
        <v>541</v>
      </c>
      <c r="P910" s="116">
        <v>547.45000000000005</v>
      </c>
      <c r="Q910" s="116">
        <v>561.79999999999995</v>
      </c>
      <c r="R910">
        <v>73369</v>
      </c>
    </row>
    <row r="911" spans="1:18" x14ac:dyDescent="0.25">
      <c r="A911" s="169">
        <v>43341</v>
      </c>
      <c r="B911" s="116">
        <v>566.65</v>
      </c>
      <c r="C911" s="116">
        <v>553.79999999999995</v>
      </c>
      <c r="D911" s="116">
        <v>551.4</v>
      </c>
      <c r="E911" s="116">
        <v>565.35</v>
      </c>
      <c r="F911" s="116">
        <v>553.79999999999995</v>
      </c>
      <c r="G911">
        <v>4126</v>
      </c>
      <c r="H911" s="116"/>
      <c r="I911" s="116"/>
      <c r="L911" s="169">
        <v>43341</v>
      </c>
      <c r="M911" s="116">
        <v>554.20000000000005</v>
      </c>
      <c r="N911" s="116">
        <v>566.20000000000005</v>
      </c>
      <c r="O911" s="116">
        <v>551.70000000000005</v>
      </c>
      <c r="P911" s="116">
        <v>562</v>
      </c>
      <c r="Q911" s="116">
        <v>554.20000000000005</v>
      </c>
      <c r="R911">
        <v>42477</v>
      </c>
    </row>
    <row r="912" spans="1:18" x14ac:dyDescent="0.25">
      <c r="A912" s="169">
        <v>43342</v>
      </c>
      <c r="B912" s="116">
        <v>601.45000000000005</v>
      </c>
      <c r="C912" s="116">
        <v>584.4</v>
      </c>
      <c r="D912" s="116">
        <v>552</v>
      </c>
      <c r="E912" s="116">
        <v>562.15</v>
      </c>
      <c r="F912" s="116">
        <v>584.4</v>
      </c>
      <c r="G912">
        <v>7321</v>
      </c>
      <c r="H912" s="116"/>
      <c r="I912" s="116"/>
      <c r="L912" s="169">
        <v>43342</v>
      </c>
      <c r="M912" s="116">
        <v>583.4</v>
      </c>
      <c r="N912" s="116">
        <v>603</v>
      </c>
      <c r="O912" s="116">
        <v>554</v>
      </c>
      <c r="P912" s="116">
        <v>558.9</v>
      </c>
      <c r="Q912" s="116">
        <v>583.4</v>
      </c>
      <c r="R912">
        <v>93889</v>
      </c>
    </row>
    <row r="913" spans="1:18" x14ac:dyDescent="0.25">
      <c r="A913" s="169">
        <v>43343</v>
      </c>
      <c r="B913" s="116">
        <v>600.6</v>
      </c>
      <c r="C913" s="116">
        <v>584</v>
      </c>
      <c r="D913" s="116">
        <v>580.6</v>
      </c>
      <c r="E913" s="116">
        <v>589.1</v>
      </c>
      <c r="F913" s="116">
        <v>584</v>
      </c>
      <c r="G913">
        <v>5877</v>
      </c>
      <c r="H913" s="116"/>
      <c r="I913" s="116"/>
      <c r="L913" s="169">
        <v>43343</v>
      </c>
      <c r="M913" s="116">
        <v>584</v>
      </c>
      <c r="N913" s="116">
        <v>598.95000000000005</v>
      </c>
      <c r="O913" s="116">
        <v>580</v>
      </c>
      <c r="P913" s="116">
        <v>587.9</v>
      </c>
      <c r="Q913" s="116">
        <v>584</v>
      </c>
      <c r="R913">
        <v>44630</v>
      </c>
    </row>
    <row r="914" spans="1:18" x14ac:dyDescent="0.25">
      <c r="A914" s="169">
        <v>43346</v>
      </c>
      <c r="B914" s="116">
        <v>590</v>
      </c>
      <c r="C914" s="116">
        <v>575.75</v>
      </c>
      <c r="D914" s="116">
        <v>572.1</v>
      </c>
      <c r="E914" s="116">
        <v>588.85</v>
      </c>
      <c r="F914" s="116">
        <v>575.75</v>
      </c>
      <c r="G914">
        <v>1989</v>
      </c>
      <c r="H914" s="116"/>
      <c r="I914" s="116"/>
      <c r="L914" s="169">
        <v>43346</v>
      </c>
      <c r="M914" s="116">
        <v>577</v>
      </c>
      <c r="N914" s="116">
        <v>591</v>
      </c>
      <c r="O914" s="116">
        <v>571.25</v>
      </c>
      <c r="P914" s="116">
        <v>588.70000000000005</v>
      </c>
      <c r="Q914" s="116">
        <v>577</v>
      </c>
      <c r="R914">
        <v>33265</v>
      </c>
    </row>
    <row r="915" spans="1:18" x14ac:dyDescent="0.25">
      <c r="A915" s="169">
        <v>43347</v>
      </c>
      <c r="B915" s="116">
        <v>579</v>
      </c>
      <c r="C915" s="116">
        <v>558.45000000000005</v>
      </c>
      <c r="D915" s="116">
        <v>550</v>
      </c>
      <c r="E915" s="116">
        <v>572.75</v>
      </c>
      <c r="F915" s="116">
        <v>558.45000000000005</v>
      </c>
      <c r="G915">
        <v>4485</v>
      </c>
      <c r="H915" s="116"/>
      <c r="I915" s="116"/>
      <c r="L915" s="169">
        <v>43347</v>
      </c>
      <c r="M915" s="116">
        <v>556.75</v>
      </c>
      <c r="N915" s="116">
        <v>585.9</v>
      </c>
      <c r="O915" s="116">
        <v>549.15</v>
      </c>
      <c r="P915" s="116">
        <v>585.9</v>
      </c>
      <c r="Q915" s="116">
        <v>556.75</v>
      </c>
      <c r="R915">
        <v>21325</v>
      </c>
    </row>
    <row r="916" spans="1:18" x14ac:dyDescent="0.25">
      <c r="A916" s="169">
        <v>43348</v>
      </c>
      <c r="B916" s="116">
        <v>559.75</v>
      </c>
      <c r="C916" s="116">
        <v>556.15</v>
      </c>
      <c r="D916" s="116">
        <v>540.1</v>
      </c>
      <c r="E916" s="116">
        <v>556</v>
      </c>
      <c r="F916" s="116">
        <v>556.15</v>
      </c>
      <c r="G916">
        <v>2329</v>
      </c>
      <c r="H916" s="116"/>
      <c r="I916" s="116"/>
      <c r="L916" s="169">
        <v>43348</v>
      </c>
      <c r="M916" s="116">
        <v>559.35</v>
      </c>
      <c r="N916" s="116">
        <v>562</v>
      </c>
      <c r="O916" s="116">
        <v>538.1</v>
      </c>
      <c r="P916" s="116">
        <v>556</v>
      </c>
      <c r="Q916" s="116">
        <v>559.35</v>
      </c>
      <c r="R916">
        <v>27989</v>
      </c>
    </row>
    <row r="917" spans="1:18" x14ac:dyDescent="0.25">
      <c r="A917" s="169">
        <v>43349</v>
      </c>
      <c r="B917" s="116">
        <v>574.75</v>
      </c>
      <c r="C917" s="116">
        <v>558</v>
      </c>
      <c r="D917" s="116">
        <v>546.5</v>
      </c>
      <c r="E917" s="116">
        <v>560.65</v>
      </c>
      <c r="F917" s="116">
        <v>558</v>
      </c>
      <c r="G917">
        <v>4898</v>
      </c>
      <c r="H917" s="116"/>
      <c r="I917" s="116"/>
      <c r="L917" s="169">
        <v>43349</v>
      </c>
      <c r="M917" s="116">
        <v>558.54999999999995</v>
      </c>
      <c r="N917" s="116">
        <v>565</v>
      </c>
      <c r="O917" s="116">
        <v>545.35</v>
      </c>
      <c r="P917" s="116">
        <v>555.04999999999995</v>
      </c>
      <c r="Q917" s="116">
        <v>558.54999999999995</v>
      </c>
      <c r="R917">
        <v>19401</v>
      </c>
    </row>
    <row r="918" spans="1:18" x14ac:dyDescent="0.25">
      <c r="A918" s="169">
        <v>43350</v>
      </c>
      <c r="B918" s="116">
        <v>570.75</v>
      </c>
      <c r="C918" s="116">
        <v>565.70000000000005</v>
      </c>
      <c r="D918" s="116">
        <v>544</v>
      </c>
      <c r="E918" s="116">
        <v>558.04999999999995</v>
      </c>
      <c r="F918" s="116">
        <v>565.70000000000005</v>
      </c>
      <c r="G918">
        <v>2912</v>
      </c>
      <c r="H918" s="116"/>
      <c r="I918" s="116"/>
      <c r="L918" s="169">
        <v>43350</v>
      </c>
      <c r="M918" s="116">
        <v>568.15</v>
      </c>
      <c r="N918" s="116">
        <v>574.95000000000005</v>
      </c>
      <c r="O918" s="116">
        <v>548</v>
      </c>
      <c r="P918" s="116">
        <v>563.45000000000005</v>
      </c>
      <c r="Q918" s="116">
        <v>568.15</v>
      </c>
      <c r="R918">
        <v>28598</v>
      </c>
    </row>
    <row r="919" spans="1:18" x14ac:dyDescent="0.25">
      <c r="A919" s="169">
        <v>43353</v>
      </c>
      <c r="B919" s="116">
        <v>565.70000000000005</v>
      </c>
      <c r="C919" s="116">
        <v>556.75</v>
      </c>
      <c r="D919" s="116">
        <v>554.35</v>
      </c>
      <c r="E919" s="116">
        <v>565.70000000000005</v>
      </c>
      <c r="F919" s="116">
        <v>556.75</v>
      </c>
      <c r="G919">
        <v>2021</v>
      </c>
      <c r="H919" s="116"/>
      <c r="I919" s="116"/>
      <c r="L919" s="169">
        <v>43353</v>
      </c>
      <c r="M919" s="116">
        <v>560.65</v>
      </c>
      <c r="N919" s="116">
        <v>568.5</v>
      </c>
      <c r="O919" s="116">
        <v>554.45000000000005</v>
      </c>
      <c r="P919" s="116">
        <v>563.04999999999995</v>
      </c>
      <c r="Q919" s="116">
        <v>560.65</v>
      </c>
      <c r="R919">
        <v>16690</v>
      </c>
    </row>
    <row r="920" spans="1:18" x14ac:dyDescent="0.25">
      <c r="A920" s="169">
        <v>43354</v>
      </c>
      <c r="B920" s="116">
        <v>565.04999999999995</v>
      </c>
      <c r="C920" s="116">
        <v>534.35</v>
      </c>
      <c r="D920" s="116">
        <v>529.95000000000005</v>
      </c>
      <c r="E920" s="116">
        <v>556.4</v>
      </c>
      <c r="F920" s="116">
        <v>534.35</v>
      </c>
      <c r="G920">
        <v>7798</v>
      </c>
      <c r="H920" s="116"/>
      <c r="I920" s="116"/>
      <c r="L920" s="169">
        <v>43354</v>
      </c>
      <c r="M920" s="116">
        <v>535.1</v>
      </c>
      <c r="N920" s="116">
        <v>567.85</v>
      </c>
      <c r="O920" s="116">
        <v>529</v>
      </c>
      <c r="P920" s="116">
        <v>556</v>
      </c>
      <c r="Q920" s="116">
        <v>535.1</v>
      </c>
      <c r="R920">
        <v>27136</v>
      </c>
    </row>
    <row r="921" spans="1:18" x14ac:dyDescent="0.25">
      <c r="A921" s="169">
        <v>43355</v>
      </c>
      <c r="B921" s="116">
        <v>545</v>
      </c>
      <c r="C921" s="116">
        <v>539.9</v>
      </c>
      <c r="D921" s="116">
        <v>530</v>
      </c>
      <c r="E921" s="116">
        <v>540</v>
      </c>
      <c r="F921" s="116">
        <v>539.9</v>
      </c>
      <c r="G921">
        <v>4577</v>
      </c>
      <c r="H921" s="116"/>
      <c r="I921" s="116"/>
      <c r="L921" s="169">
        <v>43355</v>
      </c>
      <c r="M921" s="116">
        <v>539.25</v>
      </c>
      <c r="N921" s="116">
        <v>545.04999999999995</v>
      </c>
      <c r="O921" s="116">
        <v>530</v>
      </c>
      <c r="P921" s="116">
        <v>540</v>
      </c>
      <c r="Q921" s="116">
        <v>539.25</v>
      </c>
      <c r="R921">
        <v>19719</v>
      </c>
    </row>
    <row r="922" spans="1:18" x14ac:dyDescent="0.25">
      <c r="A922" s="169">
        <v>43357</v>
      </c>
      <c r="B922" s="116">
        <v>550</v>
      </c>
      <c r="C922" s="116">
        <v>539.79999999999995</v>
      </c>
      <c r="D922" s="116">
        <v>537</v>
      </c>
      <c r="E922" s="116">
        <v>543.20000000000005</v>
      </c>
      <c r="F922" s="116">
        <v>539.79999999999995</v>
      </c>
      <c r="G922">
        <v>3343</v>
      </c>
      <c r="H922" s="116"/>
      <c r="I922" s="116"/>
      <c r="L922" s="169">
        <v>43357</v>
      </c>
      <c r="M922" s="116">
        <v>540.04999999999995</v>
      </c>
      <c r="N922" s="116">
        <v>551</v>
      </c>
      <c r="O922" s="116">
        <v>535.9</v>
      </c>
      <c r="P922" s="116">
        <v>541</v>
      </c>
      <c r="Q922" s="116">
        <v>540.04999999999995</v>
      </c>
      <c r="R922">
        <v>20699</v>
      </c>
    </row>
    <row r="923" spans="1:18" x14ac:dyDescent="0.25">
      <c r="A923" s="169">
        <v>43360</v>
      </c>
      <c r="B923" s="116">
        <v>545</v>
      </c>
      <c r="C923" s="116">
        <v>541.6</v>
      </c>
      <c r="D923" s="116">
        <v>531.45000000000005</v>
      </c>
      <c r="E923" s="116">
        <v>537</v>
      </c>
      <c r="F923" s="116">
        <v>541.6</v>
      </c>
      <c r="G923">
        <v>3747</v>
      </c>
      <c r="H923" s="116"/>
      <c r="I923" s="116"/>
      <c r="L923" s="169">
        <v>43360</v>
      </c>
      <c r="M923" s="116">
        <v>540.9</v>
      </c>
      <c r="N923" s="116">
        <v>545.5</v>
      </c>
      <c r="O923" s="116">
        <v>530</v>
      </c>
      <c r="P923" s="116">
        <v>535.45000000000005</v>
      </c>
      <c r="Q923" s="116">
        <v>540.9</v>
      </c>
      <c r="R923">
        <v>13721</v>
      </c>
    </row>
    <row r="924" spans="1:18" x14ac:dyDescent="0.25">
      <c r="A924" s="169">
        <v>43361</v>
      </c>
      <c r="B924" s="116">
        <v>543.5</v>
      </c>
      <c r="C924" s="116">
        <v>535.65</v>
      </c>
      <c r="D924" s="116">
        <v>533.95000000000005</v>
      </c>
      <c r="E924" s="116">
        <v>540</v>
      </c>
      <c r="F924" s="116">
        <v>535.65</v>
      </c>
      <c r="G924">
        <v>2848</v>
      </c>
      <c r="H924" s="116"/>
      <c r="I924" s="116"/>
      <c r="L924" s="169">
        <v>43361</v>
      </c>
      <c r="M924" s="116">
        <v>534.29999999999995</v>
      </c>
      <c r="N924" s="116">
        <v>541.75</v>
      </c>
      <c r="O924" s="116">
        <v>532</v>
      </c>
      <c r="P924" s="116">
        <v>537</v>
      </c>
      <c r="Q924" s="116">
        <v>534.29999999999995</v>
      </c>
      <c r="R924">
        <v>16594</v>
      </c>
    </row>
    <row r="925" spans="1:18" x14ac:dyDescent="0.25">
      <c r="A925" s="169">
        <v>43362</v>
      </c>
      <c r="B925" s="116">
        <v>540</v>
      </c>
      <c r="C925" s="116">
        <v>530.15</v>
      </c>
      <c r="D925" s="116">
        <v>525</v>
      </c>
      <c r="E925" s="116">
        <v>532.6</v>
      </c>
      <c r="F925" s="116">
        <v>530.15</v>
      </c>
      <c r="G925">
        <v>2291</v>
      </c>
      <c r="H925" s="116"/>
      <c r="I925" s="116"/>
      <c r="L925" s="169">
        <v>43362</v>
      </c>
      <c r="M925" s="116">
        <v>532.15</v>
      </c>
      <c r="N925" s="116">
        <v>540</v>
      </c>
      <c r="O925" s="116">
        <v>530</v>
      </c>
      <c r="P925" s="116">
        <v>535.65</v>
      </c>
      <c r="Q925" s="116">
        <v>532.15</v>
      </c>
      <c r="R925">
        <v>10813</v>
      </c>
    </row>
    <row r="926" spans="1:18" x14ac:dyDescent="0.25">
      <c r="A926" s="169">
        <v>43364</v>
      </c>
      <c r="B926" s="116">
        <v>540.6</v>
      </c>
      <c r="C926" s="116">
        <v>531.25</v>
      </c>
      <c r="D926" s="116">
        <v>505</v>
      </c>
      <c r="E926" s="116">
        <v>532</v>
      </c>
      <c r="F926" s="116">
        <v>531.25</v>
      </c>
      <c r="G926">
        <v>3604</v>
      </c>
      <c r="H926" s="116"/>
      <c r="I926" s="116"/>
      <c r="L926" s="169">
        <v>43364</v>
      </c>
      <c r="M926" s="116">
        <v>535.95000000000005</v>
      </c>
      <c r="N926" s="116">
        <v>542.04999999999995</v>
      </c>
      <c r="O926" s="116">
        <v>502.8</v>
      </c>
      <c r="P926" s="116">
        <v>532</v>
      </c>
      <c r="Q926" s="116">
        <v>535.95000000000005</v>
      </c>
      <c r="R926">
        <v>44882</v>
      </c>
    </row>
    <row r="927" spans="1:18" x14ac:dyDescent="0.25">
      <c r="A927" s="169">
        <v>43367</v>
      </c>
      <c r="B927" s="116">
        <v>531.85</v>
      </c>
      <c r="C927" s="116">
        <v>509.7</v>
      </c>
      <c r="D927" s="116">
        <v>501</v>
      </c>
      <c r="E927" s="116">
        <v>531.85</v>
      </c>
      <c r="F927" s="116">
        <v>509.7</v>
      </c>
      <c r="G927">
        <v>4116</v>
      </c>
      <c r="H927" s="116"/>
      <c r="I927" s="116"/>
      <c r="L927" s="169">
        <v>43367</v>
      </c>
      <c r="M927" s="116">
        <v>512</v>
      </c>
      <c r="N927" s="116">
        <v>532.95000000000005</v>
      </c>
      <c r="O927" s="116">
        <v>498.6</v>
      </c>
      <c r="P927" s="116">
        <v>530</v>
      </c>
      <c r="Q927" s="116">
        <v>512</v>
      </c>
      <c r="R927">
        <v>23331</v>
      </c>
    </row>
    <row r="928" spans="1:18" x14ac:dyDescent="0.25">
      <c r="A928" s="169">
        <v>43368</v>
      </c>
      <c r="B928" s="116">
        <v>510.75</v>
      </c>
      <c r="C928" s="116">
        <v>499.5</v>
      </c>
      <c r="D928" s="116">
        <v>497.25</v>
      </c>
      <c r="E928" s="116">
        <v>509.75</v>
      </c>
      <c r="F928" s="116">
        <v>499.5</v>
      </c>
      <c r="G928">
        <v>2423</v>
      </c>
      <c r="H928" s="116"/>
      <c r="I928" s="116"/>
      <c r="L928" s="169">
        <v>43368</v>
      </c>
      <c r="M928" s="116">
        <v>499.6</v>
      </c>
      <c r="N928" s="116">
        <v>512.15</v>
      </c>
      <c r="O928" s="116">
        <v>495.1</v>
      </c>
      <c r="P928" s="116">
        <v>512</v>
      </c>
      <c r="Q928" s="116">
        <v>499.6</v>
      </c>
      <c r="R928">
        <v>20537</v>
      </c>
    </row>
    <row r="929" spans="1:18" x14ac:dyDescent="0.25">
      <c r="A929" s="169">
        <v>43369</v>
      </c>
      <c r="B929" s="116">
        <v>522.5</v>
      </c>
      <c r="C929" s="116">
        <v>508.45</v>
      </c>
      <c r="D929" s="116">
        <v>500.65</v>
      </c>
      <c r="E929" s="116">
        <v>500.65</v>
      </c>
      <c r="F929" s="116">
        <v>508.45</v>
      </c>
      <c r="G929">
        <v>1705</v>
      </c>
      <c r="H929" s="116"/>
      <c r="I929" s="116"/>
      <c r="L929" s="169">
        <v>43369</v>
      </c>
      <c r="M929" s="116">
        <v>506.95</v>
      </c>
      <c r="N929" s="116">
        <v>517.15</v>
      </c>
      <c r="O929" s="116">
        <v>503</v>
      </c>
      <c r="P929" s="116">
        <v>513.9</v>
      </c>
      <c r="Q929" s="116">
        <v>506.95</v>
      </c>
      <c r="R929">
        <v>13464</v>
      </c>
    </row>
    <row r="930" spans="1:18" x14ac:dyDescent="0.25">
      <c r="A930" s="169">
        <v>43370</v>
      </c>
      <c r="B930" s="116">
        <v>512.5</v>
      </c>
      <c r="C930" s="116">
        <v>489.65</v>
      </c>
      <c r="D930" s="116">
        <v>484.1</v>
      </c>
      <c r="E930" s="116">
        <v>511</v>
      </c>
      <c r="F930" s="116">
        <v>489.65</v>
      </c>
      <c r="G930">
        <v>2521</v>
      </c>
      <c r="H930" s="116"/>
      <c r="I930" s="116"/>
      <c r="L930" s="169">
        <v>43370</v>
      </c>
      <c r="M930" s="116">
        <v>489.5</v>
      </c>
      <c r="N930" s="116">
        <v>514</v>
      </c>
      <c r="O930" s="116">
        <v>482</v>
      </c>
      <c r="P930" s="116">
        <v>507.05</v>
      </c>
      <c r="Q930" s="116">
        <v>489.5</v>
      </c>
      <c r="R930">
        <v>25685</v>
      </c>
    </row>
    <row r="931" spans="1:18" x14ac:dyDescent="0.25">
      <c r="A931" s="169">
        <v>43371</v>
      </c>
      <c r="B931" s="116">
        <v>509.05</v>
      </c>
      <c r="C931" s="116">
        <v>469.5</v>
      </c>
      <c r="D931" s="116">
        <v>457.85</v>
      </c>
      <c r="E931" s="116">
        <v>490</v>
      </c>
      <c r="F931" s="116">
        <v>469.5</v>
      </c>
      <c r="G931">
        <v>6041</v>
      </c>
      <c r="H931" s="116"/>
      <c r="I931" s="116"/>
      <c r="L931" s="169">
        <v>43371</v>
      </c>
      <c r="M931" s="116">
        <v>469</v>
      </c>
      <c r="N931" s="116">
        <v>505</v>
      </c>
      <c r="O931" s="116">
        <v>456.75</v>
      </c>
      <c r="P931" s="116">
        <v>488</v>
      </c>
      <c r="Q931" s="116">
        <v>469</v>
      </c>
      <c r="R931">
        <v>28777</v>
      </c>
    </row>
    <row r="932" spans="1:18" x14ac:dyDescent="0.25">
      <c r="A932" s="169">
        <v>43374</v>
      </c>
      <c r="B932" s="116">
        <v>511</v>
      </c>
      <c r="C932" s="116">
        <v>462.25</v>
      </c>
      <c r="D932" s="116">
        <v>435.75</v>
      </c>
      <c r="E932" s="116">
        <v>509</v>
      </c>
      <c r="F932" s="116">
        <v>462.25</v>
      </c>
      <c r="G932">
        <v>4444</v>
      </c>
      <c r="H932" s="116"/>
      <c r="I932" s="116"/>
      <c r="L932" s="169">
        <v>43374</v>
      </c>
      <c r="M932" s="116">
        <v>463.7</v>
      </c>
      <c r="N932" s="116">
        <v>469</v>
      </c>
      <c r="O932" s="116">
        <v>435</v>
      </c>
      <c r="P932" s="116">
        <v>460</v>
      </c>
      <c r="Q932" s="116">
        <v>463.7</v>
      </c>
      <c r="R932">
        <v>15943</v>
      </c>
    </row>
    <row r="933" spans="1:18" x14ac:dyDescent="0.25">
      <c r="A933" s="169">
        <v>43376</v>
      </c>
      <c r="B933" s="116">
        <v>499</v>
      </c>
      <c r="C933" s="116">
        <v>479.9</v>
      </c>
      <c r="D933" s="116">
        <v>460.55</v>
      </c>
      <c r="E933" s="116">
        <v>462.4</v>
      </c>
      <c r="F933" s="116">
        <v>479.9</v>
      </c>
      <c r="G933">
        <v>3079</v>
      </c>
      <c r="H933" s="116"/>
      <c r="I933" s="116"/>
      <c r="L933" s="169">
        <v>43376</v>
      </c>
      <c r="M933" s="116">
        <v>481.3</v>
      </c>
      <c r="N933" s="116">
        <v>498.55</v>
      </c>
      <c r="O933" s="116">
        <v>456.75</v>
      </c>
      <c r="P933" s="116">
        <v>463</v>
      </c>
      <c r="Q933" s="116">
        <v>481.3</v>
      </c>
      <c r="R933">
        <v>23409</v>
      </c>
    </row>
    <row r="934" spans="1:18" x14ac:dyDescent="0.25">
      <c r="A934" s="169">
        <v>43377</v>
      </c>
      <c r="B934" s="116">
        <v>475.05</v>
      </c>
      <c r="C934" s="116">
        <v>457.85</v>
      </c>
      <c r="D934" s="116">
        <v>450</v>
      </c>
      <c r="E934" s="116">
        <v>475.05</v>
      </c>
      <c r="F934" s="116">
        <v>457.85</v>
      </c>
      <c r="G934">
        <v>5092</v>
      </c>
      <c r="H934" s="116"/>
      <c r="I934" s="116"/>
      <c r="L934" s="169">
        <v>43377</v>
      </c>
      <c r="M934" s="116">
        <v>460.6</v>
      </c>
      <c r="N934" s="116">
        <v>487.8</v>
      </c>
      <c r="O934" s="116">
        <v>450.05</v>
      </c>
      <c r="P934" s="116">
        <v>487.8</v>
      </c>
      <c r="Q934" s="116">
        <v>460.6</v>
      </c>
      <c r="R934">
        <v>23260</v>
      </c>
    </row>
    <row r="935" spans="1:18" x14ac:dyDescent="0.25">
      <c r="A935" s="169">
        <v>43378</v>
      </c>
      <c r="B935" s="116">
        <v>475</v>
      </c>
      <c r="C935" s="116">
        <v>451.85</v>
      </c>
      <c r="D935" s="116">
        <v>443</v>
      </c>
      <c r="E935" s="116">
        <v>458</v>
      </c>
      <c r="F935" s="116">
        <v>451.85</v>
      </c>
      <c r="G935">
        <v>3644</v>
      </c>
      <c r="H935" s="116"/>
      <c r="I935" s="116"/>
      <c r="L935" s="169">
        <v>43378</v>
      </c>
      <c r="M935" s="116">
        <v>447.05</v>
      </c>
      <c r="N935" s="116">
        <v>474.05</v>
      </c>
      <c r="O935" s="116">
        <v>440</v>
      </c>
      <c r="P935" s="116">
        <v>445.3</v>
      </c>
      <c r="Q935" s="116">
        <v>447.05</v>
      </c>
      <c r="R935">
        <v>20071</v>
      </c>
    </row>
    <row r="936" spans="1:18" x14ac:dyDescent="0.25">
      <c r="A936" s="169">
        <v>43381</v>
      </c>
      <c r="B936" s="116">
        <v>460.95</v>
      </c>
      <c r="C936" s="116">
        <v>443.85</v>
      </c>
      <c r="D936" s="116">
        <v>426.7</v>
      </c>
      <c r="E936" s="116">
        <v>447.35</v>
      </c>
      <c r="F936" s="116">
        <v>443.85</v>
      </c>
      <c r="G936">
        <v>3628</v>
      </c>
      <c r="H936" s="116"/>
      <c r="I936" s="116"/>
      <c r="L936" s="169">
        <v>43381</v>
      </c>
      <c r="M936" s="116">
        <v>442</v>
      </c>
      <c r="N936" s="116">
        <v>461.75</v>
      </c>
      <c r="O936" s="116">
        <v>427.05</v>
      </c>
      <c r="P936" s="116">
        <v>436.05</v>
      </c>
      <c r="Q936" s="116">
        <v>442</v>
      </c>
      <c r="R936">
        <v>19548</v>
      </c>
    </row>
    <row r="937" spans="1:18" x14ac:dyDescent="0.25">
      <c r="A937" s="169">
        <v>43382</v>
      </c>
      <c r="B937" s="116">
        <v>455.45</v>
      </c>
      <c r="C937" s="116">
        <v>450</v>
      </c>
      <c r="D937" s="116">
        <v>437.15</v>
      </c>
      <c r="E937" s="116">
        <v>441</v>
      </c>
      <c r="F937" s="116">
        <v>450</v>
      </c>
      <c r="G937">
        <v>50650</v>
      </c>
      <c r="H937" s="116"/>
      <c r="I937" s="116"/>
      <c r="L937" s="169">
        <v>43382</v>
      </c>
      <c r="M937" s="116">
        <v>447.2</v>
      </c>
      <c r="N937" s="116">
        <v>475</v>
      </c>
      <c r="O937" s="116">
        <v>435</v>
      </c>
      <c r="P937" s="116">
        <v>446.5</v>
      </c>
      <c r="Q937" s="116">
        <v>447.2</v>
      </c>
      <c r="R937">
        <v>15957</v>
      </c>
    </row>
    <row r="938" spans="1:18" x14ac:dyDescent="0.25">
      <c r="A938" s="169">
        <v>43383</v>
      </c>
      <c r="B938" s="116">
        <v>480.75</v>
      </c>
      <c r="C938" s="116">
        <v>477.7</v>
      </c>
      <c r="D938" s="116">
        <v>457</v>
      </c>
      <c r="E938" s="116">
        <v>459.15</v>
      </c>
      <c r="F938" s="116">
        <v>477.7</v>
      </c>
      <c r="G938">
        <v>3349</v>
      </c>
      <c r="H938" s="116"/>
      <c r="I938" s="116"/>
      <c r="L938" s="169">
        <v>43383</v>
      </c>
      <c r="M938" s="116">
        <v>475.15</v>
      </c>
      <c r="N938" s="116">
        <v>479.85</v>
      </c>
      <c r="O938" s="116">
        <v>451</v>
      </c>
      <c r="P938" s="116">
        <v>460</v>
      </c>
      <c r="Q938" s="116">
        <v>475.15</v>
      </c>
      <c r="R938">
        <v>24914</v>
      </c>
    </row>
    <row r="939" spans="1:18" x14ac:dyDescent="0.25">
      <c r="A939" s="169">
        <v>43384</v>
      </c>
      <c r="B939" s="116">
        <v>470</v>
      </c>
      <c r="C939" s="116">
        <v>453.85</v>
      </c>
      <c r="D939" s="116">
        <v>453</v>
      </c>
      <c r="E939" s="116">
        <v>459.65</v>
      </c>
      <c r="F939" s="116">
        <v>453.85</v>
      </c>
      <c r="G939">
        <v>1430</v>
      </c>
      <c r="H939" s="116"/>
      <c r="I939" s="116"/>
      <c r="L939" s="169">
        <v>43384</v>
      </c>
      <c r="M939" s="116">
        <v>458.15</v>
      </c>
      <c r="N939" s="116">
        <v>469.9</v>
      </c>
      <c r="O939" s="116">
        <v>442</v>
      </c>
      <c r="P939" s="116">
        <v>460</v>
      </c>
      <c r="Q939" s="116">
        <v>458.15</v>
      </c>
      <c r="R939">
        <v>12081</v>
      </c>
    </row>
    <row r="940" spans="1:18" x14ac:dyDescent="0.25">
      <c r="A940" s="169">
        <v>43385</v>
      </c>
      <c r="B940" s="116">
        <v>479</v>
      </c>
      <c r="C940" s="116">
        <v>472.9</v>
      </c>
      <c r="D940" s="116">
        <v>468.65</v>
      </c>
      <c r="E940" s="116">
        <v>470</v>
      </c>
      <c r="F940" s="116">
        <v>472.9</v>
      </c>
      <c r="G940">
        <v>1084</v>
      </c>
      <c r="H940" s="116"/>
      <c r="I940" s="116"/>
      <c r="L940" s="169">
        <v>43385</v>
      </c>
      <c r="M940" s="116">
        <v>471.1</v>
      </c>
      <c r="N940" s="116">
        <v>481</v>
      </c>
      <c r="O940" s="116">
        <v>458.35</v>
      </c>
      <c r="P940" s="116">
        <v>458.4</v>
      </c>
      <c r="Q940" s="116">
        <v>471.1</v>
      </c>
      <c r="R940">
        <v>13288</v>
      </c>
    </row>
    <row r="941" spans="1:18" x14ac:dyDescent="0.25">
      <c r="A941" s="169">
        <v>43388</v>
      </c>
      <c r="B941" s="116">
        <v>477</v>
      </c>
      <c r="C941" s="116">
        <v>472.05</v>
      </c>
      <c r="D941" s="116">
        <v>470</v>
      </c>
      <c r="E941" s="116">
        <v>470</v>
      </c>
      <c r="F941" s="116">
        <v>472.05</v>
      </c>
      <c r="G941">
        <v>872</v>
      </c>
      <c r="H941" s="116"/>
      <c r="I941" s="116"/>
      <c r="L941" s="169">
        <v>43388</v>
      </c>
      <c r="M941" s="116">
        <v>472.9</v>
      </c>
      <c r="N941" s="116">
        <v>479</v>
      </c>
      <c r="O941" s="116">
        <v>466.55</v>
      </c>
      <c r="P941" s="116">
        <v>475</v>
      </c>
      <c r="Q941" s="116">
        <v>472.9</v>
      </c>
      <c r="R941">
        <v>12413</v>
      </c>
    </row>
    <row r="942" spans="1:18" x14ac:dyDescent="0.25">
      <c r="A942" s="169">
        <v>43389</v>
      </c>
      <c r="B942" s="116">
        <v>514</v>
      </c>
      <c r="C942" s="116">
        <v>495.55</v>
      </c>
      <c r="D942" s="116">
        <v>484.95</v>
      </c>
      <c r="E942" s="116">
        <v>484.95</v>
      </c>
      <c r="F942" s="116">
        <v>495.55</v>
      </c>
      <c r="G942">
        <v>1825</v>
      </c>
      <c r="H942" s="116"/>
      <c r="I942" s="116"/>
      <c r="L942" s="169">
        <v>43389</v>
      </c>
      <c r="M942" s="116">
        <v>497.85</v>
      </c>
      <c r="N942" s="116">
        <v>514</v>
      </c>
      <c r="O942" s="116">
        <v>474</v>
      </c>
      <c r="P942" s="116">
        <v>474.2</v>
      </c>
      <c r="Q942" s="116">
        <v>497.85</v>
      </c>
      <c r="R942">
        <v>21240</v>
      </c>
    </row>
    <row r="943" spans="1:18" x14ac:dyDescent="0.25">
      <c r="A943" s="169">
        <v>43390</v>
      </c>
      <c r="B943" s="116">
        <v>520</v>
      </c>
      <c r="C943" s="116">
        <v>509.65</v>
      </c>
      <c r="D943" s="116">
        <v>498.05</v>
      </c>
      <c r="E943" s="116">
        <v>498.05</v>
      </c>
      <c r="F943" s="116">
        <v>509.65</v>
      </c>
      <c r="G943">
        <v>2964</v>
      </c>
      <c r="H943" s="116"/>
      <c r="I943" s="116"/>
      <c r="L943" s="169">
        <v>43390</v>
      </c>
      <c r="M943" s="116">
        <v>506.75</v>
      </c>
      <c r="N943" s="116">
        <v>518.35</v>
      </c>
      <c r="O943" s="116">
        <v>497.75</v>
      </c>
      <c r="P943" s="116">
        <v>511.95</v>
      </c>
      <c r="Q943" s="116">
        <v>506.75</v>
      </c>
      <c r="R943">
        <v>21438</v>
      </c>
    </row>
    <row r="944" spans="1:18" x14ac:dyDescent="0.25">
      <c r="A944" s="169">
        <v>43392</v>
      </c>
      <c r="B944" s="116">
        <v>502</v>
      </c>
      <c r="C944" s="116">
        <v>487.6</v>
      </c>
      <c r="D944" s="116">
        <v>475.05</v>
      </c>
      <c r="E944" s="116">
        <v>500.05</v>
      </c>
      <c r="F944" s="116">
        <v>487.6</v>
      </c>
      <c r="G944">
        <v>4059</v>
      </c>
      <c r="H944" s="116"/>
      <c r="I944" s="116"/>
      <c r="L944" s="169">
        <v>43392</v>
      </c>
      <c r="M944" s="116">
        <v>488.75</v>
      </c>
      <c r="N944" s="116">
        <v>506.75</v>
      </c>
      <c r="O944" s="116">
        <v>474.15</v>
      </c>
      <c r="P944" s="116">
        <v>506.75</v>
      </c>
      <c r="Q944" s="116">
        <v>488.75</v>
      </c>
      <c r="R944">
        <v>20338</v>
      </c>
    </row>
    <row r="945" spans="1:18" x14ac:dyDescent="0.25">
      <c r="A945" s="169">
        <v>43395</v>
      </c>
      <c r="B945" s="116">
        <v>491.55</v>
      </c>
      <c r="C945" s="116">
        <v>437.1</v>
      </c>
      <c r="D945" s="116">
        <v>411.6</v>
      </c>
      <c r="E945" s="116">
        <v>491.55</v>
      </c>
      <c r="F945" s="116">
        <v>437.1</v>
      </c>
      <c r="G945">
        <v>5313</v>
      </c>
      <c r="H945" s="116"/>
      <c r="I945" s="116"/>
      <c r="L945" s="169">
        <v>43395</v>
      </c>
      <c r="M945" s="116">
        <v>437.9</v>
      </c>
      <c r="N945" s="116">
        <v>495</v>
      </c>
      <c r="O945" s="116">
        <v>410</v>
      </c>
      <c r="P945" s="116">
        <v>485</v>
      </c>
      <c r="Q945" s="116">
        <v>437.9</v>
      </c>
      <c r="R945">
        <v>34150</v>
      </c>
    </row>
    <row r="946" spans="1:18" x14ac:dyDescent="0.25">
      <c r="A946" s="169">
        <v>43396</v>
      </c>
      <c r="B946" s="116">
        <v>451.2</v>
      </c>
      <c r="C946" s="116">
        <v>429.9</v>
      </c>
      <c r="D946" s="116">
        <v>428.45</v>
      </c>
      <c r="E946" s="116">
        <v>440.15</v>
      </c>
      <c r="F946" s="116">
        <v>429.9</v>
      </c>
      <c r="G946">
        <v>2841</v>
      </c>
      <c r="H946" s="116"/>
      <c r="I946" s="116"/>
      <c r="L946" s="169">
        <v>43396</v>
      </c>
      <c r="M946" s="116">
        <v>432.6</v>
      </c>
      <c r="N946" s="116">
        <v>442</v>
      </c>
      <c r="O946" s="116">
        <v>425</v>
      </c>
      <c r="P946" s="116">
        <v>442</v>
      </c>
      <c r="Q946" s="116">
        <v>432.6</v>
      </c>
      <c r="R946">
        <v>18696</v>
      </c>
    </row>
    <row r="947" spans="1:18" x14ac:dyDescent="0.25">
      <c r="A947" s="169">
        <v>43397</v>
      </c>
      <c r="B947" s="116">
        <v>452.3</v>
      </c>
      <c r="C947" s="116">
        <v>448.15</v>
      </c>
      <c r="D947" s="116">
        <v>439.15</v>
      </c>
      <c r="E947" s="116">
        <v>443.6</v>
      </c>
      <c r="F947" s="116">
        <v>448.15</v>
      </c>
      <c r="G947">
        <v>665</v>
      </c>
      <c r="H947" s="116"/>
      <c r="I947" s="116"/>
      <c r="L947" s="169">
        <v>43397</v>
      </c>
      <c r="M947" s="116">
        <v>447.2</v>
      </c>
      <c r="N947" s="116">
        <v>452</v>
      </c>
      <c r="O947" s="116">
        <v>435.3</v>
      </c>
      <c r="P947" s="116">
        <v>447</v>
      </c>
      <c r="Q947" s="116">
        <v>447.2</v>
      </c>
      <c r="R947">
        <v>25054</v>
      </c>
    </row>
    <row r="948" spans="1:18" x14ac:dyDescent="0.25">
      <c r="A948" s="169">
        <v>43398</v>
      </c>
      <c r="B948" s="116">
        <v>441.4</v>
      </c>
      <c r="C948" s="116">
        <v>435.25</v>
      </c>
      <c r="D948" s="116">
        <v>430.2</v>
      </c>
      <c r="E948" s="116">
        <v>432.65</v>
      </c>
      <c r="F948" s="116">
        <v>435.25</v>
      </c>
      <c r="G948">
        <v>1194</v>
      </c>
      <c r="H948" s="116"/>
      <c r="I948" s="116"/>
      <c r="L948" s="169">
        <v>43398</v>
      </c>
      <c r="M948" s="116">
        <v>436.4</v>
      </c>
      <c r="N948" s="116">
        <v>441</v>
      </c>
      <c r="O948" s="116">
        <v>427.85</v>
      </c>
      <c r="P948" s="116">
        <v>441</v>
      </c>
      <c r="Q948" s="116">
        <v>436.4</v>
      </c>
      <c r="R948">
        <v>8869</v>
      </c>
    </row>
    <row r="949" spans="1:18" x14ac:dyDescent="0.25">
      <c r="A949" s="169">
        <v>43399</v>
      </c>
      <c r="B949" s="116">
        <v>443.7</v>
      </c>
      <c r="C949" s="116">
        <v>435.7</v>
      </c>
      <c r="D949" s="116">
        <v>433.5</v>
      </c>
      <c r="E949" s="116">
        <v>443.7</v>
      </c>
      <c r="F949" s="116">
        <v>435.7</v>
      </c>
      <c r="G949">
        <v>1083</v>
      </c>
      <c r="H949" s="116"/>
      <c r="I949" s="116"/>
      <c r="L949" s="169">
        <v>43399</v>
      </c>
      <c r="M949" s="116">
        <v>434.45</v>
      </c>
      <c r="N949" s="116">
        <v>444.45</v>
      </c>
      <c r="O949" s="116">
        <v>431.45</v>
      </c>
      <c r="P949" s="116">
        <v>437</v>
      </c>
      <c r="Q949" s="116">
        <v>434.45</v>
      </c>
      <c r="R949">
        <v>7521</v>
      </c>
    </row>
    <row r="950" spans="1:18" x14ac:dyDescent="0.25">
      <c r="A950" s="169">
        <v>43402</v>
      </c>
      <c r="B950" s="116">
        <v>465</v>
      </c>
      <c r="C950" s="116">
        <v>454.4</v>
      </c>
      <c r="D950" s="116">
        <v>432</v>
      </c>
      <c r="E950" s="116">
        <v>436</v>
      </c>
      <c r="F950" s="116">
        <v>454.4</v>
      </c>
      <c r="G950">
        <v>6829</v>
      </c>
      <c r="H950" s="116"/>
      <c r="I950" s="116"/>
      <c r="L950" s="169">
        <v>43402</v>
      </c>
      <c r="M950" s="116">
        <v>453.85</v>
      </c>
      <c r="N950" s="116">
        <v>469.65</v>
      </c>
      <c r="O950" s="116">
        <v>427.75</v>
      </c>
      <c r="P950" s="116">
        <v>433.25</v>
      </c>
      <c r="Q950" s="116">
        <v>453.85</v>
      </c>
      <c r="R950">
        <v>30156</v>
      </c>
    </row>
    <row r="951" spans="1:18" x14ac:dyDescent="0.25">
      <c r="A951" s="169">
        <v>43403</v>
      </c>
      <c r="B951" s="116">
        <v>460.45</v>
      </c>
      <c r="C951" s="116">
        <v>453.8</v>
      </c>
      <c r="D951" s="116">
        <v>445.1</v>
      </c>
      <c r="E951" s="116">
        <v>451.8</v>
      </c>
      <c r="F951" s="116">
        <v>453.8</v>
      </c>
      <c r="G951">
        <v>1810</v>
      </c>
      <c r="H951" s="116"/>
      <c r="I951" s="116"/>
      <c r="L951" s="169">
        <v>43403</v>
      </c>
      <c r="M951" s="116">
        <v>452.6</v>
      </c>
      <c r="N951" s="116">
        <v>461.85</v>
      </c>
      <c r="O951" s="116">
        <v>442.2</v>
      </c>
      <c r="P951" s="116">
        <v>453.85</v>
      </c>
      <c r="Q951" s="116">
        <v>452.6</v>
      </c>
      <c r="R951">
        <v>12161</v>
      </c>
    </row>
    <row r="952" spans="1:18" x14ac:dyDescent="0.25">
      <c r="A952" s="169">
        <v>43404</v>
      </c>
      <c r="B952" s="116">
        <v>465</v>
      </c>
      <c r="C952" s="116">
        <v>457.6</v>
      </c>
      <c r="D952" s="116">
        <v>452.5</v>
      </c>
      <c r="E952" s="116">
        <v>458.85</v>
      </c>
      <c r="F952" s="116">
        <v>457.6</v>
      </c>
      <c r="G952">
        <v>1809</v>
      </c>
      <c r="H952" s="116"/>
      <c r="I952" s="116"/>
      <c r="L952" s="169">
        <v>43404</v>
      </c>
      <c r="M952" s="116">
        <v>453.95</v>
      </c>
      <c r="N952" s="116">
        <v>472.55</v>
      </c>
      <c r="O952" s="116">
        <v>450</v>
      </c>
      <c r="P952" s="116">
        <v>459.5</v>
      </c>
      <c r="Q952" s="116">
        <v>453.95</v>
      </c>
      <c r="R952">
        <v>17750</v>
      </c>
    </row>
    <row r="953" spans="1:18" x14ac:dyDescent="0.25">
      <c r="A953" s="169">
        <v>43405</v>
      </c>
      <c r="B953" s="116">
        <v>452</v>
      </c>
      <c r="C953" s="116">
        <v>432.4</v>
      </c>
      <c r="D953" s="116">
        <v>431.05</v>
      </c>
      <c r="E953" s="116">
        <v>450</v>
      </c>
      <c r="F953" s="116">
        <v>432.4</v>
      </c>
      <c r="G953">
        <v>6994</v>
      </c>
      <c r="H953" s="116"/>
      <c r="I953" s="116"/>
      <c r="L953" s="169">
        <v>43405</v>
      </c>
      <c r="M953" s="116">
        <v>431.6</v>
      </c>
      <c r="N953" s="116">
        <v>451.15</v>
      </c>
      <c r="O953" s="116">
        <v>429.35</v>
      </c>
      <c r="P953" s="116">
        <v>447</v>
      </c>
      <c r="Q953" s="116">
        <v>431.6</v>
      </c>
      <c r="R953">
        <v>98676</v>
      </c>
    </row>
    <row r="954" spans="1:18" x14ac:dyDescent="0.25">
      <c r="A954" s="169">
        <v>43406</v>
      </c>
      <c r="B954" s="116">
        <v>457.8</v>
      </c>
      <c r="C954" s="116">
        <v>443.4</v>
      </c>
      <c r="D954" s="116">
        <v>437</v>
      </c>
      <c r="E954" s="116">
        <v>439.7</v>
      </c>
      <c r="F954" s="116">
        <v>443.4</v>
      </c>
      <c r="G954">
        <v>10288</v>
      </c>
      <c r="H954" s="116"/>
      <c r="I954" s="116"/>
      <c r="L954" s="169">
        <v>43406</v>
      </c>
      <c r="M954" s="116">
        <v>440.3</v>
      </c>
      <c r="N954" s="116">
        <v>458</v>
      </c>
      <c r="O954" s="116">
        <v>433</v>
      </c>
      <c r="P954" s="116">
        <v>433</v>
      </c>
      <c r="Q954" s="116">
        <v>440.3</v>
      </c>
      <c r="R954">
        <v>70994</v>
      </c>
    </row>
    <row r="955" spans="1:18" x14ac:dyDescent="0.25">
      <c r="A955" s="169">
        <v>43409</v>
      </c>
      <c r="B955" s="116">
        <v>453.1</v>
      </c>
      <c r="C955" s="116">
        <v>437</v>
      </c>
      <c r="D955" s="116">
        <v>433.6</v>
      </c>
      <c r="E955" s="116">
        <v>444.95</v>
      </c>
      <c r="F955" s="116">
        <v>437</v>
      </c>
      <c r="G955">
        <v>4208</v>
      </c>
      <c r="H955" s="116"/>
      <c r="I955" s="116"/>
      <c r="L955" s="169">
        <v>43409</v>
      </c>
      <c r="M955" s="116">
        <v>434.95</v>
      </c>
      <c r="N955" s="116">
        <v>452.9</v>
      </c>
      <c r="O955" s="116">
        <v>433.2</v>
      </c>
      <c r="P955" s="116">
        <v>445</v>
      </c>
      <c r="Q955" s="116">
        <v>434.95</v>
      </c>
      <c r="R955">
        <v>30359</v>
      </c>
    </row>
    <row r="956" spans="1:18" x14ac:dyDescent="0.25">
      <c r="A956" s="169">
        <v>43410</v>
      </c>
      <c r="B956" s="116">
        <v>442.85</v>
      </c>
      <c r="C956" s="116">
        <v>438.55</v>
      </c>
      <c r="D956" s="116">
        <v>432.2</v>
      </c>
      <c r="E956" s="116">
        <v>432.2</v>
      </c>
      <c r="F956" s="116">
        <v>438.55</v>
      </c>
      <c r="G956">
        <v>3529</v>
      </c>
      <c r="H956" s="116"/>
      <c r="I956" s="116"/>
      <c r="L956" s="169">
        <v>43410</v>
      </c>
      <c r="M956" s="116">
        <v>437.8</v>
      </c>
      <c r="N956" s="116">
        <v>443</v>
      </c>
      <c r="O956" s="116">
        <v>434.55</v>
      </c>
      <c r="P956" s="116">
        <v>438.45</v>
      </c>
      <c r="Q956" s="116">
        <v>437.8</v>
      </c>
      <c r="R956">
        <v>11977</v>
      </c>
    </row>
    <row r="957" spans="1:18" x14ac:dyDescent="0.25">
      <c r="A957" s="169">
        <v>43411</v>
      </c>
      <c r="B957" s="116">
        <v>449</v>
      </c>
      <c r="C957" s="116">
        <v>447.6</v>
      </c>
      <c r="D957" s="116">
        <v>440</v>
      </c>
      <c r="E957" s="116">
        <v>440</v>
      </c>
      <c r="F957" s="116">
        <v>447.6</v>
      </c>
      <c r="G957">
        <v>1463</v>
      </c>
      <c r="H957" s="116"/>
      <c r="I957" s="116"/>
      <c r="L957" s="169">
        <v>43411</v>
      </c>
      <c r="M957" s="116">
        <v>445.9</v>
      </c>
      <c r="N957" s="116">
        <v>449.7</v>
      </c>
      <c r="O957" s="116">
        <v>439.8</v>
      </c>
      <c r="P957" s="116">
        <v>439.8</v>
      </c>
      <c r="Q957" s="116">
        <v>445.9</v>
      </c>
      <c r="R957">
        <v>7127</v>
      </c>
    </row>
    <row r="958" spans="1:18" x14ac:dyDescent="0.25">
      <c r="A958" s="169">
        <v>43413</v>
      </c>
      <c r="B958" s="116">
        <v>452.6</v>
      </c>
      <c r="C958" s="116">
        <v>444.6</v>
      </c>
      <c r="D958" s="116">
        <v>437.95</v>
      </c>
      <c r="E958" s="116">
        <v>452.6</v>
      </c>
      <c r="F958" s="116">
        <v>444.6</v>
      </c>
      <c r="G958">
        <v>4305</v>
      </c>
      <c r="H958" s="116"/>
      <c r="I958" s="116"/>
      <c r="L958" s="169">
        <v>43413</v>
      </c>
      <c r="M958" s="116">
        <v>445.25</v>
      </c>
      <c r="N958" s="116">
        <v>453</v>
      </c>
      <c r="O958" s="116">
        <v>438</v>
      </c>
      <c r="P958" s="116">
        <v>453</v>
      </c>
      <c r="Q958" s="116">
        <v>445.25</v>
      </c>
      <c r="R958">
        <v>59819</v>
      </c>
    </row>
    <row r="959" spans="1:18" x14ac:dyDescent="0.25">
      <c r="A959" s="169">
        <v>43416</v>
      </c>
      <c r="B959" s="116">
        <v>476.5</v>
      </c>
      <c r="C959" s="116">
        <v>464.9</v>
      </c>
      <c r="D959" s="116">
        <v>448.25</v>
      </c>
      <c r="E959" s="116">
        <v>451</v>
      </c>
      <c r="F959" s="116">
        <v>464.9</v>
      </c>
      <c r="G959">
        <v>9616</v>
      </c>
      <c r="H959" s="116"/>
      <c r="I959" s="116"/>
      <c r="L959" s="169">
        <v>43416</v>
      </c>
      <c r="M959" s="116">
        <v>464.15</v>
      </c>
      <c r="N959" s="116">
        <v>477.05</v>
      </c>
      <c r="O959" s="116">
        <v>445.5</v>
      </c>
      <c r="P959" s="116">
        <v>449.9</v>
      </c>
      <c r="Q959" s="116">
        <v>464.15</v>
      </c>
      <c r="R959">
        <v>54571</v>
      </c>
    </row>
    <row r="960" spans="1:18" x14ac:dyDescent="0.25">
      <c r="A960" s="169">
        <v>43417</v>
      </c>
      <c r="B960" s="116">
        <v>484</v>
      </c>
      <c r="C960" s="116">
        <v>467.55</v>
      </c>
      <c r="D960" s="116">
        <v>464</v>
      </c>
      <c r="E960" s="116">
        <v>484</v>
      </c>
      <c r="F960" s="116">
        <v>467.55</v>
      </c>
      <c r="G960">
        <v>2797</v>
      </c>
      <c r="H960" s="116"/>
      <c r="I960" s="116"/>
      <c r="L960" s="169">
        <v>43417</v>
      </c>
      <c r="M960" s="116">
        <v>470.25</v>
      </c>
      <c r="N960" s="116">
        <v>474.7</v>
      </c>
      <c r="O960" s="116">
        <v>461.35</v>
      </c>
      <c r="P960" s="116">
        <v>466.9</v>
      </c>
      <c r="Q960" s="116">
        <v>470.25</v>
      </c>
      <c r="R960">
        <v>14235</v>
      </c>
    </row>
    <row r="961" spans="1:18" x14ac:dyDescent="0.25">
      <c r="A961" s="169">
        <v>43418</v>
      </c>
      <c r="B961" s="116">
        <v>490</v>
      </c>
      <c r="C961" s="116">
        <v>479.9</v>
      </c>
      <c r="D961" s="116">
        <v>464.9</v>
      </c>
      <c r="E961" s="116">
        <v>465.05</v>
      </c>
      <c r="F961" s="116">
        <v>479.9</v>
      </c>
      <c r="G961">
        <v>5821</v>
      </c>
      <c r="H961" s="116"/>
      <c r="I961" s="116"/>
      <c r="L961" s="169">
        <v>43418</v>
      </c>
      <c r="M961" s="116">
        <v>479.95</v>
      </c>
      <c r="N961" s="116">
        <v>489.9</v>
      </c>
      <c r="O961" s="116">
        <v>462</v>
      </c>
      <c r="P961" s="116">
        <v>469.15</v>
      </c>
      <c r="Q961" s="116">
        <v>479.95</v>
      </c>
      <c r="R961">
        <v>24612</v>
      </c>
    </row>
    <row r="962" spans="1:18" x14ac:dyDescent="0.25">
      <c r="A962" s="169">
        <v>43419</v>
      </c>
      <c r="B962" s="116">
        <v>485.85</v>
      </c>
      <c r="C962" s="116">
        <v>470.8</v>
      </c>
      <c r="D962" s="116">
        <v>468</v>
      </c>
      <c r="E962" s="116">
        <v>475</v>
      </c>
      <c r="F962" s="116">
        <v>470.8</v>
      </c>
      <c r="G962">
        <v>1395</v>
      </c>
      <c r="H962" s="116"/>
      <c r="I962" s="116"/>
      <c r="L962" s="169">
        <v>43419</v>
      </c>
      <c r="M962" s="116">
        <v>471.55</v>
      </c>
      <c r="N962" s="116">
        <v>484</v>
      </c>
      <c r="O962" s="116">
        <v>468.05</v>
      </c>
      <c r="P962" s="116">
        <v>478.9</v>
      </c>
      <c r="Q962" s="116">
        <v>471.55</v>
      </c>
      <c r="R962">
        <v>10068</v>
      </c>
    </row>
    <row r="963" spans="1:18" x14ac:dyDescent="0.25">
      <c r="A963" s="169">
        <v>43420</v>
      </c>
      <c r="B963" s="116">
        <v>514</v>
      </c>
      <c r="C963" s="116">
        <v>488.75</v>
      </c>
      <c r="D963" s="116">
        <v>467.1</v>
      </c>
      <c r="E963" s="116">
        <v>472.4</v>
      </c>
      <c r="F963" s="116">
        <v>488.75</v>
      </c>
      <c r="G963">
        <v>11036</v>
      </c>
      <c r="H963" s="116"/>
      <c r="I963" s="116"/>
      <c r="L963" s="169">
        <v>43420</v>
      </c>
      <c r="M963" s="116">
        <v>489.65</v>
      </c>
      <c r="N963" s="116">
        <v>516</v>
      </c>
      <c r="O963" s="116">
        <v>465.3</v>
      </c>
      <c r="P963" s="116">
        <v>465.3</v>
      </c>
      <c r="Q963" s="116">
        <v>489.65</v>
      </c>
      <c r="R963">
        <v>102044</v>
      </c>
    </row>
    <row r="964" spans="1:18" x14ac:dyDescent="0.25">
      <c r="A964" s="169">
        <v>43423</v>
      </c>
      <c r="B964" s="116">
        <v>513</v>
      </c>
      <c r="C964" s="116">
        <v>496</v>
      </c>
      <c r="D964" s="116">
        <v>494.15</v>
      </c>
      <c r="E964" s="116">
        <v>497.25</v>
      </c>
      <c r="F964" s="116">
        <v>496</v>
      </c>
      <c r="G964">
        <v>8782</v>
      </c>
      <c r="H964" s="116"/>
      <c r="I964" s="116"/>
      <c r="L964" s="169">
        <v>43423</v>
      </c>
      <c r="M964" s="116">
        <v>496.3</v>
      </c>
      <c r="N964" s="116">
        <v>514.5</v>
      </c>
      <c r="O964" s="116">
        <v>492</v>
      </c>
      <c r="P964" s="116">
        <v>492</v>
      </c>
      <c r="Q964" s="116">
        <v>496.3</v>
      </c>
      <c r="R964">
        <v>65451</v>
      </c>
    </row>
    <row r="965" spans="1:18" x14ac:dyDescent="0.25">
      <c r="A965" s="169">
        <v>43424</v>
      </c>
      <c r="B965" s="116">
        <v>495</v>
      </c>
      <c r="C965" s="116">
        <v>481.55</v>
      </c>
      <c r="D965" s="116">
        <v>479.2</v>
      </c>
      <c r="E965" s="116">
        <v>495</v>
      </c>
      <c r="F965" s="116">
        <v>481.55</v>
      </c>
      <c r="G965">
        <v>2476</v>
      </c>
      <c r="H965" s="116"/>
      <c r="I965" s="116"/>
      <c r="L965" s="169">
        <v>43424</v>
      </c>
      <c r="M965" s="116">
        <v>481.25</v>
      </c>
      <c r="N965" s="116">
        <v>497.85</v>
      </c>
      <c r="O965" s="116">
        <v>480</v>
      </c>
      <c r="P965" s="116">
        <v>494.5</v>
      </c>
      <c r="Q965" s="116">
        <v>481.25</v>
      </c>
      <c r="R965">
        <v>17711</v>
      </c>
    </row>
    <row r="966" spans="1:18" x14ac:dyDescent="0.25">
      <c r="A966" s="169">
        <v>43425</v>
      </c>
      <c r="B966" s="116">
        <v>485.5</v>
      </c>
      <c r="C966" s="116">
        <v>477.2</v>
      </c>
      <c r="D966" s="116">
        <v>470</v>
      </c>
      <c r="E966" s="116">
        <v>482.7</v>
      </c>
      <c r="F966" s="116">
        <v>477.2</v>
      </c>
      <c r="G966">
        <v>3075</v>
      </c>
      <c r="H966" s="116"/>
      <c r="I966" s="116"/>
      <c r="L966" s="169">
        <v>43425</v>
      </c>
      <c r="M966" s="116">
        <v>479.45</v>
      </c>
      <c r="N966" s="116">
        <v>484.7</v>
      </c>
      <c r="O966" s="116">
        <v>470</v>
      </c>
      <c r="P966" s="116">
        <v>478.05</v>
      </c>
      <c r="Q966" s="116">
        <v>479.45</v>
      </c>
      <c r="R966">
        <v>14368</v>
      </c>
    </row>
    <row r="967" spans="1:18" x14ac:dyDescent="0.25">
      <c r="A967" s="169">
        <v>43426</v>
      </c>
      <c r="B967" s="116">
        <v>485</v>
      </c>
      <c r="C967" s="116">
        <v>468.15</v>
      </c>
      <c r="D967" s="116">
        <v>465</v>
      </c>
      <c r="E967" s="116">
        <v>483</v>
      </c>
      <c r="F967" s="116">
        <v>468.15</v>
      </c>
      <c r="G967">
        <v>2755</v>
      </c>
      <c r="H967" s="116"/>
      <c r="I967" s="116"/>
      <c r="L967" s="169">
        <v>43426</v>
      </c>
      <c r="M967" s="116">
        <v>469.2</v>
      </c>
      <c r="N967" s="116">
        <v>486.55</v>
      </c>
      <c r="O967" s="116">
        <v>462.5</v>
      </c>
      <c r="P967" s="116">
        <v>482</v>
      </c>
      <c r="Q967" s="116">
        <v>469.2</v>
      </c>
      <c r="R967">
        <v>19843</v>
      </c>
    </row>
    <row r="968" spans="1:18" x14ac:dyDescent="0.25">
      <c r="A968" s="169">
        <v>43430</v>
      </c>
      <c r="B968" s="116">
        <v>473.85</v>
      </c>
      <c r="C968" s="116">
        <v>460.3</v>
      </c>
      <c r="D968" s="116">
        <v>455</v>
      </c>
      <c r="E968" s="116">
        <v>469.4</v>
      </c>
      <c r="F968" s="116">
        <v>460.3</v>
      </c>
      <c r="G968">
        <v>795</v>
      </c>
      <c r="H968" s="116"/>
      <c r="I968" s="116"/>
      <c r="L968" s="169">
        <v>43430</v>
      </c>
      <c r="M968" s="116">
        <v>461.35</v>
      </c>
      <c r="N968" s="116">
        <v>473.9</v>
      </c>
      <c r="O968" s="116">
        <v>459.05</v>
      </c>
      <c r="P968" s="116">
        <v>461</v>
      </c>
      <c r="Q968" s="116">
        <v>461.35</v>
      </c>
      <c r="R968">
        <v>7937</v>
      </c>
    </row>
    <row r="969" spans="1:18" x14ac:dyDescent="0.25">
      <c r="A969" s="169">
        <v>43431</v>
      </c>
      <c r="B969" s="116">
        <v>467.6</v>
      </c>
      <c r="C969" s="116">
        <v>465.15</v>
      </c>
      <c r="D969" s="116">
        <v>461</v>
      </c>
      <c r="E969" s="116">
        <v>461.05</v>
      </c>
      <c r="F969" s="116">
        <v>465.15</v>
      </c>
      <c r="G969">
        <v>565</v>
      </c>
      <c r="H969" s="116"/>
      <c r="I969" s="116"/>
      <c r="L969" s="169">
        <v>43431</v>
      </c>
      <c r="M969" s="116">
        <v>465.25</v>
      </c>
      <c r="N969" s="116">
        <v>469</v>
      </c>
      <c r="O969" s="116">
        <v>455</v>
      </c>
      <c r="P969" s="116">
        <v>459</v>
      </c>
      <c r="Q969" s="116">
        <v>465.25</v>
      </c>
      <c r="R969">
        <v>10026</v>
      </c>
    </row>
    <row r="970" spans="1:18" x14ac:dyDescent="0.25">
      <c r="A970" s="169">
        <v>43432</v>
      </c>
      <c r="B970" s="116">
        <v>470</v>
      </c>
      <c r="C970" s="116">
        <v>456.65</v>
      </c>
      <c r="D970" s="116">
        <v>455</v>
      </c>
      <c r="E970" s="116">
        <v>466</v>
      </c>
      <c r="F970" s="116">
        <v>456.65</v>
      </c>
      <c r="G970">
        <v>1149</v>
      </c>
      <c r="H970" s="116"/>
      <c r="I970" s="116"/>
      <c r="L970" s="169">
        <v>43432</v>
      </c>
      <c r="M970" s="116">
        <v>457</v>
      </c>
      <c r="N970" s="116">
        <v>469.7</v>
      </c>
      <c r="O970" s="116">
        <v>455.4</v>
      </c>
      <c r="P970" s="116">
        <v>469.7</v>
      </c>
      <c r="Q970" s="116">
        <v>457</v>
      </c>
      <c r="R970">
        <v>11341</v>
      </c>
    </row>
    <row r="971" spans="1:18" x14ac:dyDescent="0.25">
      <c r="A971" s="169">
        <v>43433</v>
      </c>
      <c r="B971" s="116">
        <v>465.9</v>
      </c>
      <c r="C971" s="116">
        <v>458.8</v>
      </c>
      <c r="D971" s="116">
        <v>455.05</v>
      </c>
      <c r="E971" s="116">
        <v>458.3</v>
      </c>
      <c r="F971" s="116">
        <v>458.8</v>
      </c>
      <c r="G971">
        <v>1005</v>
      </c>
      <c r="H971" s="116"/>
      <c r="I971" s="116"/>
      <c r="L971" s="169">
        <v>43433</v>
      </c>
      <c r="M971" s="116">
        <v>457.9</v>
      </c>
      <c r="N971" s="116">
        <v>467</v>
      </c>
      <c r="O971" s="116">
        <v>455</v>
      </c>
      <c r="P971" s="116">
        <v>455</v>
      </c>
      <c r="Q971" s="116">
        <v>457.9</v>
      </c>
      <c r="R971">
        <v>12169</v>
      </c>
    </row>
    <row r="972" spans="1:18" x14ac:dyDescent="0.25">
      <c r="A972" s="169">
        <v>43434</v>
      </c>
      <c r="B972" s="116">
        <v>463.4</v>
      </c>
      <c r="C972" s="116">
        <v>461.75</v>
      </c>
      <c r="D972" s="116">
        <v>450</v>
      </c>
      <c r="E972" s="116">
        <v>452.05</v>
      </c>
      <c r="F972" s="116">
        <v>461.75</v>
      </c>
      <c r="G972">
        <v>1196</v>
      </c>
      <c r="H972" s="116"/>
      <c r="I972" s="116"/>
      <c r="L972" s="169">
        <v>43434</v>
      </c>
      <c r="M972" s="116">
        <v>461.05</v>
      </c>
      <c r="N972" s="116">
        <v>463.9</v>
      </c>
      <c r="O972" s="116">
        <v>451.95</v>
      </c>
      <c r="P972" s="116">
        <v>460</v>
      </c>
      <c r="Q972" s="116">
        <v>461.05</v>
      </c>
      <c r="R972">
        <v>11353</v>
      </c>
    </row>
    <row r="973" spans="1:18" x14ac:dyDescent="0.25">
      <c r="A973" s="169">
        <v>43437</v>
      </c>
      <c r="B973" s="116">
        <v>462.6</v>
      </c>
      <c r="C973" s="116">
        <v>453.55</v>
      </c>
      <c r="D973" s="116">
        <v>452.15</v>
      </c>
      <c r="E973" s="116">
        <v>461.95</v>
      </c>
      <c r="F973" s="116">
        <v>453.55</v>
      </c>
      <c r="G973">
        <v>2404</v>
      </c>
      <c r="H973" s="116"/>
      <c r="I973" s="116"/>
      <c r="L973" s="169">
        <v>43437</v>
      </c>
      <c r="M973" s="116">
        <v>453.75</v>
      </c>
      <c r="N973" s="116">
        <v>462.95</v>
      </c>
      <c r="O973" s="116">
        <v>450.05</v>
      </c>
      <c r="P973" s="116">
        <v>455.15</v>
      </c>
      <c r="Q973" s="116">
        <v>453.75</v>
      </c>
      <c r="R973">
        <v>6908</v>
      </c>
    </row>
    <row r="974" spans="1:18" x14ac:dyDescent="0.25">
      <c r="A974" s="169">
        <v>43438</v>
      </c>
      <c r="B974" s="116">
        <v>470</v>
      </c>
      <c r="C974" s="116">
        <v>458.3</v>
      </c>
      <c r="D974" s="116">
        <v>453.55</v>
      </c>
      <c r="E974" s="116">
        <v>457.85</v>
      </c>
      <c r="F974" s="116">
        <v>458.3</v>
      </c>
      <c r="G974">
        <v>1454</v>
      </c>
      <c r="H974" s="116"/>
      <c r="I974" s="116"/>
      <c r="L974" s="169">
        <v>43438</v>
      </c>
      <c r="M974" s="116">
        <v>458</v>
      </c>
      <c r="N974" s="116">
        <v>464.85</v>
      </c>
      <c r="O974" s="116">
        <v>454</v>
      </c>
      <c r="P974" s="116">
        <v>454</v>
      </c>
      <c r="Q974" s="116">
        <v>458</v>
      </c>
      <c r="R974">
        <v>8673</v>
      </c>
    </row>
    <row r="975" spans="1:18" x14ac:dyDescent="0.25">
      <c r="A975" s="169">
        <v>43439</v>
      </c>
      <c r="B975" s="116">
        <v>468.5</v>
      </c>
      <c r="C975" s="116">
        <v>451</v>
      </c>
      <c r="D975" s="116">
        <v>445.05</v>
      </c>
      <c r="E975" s="116">
        <v>453.9</v>
      </c>
      <c r="F975" s="116">
        <v>451</v>
      </c>
      <c r="G975">
        <v>2671</v>
      </c>
      <c r="H975" s="116"/>
      <c r="I975" s="116"/>
      <c r="L975" s="169">
        <v>43439</v>
      </c>
      <c r="M975" s="116">
        <v>452.45</v>
      </c>
      <c r="N975" s="116">
        <v>461.7</v>
      </c>
      <c r="O975" s="116">
        <v>445.05</v>
      </c>
      <c r="P975" s="116">
        <v>454.35</v>
      </c>
      <c r="Q975" s="116">
        <v>452.45</v>
      </c>
      <c r="R975">
        <v>8268</v>
      </c>
    </row>
    <row r="976" spans="1:18" x14ac:dyDescent="0.25">
      <c r="A976" s="169">
        <v>43440</v>
      </c>
      <c r="B976" s="116">
        <v>450.3</v>
      </c>
      <c r="C976" s="116">
        <v>444.15</v>
      </c>
      <c r="D976" s="116">
        <v>443.1</v>
      </c>
      <c r="E976" s="116">
        <v>445.6</v>
      </c>
      <c r="F976" s="116">
        <v>444.15</v>
      </c>
      <c r="G976">
        <v>787</v>
      </c>
      <c r="H976" s="116"/>
      <c r="I976" s="116"/>
      <c r="L976" s="169">
        <v>43440</v>
      </c>
      <c r="M976" s="116">
        <v>443.25</v>
      </c>
      <c r="N976" s="116">
        <v>452</v>
      </c>
      <c r="O976" s="116">
        <v>441.7</v>
      </c>
      <c r="P976" s="116">
        <v>446</v>
      </c>
      <c r="Q976" s="116">
        <v>443.25</v>
      </c>
      <c r="R976">
        <v>8857</v>
      </c>
    </row>
    <row r="977" spans="1:18" x14ac:dyDescent="0.25">
      <c r="A977" s="169">
        <v>43441</v>
      </c>
      <c r="B977" s="116">
        <v>448.15</v>
      </c>
      <c r="C977" s="116">
        <v>444.75</v>
      </c>
      <c r="D977" s="116">
        <v>440.1</v>
      </c>
      <c r="E977" s="116">
        <v>446.5</v>
      </c>
      <c r="F977" s="116">
        <v>444.75</v>
      </c>
      <c r="G977">
        <v>2077</v>
      </c>
      <c r="H977" s="116"/>
      <c r="I977" s="116"/>
      <c r="L977" s="169">
        <v>43441</v>
      </c>
      <c r="M977" s="116">
        <v>442.65</v>
      </c>
      <c r="N977" s="116">
        <v>447.75</v>
      </c>
      <c r="O977" s="116">
        <v>440</v>
      </c>
      <c r="P977" s="116">
        <v>446</v>
      </c>
      <c r="Q977" s="116">
        <v>442.65</v>
      </c>
      <c r="R977">
        <v>7598</v>
      </c>
    </row>
    <row r="978" spans="1:18" x14ac:dyDescent="0.25">
      <c r="A978" s="169">
        <v>43444</v>
      </c>
      <c r="B978" s="116">
        <v>439.95</v>
      </c>
      <c r="C978" s="116">
        <v>431.7</v>
      </c>
      <c r="D978" s="116">
        <v>424</v>
      </c>
      <c r="E978" s="116">
        <v>424</v>
      </c>
      <c r="F978" s="116">
        <v>431.7</v>
      </c>
      <c r="G978">
        <v>740</v>
      </c>
      <c r="H978" s="116"/>
      <c r="I978" s="116"/>
      <c r="L978" s="169">
        <v>43444</v>
      </c>
      <c r="M978" s="116">
        <v>430.55</v>
      </c>
      <c r="N978" s="116">
        <v>441.5</v>
      </c>
      <c r="O978" s="116">
        <v>429.9</v>
      </c>
      <c r="P978" s="116">
        <v>438.1</v>
      </c>
      <c r="Q978" s="116">
        <v>430.55</v>
      </c>
      <c r="R978">
        <v>9177</v>
      </c>
    </row>
    <row r="979" spans="1:18" x14ac:dyDescent="0.25">
      <c r="A979" s="169">
        <v>43445</v>
      </c>
      <c r="B979" s="116">
        <v>440.65</v>
      </c>
      <c r="C979" s="116">
        <v>435.7</v>
      </c>
      <c r="D979" s="116">
        <v>424</v>
      </c>
      <c r="E979" s="116">
        <v>425</v>
      </c>
      <c r="F979" s="116">
        <v>435.7</v>
      </c>
      <c r="G979">
        <v>1239</v>
      </c>
      <c r="H979" s="116"/>
      <c r="I979" s="116"/>
      <c r="L979" s="169">
        <v>43445</v>
      </c>
      <c r="M979" s="116">
        <v>437.7</v>
      </c>
      <c r="N979" s="116">
        <v>442.75</v>
      </c>
      <c r="O979" s="116">
        <v>421.95</v>
      </c>
      <c r="P979" s="116">
        <v>422</v>
      </c>
      <c r="Q979" s="116">
        <v>437.7</v>
      </c>
      <c r="R979">
        <v>12043</v>
      </c>
    </row>
    <row r="980" spans="1:18" x14ac:dyDescent="0.25">
      <c r="A980" s="169">
        <v>43446</v>
      </c>
      <c r="B980" s="116">
        <v>453.45</v>
      </c>
      <c r="C980" s="116">
        <v>444.85</v>
      </c>
      <c r="D980" s="116">
        <v>441.35</v>
      </c>
      <c r="E980" s="116">
        <v>441.35</v>
      </c>
      <c r="F980" s="116">
        <v>444.85</v>
      </c>
      <c r="G980">
        <v>2996</v>
      </c>
      <c r="H980" s="116"/>
      <c r="I980" s="116"/>
      <c r="L980" s="169">
        <v>43446</v>
      </c>
      <c r="M980" s="116">
        <v>447.3</v>
      </c>
      <c r="N980" s="116">
        <v>455.75</v>
      </c>
      <c r="O980" s="116">
        <v>439.85</v>
      </c>
      <c r="P980" s="116">
        <v>440</v>
      </c>
      <c r="Q980" s="116">
        <v>447.3</v>
      </c>
      <c r="R980">
        <v>13726</v>
      </c>
    </row>
    <row r="981" spans="1:18" x14ac:dyDescent="0.25">
      <c r="A981" s="169">
        <v>43447</v>
      </c>
      <c r="B981" s="116">
        <v>460</v>
      </c>
      <c r="C981" s="116">
        <v>446.2</v>
      </c>
      <c r="D981" s="116">
        <v>444.2</v>
      </c>
      <c r="E981" s="116">
        <v>444.2</v>
      </c>
      <c r="F981" s="116">
        <v>446.2</v>
      </c>
      <c r="G981">
        <v>2544</v>
      </c>
      <c r="H981" s="116"/>
      <c r="I981" s="116"/>
      <c r="L981" s="169">
        <v>43447</v>
      </c>
      <c r="M981" s="116">
        <v>446.8</v>
      </c>
      <c r="N981" s="116">
        <v>460.75</v>
      </c>
      <c r="O981" s="116">
        <v>445</v>
      </c>
      <c r="P981" s="116">
        <v>447</v>
      </c>
      <c r="Q981" s="116">
        <v>446.8</v>
      </c>
      <c r="R981">
        <v>15008</v>
      </c>
    </row>
    <row r="982" spans="1:18" x14ac:dyDescent="0.25">
      <c r="A982" s="169">
        <v>43448</v>
      </c>
      <c r="B982" s="116">
        <v>455.55</v>
      </c>
      <c r="C982" s="116">
        <v>448.4</v>
      </c>
      <c r="D982" s="116">
        <v>444</v>
      </c>
      <c r="E982" s="116">
        <v>445.45</v>
      </c>
      <c r="F982" s="116">
        <v>448.4</v>
      </c>
      <c r="G982">
        <v>934</v>
      </c>
      <c r="H982" s="116"/>
      <c r="I982" s="116"/>
      <c r="L982" s="169">
        <v>43448</v>
      </c>
      <c r="M982" s="116">
        <v>448.3</v>
      </c>
      <c r="N982" s="116">
        <v>452.95</v>
      </c>
      <c r="O982" s="116">
        <v>445.45</v>
      </c>
      <c r="P982" s="116">
        <v>445.45</v>
      </c>
      <c r="Q982" s="116">
        <v>448.3</v>
      </c>
      <c r="R982">
        <v>7505</v>
      </c>
    </row>
    <row r="983" spans="1:18" x14ac:dyDescent="0.25">
      <c r="A983" s="169">
        <v>43451</v>
      </c>
      <c r="B983" s="116">
        <v>460.35</v>
      </c>
      <c r="C983" s="116">
        <v>449.65</v>
      </c>
      <c r="D983" s="116">
        <v>445</v>
      </c>
      <c r="E983" s="116">
        <v>451.7</v>
      </c>
      <c r="F983" s="116">
        <v>449.65</v>
      </c>
      <c r="G983">
        <v>661</v>
      </c>
      <c r="H983" s="116"/>
      <c r="I983" s="116"/>
      <c r="L983" s="169">
        <v>43451</v>
      </c>
      <c r="M983" s="116">
        <v>448.05</v>
      </c>
      <c r="N983" s="116">
        <v>460.95</v>
      </c>
      <c r="O983" s="116">
        <v>445.3</v>
      </c>
      <c r="P983" s="116">
        <v>452.65</v>
      </c>
      <c r="Q983" s="116">
        <v>448.05</v>
      </c>
      <c r="R983">
        <v>10037</v>
      </c>
    </row>
    <row r="984" spans="1:18" x14ac:dyDescent="0.25">
      <c r="A984" s="169">
        <v>43452</v>
      </c>
      <c r="B984" s="116">
        <v>456.75</v>
      </c>
      <c r="C984" s="116">
        <v>455.75</v>
      </c>
      <c r="D984" s="116">
        <v>454</v>
      </c>
      <c r="E984" s="116">
        <v>454</v>
      </c>
      <c r="F984" s="116">
        <v>455.75</v>
      </c>
      <c r="G984">
        <v>236</v>
      </c>
      <c r="H984" s="116"/>
      <c r="I984" s="116"/>
      <c r="L984" s="169">
        <v>43452</v>
      </c>
      <c r="M984" s="116">
        <v>457.25</v>
      </c>
      <c r="N984" s="116">
        <v>459</v>
      </c>
      <c r="O984" s="116">
        <v>445.35</v>
      </c>
      <c r="P984" s="116">
        <v>445.35</v>
      </c>
      <c r="Q984" s="116">
        <v>457.25</v>
      </c>
      <c r="R984">
        <v>7802</v>
      </c>
    </row>
    <row r="985" spans="1:18" x14ac:dyDescent="0.25">
      <c r="A985" s="169">
        <v>43453</v>
      </c>
      <c r="B985" s="116">
        <v>474.6</v>
      </c>
      <c r="C985" s="116">
        <v>463.8</v>
      </c>
      <c r="D985" s="116">
        <v>457.5</v>
      </c>
      <c r="E985" s="116">
        <v>458</v>
      </c>
      <c r="F985" s="116">
        <v>463.8</v>
      </c>
      <c r="G985">
        <v>1631</v>
      </c>
      <c r="H985" s="116"/>
      <c r="I985" s="116"/>
      <c r="L985" s="169">
        <v>43453</v>
      </c>
      <c r="M985" s="116">
        <v>462.15</v>
      </c>
      <c r="N985" s="116">
        <v>475</v>
      </c>
      <c r="O985" s="116">
        <v>454.55</v>
      </c>
      <c r="P985" s="116">
        <v>454.55</v>
      </c>
      <c r="Q985" s="116">
        <v>462.15</v>
      </c>
      <c r="R985">
        <v>15067</v>
      </c>
    </row>
    <row r="986" spans="1:18" x14ac:dyDescent="0.25">
      <c r="A986" s="169">
        <v>43454</v>
      </c>
      <c r="B986" s="116">
        <v>464.45</v>
      </c>
      <c r="C986" s="116">
        <v>456.25</v>
      </c>
      <c r="D986" s="116">
        <v>450.7</v>
      </c>
      <c r="E986" s="116">
        <v>464.45</v>
      </c>
      <c r="F986" s="116">
        <v>456.25</v>
      </c>
      <c r="G986">
        <v>2158</v>
      </c>
      <c r="H986" s="116"/>
      <c r="I986" s="116"/>
      <c r="L986" s="169">
        <v>43454</v>
      </c>
      <c r="M986" s="116">
        <v>457.75</v>
      </c>
      <c r="N986" s="116">
        <v>466</v>
      </c>
      <c r="O986" s="116">
        <v>450</v>
      </c>
      <c r="P986" s="116">
        <v>462.2</v>
      </c>
      <c r="Q986" s="116">
        <v>457.75</v>
      </c>
      <c r="R986">
        <v>10414</v>
      </c>
    </row>
    <row r="987" spans="1:18" x14ac:dyDescent="0.25">
      <c r="A987" s="169">
        <v>43455</v>
      </c>
      <c r="B987" s="116">
        <v>460.85</v>
      </c>
      <c r="C987" s="116">
        <v>454.6</v>
      </c>
      <c r="D987" s="116">
        <v>445</v>
      </c>
      <c r="E987" s="116">
        <v>460.85</v>
      </c>
      <c r="F987" s="116">
        <v>454.6</v>
      </c>
      <c r="G987">
        <v>1322</v>
      </c>
      <c r="H987" s="116"/>
      <c r="I987" s="116"/>
      <c r="L987" s="169">
        <v>43455</v>
      </c>
      <c r="M987" s="116">
        <v>452.05</v>
      </c>
      <c r="N987" s="116">
        <v>461.45</v>
      </c>
      <c r="O987" s="116">
        <v>446.35</v>
      </c>
      <c r="P987" s="116">
        <v>461.2</v>
      </c>
      <c r="Q987" s="116">
        <v>452.05</v>
      </c>
      <c r="R987">
        <v>9736</v>
      </c>
    </row>
    <row r="988" spans="1:18" x14ac:dyDescent="0.25">
      <c r="A988" s="169">
        <v>43458</v>
      </c>
      <c r="B988" s="116">
        <v>459</v>
      </c>
      <c r="C988" s="116">
        <v>452.5</v>
      </c>
      <c r="D988" s="116">
        <v>448.15</v>
      </c>
      <c r="E988" s="116">
        <v>451.9</v>
      </c>
      <c r="F988" s="116">
        <v>452.5</v>
      </c>
      <c r="G988">
        <v>897</v>
      </c>
      <c r="H988" s="116"/>
      <c r="I988" s="116"/>
      <c r="L988" s="169">
        <v>43458</v>
      </c>
      <c r="M988" s="116">
        <v>451.1</v>
      </c>
      <c r="N988" s="116">
        <v>455.4</v>
      </c>
      <c r="O988" s="116">
        <v>448</v>
      </c>
      <c r="P988" s="116">
        <v>450.55</v>
      </c>
      <c r="Q988" s="116">
        <v>451.1</v>
      </c>
      <c r="R988">
        <v>3654</v>
      </c>
    </row>
    <row r="989" spans="1:18" x14ac:dyDescent="0.25">
      <c r="A989" s="169">
        <v>43460</v>
      </c>
      <c r="B989" s="116">
        <v>450.65</v>
      </c>
      <c r="C989" s="116">
        <v>447.45</v>
      </c>
      <c r="D989" s="116">
        <v>442.35</v>
      </c>
      <c r="E989" s="116">
        <v>448.6</v>
      </c>
      <c r="F989" s="116">
        <v>447.45</v>
      </c>
      <c r="G989">
        <v>2008</v>
      </c>
      <c r="H989" s="116"/>
      <c r="I989" s="116"/>
      <c r="L989" s="169">
        <v>43460</v>
      </c>
      <c r="M989" s="116">
        <v>447.55</v>
      </c>
      <c r="N989" s="116">
        <v>452.95</v>
      </c>
      <c r="O989" s="116">
        <v>440.3</v>
      </c>
      <c r="P989" s="116">
        <v>451.1</v>
      </c>
      <c r="Q989" s="116">
        <v>447.55</v>
      </c>
      <c r="R989">
        <v>10133</v>
      </c>
    </row>
    <row r="990" spans="1:18" x14ac:dyDescent="0.25">
      <c r="A990" s="169">
        <v>43461</v>
      </c>
      <c r="B990" s="116">
        <v>452</v>
      </c>
      <c r="C990" s="116">
        <v>446.95</v>
      </c>
      <c r="D990" s="116">
        <v>444</v>
      </c>
      <c r="E990" s="116">
        <v>451.4</v>
      </c>
      <c r="F990" s="116">
        <v>446.95</v>
      </c>
      <c r="G990">
        <v>687</v>
      </c>
      <c r="H990" s="116"/>
      <c r="I990" s="116"/>
      <c r="L990" s="169">
        <v>43461</v>
      </c>
      <c r="M990" s="116">
        <v>447.85</v>
      </c>
      <c r="N990" s="116">
        <v>455</v>
      </c>
      <c r="O990" s="116">
        <v>444.6</v>
      </c>
      <c r="P990" s="116">
        <v>449.3</v>
      </c>
      <c r="Q990" s="116">
        <v>447.85</v>
      </c>
      <c r="R990">
        <v>8085</v>
      </c>
    </row>
    <row r="991" spans="1:18" x14ac:dyDescent="0.25">
      <c r="A991" s="169">
        <v>43462</v>
      </c>
      <c r="B991" s="116">
        <v>456</v>
      </c>
      <c r="C991" s="116">
        <v>448.35</v>
      </c>
      <c r="D991" s="116">
        <v>446.9</v>
      </c>
      <c r="E991" s="116">
        <v>452</v>
      </c>
      <c r="F991" s="116">
        <v>448.35</v>
      </c>
      <c r="G991">
        <v>1184</v>
      </c>
      <c r="H991" s="116"/>
      <c r="I991" s="116"/>
      <c r="L991" s="169">
        <v>43462</v>
      </c>
      <c r="M991" s="116">
        <v>450.95</v>
      </c>
      <c r="N991" s="116">
        <v>459.4</v>
      </c>
      <c r="O991" s="116">
        <v>448</v>
      </c>
      <c r="P991" s="116">
        <v>448.3</v>
      </c>
      <c r="Q991" s="116">
        <v>450.95</v>
      </c>
      <c r="R991">
        <v>16723</v>
      </c>
    </row>
    <row r="992" spans="1:18" x14ac:dyDescent="0.25">
      <c r="A992" s="169">
        <v>43465</v>
      </c>
      <c r="B992" s="116">
        <v>460</v>
      </c>
      <c r="C992" s="116">
        <v>459.35</v>
      </c>
      <c r="D992" s="116">
        <v>451.7</v>
      </c>
      <c r="E992" s="116">
        <v>452.25</v>
      </c>
      <c r="F992" s="116">
        <v>459.35</v>
      </c>
      <c r="G992">
        <v>1649</v>
      </c>
      <c r="H992" s="116"/>
      <c r="I992" s="116"/>
      <c r="L992" s="169">
        <v>43465</v>
      </c>
      <c r="M992" s="116">
        <v>457.45</v>
      </c>
      <c r="N992" s="116">
        <v>462.2</v>
      </c>
      <c r="O992" s="116">
        <v>450</v>
      </c>
      <c r="P992" s="116">
        <v>450</v>
      </c>
      <c r="Q992" s="116">
        <v>457.45</v>
      </c>
      <c r="R992">
        <v>11621</v>
      </c>
    </row>
    <row r="993" spans="1:18" x14ac:dyDescent="0.25">
      <c r="A993" s="169">
        <v>43466</v>
      </c>
      <c r="B993" s="116">
        <v>465.5</v>
      </c>
      <c r="C993" s="116">
        <v>459.5</v>
      </c>
      <c r="D993" s="116">
        <v>455</v>
      </c>
      <c r="E993" s="116">
        <v>464</v>
      </c>
      <c r="F993" s="116">
        <v>459.5</v>
      </c>
      <c r="G993">
        <v>1958</v>
      </c>
      <c r="H993" s="116"/>
      <c r="I993" s="116"/>
      <c r="L993" s="169">
        <v>43466</v>
      </c>
      <c r="M993" s="116">
        <v>458.05</v>
      </c>
      <c r="N993" s="116">
        <v>465.8</v>
      </c>
      <c r="O993" s="116">
        <v>452.45</v>
      </c>
      <c r="P993" s="116">
        <v>460.75</v>
      </c>
      <c r="Q993" s="116">
        <v>458.05</v>
      </c>
      <c r="R993">
        <v>8393</v>
      </c>
    </row>
    <row r="994" spans="1:18" x14ac:dyDescent="0.25">
      <c r="A994" s="169">
        <v>43467</v>
      </c>
      <c r="B994" s="116">
        <v>459.2</v>
      </c>
      <c r="C994" s="116">
        <v>452.3</v>
      </c>
      <c r="D994" s="116">
        <v>450</v>
      </c>
      <c r="E994" s="116">
        <v>456</v>
      </c>
      <c r="F994" s="116">
        <v>452.3</v>
      </c>
      <c r="G994">
        <v>1036</v>
      </c>
      <c r="H994" s="116"/>
      <c r="I994" s="116"/>
      <c r="L994" s="169">
        <v>43467</v>
      </c>
      <c r="M994" s="116">
        <v>454.35</v>
      </c>
      <c r="N994" s="116">
        <v>461.95</v>
      </c>
      <c r="O994" s="116">
        <v>451.1</v>
      </c>
      <c r="P994" s="116">
        <v>461.95</v>
      </c>
      <c r="Q994" s="116">
        <v>454.35</v>
      </c>
      <c r="R994">
        <v>6094</v>
      </c>
    </row>
    <row r="995" spans="1:18" x14ac:dyDescent="0.25">
      <c r="A995" s="169">
        <v>43468</v>
      </c>
      <c r="B995" s="116">
        <v>456.3</v>
      </c>
      <c r="C995" s="116">
        <v>453.05</v>
      </c>
      <c r="D995" s="116">
        <v>451.85</v>
      </c>
      <c r="E995" s="116">
        <v>454</v>
      </c>
      <c r="F995" s="116">
        <v>453.05</v>
      </c>
      <c r="G995">
        <v>746</v>
      </c>
      <c r="H995" s="116"/>
      <c r="I995" s="116"/>
      <c r="L995" s="169">
        <v>43468</v>
      </c>
      <c r="M995" s="116">
        <v>452.85</v>
      </c>
      <c r="N995" s="116">
        <v>458.05</v>
      </c>
      <c r="O995" s="116">
        <v>451</v>
      </c>
      <c r="P995" s="116">
        <v>453.75</v>
      </c>
      <c r="Q995" s="116">
        <v>452.85</v>
      </c>
      <c r="R995">
        <v>5210</v>
      </c>
    </row>
    <row r="996" spans="1:18" x14ac:dyDescent="0.25">
      <c r="A996" s="169">
        <v>43469</v>
      </c>
      <c r="B996" s="116">
        <v>455.15</v>
      </c>
      <c r="C996" s="116">
        <v>450.75</v>
      </c>
      <c r="D996" s="116">
        <v>448.45</v>
      </c>
      <c r="E996" s="116">
        <v>453.2</v>
      </c>
      <c r="F996" s="116">
        <v>450.75</v>
      </c>
      <c r="G996">
        <v>548</v>
      </c>
      <c r="H996" s="116"/>
      <c r="I996" s="116"/>
      <c r="L996" s="169">
        <v>43469</v>
      </c>
      <c r="M996" s="116">
        <v>452</v>
      </c>
      <c r="N996" s="116">
        <v>456.55</v>
      </c>
      <c r="O996" s="116">
        <v>450</v>
      </c>
      <c r="P996" s="116">
        <v>453.15</v>
      </c>
      <c r="Q996" s="116">
        <v>452</v>
      </c>
      <c r="R996">
        <v>9189</v>
      </c>
    </row>
    <row r="997" spans="1:18" x14ac:dyDescent="0.25">
      <c r="A997" s="169">
        <v>43472</v>
      </c>
      <c r="B997" s="116">
        <v>462.85</v>
      </c>
      <c r="C997" s="116">
        <v>448.5</v>
      </c>
      <c r="D997" s="116">
        <v>445.05</v>
      </c>
      <c r="E997" s="116">
        <v>445.05</v>
      </c>
      <c r="F997" s="116">
        <v>448.5</v>
      </c>
      <c r="G997">
        <v>2765</v>
      </c>
      <c r="H997" s="116"/>
      <c r="I997" s="116"/>
      <c r="L997" s="169">
        <v>43472</v>
      </c>
      <c r="M997" s="116">
        <v>447.9</v>
      </c>
      <c r="N997" s="116">
        <v>459</v>
      </c>
      <c r="O997" s="116">
        <v>440.45</v>
      </c>
      <c r="P997" s="116">
        <v>452.7</v>
      </c>
      <c r="Q997" s="116">
        <v>447.9</v>
      </c>
      <c r="R997">
        <v>17346</v>
      </c>
    </row>
    <row r="998" spans="1:18" x14ac:dyDescent="0.25">
      <c r="A998" s="169">
        <v>43473</v>
      </c>
      <c r="B998" s="116">
        <v>453.8</v>
      </c>
      <c r="C998" s="116">
        <v>450.45</v>
      </c>
      <c r="D998" s="116">
        <v>446</v>
      </c>
      <c r="E998" s="116">
        <v>451</v>
      </c>
      <c r="F998" s="116">
        <v>450.45</v>
      </c>
      <c r="G998">
        <v>1224</v>
      </c>
      <c r="H998" s="116"/>
      <c r="I998" s="116"/>
      <c r="L998" s="169">
        <v>43473</v>
      </c>
      <c r="M998" s="116">
        <v>449.85</v>
      </c>
      <c r="N998" s="116">
        <v>456.85</v>
      </c>
      <c r="O998" s="116">
        <v>446.45</v>
      </c>
      <c r="P998" s="116">
        <v>447</v>
      </c>
      <c r="Q998" s="116">
        <v>449.85</v>
      </c>
      <c r="R998">
        <v>17316</v>
      </c>
    </row>
    <row r="999" spans="1:18" x14ac:dyDescent="0.25">
      <c r="A999" s="169">
        <v>43474</v>
      </c>
      <c r="B999" s="116">
        <v>463.75</v>
      </c>
      <c r="C999" s="116">
        <v>449.5</v>
      </c>
      <c r="D999" s="116">
        <v>446.15</v>
      </c>
      <c r="E999" s="116">
        <v>449.85</v>
      </c>
      <c r="F999" s="116">
        <v>449.5</v>
      </c>
      <c r="G999">
        <v>1495</v>
      </c>
      <c r="H999" s="116"/>
      <c r="I999" s="116"/>
      <c r="L999" s="169">
        <v>43474</v>
      </c>
      <c r="M999" s="116">
        <v>447.75</v>
      </c>
      <c r="N999" s="116">
        <v>455</v>
      </c>
      <c r="O999" s="116">
        <v>444</v>
      </c>
      <c r="P999" s="116">
        <v>449.85</v>
      </c>
      <c r="Q999" s="116">
        <v>447.75</v>
      </c>
      <c r="R999">
        <v>117656</v>
      </c>
    </row>
    <row r="1000" spans="1:18" x14ac:dyDescent="0.25">
      <c r="A1000" s="169">
        <v>43475</v>
      </c>
      <c r="B1000" s="116">
        <v>455.7</v>
      </c>
      <c r="C1000" s="116">
        <v>447.3</v>
      </c>
      <c r="D1000" s="116">
        <v>447</v>
      </c>
      <c r="E1000" s="116">
        <v>448</v>
      </c>
      <c r="F1000" s="116">
        <v>447.3</v>
      </c>
      <c r="G1000">
        <v>597</v>
      </c>
      <c r="H1000" s="116"/>
      <c r="I1000" s="116"/>
      <c r="L1000" s="169">
        <v>43475</v>
      </c>
      <c r="M1000" s="116">
        <v>447.75</v>
      </c>
      <c r="N1000" s="116">
        <v>463.75</v>
      </c>
      <c r="O1000" s="116">
        <v>446</v>
      </c>
      <c r="P1000" s="116">
        <v>450</v>
      </c>
      <c r="Q1000" s="116">
        <v>447.75</v>
      </c>
      <c r="R1000">
        <v>10954</v>
      </c>
    </row>
    <row r="1001" spans="1:18" x14ac:dyDescent="0.25">
      <c r="A1001" s="169">
        <v>43476</v>
      </c>
      <c r="B1001" s="116">
        <v>448.55</v>
      </c>
      <c r="C1001" s="116">
        <v>441.9</v>
      </c>
      <c r="D1001" s="116">
        <v>436.45</v>
      </c>
      <c r="E1001" s="116">
        <v>446.05</v>
      </c>
      <c r="F1001" s="116">
        <v>441.9</v>
      </c>
      <c r="G1001">
        <v>1556</v>
      </c>
      <c r="H1001" s="116"/>
      <c r="I1001" s="116"/>
      <c r="L1001" s="169">
        <v>43476</v>
      </c>
      <c r="M1001" s="116">
        <v>442.7</v>
      </c>
      <c r="N1001" s="116">
        <v>451</v>
      </c>
      <c r="O1001" s="116">
        <v>440.45</v>
      </c>
      <c r="P1001" s="116">
        <v>450.75</v>
      </c>
      <c r="Q1001" s="116">
        <v>442.7</v>
      </c>
      <c r="R1001">
        <v>7070</v>
      </c>
    </row>
    <row r="1002" spans="1:18" x14ac:dyDescent="0.25">
      <c r="A1002" s="169">
        <v>43479</v>
      </c>
      <c r="B1002" s="116">
        <v>447.2</v>
      </c>
      <c r="C1002" s="116">
        <v>440.5</v>
      </c>
      <c r="D1002" s="116">
        <v>438.15</v>
      </c>
      <c r="E1002" s="116">
        <v>441.95</v>
      </c>
      <c r="F1002" s="116">
        <v>440.5</v>
      </c>
      <c r="G1002">
        <v>1147</v>
      </c>
      <c r="H1002" s="116"/>
      <c r="I1002" s="116"/>
      <c r="L1002" s="169">
        <v>43479</v>
      </c>
      <c r="M1002" s="116">
        <v>440.25</v>
      </c>
      <c r="N1002" s="116">
        <v>450.95</v>
      </c>
      <c r="O1002" s="116">
        <v>438.5</v>
      </c>
      <c r="P1002" s="116">
        <v>444.05</v>
      </c>
      <c r="Q1002" s="116">
        <v>440.25</v>
      </c>
      <c r="R1002">
        <v>9144</v>
      </c>
    </row>
    <row r="1003" spans="1:18" x14ac:dyDescent="0.25">
      <c r="A1003" s="169">
        <v>43480</v>
      </c>
      <c r="B1003" s="116">
        <v>444.7</v>
      </c>
      <c r="C1003" s="116">
        <v>442.75</v>
      </c>
      <c r="D1003" s="116">
        <v>440.05</v>
      </c>
      <c r="E1003" s="116">
        <v>444.2</v>
      </c>
      <c r="F1003" s="116">
        <v>442.75</v>
      </c>
      <c r="G1003">
        <v>848</v>
      </c>
      <c r="H1003" s="116"/>
      <c r="I1003" s="116"/>
      <c r="L1003" s="169">
        <v>43480</v>
      </c>
      <c r="M1003" s="116">
        <v>443.8</v>
      </c>
      <c r="N1003" s="116">
        <v>448.95</v>
      </c>
      <c r="O1003" s="116">
        <v>440</v>
      </c>
      <c r="P1003" s="116">
        <v>445.55</v>
      </c>
      <c r="Q1003" s="116">
        <v>443.8</v>
      </c>
      <c r="R1003">
        <v>10734</v>
      </c>
    </row>
    <row r="1004" spans="1:18" x14ac:dyDescent="0.25">
      <c r="A1004" s="169">
        <v>43481</v>
      </c>
      <c r="B1004" s="116">
        <v>508</v>
      </c>
      <c r="C1004" s="116">
        <v>483.45</v>
      </c>
      <c r="D1004" s="116">
        <v>442.1</v>
      </c>
      <c r="E1004" s="116">
        <v>442.65</v>
      </c>
      <c r="F1004" s="116">
        <v>483.45</v>
      </c>
      <c r="G1004">
        <v>25082</v>
      </c>
      <c r="H1004" s="116"/>
      <c r="I1004" s="116"/>
      <c r="L1004" s="169">
        <v>43481</v>
      </c>
      <c r="M1004" s="116">
        <v>485.05</v>
      </c>
      <c r="N1004" s="116">
        <v>508</v>
      </c>
      <c r="O1004" s="116">
        <v>442.35</v>
      </c>
      <c r="P1004" s="116">
        <v>445.05</v>
      </c>
      <c r="Q1004" s="116">
        <v>485.05</v>
      </c>
      <c r="R1004">
        <v>222292</v>
      </c>
    </row>
    <row r="1005" spans="1:18" x14ac:dyDescent="0.25">
      <c r="A1005" s="169">
        <v>43482</v>
      </c>
      <c r="B1005" s="116">
        <v>497</v>
      </c>
      <c r="C1005" s="116">
        <v>482.25</v>
      </c>
      <c r="D1005" s="116">
        <v>480</v>
      </c>
      <c r="E1005" s="116">
        <v>482.4</v>
      </c>
      <c r="F1005" s="116">
        <v>482.25</v>
      </c>
      <c r="G1005">
        <v>6462</v>
      </c>
      <c r="H1005" s="116"/>
      <c r="I1005" s="116"/>
      <c r="L1005" s="169">
        <v>43482</v>
      </c>
      <c r="M1005" s="116">
        <v>482.3</v>
      </c>
      <c r="N1005" s="116">
        <v>497</v>
      </c>
      <c r="O1005" s="116">
        <v>481</v>
      </c>
      <c r="P1005" s="116">
        <v>485</v>
      </c>
      <c r="Q1005" s="116">
        <v>482.3</v>
      </c>
      <c r="R1005">
        <v>51295</v>
      </c>
    </row>
    <row r="1006" spans="1:18" x14ac:dyDescent="0.25">
      <c r="A1006" s="169">
        <v>43483</v>
      </c>
      <c r="B1006" s="116">
        <v>484.75</v>
      </c>
      <c r="C1006" s="116">
        <v>479.95</v>
      </c>
      <c r="D1006" s="116">
        <v>471.95</v>
      </c>
      <c r="E1006" s="116">
        <v>476.2</v>
      </c>
      <c r="F1006" s="116">
        <v>479.95</v>
      </c>
      <c r="G1006">
        <v>1562</v>
      </c>
      <c r="H1006" s="116"/>
      <c r="I1006" s="116"/>
      <c r="L1006" s="169">
        <v>43483</v>
      </c>
      <c r="M1006" s="116">
        <v>476.1</v>
      </c>
      <c r="N1006" s="116">
        <v>486.15</v>
      </c>
      <c r="O1006" s="116">
        <v>472.5</v>
      </c>
      <c r="P1006" s="116">
        <v>486.15</v>
      </c>
      <c r="Q1006" s="116">
        <v>476.1</v>
      </c>
      <c r="R1006">
        <v>9699</v>
      </c>
    </row>
    <row r="1007" spans="1:18" x14ac:dyDescent="0.25">
      <c r="A1007" s="169">
        <v>43486</v>
      </c>
      <c r="B1007" s="116">
        <v>507.7</v>
      </c>
      <c r="C1007" s="116">
        <v>498.8</v>
      </c>
      <c r="D1007" s="116">
        <v>474.95</v>
      </c>
      <c r="E1007" s="116">
        <v>474.95</v>
      </c>
      <c r="F1007" s="116">
        <v>498.8</v>
      </c>
      <c r="G1007">
        <v>11969</v>
      </c>
      <c r="H1007" s="116"/>
      <c r="I1007" s="116"/>
      <c r="L1007" s="169">
        <v>43486</v>
      </c>
      <c r="M1007" s="116">
        <v>500.4</v>
      </c>
      <c r="N1007" s="116">
        <v>509</v>
      </c>
      <c r="O1007" s="116">
        <v>475.15</v>
      </c>
      <c r="P1007" s="116">
        <v>478</v>
      </c>
      <c r="Q1007" s="116">
        <v>500.4</v>
      </c>
      <c r="R1007">
        <v>126117</v>
      </c>
    </row>
    <row r="1008" spans="1:18" x14ac:dyDescent="0.25">
      <c r="A1008" s="169">
        <v>43487</v>
      </c>
      <c r="B1008" s="116">
        <v>508</v>
      </c>
      <c r="C1008" s="116">
        <v>499.5</v>
      </c>
      <c r="D1008" s="116">
        <v>490.85</v>
      </c>
      <c r="E1008" s="116">
        <v>507</v>
      </c>
      <c r="F1008" s="116">
        <v>499.5</v>
      </c>
      <c r="G1008">
        <v>8139</v>
      </c>
      <c r="H1008" s="116"/>
      <c r="I1008" s="116"/>
      <c r="L1008" s="169">
        <v>43487</v>
      </c>
      <c r="M1008" s="116">
        <v>499.45</v>
      </c>
      <c r="N1008" s="116">
        <v>508.95</v>
      </c>
      <c r="O1008" s="116">
        <v>489.45</v>
      </c>
      <c r="P1008" s="116">
        <v>506</v>
      </c>
      <c r="Q1008" s="116">
        <v>499.45</v>
      </c>
      <c r="R1008">
        <v>22294</v>
      </c>
    </row>
    <row r="1009" spans="1:18" x14ac:dyDescent="0.25">
      <c r="A1009" s="169">
        <v>43488</v>
      </c>
      <c r="B1009" s="116">
        <v>501.45</v>
      </c>
      <c r="C1009" s="116">
        <v>492.5</v>
      </c>
      <c r="D1009" s="116">
        <v>490</v>
      </c>
      <c r="E1009" s="116">
        <v>495.9</v>
      </c>
      <c r="F1009" s="116">
        <v>492.5</v>
      </c>
      <c r="G1009">
        <v>330</v>
      </c>
      <c r="H1009" s="116"/>
      <c r="I1009" s="116"/>
      <c r="L1009" s="169">
        <v>43488</v>
      </c>
      <c r="M1009" s="116">
        <v>492.45</v>
      </c>
      <c r="N1009" s="116">
        <v>503.95</v>
      </c>
      <c r="O1009" s="116">
        <v>490</v>
      </c>
      <c r="P1009" s="116">
        <v>501.05</v>
      </c>
      <c r="Q1009" s="116">
        <v>492.45</v>
      </c>
      <c r="R1009">
        <v>8159</v>
      </c>
    </row>
    <row r="1010" spans="1:18" x14ac:dyDescent="0.25">
      <c r="A1010" s="169">
        <v>43489</v>
      </c>
      <c r="B1010" s="116">
        <v>492.05</v>
      </c>
      <c r="C1010" s="116">
        <v>480.3</v>
      </c>
      <c r="D1010" s="116">
        <v>478.5</v>
      </c>
      <c r="E1010" s="116">
        <v>492.05</v>
      </c>
      <c r="F1010" s="116">
        <v>480.3</v>
      </c>
      <c r="G1010">
        <v>884</v>
      </c>
      <c r="H1010" s="116"/>
      <c r="I1010" s="116"/>
      <c r="L1010" s="169">
        <v>43489</v>
      </c>
      <c r="M1010" s="116">
        <v>479.85</v>
      </c>
      <c r="N1010" s="116">
        <v>497</v>
      </c>
      <c r="O1010" s="116">
        <v>476</v>
      </c>
      <c r="P1010" s="116">
        <v>492.6</v>
      </c>
      <c r="Q1010" s="116">
        <v>479.85</v>
      </c>
      <c r="R1010">
        <v>11498</v>
      </c>
    </row>
    <row r="1011" spans="1:18" x14ac:dyDescent="0.25">
      <c r="A1011" s="169">
        <v>43490</v>
      </c>
      <c r="B1011" s="116">
        <v>487.6</v>
      </c>
      <c r="C1011" s="116">
        <v>461.45</v>
      </c>
      <c r="D1011" s="116">
        <v>455</v>
      </c>
      <c r="E1011" s="116">
        <v>476.45</v>
      </c>
      <c r="F1011" s="116">
        <v>461.45</v>
      </c>
      <c r="G1011">
        <v>6340</v>
      </c>
      <c r="H1011" s="116"/>
      <c r="I1011" s="116"/>
      <c r="L1011" s="169">
        <v>43490</v>
      </c>
      <c r="M1011" s="116">
        <v>460.35</v>
      </c>
      <c r="N1011" s="116">
        <v>487</v>
      </c>
      <c r="O1011" s="116">
        <v>451.6</v>
      </c>
      <c r="P1011" s="116">
        <v>480.05</v>
      </c>
      <c r="Q1011" s="116">
        <v>460.35</v>
      </c>
      <c r="R1011">
        <v>24284</v>
      </c>
    </row>
    <row r="1012" spans="1:18" x14ac:dyDescent="0.25">
      <c r="A1012" s="169">
        <v>43493</v>
      </c>
      <c r="B1012" s="116">
        <v>464.05</v>
      </c>
      <c r="C1012" s="116">
        <v>451.85</v>
      </c>
      <c r="D1012" s="116">
        <v>437</v>
      </c>
      <c r="E1012" s="116">
        <v>464</v>
      </c>
      <c r="F1012" s="116">
        <v>451.85</v>
      </c>
      <c r="G1012">
        <v>6311</v>
      </c>
      <c r="H1012" s="116"/>
      <c r="I1012" s="116"/>
      <c r="L1012" s="169">
        <v>43493</v>
      </c>
      <c r="M1012" s="116">
        <v>454.2</v>
      </c>
      <c r="N1012" s="116">
        <v>469.7</v>
      </c>
      <c r="O1012" s="116">
        <v>436.6</v>
      </c>
      <c r="P1012" s="116">
        <v>461</v>
      </c>
      <c r="Q1012" s="116">
        <v>454.2</v>
      </c>
      <c r="R1012">
        <v>19559</v>
      </c>
    </row>
    <row r="1013" spans="1:18" x14ac:dyDescent="0.25">
      <c r="A1013" s="169">
        <v>43494</v>
      </c>
      <c r="B1013" s="116">
        <v>436.55</v>
      </c>
      <c r="C1013" s="116">
        <v>424.85</v>
      </c>
      <c r="D1013" s="116">
        <v>420</v>
      </c>
      <c r="E1013" s="116">
        <v>436.05</v>
      </c>
      <c r="F1013" s="116">
        <v>424.85</v>
      </c>
      <c r="G1013">
        <v>8305</v>
      </c>
      <c r="H1013" s="116"/>
      <c r="I1013" s="116"/>
      <c r="L1013" s="169">
        <v>43494</v>
      </c>
      <c r="M1013" s="116">
        <v>423.45</v>
      </c>
      <c r="N1013" s="116">
        <v>439.95</v>
      </c>
      <c r="O1013" s="116">
        <v>420</v>
      </c>
      <c r="P1013" s="116">
        <v>439.95</v>
      </c>
      <c r="Q1013" s="116">
        <v>423.45</v>
      </c>
      <c r="R1013">
        <v>52079</v>
      </c>
    </row>
    <row r="1014" spans="1:18" x14ac:dyDescent="0.25">
      <c r="A1014" s="169">
        <v>43495</v>
      </c>
      <c r="B1014" s="116">
        <v>431.75</v>
      </c>
      <c r="C1014" s="116">
        <v>425</v>
      </c>
      <c r="D1014" s="116">
        <v>421.15</v>
      </c>
      <c r="E1014" s="116">
        <v>421.4</v>
      </c>
      <c r="F1014" s="116">
        <v>425</v>
      </c>
      <c r="G1014">
        <v>1908</v>
      </c>
      <c r="H1014" s="116"/>
      <c r="I1014" s="116"/>
      <c r="L1014" s="169">
        <v>43495</v>
      </c>
      <c r="M1014" s="116">
        <v>425.05</v>
      </c>
      <c r="N1014" s="116">
        <v>434.9</v>
      </c>
      <c r="O1014" s="116">
        <v>421.1</v>
      </c>
      <c r="P1014" s="116">
        <v>424.05</v>
      </c>
      <c r="Q1014" s="116">
        <v>425.05</v>
      </c>
      <c r="R1014">
        <v>14254</v>
      </c>
    </row>
    <row r="1015" spans="1:18" x14ac:dyDescent="0.25">
      <c r="A1015" s="169">
        <v>43496</v>
      </c>
      <c r="B1015" s="116">
        <v>440.15</v>
      </c>
      <c r="C1015" s="116">
        <v>421.75</v>
      </c>
      <c r="D1015" s="116">
        <v>415.4</v>
      </c>
      <c r="E1015" s="116">
        <v>426</v>
      </c>
      <c r="F1015" s="116">
        <v>421.75</v>
      </c>
      <c r="G1015">
        <v>2974</v>
      </c>
      <c r="H1015" s="116"/>
      <c r="I1015" s="116"/>
      <c r="L1015" s="169">
        <v>43496</v>
      </c>
      <c r="M1015" s="116">
        <v>419.85</v>
      </c>
      <c r="N1015" s="116">
        <v>453.85</v>
      </c>
      <c r="O1015" s="116">
        <v>415</v>
      </c>
      <c r="P1015" s="116">
        <v>453.85</v>
      </c>
      <c r="Q1015" s="116">
        <v>419.85</v>
      </c>
      <c r="R1015">
        <v>15996</v>
      </c>
    </row>
    <row r="1016" spans="1:18" x14ac:dyDescent="0.25">
      <c r="A1016" s="169">
        <v>43497</v>
      </c>
      <c r="B1016" s="116">
        <v>418.6</v>
      </c>
      <c r="C1016" s="116">
        <v>403.85</v>
      </c>
      <c r="D1016" s="116">
        <v>401.7</v>
      </c>
      <c r="E1016" s="116">
        <v>415</v>
      </c>
      <c r="F1016" s="116">
        <v>403.85</v>
      </c>
      <c r="G1016">
        <v>2200</v>
      </c>
      <c r="H1016" s="116"/>
      <c r="I1016" s="116"/>
      <c r="L1016" s="169">
        <v>43497</v>
      </c>
      <c r="M1016" s="116">
        <v>402.45</v>
      </c>
      <c r="N1016" s="116">
        <v>420.05</v>
      </c>
      <c r="O1016" s="116">
        <v>401.1</v>
      </c>
      <c r="P1016" s="116">
        <v>419</v>
      </c>
      <c r="Q1016" s="116">
        <v>402.45</v>
      </c>
      <c r="R1016">
        <v>70430</v>
      </c>
    </row>
    <row r="1017" spans="1:18" x14ac:dyDescent="0.25">
      <c r="A1017" s="169">
        <v>43500</v>
      </c>
      <c r="B1017" s="116">
        <v>405</v>
      </c>
      <c r="C1017" s="116">
        <v>398.15</v>
      </c>
      <c r="D1017" s="116">
        <v>390</v>
      </c>
      <c r="E1017" s="116">
        <v>401.05</v>
      </c>
      <c r="F1017" s="116">
        <v>398.15</v>
      </c>
      <c r="G1017">
        <v>3315</v>
      </c>
      <c r="H1017" s="116"/>
      <c r="I1017" s="116"/>
      <c r="L1017" s="169">
        <v>43500</v>
      </c>
      <c r="M1017" s="116">
        <v>396.85</v>
      </c>
      <c r="N1017" s="116">
        <v>406.05</v>
      </c>
      <c r="O1017" s="116">
        <v>385.55</v>
      </c>
      <c r="P1017" s="116">
        <v>400.25</v>
      </c>
      <c r="Q1017" s="116">
        <v>396.85</v>
      </c>
      <c r="R1017">
        <v>24555</v>
      </c>
    </row>
    <row r="1018" spans="1:18" x14ac:dyDescent="0.25">
      <c r="A1018" s="169">
        <v>43501</v>
      </c>
      <c r="B1018" s="116">
        <v>399.55</v>
      </c>
      <c r="C1018" s="116">
        <v>392.6</v>
      </c>
      <c r="D1018" s="116">
        <v>390.1</v>
      </c>
      <c r="E1018" s="116">
        <v>396.85</v>
      </c>
      <c r="F1018" s="116">
        <v>392.6</v>
      </c>
      <c r="G1018">
        <v>1042</v>
      </c>
      <c r="H1018" s="116"/>
      <c r="I1018" s="116"/>
      <c r="L1018" s="169">
        <v>43501</v>
      </c>
      <c r="M1018" s="116">
        <v>391.7</v>
      </c>
      <c r="N1018" s="116">
        <v>399.5</v>
      </c>
      <c r="O1018" s="116">
        <v>389.9</v>
      </c>
      <c r="P1018" s="116">
        <v>397.05</v>
      </c>
      <c r="Q1018" s="116">
        <v>391.7</v>
      </c>
      <c r="R1018">
        <v>46017</v>
      </c>
    </row>
    <row r="1019" spans="1:18" x14ac:dyDescent="0.25">
      <c r="A1019" s="169">
        <v>43502</v>
      </c>
      <c r="B1019" s="116">
        <v>394.45</v>
      </c>
      <c r="C1019" s="116">
        <v>391.3</v>
      </c>
      <c r="D1019" s="116">
        <v>389.9</v>
      </c>
      <c r="E1019" s="116">
        <v>389.95</v>
      </c>
      <c r="F1019" s="116">
        <v>391.3</v>
      </c>
      <c r="G1019">
        <v>914</v>
      </c>
      <c r="H1019" s="116"/>
      <c r="I1019" s="116"/>
      <c r="L1019" s="169">
        <v>43502</v>
      </c>
      <c r="M1019" s="116">
        <v>390.7</v>
      </c>
      <c r="N1019" s="116">
        <v>396.45</v>
      </c>
      <c r="O1019" s="116">
        <v>388.6</v>
      </c>
      <c r="P1019" s="116">
        <v>392.15</v>
      </c>
      <c r="Q1019" s="116">
        <v>390.7</v>
      </c>
      <c r="R1019">
        <v>13900</v>
      </c>
    </row>
    <row r="1020" spans="1:18" x14ac:dyDescent="0.25">
      <c r="A1020" s="169">
        <v>43503</v>
      </c>
      <c r="B1020" s="116">
        <v>412.1</v>
      </c>
      <c r="C1020" s="116">
        <v>409.95</v>
      </c>
      <c r="D1020" s="116">
        <v>389</v>
      </c>
      <c r="E1020" s="116">
        <v>389.3</v>
      </c>
      <c r="F1020" s="116">
        <v>409.95</v>
      </c>
      <c r="G1020">
        <v>1685</v>
      </c>
      <c r="H1020" s="116"/>
      <c r="I1020" s="116"/>
      <c r="L1020" s="169">
        <v>43503</v>
      </c>
      <c r="M1020" s="116">
        <v>409.65</v>
      </c>
      <c r="N1020" s="116">
        <v>413</v>
      </c>
      <c r="O1020" s="116">
        <v>390</v>
      </c>
      <c r="P1020" s="116">
        <v>391</v>
      </c>
      <c r="Q1020" s="116">
        <v>409.65</v>
      </c>
      <c r="R1020">
        <v>19120</v>
      </c>
    </row>
    <row r="1021" spans="1:18" x14ac:dyDescent="0.25">
      <c r="A1021" s="169">
        <v>43504</v>
      </c>
      <c r="B1021" s="116">
        <v>407.35</v>
      </c>
      <c r="C1021" s="116">
        <v>400.4</v>
      </c>
      <c r="D1021" s="116">
        <v>399.2</v>
      </c>
      <c r="E1021" s="116">
        <v>401.75</v>
      </c>
      <c r="F1021" s="116">
        <v>400.4</v>
      </c>
      <c r="G1021">
        <v>1200</v>
      </c>
      <c r="H1021" s="116"/>
      <c r="I1021" s="116"/>
      <c r="L1021" s="169">
        <v>43504</v>
      </c>
      <c r="M1021" s="116">
        <v>400.25</v>
      </c>
      <c r="N1021" s="116">
        <v>411.8</v>
      </c>
      <c r="O1021" s="116">
        <v>399</v>
      </c>
      <c r="P1021" s="116">
        <v>411.8</v>
      </c>
      <c r="Q1021" s="116">
        <v>400.25</v>
      </c>
      <c r="R1021">
        <v>4668</v>
      </c>
    </row>
    <row r="1022" spans="1:18" x14ac:dyDescent="0.25">
      <c r="A1022" s="169">
        <v>43507</v>
      </c>
      <c r="B1022" s="116">
        <v>406</v>
      </c>
      <c r="C1022" s="116">
        <v>391.5</v>
      </c>
      <c r="D1022" s="116">
        <v>386.65</v>
      </c>
      <c r="E1022" s="116">
        <v>400</v>
      </c>
      <c r="F1022" s="116">
        <v>391.5</v>
      </c>
      <c r="G1022">
        <v>3184</v>
      </c>
      <c r="H1022" s="116"/>
      <c r="I1022" s="116"/>
      <c r="L1022" s="169">
        <v>43507</v>
      </c>
      <c r="M1022" s="116">
        <v>388.75</v>
      </c>
      <c r="N1022" s="116">
        <v>399.95</v>
      </c>
      <c r="O1022" s="116">
        <v>387</v>
      </c>
      <c r="P1022" s="116">
        <v>395</v>
      </c>
      <c r="Q1022" s="116">
        <v>388.75</v>
      </c>
      <c r="R1022">
        <v>12272</v>
      </c>
    </row>
    <row r="1023" spans="1:18" x14ac:dyDescent="0.25">
      <c r="A1023" s="169">
        <v>43508</v>
      </c>
      <c r="B1023" s="116">
        <v>392.05</v>
      </c>
      <c r="C1023" s="116">
        <v>390.75</v>
      </c>
      <c r="D1023" s="116">
        <v>387.5</v>
      </c>
      <c r="E1023" s="116">
        <v>387.5</v>
      </c>
      <c r="F1023" s="116">
        <v>390.75</v>
      </c>
      <c r="G1023">
        <v>1384</v>
      </c>
      <c r="H1023" s="116"/>
      <c r="I1023" s="116"/>
      <c r="L1023" s="169">
        <v>43508</v>
      </c>
      <c r="M1023" s="116">
        <v>389.3</v>
      </c>
      <c r="N1023" s="116">
        <v>392</v>
      </c>
      <c r="O1023" s="116">
        <v>385.5</v>
      </c>
      <c r="P1023" s="116">
        <v>385.6</v>
      </c>
      <c r="Q1023" s="116">
        <v>389.3</v>
      </c>
      <c r="R1023">
        <v>15474</v>
      </c>
    </row>
    <row r="1024" spans="1:18" x14ac:dyDescent="0.25">
      <c r="A1024" s="169">
        <v>43509</v>
      </c>
      <c r="B1024" s="116">
        <v>402.2</v>
      </c>
      <c r="C1024" s="116">
        <v>394.55</v>
      </c>
      <c r="D1024" s="116">
        <v>390</v>
      </c>
      <c r="E1024" s="116">
        <v>391.8</v>
      </c>
      <c r="F1024" s="116">
        <v>394.55</v>
      </c>
      <c r="G1024">
        <v>4353</v>
      </c>
      <c r="H1024" s="116"/>
      <c r="I1024" s="116"/>
      <c r="L1024" s="169">
        <v>43509</v>
      </c>
      <c r="M1024" s="116">
        <v>394.95</v>
      </c>
      <c r="N1024" s="116">
        <v>399.5</v>
      </c>
      <c r="O1024" s="116">
        <v>389</v>
      </c>
      <c r="P1024" s="116">
        <v>395.95</v>
      </c>
      <c r="Q1024" s="116">
        <v>394.95</v>
      </c>
      <c r="R1024">
        <v>34573</v>
      </c>
    </row>
    <row r="1025" spans="1:18" x14ac:dyDescent="0.25">
      <c r="A1025" s="169">
        <v>43510</v>
      </c>
      <c r="B1025" s="116">
        <v>394.7</v>
      </c>
      <c r="C1025" s="116">
        <v>391.1</v>
      </c>
      <c r="D1025" s="116">
        <v>387.9</v>
      </c>
      <c r="E1025" s="116">
        <v>390.45</v>
      </c>
      <c r="F1025" s="116">
        <v>391.1</v>
      </c>
      <c r="G1025">
        <v>829</v>
      </c>
      <c r="H1025" s="116"/>
      <c r="I1025" s="116"/>
      <c r="L1025" s="169">
        <v>43510</v>
      </c>
      <c r="M1025" s="116">
        <v>390.1</v>
      </c>
      <c r="N1025" s="116">
        <v>394.95</v>
      </c>
      <c r="O1025" s="116">
        <v>389</v>
      </c>
      <c r="P1025" s="116">
        <v>391.65</v>
      </c>
      <c r="Q1025" s="116">
        <v>390.1</v>
      </c>
      <c r="R1025">
        <v>15432</v>
      </c>
    </row>
    <row r="1026" spans="1:18" x14ac:dyDescent="0.25">
      <c r="A1026" s="169">
        <v>43511</v>
      </c>
      <c r="B1026" s="116">
        <v>400</v>
      </c>
      <c r="C1026" s="116">
        <v>386.95</v>
      </c>
      <c r="D1026" s="116">
        <v>381.75</v>
      </c>
      <c r="E1026" s="116">
        <v>400</v>
      </c>
      <c r="F1026" s="116">
        <v>386.95</v>
      </c>
      <c r="G1026">
        <v>1062</v>
      </c>
      <c r="H1026" s="116"/>
      <c r="I1026" s="116"/>
      <c r="L1026" s="169">
        <v>43511</v>
      </c>
      <c r="M1026" s="116">
        <v>387.25</v>
      </c>
      <c r="N1026" s="116">
        <v>391.4</v>
      </c>
      <c r="O1026" s="116">
        <v>385.5</v>
      </c>
      <c r="P1026" s="116">
        <v>389.95</v>
      </c>
      <c r="Q1026" s="116">
        <v>387.25</v>
      </c>
      <c r="R1026">
        <v>15426</v>
      </c>
    </row>
    <row r="1027" spans="1:18" x14ac:dyDescent="0.25">
      <c r="A1027" s="169">
        <v>43514</v>
      </c>
      <c r="B1027" s="116">
        <v>387</v>
      </c>
      <c r="C1027" s="116">
        <v>375.6</v>
      </c>
      <c r="D1027" s="116">
        <v>370.5</v>
      </c>
      <c r="E1027" s="116">
        <v>387</v>
      </c>
      <c r="F1027" s="116">
        <v>375.6</v>
      </c>
      <c r="G1027">
        <v>2930</v>
      </c>
      <c r="H1027" s="116"/>
      <c r="I1027" s="116"/>
      <c r="L1027" s="169">
        <v>43514</v>
      </c>
      <c r="M1027" s="116">
        <v>371.9</v>
      </c>
      <c r="N1027" s="116">
        <v>388.7</v>
      </c>
      <c r="O1027" s="116">
        <v>370.2</v>
      </c>
      <c r="P1027" s="116">
        <v>388.7</v>
      </c>
      <c r="Q1027" s="116">
        <v>371.9</v>
      </c>
      <c r="R1027">
        <v>47673</v>
      </c>
    </row>
    <row r="1028" spans="1:18" x14ac:dyDescent="0.25">
      <c r="A1028" s="169">
        <v>43515</v>
      </c>
      <c r="B1028" s="116">
        <v>385</v>
      </c>
      <c r="C1028" s="116">
        <v>377.2</v>
      </c>
      <c r="D1028" s="116">
        <v>368.5</v>
      </c>
      <c r="E1028" s="116">
        <v>375.2</v>
      </c>
      <c r="F1028" s="116">
        <v>377.2</v>
      </c>
      <c r="G1028">
        <v>1461</v>
      </c>
      <c r="H1028" s="116"/>
      <c r="I1028" s="116"/>
      <c r="L1028" s="169">
        <v>43515</v>
      </c>
      <c r="M1028" s="116">
        <v>372.5</v>
      </c>
      <c r="N1028" s="116">
        <v>383.4</v>
      </c>
      <c r="O1028" s="116">
        <v>366.1</v>
      </c>
      <c r="P1028" s="116">
        <v>366.1</v>
      </c>
      <c r="Q1028" s="116">
        <v>372.5</v>
      </c>
      <c r="R1028">
        <v>49456</v>
      </c>
    </row>
    <row r="1029" spans="1:18" x14ac:dyDescent="0.25">
      <c r="A1029" s="169">
        <v>43516</v>
      </c>
      <c r="B1029" s="116">
        <v>385.2</v>
      </c>
      <c r="C1029" s="116">
        <v>376.15</v>
      </c>
      <c r="D1029" s="116">
        <v>375</v>
      </c>
      <c r="E1029" s="116">
        <v>377.2</v>
      </c>
      <c r="F1029" s="116">
        <v>376.15</v>
      </c>
      <c r="G1029">
        <v>1654</v>
      </c>
      <c r="H1029" s="116"/>
      <c r="I1029" s="116"/>
      <c r="L1029" s="169">
        <v>43516</v>
      </c>
      <c r="M1029" s="116">
        <v>376.4</v>
      </c>
      <c r="N1029" s="116">
        <v>384.8</v>
      </c>
      <c r="O1029" s="116">
        <v>374.05</v>
      </c>
      <c r="P1029" s="116">
        <v>376.9</v>
      </c>
      <c r="Q1029" s="116">
        <v>376.4</v>
      </c>
      <c r="R1029">
        <v>12702</v>
      </c>
    </row>
    <row r="1030" spans="1:18" x14ac:dyDescent="0.25">
      <c r="A1030" s="169">
        <v>43517</v>
      </c>
      <c r="B1030" s="116">
        <v>394</v>
      </c>
      <c r="C1030" s="116">
        <v>391.2</v>
      </c>
      <c r="D1030" s="116">
        <v>379.45</v>
      </c>
      <c r="E1030" s="116">
        <v>379.45</v>
      </c>
      <c r="F1030" s="116">
        <v>391.2</v>
      </c>
      <c r="G1030">
        <v>2815</v>
      </c>
      <c r="H1030" s="116"/>
      <c r="I1030" s="116"/>
      <c r="L1030" s="169">
        <v>43517</v>
      </c>
      <c r="M1030" s="116">
        <v>389.9</v>
      </c>
      <c r="N1030" s="116">
        <v>392</v>
      </c>
      <c r="O1030" s="116">
        <v>376.65</v>
      </c>
      <c r="P1030" s="116">
        <v>380.05</v>
      </c>
      <c r="Q1030" s="116">
        <v>389.9</v>
      </c>
      <c r="R1030">
        <v>10215</v>
      </c>
    </row>
    <row r="1031" spans="1:18" x14ac:dyDescent="0.25">
      <c r="A1031" s="169">
        <v>43518</v>
      </c>
      <c r="B1031" s="116">
        <v>402.7</v>
      </c>
      <c r="C1031" s="116">
        <v>397.65</v>
      </c>
      <c r="D1031" s="116">
        <v>393.65</v>
      </c>
      <c r="E1031" s="116">
        <v>394</v>
      </c>
      <c r="F1031" s="116">
        <v>397.65</v>
      </c>
      <c r="G1031">
        <v>3017</v>
      </c>
      <c r="H1031" s="116"/>
      <c r="I1031" s="116"/>
      <c r="L1031" s="169">
        <v>43518</v>
      </c>
      <c r="M1031" s="116">
        <v>398.15</v>
      </c>
      <c r="N1031" s="116">
        <v>405</v>
      </c>
      <c r="O1031" s="116">
        <v>387.1</v>
      </c>
      <c r="P1031" s="116">
        <v>393.6</v>
      </c>
      <c r="Q1031" s="116">
        <v>398.15</v>
      </c>
      <c r="R1031">
        <v>6363</v>
      </c>
    </row>
    <row r="1032" spans="1:18" x14ac:dyDescent="0.25">
      <c r="A1032" s="169">
        <v>43521</v>
      </c>
      <c r="B1032" s="116">
        <v>417.95</v>
      </c>
      <c r="C1032" s="116">
        <v>416.35</v>
      </c>
      <c r="D1032" s="116">
        <v>392.05</v>
      </c>
      <c r="E1032" s="116">
        <v>398.05</v>
      </c>
      <c r="F1032" s="116">
        <v>416.35</v>
      </c>
      <c r="G1032">
        <v>2454</v>
      </c>
      <c r="H1032" s="116"/>
      <c r="I1032" s="116"/>
      <c r="L1032" s="169">
        <v>43521</v>
      </c>
      <c r="M1032" s="116">
        <v>415.95</v>
      </c>
      <c r="N1032" s="116">
        <v>419.35</v>
      </c>
      <c r="O1032" s="116">
        <v>398.15</v>
      </c>
      <c r="P1032" s="116">
        <v>398.2</v>
      </c>
      <c r="Q1032" s="116">
        <v>415.95</v>
      </c>
      <c r="R1032">
        <v>18957</v>
      </c>
    </row>
    <row r="1033" spans="1:18" x14ac:dyDescent="0.25">
      <c r="A1033" s="169">
        <v>43522</v>
      </c>
      <c r="B1033" s="116">
        <v>425</v>
      </c>
      <c r="C1033" s="116">
        <v>420.6</v>
      </c>
      <c r="D1033" s="116">
        <v>403.9</v>
      </c>
      <c r="E1033" s="116">
        <v>403.95</v>
      </c>
      <c r="F1033" s="116">
        <v>420.6</v>
      </c>
      <c r="G1033">
        <v>2735</v>
      </c>
      <c r="H1033" s="116"/>
      <c r="I1033" s="116"/>
      <c r="L1033" s="169">
        <v>43522</v>
      </c>
      <c r="M1033" s="116">
        <v>419.9</v>
      </c>
      <c r="N1033" s="116">
        <v>424.45</v>
      </c>
      <c r="O1033" s="116">
        <v>401</v>
      </c>
      <c r="P1033" s="116">
        <v>410.95</v>
      </c>
      <c r="Q1033" s="116">
        <v>419.9</v>
      </c>
      <c r="R1033">
        <v>17003</v>
      </c>
    </row>
    <row r="1034" spans="1:18" x14ac:dyDescent="0.25">
      <c r="A1034" s="169">
        <v>43523</v>
      </c>
      <c r="B1034" s="116">
        <v>425</v>
      </c>
      <c r="C1034" s="116">
        <v>411.05</v>
      </c>
      <c r="D1034" s="116">
        <v>410</v>
      </c>
      <c r="E1034" s="116">
        <v>423.8</v>
      </c>
      <c r="F1034" s="116">
        <v>411.05</v>
      </c>
      <c r="G1034">
        <v>2747</v>
      </c>
      <c r="H1034" s="116"/>
      <c r="I1034" s="116"/>
      <c r="L1034" s="169">
        <v>43523</v>
      </c>
      <c r="M1034" s="116">
        <v>410.6</v>
      </c>
      <c r="N1034" s="116">
        <v>426.75</v>
      </c>
      <c r="O1034" s="116">
        <v>408</v>
      </c>
      <c r="P1034" s="116">
        <v>423.8</v>
      </c>
      <c r="Q1034" s="116">
        <v>410.6</v>
      </c>
      <c r="R1034">
        <v>14189</v>
      </c>
    </row>
    <row r="1035" spans="1:18" x14ac:dyDescent="0.25">
      <c r="A1035" s="169">
        <v>43524</v>
      </c>
      <c r="B1035" s="116">
        <v>415.05</v>
      </c>
      <c r="C1035" s="116">
        <v>408.65</v>
      </c>
      <c r="D1035" s="116">
        <v>400</v>
      </c>
      <c r="E1035" s="116">
        <v>411.5</v>
      </c>
      <c r="F1035" s="116">
        <v>408.65</v>
      </c>
      <c r="G1035">
        <v>269</v>
      </c>
      <c r="H1035" s="116"/>
      <c r="I1035" s="116"/>
      <c r="L1035" s="169">
        <v>43524</v>
      </c>
      <c r="M1035" s="116">
        <v>405.35</v>
      </c>
      <c r="N1035" s="116">
        <v>415.65</v>
      </c>
      <c r="O1035" s="116">
        <v>401.1</v>
      </c>
      <c r="P1035" s="116">
        <v>411</v>
      </c>
      <c r="Q1035" s="116">
        <v>405.35</v>
      </c>
      <c r="R1035">
        <v>4464</v>
      </c>
    </row>
    <row r="1036" spans="1:18" x14ac:dyDescent="0.25">
      <c r="A1036" s="169">
        <v>43525</v>
      </c>
      <c r="B1036" s="116">
        <v>420.1</v>
      </c>
      <c r="C1036" s="116">
        <v>418.55</v>
      </c>
      <c r="D1036" s="116">
        <v>405.55</v>
      </c>
      <c r="E1036" s="116">
        <v>410.3</v>
      </c>
      <c r="F1036" s="116">
        <v>418.55</v>
      </c>
      <c r="G1036">
        <v>985</v>
      </c>
      <c r="H1036" s="116"/>
      <c r="I1036" s="116"/>
      <c r="L1036" s="169">
        <v>43525</v>
      </c>
      <c r="M1036" s="116">
        <v>420.2</v>
      </c>
      <c r="N1036" s="116">
        <v>424</v>
      </c>
      <c r="O1036" s="116">
        <v>402</v>
      </c>
      <c r="P1036" s="116">
        <v>402</v>
      </c>
      <c r="Q1036" s="116">
        <v>420.2</v>
      </c>
      <c r="R1036">
        <v>9375</v>
      </c>
    </row>
    <row r="1037" spans="1:18" x14ac:dyDescent="0.25">
      <c r="A1037" s="169">
        <v>43529</v>
      </c>
      <c r="B1037" s="116">
        <v>431.5</v>
      </c>
      <c r="C1037" s="116">
        <v>425.75</v>
      </c>
      <c r="D1037" s="116">
        <v>421.2</v>
      </c>
      <c r="E1037" s="116">
        <v>422.85</v>
      </c>
      <c r="F1037" s="116">
        <v>425.75</v>
      </c>
      <c r="G1037">
        <v>3518</v>
      </c>
      <c r="H1037" s="116"/>
      <c r="I1037" s="116"/>
      <c r="L1037" s="169">
        <v>43529</v>
      </c>
      <c r="M1037" s="116">
        <v>426.85</v>
      </c>
      <c r="N1037" s="116">
        <v>432.35</v>
      </c>
      <c r="O1037" s="116">
        <v>417.05</v>
      </c>
      <c r="P1037" s="116">
        <v>417.05</v>
      </c>
      <c r="Q1037" s="116">
        <v>426.85</v>
      </c>
      <c r="R1037">
        <v>19799</v>
      </c>
    </row>
    <row r="1038" spans="1:18" x14ac:dyDescent="0.25">
      <c r="A1038" s="169">
        <v>43530</v>
      </c>
      <c r="B1038" s="116">
        <v>434.4</v>
      </c>
      <c r="C1038" s="116">
        <v>430.15</v>
      </c>
      <c r="D1038" s="116">
        <v>421.95</v>
      </c>
      <c r="E1038" s="116">
        <v>430.75</v>
      </c>
      <c r="F1038" s="116">
        <v>430.15</v>
      </c>
      <c r="G1038">
        <v>2422</v>
      </c>
      <c r="H1038" s="116"/>
      <c r="I1038" s="116"/>
      <c r="L1038" s="169">
        <v>43530</v>
      </c>
      <c r="M1038" s="116">
        <v>430.1</v>
      </c>
      <c r="N1038" s="116">
        <v>433</v>
      </c>
      <c r="O1038" s="116">
        <v>423.4</v>
      </c>
      <c r="P1038" s="116">
        <v>429.05</v>
      </c>
      <c r="Q1038" s="116">
        <v>430.1</v>
      </c>
      <c r="R1038">
        <v>11966</v>
      </c>
    </row>
    <row r="1039" spans="1:18" x14ac:dyDescent="0.25">
      <c r="A1039" s="169">
        <v>43531</v>
      </c>
      <c r="B1039" s="116">
        <v>433.85</v>
      </c>
      <c r="C1039" s="116">
        <v>431.9</v>
      </c>
      <c r="D1039" s="116">
        <v>427.55</v>
      </c>
      <c r="E1039" s="116">
        <v>431.85</v>
      </c>
      <c r="F1039" s="116">
        <v>431.9</v>
      </c>
      <c r="G1039">
        <v>2048</v>
      </c>
      <c r="H1039" s="116"/>
      <c r="I1039" s="116"/>
      <c r="L1039" s="169">
        <v>43531</v>
      </c>
      <c r="M1039" s="116">
        <v>431.15</v>
      </c>
      <c r="N1039" s="116">
        <v>434</v>
      </c>
      <c r="O1039" s="116">
        <v>428.05</v>
      </c>
      <c r="P1039" s="116">
        <v>432.1</v>
      </c>
      <c r="Q1039" s="116">
        <v>431.15</v>
      </c>
      <c r="R1039">
        <v>13286</v>
      </c>
    </row>
    <row r="1040" spans="1:18" x14ac:dyDescent="0.25">
      <c r="A1040" s="169">
        <v>43532</v>
      </c>
      <c r="B1040" s="116">
        <v>492</v>
      </c>
      <c r="C1040" s="116">
        <v>468.25</v>
      </c>
      <c r="D1040" s="116">
        <v>430</v>
      </c>
      <c r="E1040" s="116">
        <v>430</v>
      </c>
      <c r="F1040" s="116">
        <v>468.25</v>
      </c>
      <c r="G1040">
        <v>71235</v>
      </c>
      <c r="H1040" s="116"/>
      <c r="I1040" s="116"/>
      <c r="L1040" s="169">
        <v>43532</v>
      </c>
      <c r="M1040" s="116">
        <v>472.7</v>
      </c>
      <c r="N1040" s="116">
        <v>495.9</v>
      </c>
      <c r="O1040" s="116">
        <v>428.45</v>
      </c>
      <c r="P1040" s="116">
        <v>430.05</v>
      </c>
      <c r="Q1040" s="116">
        <v>472.7</v>
      </c>
      <c r="R1040">
        <v>497309</v>
      </c>
    </row>
    <row r="1041" spans="1:18" x14ac:dyDescent="0.25">
      <c r="A1041" s="169">
        <v>43535</v>
      </c>
      <c r="B1041" s="116">
        <v>493.8</v>
      </c>
      <c r="C1041" s="116">
        <v>470.55</v>
      </c>
      <c r="D1041" s="116">
        <v>462.2</v>
      </c>
      <c r="E1041" s="116">
        <v>478.6</v>
      </c>
      <c r="F1041" s="116">
        <v>470.55</v>
      </c>
      <c r="G1041">
        <v>13842</v>
      </c>
      <c r="H1041" s="116"/>
      <c r="I1041" s="116"/>
      <c r="L1041" s="169">
        <v>43535</v>
      </c>
      <c r="M1041" s="116">
        <v>472.1</v>
      </c>
      <c r="N1041" s="116">
        <v>493.7</v>
      </c>
      <c r="O1041" s="116">
        <v>461.65</v>
      </c>
      <c r="P1041" s="116">
        <v>476.95</v>
      </c>
      <c r="Q1041" s="116">
        <v>472.1</v>
      </c>
      <c r="R1041">
        <v>98410</v>
      </c>
    </row>
    <row r="1042" spans="1:18" x14ac:dyDescent="0.25">
      <c r="A1042" s="169">
        <v>43536</v>
      </c>
      <c r="B1042" s="116">
        <v>507.95</v>
      </c>
      <c r="C1042" s="116">
        <v>496.6</v>
      </c>
      <c r="D1042" s="116">
        <v>477.85</v>
      </c>
      <c r="E1042" s="116">
        <v>478.2</v>
      </c>
      <c r="F1042" s="116">
        <v>496.6</v>
      </c>
      <c r="G1042">
        <v>11118</v>
      </c>
      <c r="H1042" s="116"/>
      <c r="I1042" s="116"/>
      <c r="L1042" s="169">
        <v>43536</v>
      </c>
      <c r="M1042" s="116">
        <v>497.2</v>
      </c>
      <c r="N1042" s="116">
        <v>509</v>
      </c>
      <c r="O1042" s="116">
        <v>473.15</v>
      </c>
      <c r="P1042" s="116">
        <v>476.7</v>
      </c>
      <c r="Q1042" s="116">
        <v>497.2</v>
      </c>
      <c r="R1042">
        <v>220901</v>
      </c>
    </row>
    <row r="1043" spans="1:18" x14ac:dyDescent="0.25">
      <c r="A1043" s="169">
        <v>43537</v>
      </c>
      <c r="B1043" s="116">
        <v>508.15</v>
      </c>
      <c r="C1043" s="116">
        <v>500.65</v>
      </c>
      <c r="D1043" s="116">
        <v>495</v>
      </c>
      <c r="E1043" s="116">
        <v>495.25</v>
      </c>
      <c r="F1043" s="116">
        <v>500.65</v>
      </c>
      <c r="G1043">
        <v>2782</v>
      </c>
      <c r="H1043" s="116"/>
      <c r="I1043" s="116"/>
      <c r="L1043" s="169">
        <v>43537</v>
      </c>
      <c r="M1043" s="116">
        <v>501.35</v>
      </c>
      <c r="N1043" s="116">
        <v>509.45</v>
      </c>
      <c r="O1043" s="116">
        <v>489.05</v>
      </c>
      <c r="P1043" s="116">
        <v>499</v>
      </c>
      <c r="Q1043" s="116">
        <v>501.35</v>
      </c>
      <c r="R1043">
        <v>46312</v>
      </c>
    </row>
    <row r="1044" spans="1:18" x14ac:dyDescent="0.25">
      <c r="A1044" s="169">
        <v>43538</v>
      </c>
      <c r="B1044" s="116">
        <v>507.7</v>
      </c>
      <c r="C1044" s="116">
        <v>488.7</v>
      </c>
      <c r="D1044" s="116">
        <v>482.2</v>
      </c>
      <c r="E1044" s="116">
        <v>500</v>
      </c>
      <c r="F1044" s="116">
        <v>488.7</v>
      </c>
      <c r="G1044">
        <v>1643</v>
      </c>
      <c r="H1044" s="116"/>
      <c r="I1044" s="116"/>
      <c r="L1044" s="169">
        <v>43538</v>
      </c>
      <c r="M1044" s="116">
        <v>489.45</v>
      </c>
      <c r="N1044" s="116">
        <v>509</v>
      </c>
      <c r="O1044" s="116">
        <v>485.05</v>
      </c>
      <c r="P1044" s="116">
        <v>503</v>
      </c>
      <c r="Q1044" s="116">
        <v>489.45</v>
      </c>
      <c r="R1044">
        <v>41371</v>
      </c>
    </row>
    <row r="1045" spans="1:18" x14ac:dyDescent="0.25">
      <c r="A1045" s="169">
        <v>43539</v>
      </c>
      <c r="B1045" s="116">
        <v>498</v>
      </c>
      <c r="C1045" s="116">
        <v>482.7</v>
      </c>
      <c r="D1045" s="116">
        <v>481.3</v>
      </c>
      <c r="E1045" s="116">
        <v>498</v>
      </c>
      <c r="F1045" s="116">
        <v>482.7</v>
      </c>
      <c r="G1045">
        <v>1785</v>
      </c>
      <c r="H1045" s="116"/>
      <c r="I1045" s="116"/>
      <c r="L1045" s="169">
        <v>43539</v>
      </c>
      <c r="M1045" s="116">
        <v>481.4</v>
      </c>
      <c r="N1045" s="116">
        <v>497</v>
      </c>
      <c r="O1045" s="116">
        <v>480</v>
      </c>
      <c r="P1045" s="116">
        <v>489.45</v>
      </c>
      <c r="Q1045" s="116">
        <v>481.4</v>
      </c>
      <c r="R1045">
        <v>18777</v>
      </c>
    </row>
    <row r="1046" spans="1:18" x14ac:dyDescent="0.25">
      <c r="A1046" s="169">
        <v>43542</v>
      </c>
      <c r="B1046" s="116">
        <v>491.6</v>
      </c>
      <c r="C1046" s="116">
        <v>481.15</v>
      </c>
      <c r="D1046" s="116">
        <v>478.6</v>
      </c>
      <c r="E1046" s="116">
        <v>491.6</v>
      </c>
      <c r="F1046" s="116">
        <v>481.15</v>
      </c>
      <c r="G1046">
        <v>1193</v>
      </c>
      <c r="H1046" s="116"/>
      <c r="I1046" s="116"/>
      <c r="L1046" s="169">
        <v>43542</v>
      </c>
      <c r="M1046" s="116">
        <v>482.35</v>
      </c>
      <c r="N1046" s="116">
        <v>495.55</v>
      </c>
      <c r="O1046" s="116">
        <v>480</v>
      </c>
      <c r="P1046" s="116">
        <v>491</v>
      </c>
      <c r="Q1046" s="116">
        <v>482.35</v>
      </c>
      <c r="R1046">
        <v>54158</v>
      </c>
    </row>
    <row r="1047" spans="1:18" x14ac:dyDescent="0.25">
      <c r="A1047" s="169">
        <v>43543</v>
      </c>
      <c r="B1047" s="116">
        <v>502</v>
      </c>
      <c r="C1047" s="116">
        <v>478.5</v>
      </c>
      <c r="D1047" s="116">
        <v>472.6</v>
      </c>
      <c r="E1047" s="116">
        <v>483.1</v>
      </c>
      <c r="F1047" s="116">
        <v>478.5</v>
      </c>
      <c r="G1047">
        <v>7570</v>
      </c>
      <c r="H1047" s="116"/>
      <c r="I1047" s="116"/>
      <c r="L1047" s="169">
        <v>43543</v>
      </c>
      <c r="M1047" s="116">
        <v>479.15</v>
      </c>
      <c r="N1047" s="116">
        <v>503.15</v>
      </c>
      <c r="O1047" s="116">
        <v>475.8</v>
      </c>
      <c r="P1047" s="116">
        <v>482.5</v>
      </c>
      <c r="Q1047" s="116">
        <v>479.15</v>
      </c>
      <c r="R1047">
        <v>32649</v>
      </c>
    </row>
    <row r="1048" spans="1:18" x14ac:dyDescent="0.25">
      <c r="A1048" s="169">
        <v>43544</v>
      </c>
      <c r="B1048" s="116">
        <v>480.95</v>
      </c>
      <c r="C1048" s="116">
        <v>466</v>
      </c>
      <c r="D1048" s="116">
        <v>463.2</v>
      </c>
      <c r="E1048" s="116">
        <v>478.05</v>
      </c>
      <c r="F1048" s="116">
        <v>466</v>
      </c>
      <c r="G1048">
        <v>7916</v>
      </c>
      <c r="H1048" s="116"/>
      <c r="I1048" s="116"/>
      <c r="L1048" s="169">
        <v>43544</v>
      </c>
      <c r="M1048" s="116">
        <v>465.95</v>
      </c>
      <c r="N1048" s="116">
        <v>482.95</v>
      </c>
      <c r="O1048" s="116">
        <v>463.25</v>
      </c>
      <c r="P1048" s="116">
        <v>482.95</v>
      </c>
      <c r="Q1048" s="116">
        <v>465.95</v>
      </c>
      <c r="R1048">
        <v>26541</v>
      </c>
    </row>
    <row r="1049" spans="1:18" x14ac:dyDescent="0.25">
      <c r="A1049" s="169">
        <v>43546</v>
      </c>
      <c r="B1049" s="116">
        <v>482.1</v>
      </c>
      <c r="C1049" s="116">
        <v>462.75</v>
      </c>
      <c r="D1049" s="116">
        <v>459.7</v>
      </c>
      <c r="E1049" s="116">
        <v>475.55</v>
      </c>
      <c r="F1049" s="116">
        <v>462.75</v>
      </c>
      <c r="G1049">
        <v>9964</v>
      </c>
      <c r="H1049" s="116"/>
      <c r="I1049" s="116"/>
      <c r="L1049" s="169">
        <v>43546</v>
      </c>
      <c r="M1049" s="116">
        <v>463.05</v>
      </c>
      <c r="N1049" s="116">
        <v>483</v>
      </c>
      <c r="O1049" s="116">
        <v>460</v>
      </c>
      <c r="P1049" s="116">
        <v>475</v>
      </c>
      <c r="Q1049" s="116">
        <v>463.05</v>
      </c>
      <c r="R1049">
        <v>23222</v>
      </c>
    </row>
    <row r="1050" spans="1:18" x14ac:dyDescent="0.25">
      <c r="A1050" s="169">
        <v>43549</v>
      </c>
      <c r="B1050" s="116">
        <v>487.95</v>
      </c>
      <c r="C1050" s="116">
        <v>467.5</v>
      </c>
      <c r="D1050" s="116">
        <v>450.45</v>
      </c>
      <c r="E1050" s="116">
        <v>460.25</v>
      </c>
      <c r="F1050" s="116">
        <v>467.5</v>
      </c>
      <c r="G1050">
        <v>15547</v>
      </c>
      <c r="H1050" s="116"/>
      <c r="I1050" s="116"/>
      <c r="L1050" s="169">
        <v>43549</v>
      </c>
      <c r="M1050" s="116">
        <v>467.75</v>
      </c>
      <c r="N1050" s="116">
        <v>490</v>
      </c>
      <c r="O1050" s="116">
        <v>453.35</v>
      </c>
      <c r="P1050" s="116">
        <v>460</v>
      </c>
      <c r="Q1050" s="116">
        <v>467.75</v>
      </c>
      <c r="R1050">
        <v>32724</v>
      </c>
    </row>
    <row r="1051" spans="1:18" x14ac:dyDescent="0.25">
      <c r="A1051" s="169">
        <v>43550</v>
      </c>
      <c r="B1051" s="116">
        <v>477.05</v>
      </c>
      <c r="C1051" s="116">
        <v>455.15</v>
      </c>
      <c r="D1051" s="116">
        <v>452.65</v>
      </c>
      <c r="E1051" s="116">
        <v>472.1</v>
      </c>
      <c r="F1051" s="116">
        <v>455.15</v>
      </c>
      <c r="G1051">
        <v>4832</v>
      </c>
      <c r="H1051" s="116"/>
      <c r="I1051" s="116"/>
      <c r="L1051" s="169">
        <v>43550</v>
      </c>
      <c r="M1051" s="116">
        <v>456.95</v>
      </c>
      <c r="N1051" s="116">
        <v>476.7</v>
      </c>
      <c r="O1051" s="116">
        <v>455</v>
      </c>
      <c r="P1051" s="116">
        <v>471.45</v>
      </c>
      <c r="Q1051" s="116">
        <v>456.95</v>
      </c>
      <c r="R1051">
        <v>17186</v>
      </c>
    </row>
    <row r="1052" spans="1:18" x14ac:dyDescent="0.25">
      <c r="A1052" s="169">
        <v>43551</v>
      </c>
      <c r="B1052" s="116">
        <v>500</v>
      </c>
      <c r="C1052" s="116">
        <v>496.5</v>
      </c>
      <c r="D1052" s="116">
        <v>465.95</v>
      </c>
      <c r="E1052" s="116">
        <v>471</v>
      </c>
      <c r="F1052" s="116">
        <v>496.5</v>
      </c>
      <c r="G1052">
        <v>15748</v>
      </c>
      <c r="H1052" s="116"/>
      <c r="I1052" s="116"/>
      <c r="L1052" s="169">
        <v>43551</v>
      </c>
      <c r="M1052" s="116">
        <v>498.9</v>
      </c>
      <c r="N1052" s="116">
        <v>504</v>
      </c>
      <c r="O1052" s="116">
        <v>460</v>
      </c>
      <c r="P1052" s="116">
        <v>460</v>
      </c>
      <c r="Q1052" s="116">
        <v>498.9</v>
      </c>
      <c r="R1052">
        <v>147387</v>
      </c>
    </row>
    <row r="1053" spans="1:18" x14ac:dyDescent="0.25">
      <c r="A1053" s="169">
        <v>43552</v>
      </c>
      <c r="B1053" s="116">
        <v>510.75</v>
      </c>
      <c r="C1053" s="116">
        <v>489.65</v>
      </c>
      <c r="D1053" s="116">
        <v>484</v>
      </c>
      <c r="E1053" s="116">
        <v>508</v>
      </c>
      <c r="F1053" s="116">
        <v>489.65</v>
      </c>
      <c r="G1053">
        <v>5018</v>
      </c>
      <c r="H1053" s="116"/>
      <c r="I1053" s="116"/>
      <c r="L1053" s="169">
        <v>43552</v>
      </c>
      <c r="M1053" s="116">
        <v>494.65</v>
      </c>
      <c r="N1053" s="116">
        <v>509</v>
      </c>
      <c r="O1053" s="116">
        <v>489</v>
      </c>
      <c r="P1053" s="116">
        <v>498.9</v>
      </c>
      <c r="Q1053" s="116">
        <v>494.65</v>
      </c>
      <c r="R1053">
        <v>32312</v>
      </c>
    </row>
    <row r="1054" spans="1:18" x14ac:dyDescent="0.25">
      <c r="A1054" s="169">
        <v>43553</v>
      </c>
      <c r="B1054" s="116">
        <v>510</v>
      </c>
      <c r="C1054" s="116">
        <v>489.1</v>
      </c>
      <c r="D1054" s="116">
        <v>485.5</v>
      </c>
      <c r="E1054" s="116">
        <v>500</v>
      </c>
      <c r="F1054" s="116">
        <v>489.1</v>
      </c>
      <c r="G1054">
        <v>3935</v>
      </c>
      <c r="H1054" s="116"/>
      <c r="I1054" s="116"/>
      <c r="L1054" s="169">
        <v>43553</v>
      </c>
      <c r="M1054" s="116">
        <v>495.7</v>
      </c>
      <c r="N1054" s="116">
        <v>507.8</v>
      </c>
      <c r="O1054" s="116">
        <v>485</v>
      </c>
      <c r="P1054" s="116">
        <v>494.75</v>
      </c>
      <c r="Q1054" s="116">
        <v>495.7</v>
      </c>
      <c r="R1054">
        <v>55240</v>
      </c>
    </row>
    <row r="1055" spans="1:18" x14ac:dyDescent="0.25">
      <c r="A1055" s="169">
        <v>43556</v>
      </c>
      <c r="B1055" s="116">
        <v>504.5</v>
      </c>
      <c r="C1055" s="116">
        <v>493.1</v>
      </c>
      <c r="D1055" s="116">
        <v>488.5</v>
      </c>
      <c r="E1055" s="116">
        <v>500</v>
      </c>
      <c r="F1055" s="116">
        <v>493.1</v>
      </c>
      <c r="G1055">
        <v>2743</v>
      </c>
      <c r="H1055" s="116"/>
      <c r="I1055" s="116"/>
      <c r="L1055" s="169">
        <v>43556</v>
      </c>
      <c r="M1055" s="116">
        <v>494.3</v>
      </c>
      <c r="N1055" s="116">
        <v>504.9</v>
      </c>
      <c r="O1055" s="116">
        <v>489.55</v>
      </c>
      <c r="P1055" s="116">
        <v>497.05</v>
      </c>
      <c r="Q1055" s="116">
        <v>494.3</v>
      </c>
      <c r="R1055">
        <v>38899</v>
      </c>
    </row>
    <row r="1056" spans="1:18" x14ac:dyDescent="0.25">
      <c r="A1056" s="169">
        <v>43557</v>
      </c>
      <c r="B1056" s="116">
        <v>539</v>
      </c>
      <c r="C1056" s="116">
        <v>519.25</v>
      </c>
      <c r="D1056" s="116">
        <v>490.05</v>
      </c>
      <c r="E1056" s="116">
        <v>490.05</v>
      </c>
      <c r="F1056" s="116">
        <v>519.25</v>
      </c>
      <c r="G1056">
        <v>19713</v>
      </c>
      <c r="H1056" s="116"/>
      <c r="I1056" s="116"/>
      <c r="L1056" s="169">
        <v>43557</v>
      </c>
      <c r="M1056" s="116">
        <v>520.85</v>
      </c>
      <c r="N1056" s="116">
        <v>537.6</v>
      </c>
      <c r="O1056" s="116">
        <v>494</v>
      </c>
      <c r="P1056" s="116">
        <v>498.2</v>
      </c>
      <c r="Q1056" s="116">
        <v>520.85</v>
      </c>
      <c r="R1056">
        <v>140471</v>
      </c>
    </row>
    <row r="1057" spans="1:18" x14ac:dyDescent="0.25">
      <c r="A1057" s="169">
        <v>43558</v>
      </c>
      <c r="B1057" s="116">
        <v>527</v>
      </c>
      <c r="C1057" s="116">
        <v>499.05</v>
      </c>
      <c r="D1057" s="116">
        <v>492.35</v>
      </c>
      <c r="E1057" s="116">
        <v>524.9</v>
      </c>
      <c r="F1057" s="116">
        <v>499.05</v>
      </c>
      <c r="G1057">
        <v>4474</v>
      </c>
      <c r="H1057" s="116"/>
      <c r="I1057" s="116"/>
      <c r="L1057" s="169">
        <v>43558</v>
      </c>
      <c r="M1057" s="116">
        <v>500.7</v>
      </c>
      <c r="N1057" s="116">
        <v>529</v>
      </c>
      <c r="O1057" s="116">
        <v>496</v>
      </c>
      <c r="P1057" s="116">
        <v>524.9</v>
      </c>
      <c r="Q1057" s="116">
        <v>500.7</v>
      </c>
      <c r="R1057">
        <v>50741</v>
      </c>
    </row>
    <row r="1058" spans="1:18" x14ac:dyDescent="0.25">
      <c r="A1058" s="169">
        <v>43559</v>
      </c>
      <c r="B1058" s="116">
        <v>506.5</v>
      </c>
      <c r="C1058" s="116">
        <v>486.25</v>
      </c>
      <c r="D1058" s="116">
        <v>482.35</v>
      </c>
      <c r="E1058" s="116">
        <v>504.2</v>
      </c>
      <c r="F1058" s="116">
        <v>486.25</v>
      </c>
      <c r="G1058">
        <v>7382</v>
      </c>
      <c r="H1058" s="116"/>
      <c r="I1058" s="116"/>
      <c r="L1058" s="169">
        <v>43559</v>
      </c>
      <c r="M1058" s="116">
        <v>488.9</v>
      </c>
      <c r="N1058" s="116">
        <v>504.5</v>
      </c>
      <c r="O1058" s="116">
        <v>480.3</v>
      </c>
      <c r="P1058" s="116">
        <v>504</v>
      </c>
      <c r="Q1058" s="116">
        <v>488.9</v>
      </c>
      <c r="R1058">
        <v>56846</v>
      </c>
    </row>
    <row r="1059" spans="1:18" x14ac:dyDescent="0.25">
      <c r="A1059" s="169">
        <v>43560</v>
      </c>
      <c r="B1059" s="116">
        <v>496.9</v>
      </c>
      <c r="C1059" s="116">
        <v>490.65</v>
      </c>
      <c r="D1059" s="116">
        <v>489</v>
      </c>
      <c r="E1059" s="116">
        <v>491.45</v>
      </c>
      <c r="F1059" s="116">
        <v>490.65</v>
      </c>
      <c r="G1059">
        <v>4238</v>
      </c>
      <c r="H1059" s="116"/>
      <c r="I1059" s="116"/>
      <c r="L1059" s="169">
        <v>43560</v>
      </c>
      <c r="M1059" s="116">
        <v>491</v>
      </c>
      <c r="N1059" s="116">
        <v>502</v>
      </c>
      <c r="O1059" s="116">
        <v>488.95</v>
      </c>
      <c r="P1059" s="116">
        <v>489</v>
      </c>
      <c r="Q1059" s="116">
        <v>491</v>
      </c>
      <c r="R1059">
        <v>19340</v>
      </c>
    </row>
    <row r="1060" spans="1:18" x14ac:dyDescent="0.25">
      <c r="A1060" s="169">
        <v>43563</v>
      </c>
      <c r="B1060" s="116">
        <v>493.15</v>
      </c>
      <c r="C1060" s="116">
        <v>482.7</v>
      </c>
      <c r="D1060" s="116">
        <v>473.5</v>
      </c>
      <c r="E1060" s="116">
        <v>493.15</v>
      </c>
      <c r="F1060" s="116">
        <v>482.7</v>
      </c>
      <c r="G1060">
        <v>2233</v>
      </c>
      <c r="H1060" s="116"/>
      <c r="I1060" s="116"/>
      <c r="L1060" s="169">
        <v>43563</v>
      </c>
      <c r="M1060" s="116">
        <v>480</v>
      </c>
      <c r="N1060" s="116">
        <v>495.5</v>
      </c>
      <c r="O1060" s="116">
        <v>473.55</v>
      </c>
      <c r="P1060" s="116">
        <v>490.05</v>
      </c>
      <c r="Q1060" s="116">
        <v>480</v>
      </c>
      <c r="R1060">
        <v>31721</v>
      </c>
    </row>
    <row r="1061" spans="1:18" x14ac:dyDescent="0.25">
      <c r="A1061" s="169">
        <v>43564</v>
      </c>
      <c r="B1061" s="116">
        <v>498</v>
      </c>
      <c r="C1061" s="116">
        <v>488.8</v>
      </c>
      <c r="D1061" s="116">
        <v>475.75</v>
      </c>
      <c r="E1061" s="116">
        <v>477</v>
      </c>
      <c r="F1061" s="116">
        <v>488.8</v>
      </c>
      <c r="G1061">
        <v>6438</v>
      </c>
      <c r="H1061" s="116"/>
      <c r="I1061" s="116"/>
      <c r="L1061" s="169">
        <v>43564</v>
      </c>
      <c r="M1061" s="116">
        <v>486.15</v>
      </c>
      <c r="N1061" s="116">
        <v>499</v>
      </c>
      <c r="O1061" s="116">
        <v>475.25</v>
      </c>
      <c r="P1061" s="116">
        <v>477.05</v>
      </c>
      <c r="Q1061" s="116">
        <v>486.15</v>
      </c>
      <c r="R1061">
        <v>36411</v>
      </c>
    </row>
    <row r="1062" spans="1:18" x14ac:dyDescent="0.25">
      <c r="A1062" s="169">
        <v>43565</v>
      </c>
      <c r="B1062" s="116">
        <v>495.5</v>
      </c>
      <c r="C1062" s="116">
        <v>480.8</v>
      </c>
      <c r="D1062" s="116">
        <v>478.25</v>
      </c>
      <c r="E1062" s="116">
        <v>485</v>
      </c>
      <c r="F1062" s="116">
        <v>480.8</v>
      </c>
      <c r="G1062">
        <v>2956</v>
      </c>
      <c r="H1062" s="116"/>
      <c r="I1062" s="116"/>
      <c r="L1062" s="169">
        <v>43565</v>
      </c>
      <c r="M1062" s="116">
        <v>481.7</v>
      </c>
      <c r="N1062" s="116">
        <v>495.5</v>
      </c>
      <c r="O1062" s="116">
        <v>480</v>
      </c>
      <c r="P1062" s="116">
        <v>486.15</v>
      </c>
      <c r="Q1062" s="116">
        <v>481.7</v>
      </c>
      <c r="R1062">
        <v>19193</v>
      </c>
    </row>
    <row r="1063" spans="1:18" x14ac:dyDescent="0.25">
      <c r="A1063" s="169">
        <v>43566</v>
      </c>
      <c r="B1063" s="116">
        <v>494.25</v>
      </c>
      <c r="C1063" s="116">
        <v>481.2</v>
      </c>
      <c r="D1063" s="116">
        <v>477.55</v>
      </c>
      <c r="E1063" s="116">
        <v>483.1</v>
      </c>
      <c r="F1063" s="116">
        <v>481.2</v>
      </c>
      <c r="G1063">
        <v>2817</v>
      </c>
      <c r="H1063" s="116"/>
      <c r="I1063" s="116"/>
      <c r="L1063" s="169">
        <v>43566</v>
      </c>
      <c r="M1063" s="116">
        <v>480.9</v>
      </c>
      <c r="N1063" s="116">
        <v>495</v>
      </c>
      <c r="O1063" s="116">
        <v>477.4</v>
      </c>
      <c r="P1063" s="116">
        <v>484.4</v>
      </c>
      <c r="Q1063" s="116">
        <v>480.9</v>
      </c>
      <c r="R1063">
        <v>17296</v>
      </c>
    </row>
    <row r="1064" spans="1:18" x14ac:dyDescent="0.25">
      <c r="A1064" s="169">
        <v>43567</v>
      </c>
      <c r="B1064" s="116">
        <v>485</v>
      </c>
      <c r="C1064" s="116">
        <v>480</v>
      </c>
      <c r="D1064" s="116">
        <v>477</v>
      </c>
      <c r="E1064" s="116">
        <v>484</v>
      </c>
      <c r="F1064" s="116">
        <v>480</v>
      </c>
      <c r="G1064">
        <v>912</v>
      </c>
      <c r="H1064" s="116"/>
      <c r="I1064" s="116"/>
      <c r="L1064" s="169">
        <v>43567</v>
      </c>
      <c r="M1064" s="116">
        <v>479.35</v>
      </c>
      <c r="N1064" s="116">
        <v>486.25</v>
      </c>
      <c r="O1064" s="116">
        <v>478</v>
      </c>
      <c r="P1064" s="116">
        <v>483.95</v>
      </c>
      <c r="Q1064" s="116">
        <v>479.35</v>
      </c>
      <c r="R1064">
        <v>8755</v>
      </c>
    </row>
    <row r="1065" spans="1:18" x14ac:dyDescent="0.25">
      <c r="A1065" s="169">
        <v>43570</v>
      </c>
      <c r="B1065" s="116">
        <v>487.35</v>
      </c>
      <c r="C1065" s="116">
        <v>481.1</v>
      </c>
      <c r="D1065" s="116">
        <v>476.1</v>
      </c>
      <c r="E1065" s="116">
        <v>485</v>
      </c>
      <c r="F1065" s="116">
        <v>481.1</v>
      </c>
      <c r="G1065">
        <v>2488</v>
      </c>
      <c r="H1065" s="116"/>
      <c r="I1065" s="116"/>
      <c r="L1065" s="169">
        <v>43570</v>
      </c>
      <c r="M1065" s="116">
        <v>481.4</v>
      </c>
      <c r="N1065" s="116">
        <v>487.5</v>
      </c>
      <c r="O1065" s="116">
        <v>480.5</v>
      </c>
      <c r="P1065" s="116">
        <v>482.95</v>
      </c>
      <c r="Q1065" s="116">
        <v>481.4</v>
      </c>
      <c r="R1065">
        <v>12963</v>
      </c>
    </row>
    <row r="1066" spans="1:18" x14ac:dyDescent="0.25">
      <c r="A1066" s="169">
        <v>43571</v>
      </c>
      <c r="B1066" s="116">
        <v>485</v>
      </c>
      <c r="C1066" s="116">
        <v>482.25</v>
      </c>
      <c r="D1066" s="116">
        <v>481.75</v>
      </c>
      <c r="E1066" s="116">
        <v>484.55</v>
      </c>
      <c r="F1066" s="116">
        <v>482.25</v>
      </c>
      <c r="G1066">
        <v>759</v>
      </c>
      <c r="H1066" s="116"/>
      <c r="I1066" s="116"/>
      <c r="L1066" s="169">
        <v>43571</v>
      </c>
      <c r="M1066" s="116">
        <v>482.75</v>
      </c>
      <c r="N1066" s="116">
        <v>485.8</v>
      </c>
      <c r="O1066" s="116">
        <v>478.35</v>
      </c>
      <c r="P1066" s="116">
        <v>482.05</v>
      </c>
      <c r="Q1066" s="116">
        <v>482.75</v>
      </c>
      <c r="R1066">
        <v>26604</v>
      </c>
    </row>
    <row r="1067" spans="1:18" x14ac:dyDescent="0.25">
      <c r="A1067" s="169">
        <v>43573</v>
      </c>
      <c r="B1067" s="116">
        <v>491.1</v>
      </c>
      <c r="C1067" s="116">
        <v>476.45</v>
      </c>
      <c r="D1067" s="116">
        <v>470.9</v>
      </c>
      <c r="E1067" s="116">
        <v>486.6</v>
      </c>
      <c r="F1067" s="116">
        <v>476.45</v>
      </c>
      <c r="G1067">
        <v>2178</v>
      </c>
      <c r="H1067" s="116"/>
      <c r="I1067" s="116"/>
      <c r="L1067" s="169">
        <v>43573</v>
      </c>
      <c r="M1067" s="116">
        <v>476.95</v>
      </c>
      <c r="N1067" s="116">
        <v>497.05</v>
      </c>
      <c r="O1067" s="116">
        <v>476</v>
      </c>
      <c r="P1067" s="116">
        <v>485.5</v>
      </c>
      <c r="Q1067" s="116">
        <v>476.95</v>
      </c>
      <c r="R1067">
        <v>15061</v>
      </c>
    </row>
    <row r="1068" spans="1:18" x14ac:dyDescent="0.25">
      <c r="A1068" s="169">
        <v>43577</v>
      </c>
      <c r="B1068" s="116">
        <v>477</v>
      </c>
      <c r="C1068" s="116">
        <v>462.8</v>
      </c>
      <c r="D1068" s="116">
        <v>462.15</v>
      </c>
      <c r="E1068" s="116">
        <v>477</v>
      </c>
      <c r="F1068" s="116">
        <v>462.8</v>
      </c>
      <c r="G1068">
        <v>3364</v>
      </c>
      <c r="H1068" s="116"/>
      <c r="I1068" s="116"/>
      <c r="L1068" s="169">
        <v>43577</v>
      </c>
      <c r="M1068" s="116">
        <v>464.15</v>
      </c>
      <c r="N1068" s="116">
        <v>474.5</v>
      </c>
      <c r="O1068" s="116">
        <v>463</v>
      </c>
      <c r="P1068" s="116">
        <v>474.5</v>
      </c>
      <c r="Q1068" s="116">
        <v>464.15</v>
      </c>
      <c r="R1068">
        <v>28950</v>
      </c>
    </row>
    <row r="1069" spans="1:18" x14ac:dyDescent="0.25">
      <c r="A1069" s="169">
        <v>43578</v>
      </c>
      <c r="B1069" s="116">
        <v>465.1</v>
      </c>
      <c r="C1069" s="116">
        <v>455.35</v>
      </c>
      <c r="D1069" s="116">
        <v>448.25</v>
      </c>
      <c r="E1069" s="116">
        <v>465</v>
      </c>
      <c r="F1069" s="116">
        <v>455.35</v>
      </c>
      <c r="G1069">
        <v>2483</v>
      </c>
      <c r="H1069" s="116"/>
      <c r="I1069" s="116"/>
      <c r="L1069" s="169">
        <v>43578</v>
      </c>
      <c r="M1069" s="116">
        <v>456.25</v>
      </c>
      <c r="N1069" s="116">
        <v>469.9</v>
      </c>
      <c r="O1069" s="116">
        <v>445.9</v>
      </c>
      <c r="P1069" s="116">
        <v>460.05</v>
      </c>
      <c r="Q1069" s="116">
        <v>456.25</v>
      </c>
      <c r="R1069">
        <v>47883</v>
      </c>
    </row>
    <row r="1070" spans="1:18" x14ac:dyDescent="0.25">
      <c r="A1070" s="169">
        <v>43579</v>
      </c>
      <c r="B1070" s="116">
        <v>463</v>
      </c>
      <c r="C1070" s="116">
        <v>451.8</v>
      </c>
      <c r="D1070" s="116">
        <v>447.1</v>
      </c>
      <c r="E1070" s="116">
        <v>460</v>
      </c>
      <c r="F1070" s="116">
        <v>451.8</v>
      </c>
      <c r="G1070">
        <v>1588</v>
      </c>
      <c r="H1070" s="116"/>
      <c r="I1070" s="116"/>
      <c r="L1070" s="169">
        <v>43579</v>
      </c>
      <c r="M1070" s="116">
        <v>451.25</v>
      </c>
      <c r="N1070" s="116">
        <v>465.4</v>
      </c>
      <c r="O1070" s="116">
        <v>446.05</v>
      </c>
      <c r="P1070" s="116">
        <v>459</v>
      </c>
      <c r="Q1070" s="116">
        <v>451.25</v>
      </c>
      <c r="R1070">
        <v>18235</v>
      </c>
    </row>
    <row r="1071" spans="1:18" x14ac:dyDescent="0.25">
      <c r="A1071" s="169">
        <v>43580</v>
      </c>
      <c r="B1071" s="116">
        <v>468.4</v>
      </c>
      <c r="C1071" s="116">
        <v>453.45</v>
      </c>
      <c r="D1071" s="116">
        <v>450</v>
      </c>
      <c r="E1071" s="116">
        <v>451.5</v>
      </c>
      <c r="F1071" s="116">
        <v>453.45</v>
      </c>
      <c r="G1071">
        <v>5686</v>
      </c>
      <c r="H1071" s="116"/>
      <c r="I1071" s="116"/>
      <c r="L1071" s="169">
        <v>43580</v>
      </c>
      <c r="M1071" s="116">
        <v>451.75</v>
      </c>
      <c r="N1071" s="116">
        <v>469</v>
      </c>
      <c r="O1071" s="116">
        <v>449.1</v>
      </c>
      <c r="P1071" s="116">
        <v>452</v>
      </c>
      <c r="Q1071" s="116">
        <v>451.75</v>
      </c>
      <c r="R1071">
        <v>41053</v>
      </c>
    </row>
    <row r="1072" spans="1:18" x14ac:dyDescent="0.25">
      <c r="A1072" s="169">
        <v>43581</v>
      </c>
      <c r="B1072" s="116">
        <v>458.1</v>
      </c>
      <c r="C1072" s="116">
        <v>449.45</v>
      </c>
      <c r="D1072" s="116">
        <v>447.5</v>
      </c>
      <c r="E1072" s="116">
        <v>458.1</v>
      </c>
      <c r="F1072" s="116">
        <v>449.45</v>
      </c>
      <c r="G1072">
        <v>790</v>
      </c>
      <c r="H1072" s="116"/>
      <c r="I1072" s="116"/>
      <c r="L1072" s="169">
        <v>43581</v>
      </c>
      <c r="M1072" s="116">
        <v>449.2</v>
      </c>
      <c r="N1072" s="116">
        <v>459</v>
      </c>
      <c r="O1072" s="116">
        <v>446</v>
      </c>
      <c r="P1072" s="116">
        <v>455</v>
      </c>
      <c r="Q1072" s="116">
        <v>449.2</v>
      </c>
      <c r="R1072">
        <v>10852</v>
      </c>
    </row>
    <row r="1073" spans="1:18" x14ac:dyDescent="0.25">
      <c r="A1073" s="169">
        <v>43585</v>
      </c>
      <c r="B1073" s="116">
        <v>449.55</v>
      </c>
      <c r="C1073" s="116">
        <v>435.75</v>
      </c>
      <c r="D1073" s="116">
        <v>431</v>
      </c>
      <c r="E1073" s="116">
        <v>447</v>
      </c>
      <c r="F1073" s="116">
        <v>435.75</v>
      </c>
      <c r="G1073">
        <v>1599</v>
      </c>
      <c r="H1073" s="116"/>
      <c r="I1073" s="116"/>
      <c r="L1073" s="169">
        <v>43585</v>
      </c>
      <c r="M1073" s="116">
        <v>437</v>
      </c>
      <c r="N1073" s="116">
        <v>451.05</v>
      </c>
      <c r="O1073" s="116">
        <v>430.35</v>
      </c>
      <c r="P1073" s="116">
        <v>451</v>
      </c>
      <c r="Q1073" s="116">
        <v>437</v>
      </c>
      <c r="R1073">
        <v>20889</v>
      </c>
    </row>
    <row r="1074" spans="1:18" x14ac:dyDescent="0.25">
      <c r="A1074" s="169">
        <v>43587</v>
      </c>
      <c r="B1074" s="116">
        <v>439.9</v>
      </c>
      <c r="C1074" s="116">
        <v>428.15</v>
      </c>
      <c r="D1074" s="116">
        <v>426.5</v>
      </c>
      <c r="E1074" s="116">
        <v>435.75</v>
      </c>
      <c r="F1074" s="116">
        <v>428.15</v>
      </c>
      <c r="G1074">
        <v>2611</v>
      </c>
      <c r="H1074" s="116"/>
      <c r="I1074" s="116"/>
      <c r="L1074" s="169">
        <v>43587</v>
      </c>
      <c r="M1074" s="116">
        <v>427.95</v>
      </c>
      <c r="N1074" s="116">
        <v>441.7</v>
      </c>
      <c r="O1074" s="116">
        <v>425.3</v>
      </c>
      <c r="P1074" s="116">
        <v>435.1</v>
      </c>
      <c r="Q1074" s="116">
        <v>427.95</v>
      </c>
      <c r="R1074">
        <v>18021</v>
      </c>
    </row>
    <row r="1075" spans="1:18" x14ac:dyDescent="0.25">
      <c r="A1075" s="169">
        <v>43588</v>
      </c>
      <c r="B1075" s="116">
        <v>445</v>
      </c>
      <c r="C1075" s="116">
        <v>435.55</v>
      </c>
      <c r="D1075" s="116">
        <v>425.3</v>
      </c>
      <c r="E1075" s="116">
        <v>425.3</v>
      </c>
      <c r="F1075" s="116">
        <v>435.55</v>
      </c>
      <c r="G1075">
        <v>1512</v>
      </c>
      <c r="H1075" s="116"/>
      <c r="I1075" s="116"/>
      <c r="L1075" s="169">
        <v>43588</v>
      </c>
      <c r="M1075" s="116">
        <v>434.15</v>
      </c>
      <c r="N1075" s="116">
        <v>436.9</v>
      </c>
      <c r="O1075" s="116">
        <v>428</v>
      </c>
      <c r="P1075" s="116">
        <v>431.95</v>
      </c>
      <c r="Q1075" s="116">
        <v>434.15</v>
      </c>
      <c r="R1075">
        <v>16882</v>
      </c>
    </row>
    <row r="1076" spans="1:18" x14ac:dyDescent="0.25">
      <c r="A1076" s="169">
        <v>43591</v>
      </c>
      <c r="B1076" s="116">
        <v>452.45</v>
      </c>
      <c r="C1076" s="116">
        <v>444.4</v>
      </c>
      <c r="D1076" s="116">
        <v>431.4</v>
      </c>
      <c r="E1076" s="116">
        <v>431.4</v>
      </c>
      <c r="F1076" s="116">
        <v>444.4</v>
      </c>
      <c r="G1076">
        <v>3506</v>
      </c>
      <c r="H1076" s="116"/>
      <c r="I1076" s="116"/>
      <c r="L1076" s="169">
        <v>43591</v>
      </c>
      <c r="M1076" s="116">
        <v>442.05</v>
      </c>
      <c r="N1076" s="116">
        <v>447.8</v>
      </c>
      <c r="O1076" s="116">
        <v>430</v>
      </c>
      <c r="P1076" s="116">
        <v>433</v>
      </c>
      <c r="Q1076" s="116">
        <v>442.05</v>
      </c>
      <c r="R1076">
        <v>21299</v>
      </c>
    </row>
    <row r="1077" spans="1:18" x14ac:dyDescent="0.25">
      <c r="A1077" s="169">
        <v>43592</v>
      </c>
      <c r="B1077" s="116">
        <v>446.05</v>
      </c>
      <c r="C1077" s="116">
        <v>429.15</v>
      </c>
      <c r="D1077" s="116">
        <v>426.05</v>
      </c>
      <c r="E1077" s="116">
        <v>446.05</v>
      </c>
      <c r="F1077" s="116">
        <v>429.15</v>
      </c>
      <c r="G1077">
        <v>2027</v>
      </c>
      <c r="H1077" s="116"/>
      <c r="I1077" s="116"/>
      <c r="L1077" s="169">
        <v>43592</v>
      </c>
      <c r="M1077" s="116">
        <v>430.05</v>
      </c>
      <c r="N1077" s="116">
        <v>446</v>
      </c>
      <c r="O1077" s="116">
        <v>428</v>
      </c>
      <c r="P1077" s="116">
        <v>442.5</v>
      </c>
      <c r="Q1077" s="116">
        <v>430.05</v>
      </c>
      <c r="R1077">
        <v>9963</v>
      </c>
    </row>
    <row r="1078" spans="1:18" x14ac:dyDescent="0.25">
      <c r="A1078" s="169">
        <v>43593</v>
      </c>
      <c r="B1078" s="116">
        <v>440</v>
      </c>
      <c r="C1078" s="116">
        <v>418.75</v>
      </c>
      <c r="D1078" s="116">
        <v>415.9</v>
      </c>
      <c r="E1078" s="116">
        <v>431</v>
      </c>
      <c r="F1078" s="116">
        <v>418.75</v>
      </c>
      <c r="G1078">
        <v>2223</v>
      </c>
      <c r="H1078" s="116"/>
      <c r="I1078" s="116"/>
      <c r="L1078" s="169">
        <v>43593</v>
      </c>
      <c r="M1078" s="116">
        <v>417.4</v>
      </c>
      <c r="N1078" s="116">
        <v>442.55</v>
      </c>
      <c r="O1078" s="116">
        <v>415.5</v>
      </c>
      <c r="P1078" s="116">
        <v>430.05</v>
      </c>
      <c r="Q1078" s="116">
        <v>417.4</v>
      </c>
      <c r="R1078">
        <v>17781</v>
      </c>
    </row>
    <row r="1079" spans="1:18" x14ac:dyDescent="0.25">
      <c r="A1079" s="169">
        <v>43594</v>
      </c>
      <c r="B1079" s="116">
        <v>422.75</v>
      </c>
      <c r="C1079" s="116">
        <v>416.15</v>
      </c>
      <c r="D1079" s="116">
        <v>411.6</v>
      </c>
      <c r="E1079" s="116">
        <v>415.05</v>
      </c>
      <c r="F1079" s="116">
        <v>416.15</v>
      </c>
      <c r="G1079">
        <v>2705</v>
      </c>
      <c r="H1079" s="116"/>
      <c r="I1079" s="116"/>
      <c r="L1079" s="169">
        <v>43594</v>
      </c>
      <c r="M1079" s="116">
        <v>412.75</v>
      </c>
      <c r="N1079" s="116">
        <v>420.45</v>
      </c>
      <c r="O1079" s="116">
        <v>409.6</v>
      </c>
      <c r="P1079" s="116">
        <v>418</v>
      </c>
      <c r="Q1079" s="116">
        <v>412.75</v>
      </c>
      <c r="R1079">
        <v>12727</v>
      </c>
    </row>
    <row r="1080" spans="1:18" x14ac:dyDescent="0.25">
      <c r="A1080" s="169">
        <v>43595</v>
      </c>
      <c r="B1080" s="116">
        <v>425</v>
      </c>
      <c r="C1080" s="116">
        <v>422.8</v>
      </c>
      <c r="D1080" s="116">
        <v>412.8</v>
      </c>
      <c r="E1080" s="116">
        <v>418.3</v>
      </c>
      <c r="F1080" s="116">
        <v>422.8</v>
      </c>
      <c r="G1080">
        <v>1323</v>
      </c>
      <c r="H1080" s="116"/>
      <c r="I1080" s="116"/>
      <c r="L1080" s="169">
        <v>43595</v>
      </c>
      <c r="M1080" s="116">
        <v>423.1</v>
      </c>
      <c r="N1080" s="116">
        <v>425</v>
      </c>
      <c r="O1080" s="116">
        <v>412</v>
      </c>
      <c r="P1080" s="116">
        <v>412</v>
      </c>
      <c r="Q1080" s="116">
        <v>423.1</v>
      </c>
      <c r="R1080">
        <v>7400</v>
      </c>
    </row>
    <row r="1081" spans="1:18" x14ac:dyDescent="0.25">
      <c r="A1081" s="169">
        <v>43598</v>
      </c>
      <c r="B1081" s="116">
        <v>426</v>
      </c>
      <c r="C1081" s="116">
        <v>425.05</v>
      </c>
      <c r="D1081" s="116">
        <v>408</v>
      </c>
      <c r="E1081" s="116">
        <v>418.05</v>
      </c>
      <c r="F1081" s="116">
        <v>425.05</v>
      </c>
      <c r="G1081">
        <v>1930</v>
      </c>
      <c r="H1081" s="116"/>
      <c r="I1081" s="116"/>
      <c r="L1081" s="169">
        <v>43598</v>
      </c>
      <c r="M1081" s="116">
        <v>422</v>
      </c>
      <c r="N1081" s="116">
        <v>427</v>
      </c>
      <c r="O1081" s="116">
        <v>410.9</v>
      </c>
      <c r="P1081" s="116">
        <v>422</v>
      </c>
      <c r="Q1081" s="116">
        <v>422</v>
      </c>
      <c r="R1081">
        <v>9422</v>
      </c>
    </row>
    <row r="1082" spans="1:18" x14ac:dyDescent="0.25">
      <c r="A1082" s="169">
        <v>43599</v>
      </c>
      <c r="B1082" s="116">
        <v>424.2</v>
      </c>
      <c r="C1082" s="116">
        <v>419.1</v>
      </c>
      <c r="D1082" s="116">
        <v>416.85</v>
      </c>
      <c r="E1082" s="116">
        <v>421.05</v>
      </c>
      <c r="F1082" s="116">
        <v>419.1</v>
      </c>
      <c r="G1082">
        <v>565</v>
      </c>
      <c r="H1082" s="116"/>
      <c r="I1082" s="116"/>
      <c r="L1082" s="169">
        <v>43599</v>
      </c>
      <c r="M1082" s="116">
        <v>418.85</v>
      </c>
      <c r="N1082" s="116">
        <v>427</v>
      </c>
      <c r="O1082" s="116">
        <v>415</v>
      </c>
      <c r="P1082" s="116">
        <v>420</v>
      </c>
      <c r="Q1082" s="116">
        <v>418.85</v>
      </c>
      <c r="R1082">
        <v>6897</v>
      </c>
    </row>
    <row r="1083" spans="1:18" x14ac:dyDescent="0.25">
      <c r="A1083" s="169">
        <v>43600</v>
      </c>
      <c r="B1083" s="116">
        <v>427</v>
      </c>
      <c r="C1083" s="116">
        <v>424.2</v>
      </c>
      <c r="D1083" s="116">
        <v>418.75</v>
      </c>
      <c r="E1083" s="116">
        <v>418.75</v>
      </c>
      <c r="F1083" s="116">
        <v>424.2</v>
      </c>
      <c r="G1083">
        <v>973</v>
      </c>
      <c r="H1083" s="116"/>
      <c r="I1083" s="116"/>
      <c r="L1083" s="169">
        <v>43600</v>
      </c>
      <c r="M1083" s="116">
        <v>422.9</v>
      </c>
      <c r="N1083" s="116">
        <v>430</v>
      </c>
      <c r="O1083" s="116">
        <v>420</v>
      </c>
      <c r="P1083" s="116">
        <v>420.05</v>
      </c>
      <c r="Q1083" s="116">
        <v>422.9</v>
      </c>
      <c r="R1083">
        <v>45519</v>
      </c>
    </row>
    <row r="1084" spans="1:18" x14ac:dyDescent="0.25">
      <c r="A1084" s="169">
        <v>43601</v>
      </c>
      <c r="B1084" s="116">
        <v>439.9</v>
      </c>
      <c r="C1084" s="116">
        <v>399.95</v>
      </c>
      <c r="D1084" s="116">
        <v>394.05</v>
      </c>
      <c r="E1084" s="116">
        <v>439.9</v>
      </c>
      <c r="F1084" s="116">
        <v>399.95</v>
      </c>
      <c r="G1084">
        <v>6726</v>
      </c>
      <c r="H1084" s="116"/>
      <c r="I1084" s="116"/>
      <c r="L1084" s="169">
        <v>43601</v>
      </c>
      <c r="M1084" s="116">
        <v>399.85</v>
      </c>
      <c r="N1084" s="116">
        <v>431.85</v>
      </c>
      <c r="O1084" s="116">
        <v>394</v>
      </c>
      <c r="P1084" s="116">
        <v>426.05</v>
      </c>
      <c r="Q1084" s="116">
        <v>399.85</v>
      </c>
      <c r="R1084">
        <v>62978</v>
      </c>
    </row>
    <row r="1085" spans="1:18" x14ac:dyDescent="0.25">
      <c r="A1085" s="169">
        <v>43602</v>
      </c>
      <c r="B1085" s="116">
        <v>406.25</v>
      </c>
      <c r="C1085" s="116">
        <v>399.2</v>
      </c>
      <c r="D1085" s="116">
        <v>393.75</v>
      </c>
      <c r="E1085" s="116">
        <v>400.8</v>
      </c>
      <c r="F1085" s="116">
        <v>399.2</v>
      </c>
      <c r="G1085">
        <v>1554</v>
      </c>
      <c r="H1085" s="116"/>
      <c r="I1085" s="116"/>
      <c r="L1085" s="169">
        <v>43602</v>
      </c>
      <c r="M1085" s="116">
        <v>398.55</v>
      </c>
      <c r="N1085" s="116">
        <v>405</v>
      </c>
      <c r="O1085" s="116">
        <v>392.5</v>
      </c>
      <c r="P1085" s="116">
        <v>401.2</v>
      </c>
      <c r="Q1085" s="116">
        <v>398.55</v>
      </c>
      <c r="R1085">
        <v>23969</v>
      </c>
    </row>
    <row r="1086" spans="1:18" x14ac:dyDescent="0.25">
      <c r="A1086" s="169">
        <v>43605</v>
      </c>
      <c r="B1086" s="116">
        <v>442</v>
      </c>
      <c r="C1086" s="116">
        <v>439.05</v>
      </c>
      <c r="D1086" s="116">
        <v>406.1</v>
      </c>
      <c r="E1086" s="116">
        <v>415</v>
      </c>
      <c r="F1086" s="116">
        <v>439.05</v>
      </c>
      <c r="G1086">
        <v>4199</v>
      </c>
      <c r="H1086" s="116"/>
      <c r="I1086" s="116"/>
      <c r="L1086" s="169">
        <v>43605</v>
      </c>
      <c r="M1086" s="116">
        <v>437.55</v>
      </c>
      <c r="N1086" s="116">
        <v>442.4</v>
      </c>
      <c r="O1086" s="116">
        <v>407.95</v>
      </c>
      <c r="P1086" s="116">
        <v>418.9</v>
      </c>
      <c r="Q1086" s="116">
        <v>437.55</v>
      </c>
      <c r="R1086">
        <v>49376</v>
      </c>
    </row>
    <row r="1087" spans="1:18" x14ac:dyDescent="0.25">
      <c r="A1087" s="169">
        <v>43606</v>
      </c>
      <c r="B1087" s="116">
        <v>437.5</v>
      </c>
      <c r="C1087" s="116">
        <v>408</v>
      </c>
      <c r="D1087" s="116">
        <v>401.05</v>
      </c>
      <c r="E1087" s="116">
        <v>437.5</v>
      </c>
      <c r="F1087" s="116">
        <v>408</v>
      </c>
      <c r="G1087">
        <v>5050</v>
      </c>
      <c r="H1087" s="116"/>
      <c r="I1087" s="116"/>
      <c r="L1087" s="169">
        <v>43606</v>
      </c>
      <c r="M1087" s="116">
        <v>408.85</v>
      </c>
      <c r="N1087" s="116">
        <v>439</v>
      </c>
      <c r="O1087" s="116">
        <v>401.35</v>
      </c>
      <c r="P1087" s="116">
        <v>438</v>
      </c>
      <c r="Q1087" s="116">
        <v>408.85</v>
      </c>
      <c r="R1087">
        <v>38084</v>
      </c>
    </row>
    <row r="1088" spans="1:18" x14ac:dyDescent="0.25">
      <c r="A1088" s="169">
        <v>43607</v>
      </c>
      <c r="B1088" s="116">
        <v>420.55</v>
      </c>
      <c r="C1088" s="116">
        <v>414.9</v>
      </c>
      <c r="D1088" s="116">
        <v>410</v>
      </c>
      <c r="E1088" s="116">
        <v>414</v>
      </c>
      <c r="F1088" s="116">
        <v>414.9</v>
      </c>
      <c r="G1088">
        <v>2028</v>
      </c>
      <c r="H1088" s="116"/>
      <c r="I1088" s="116"/>
      <c r="L1088" s="169">
        <v>43607</v>
      </c>
      <c r="M1088" s="116">
        <v>413.95</v>
      </c>
      <c r="N1088" s="116">
        <v>421.2</v>
      </c>
      <c r="O1088" s="116">
        <v>410.05</v>
      </c>
      <c r="P1088" s="116">
        <v>415.95</v>
      </c>
      <c r="Q1088" s="116">
        <v>413.95</v>
      </c>
      <c r="R1088">
        <v>38890</v>
      </c>
    </row>
    <row r="1089" spans="1:18" x14ac:dyDescent="0.25">
      <c r="A1089" s="169">
        <v>43608</v>
      </c>
      <c r="B1089" s="116">
        <v>421.3</v>
      </c>
      <c r="C1089" s="116">
        <v>401.2</v>
      </c>
      <c r="D1089" s="116">
        <v>400.1</v>
      </c>
      <c r="E1089" s="116">
        <v>421.05</v>
      </c>
      <c r="F1089" s="116">
        <v>401.2</v>
      </c>
      <c r="G1089">
        <v>4884</v>
      </c>
      <c r="H1089" s="116"/>
      <c r="I1089" s="116"/>
      <c r="L1089" s="169">
        <v>43608</v>
      </c>
      <c r="M1089" s="116">
        <v>402.95</v>
      </c>
      <c r="N1089" s="116">
        <v>426.95</v>
      </c>
      <c r="O1089" s="116">
        <v>402</v>
      </c>
      <c r="P1089" s="116">
        <v>420.95</v>
      </c>
      <c r="Q1089" s="116">
        <v>402.95</v>
      </c>
      <c r="R1089">
        <v>29317</v>
      </c>
    </row>
    <row r="1090" spans="1:18" x14ac:dyDescent="0.25">
      <c r="A1090" s="169">
        <v>43609</v>
      </c>
      <c r="B1090" s="116">
        <v>417.45</v>
      </c>
      <c r="C1090" s="116">
        <v>412.05</v>
      </c>
      <c r="D1090" s="116">
        <v>405.4</v>
      </c>
      <c r="E1090" s="116">
        <v>405.4</v>
      </c>
      <c r="F1090" s="116">
        <v>412.05</v>
      </c>
      <c r="G1090">
        <v>3421</v>
      </c>
      <c r="H1090" s="116"/>
      <c r="I1090" s="116"/>
      <c r="L1090" s="169">
        <v>43609</v>
      </c>
      <c r="M1090" s="116">
        <v>412.35</v>
      </c>
      <c r="N1090" s="116">
        <v>417</v>
      </c>
      <c r="O1090" s="116">
        <v>405.8</v>
      </c>
      <c r="P1090" s="116">
        <v>410</v>
      </c>
      <c r="Q1090" s="116">
        <v>412.35</v>
      </c>
      <c r="R1090">
        <v>30921</v>
      </c>
    </row>
    <row r="1091" spans="1:18" x14ac:dyDescent="0.25">
      <c r="A1091" s="169">
        <v>43612</v>
      </c>
      <c r="B1091" s="116">
        <v>434.45</v>
      </c>
      <c r="C1091" s="116">
        <v>412.15</v>
      </c>
      <c r="D1091" s="116">
        <v>400.2</v>
      </c>
      <c r="E1091" s="116">
        <v>414</v>
      </c>
      <c r="F1091" s="116">
        <v>412.15</v>
      </c>
      <c r="G1091">
        <v>11891</v>
      </c>
      <c r="H1091" s="116"/>
      <c r="I1091" s="116"/>
      <c r="L1091" s="169">
        <v>43612</v>
      </c>
      <c r="M1091" s="116">
        <v>413.05</v>
      </c>
      <c r="N1091" s="116">
        <v>433.1</v>
      </c>
      <c r="O1091" s="116">
        <v>408.9</v>
      </c>
      <c r="P1091" s="116">
        <v>414.15</v>
      </c>
      <c r="Q1091" s="116">
        <v>413.05</v>
      </c>
      <c r="R1091">
        <v>116512</v>
      </c>
    </row>
    <row r="1092" spans="1:18" x14ac:dyDescent="0.25">
      <c r="A1092" s="169">
        <v>43613</v>
      </c>
      <c r="B1092" s="116">
        <v>432</v>
      </c>
      <c r="C1092" s="116">
        <v>409.2</v>
      </c>
      <c r="D1092" s="116">
        <v>405.35</v>
      </c>
      <c r="E1092" s="116">
        <v>421.75</v>
      </c>
      <c r="F1092" s="116">
        <v>409.2</v>
      </c>
      <c r="G1092">
        <v>3862</v>
      </c>
      <c r="H1092" s="116"/>
      <c r="I1092" s="116"/>
      <c r="L1092" s="169">
        <v>43613</v>
      </c>
      <c r="M1092" s="116">
        <v>409.1</v>
      </c>
      <c r="N1092" s="116">
        <v>433</v>
      </c>
      <c r="O1092" s="116">
        <v>404.95</v>
      </c>
      <c r="P1092" s="116">
        <v>418.05</v>
      </c>
      <c r="Q1092" s="116">
        <v>409.1</v>
      </c>
      <c r="R1092">
        <v>93107</v>
      </c>
    </row>
    <row r="1093" spans="1:18" x14ac:dyDescent="0.25">
      <c r="A1093" s="169">
        <v>43614</v>
      </c>
      <c r="B1093" s="116">
        <v>416.4</v>
      </c>
      <c r="C1093" s="116">
        <v>400.2</v>
      </c>
      <c r="D1093" s="116">
        <v>394.85</v>
      </c>
      <c r="E1093" s="116">
        <v>410</v>
      </c>
      <c r="F1093" s="116">
        <v>400.2</v>
      </c>
      <c r="G1093">
        <v>5384</v>
      </c>
      <c r="H1093" s="116"/>
      <c r="I1093" s="116"/>
      <c r="L1093" s="169">
        <v>43614</v>
      </c>
      <c r="M1093" s="116">
        <v>399.15</v>
      </c>
      <c r="N1093" s="116">
        <v>417</v>
      </c>
      <c r="O1093" s="116">
        <v>393.7</v>
      </c>
      <c r="P1093" s="116">
        <v>412.4</v>
      </c>
      <c r="Q1093" s="116">
        <v>399.15</v>
      </c>
      <c r="R1093">
        <v>81173</v>
      </c>
    </row>
    <row r="1094" spans="1:18" x14ac:dyDescent="0.25">
      <c r="A1094" s="169">
        <v>43615</v>
      </c>
      <c r="B1094" s="116">
        <v>409.6</v>
      </c>
      <c r="C1094" s="116">
        <v>405.35</v>
      </c>
      <c r="D1094" s="116">
        <v>400</v>
      </c>
      <c r="E1094" s="116">
        <v>400.6</v>
      </c>
      <c r="F1094" s="116">
        <v>405.35</v>
      </c>
      <c r="G1094">
        <v>3243</v>
      </c>
      <c r="H1094" s="116"/>
      <c r="I1094" s="116"/>
      <c r="L1094" s="169">
        <v>43615</v>
      </c>
      <c r="M1094" s="116">
        <v>405.05</v>
      </c>
      <c r="N1094" s="116">
        <v>410</v>
      </c>
      <c r="O1094" s="116">
        <v>398</v>
      </c>
      <c r="P1094" s="116">
        <v>402.95</v>
      </c>
      <c r="Q1094" s="116">
        <v>405.05</v>
      </c>
      <c r="R1094">
        <v>75827</v>
      </c>
    </row>
    <row r="1095" spans="1:18" x14ac:dyDescent="0.25">
      <c r="A1095" s="169">
        <v>43616</v>
      </c>
      <c r="B1095" s="116">
        <v>409.7</v>
      </c>
      <c r="C1095" s="116">
        <v>404.6</v>
      </c>
      <c r="D1095" s="116">
        <v>401</v>
      </c>
      <c r="E1095" s="116">
        <v>404.6</v>
      </c>
      <c r="F1095" s="116">
        <v>404.6</v>
      </c>
      <c r="G1095">
        <v>474</v>
      </c>
      <c r="H1095" s="116"/>
      <c r="I1095" s="116"/>
      <c r="L1095" s="169">
        <v>43616</v>
      </c>
      <c r="M1095" s="116">
        <v>404.6</v>
      </c>
      <c r="N1095" s="116">
        <v>409.5</v>
      </c>
      <c r="O1095" s="116">
        <v>400.15</v>
      </c>
      <c r="P1095" s="116">
        <v>408.7</v>
      </c>
      <c r="Q1095" s="116">
        <v>404.6</v>
      </c>
      <c r="R1095">
        <v>31248</v>
      </c>
    </row>
    <row r="1096" spans="1:18" x14ac:dyDescent="0.25">
      <c r="A1096" s="169">
        <v>43619</v>
      </c>
      <c r="B1096" s="116">
        <v>402.1</v>
      </c>
      <c r="C1096" s="116">
        <v>396.25</v>
      </c>
      <c r="D1096" s="116">
        <v>394.05</v>
      </c>
      <c r="E1096" s="116">
        <v>396.9</v>
      </c>
      <c r="F1096" s="116">
        <v>396.25</v>
      </c>
      <c r="G1096">
        <v>13525</v>
      </c>
      <c r="H1096" s="116"/>
      <c r="I1096" s="116"/>
      <c r="L1096" s="169">
        <v>43619</v>
      </c>
      <c r="M1096" s="116">
        <v>398.9</v>
      </c>
      <c r="N1096" s="116">
        <v>406.9</v>
      </c>
      <c r="O1096" s="116">
        <v>394</v>
      </c>
      <c r="P1096" s="116">
        <v>401.95</v>
      </c>
      <c r="Q1096" s="116">
        <v>398.9</v>
      </c>
      <c r="R1096">
        <v>50693</v>
      </c>
    </row>
    <row r="1097" spans="1:18" x14ac:dyDescent="0.25">
      <c r="A1097" s="169">
        <v>43620</v>
      </c>
      <c r="B1097" s="116">
        <v>404.5</v>
      </c>
      <c r="C1097" s="116">
        <v>401.55</v>
      </c>
      <c r="D1097" s="116">
        <v>398.1</v>
      </c>
      <c r="E1097" s="116">
        <v>398.1</v>
      </c>
      <c r="F1097" s="116">
        <v>401.55</v>
      </c>
      <c r="G1097">
        <v>2865</v>
      </c>
      <c r="H1097" s="116"/>
      <c r="I1097" s="116"/>
      <c r="L1097" s="169">
        <v>43620</v>
      </c>
      <c r="M1097" s="116">
        <v>402.05</v>
      </c>
      <c r="N1097" s="116">
        <v>405.5</v>
      </c>
      <c r="O1097" s="116">
        <v>400</v>
      </c>
      <c r="P1097" s="116">
        <v>400</v>
      </c>
      <c r="Q1097" s="116">
        <v>402.05</v>
      </c>
      <c r="R1097">
        <v>12209</v>
      </c>
    </row>
    <row r="1098" spans="1:18" x14ac:dyDescent="0.25">
      <c r="A1098" s="169">
        <v>43622</v>
      </c>
      <c r="B1098" s="116">
        <v>403.35</v>
      </c>
      <c r="C1098" s="116">
        <v>400.4</v>
      </c>
      <c r="D1098" s="116">
        <v>397.95</v>
      </c>
      <c r="E1098" s="116">
        <v>403</v>
      </c>
      <c r="F1098" s="116">
        <v>400.4</v>
      </c>
      <c r="G1098">
        <v>1804</v>
      </c>
      <c r="H1098" s="116"/>
      <c r="I1098" s="116"/>
      <c r="L1098" s="169">
        <v>43622</v>
      </c>
      <c r="M1098" s="116">
        <v>401</v>
      </c>
      <c r="N1098" s="116">
        <v>404.5</v>
      </c>
      <c r="O1098" s="116">
        <v>396</v>
      </c>
      <c r="P1098" s="116">
        <v>402.05</v>
      </c>
      <c r="Q1098" s="116">
        <v>401</v>
      </c>
      <c r="R1098">
        <v>19810</v>
      </c>
    </row>
    <row r="1099" spans="1:18" x14ac:dyDescent="0.25">
      <c r="A1099" s="169">
        <v>43623</v>
      </c>
      <c r="B1099" s="116">
        <v>409.1</v>
      </c>
      <c r="C1099" s="116">
        <v>399.85</v>
      </c>
      <c r="D1099" s="116">
        <v>395.45</v>
      </c>
      <c r="E1099" s="116">
        <v>403.4</v>
      </c>
      <c r="F1099" s="116">
        <v>399.85</v>
      </c>
      <c r="G1099">
        <v>1926</v>
      </c>
      <c r="H1099" s="116"/>
      <c r="I1099" s="116"/>
      <c r="L1099" s="169">
        <v>43623</v>
      </c>
      <c r="M1099" s="116">
        <v>398.75</v>
      </c>
      <c r="N1099" s="116">
        <v>402.45</v>
      </c>
      <c r="O1099" s="116">
        <v>396</v>
      </c>
      <c r="P1099" s="116">
        <v>402.4</v>
      </c>
      <c r="Q1099" s="116">
        <v>398.75</v>
      </c>
      <c r="R1099">
        <v>20341</v>
      </c>
    </row>
    <row r="1100" spans="1:18" x14ac:dyDescent="0.25">
      <c r="A1100" s="169">
        <v>43626</v>
      </c>
      <c r="B1100" s="116">
        <v>404.6</v>
      </c>
      <c r="C1100" s="116">
        <v>400.65</v>
      </c>
      <c r="D1100" s="116">
        <v>397.6</v>
      </c>
      <c r="E1100" s="116">
        <v>404.6</v>
      </c>
      <c r="F1100" s="116">
        <v>400.65</v>
      </c>
      <c r="G1100">
        <v>1390</v>
      </c>
      <c r="H1100" s="116"/>
      <c r="I1100" s="116"/>
      <c r="L1100" s="169">
        <v>43626</v>
      </c>
      <c r="M1100" s="116">
        <v>399.8</v>
      </c>
      <c r="N1100" s="116">
        <v>404.95</v>
      </c>
      <c r="O1100" s="116">
        <v>396.05</v>
      </c>
      <c r="P1100" s="116">
        <v>402.5</v>
      </c>
      <c r="Q1100" s="116">
        <v>399.8</v>
      </c>
      <c r="R1100">
        <v>33016</v>
      </c>
    </row>
    <row r="1101" spans="1:18" x14ac:dyDescent="0.25">
      <c r="A1101" s="169">
        <v>43627</v>
      </c>
      <c r="B1101" s="116">
        <v>399.7</v>
      </c>
      <c r="C1101" s="116">
        <v>393.15</v>
      </c>
      <c r="D1101" s="116">
        <v>391</v>
      </c>
      <c r="E1101" s="116">
        <v>399.6</v>
      </c>
      <c r="F1101" s="116">
        <v>393.15</v>
      </c>
      <c r="G1101">
        <v>1315</v>
      </c>
      <c r="H1101" s="116"/>
      <c r="I1101" s="116"/>
      <c r="L1101" s="169">
        <v>43627</v>
      </c>
      <c r="M1101" s="116">
        <v>393.1</v>
      </c>
      <c r="N1101" s="116">
        <v>404.5</v>
      </c>
      <c r="O1101" s="116">
        <v>391</v>
      </c>
      <c r="P1101" s="116">
        <v>404.5</v>
      </c>
      <c r="Q1101" s="116">
        <v>393.1</v>
      </c>
      <c r="R1101">
        <v>30160</v>
      </c>
    </row>
    <row r="1102" spans="1:18" x14ac:dyDescent="0.25">
      <c r="A1102" s="169">
        <v>43628</v>
      </c>
      <c r="B1102" s="116">
        <v>404</v>
      </c>
      <c r="C1102" s="116">
        <v>397.15</v>
      </c>
      <c r="D1102" s="116">
        <v>396.3</v>
      </c>
      <c r="E1102" s="116">
        <v>397.5</v>
      </c>
      <c r="F1102" s="116">
        <v>397.15</v>
      </c>
      <c r="G1102">
        <v>4625</v>
      </c>
      <c r="H1102" s="116"/>
      <c r="I1102" s="116"/>
      <c r="L1102" s="169">
        <v>43628</v>
      </c>
      <c r="M1102" s="116">
        <v>396.9</v>
      </c>
      <c r="N1102" s="116">
        <v>404</v>
      </c>
      <c r="O1102" s="116">
        <v>394.05</v>
      </c>
      <c r="P1102" s="116">
        <v>395.9</v>
      </c>
      <c r="Q1102" s="116">
        <v>396.9</v>
      </c>
      <c r="R1102">
        <v>30761</v>
      </c>
    </row>
    <row r="1103" spans="1:18" x14ac:dyDescent="0.25">
      <c r="A1103" s="169">
        <v>43629</v>
      </c>
      <c r="B1103" s="116">
        <v>395.75</v>
      </c>
      <c r="C1103" s="116">
        <v>389.85</v>
      </c>
      <c r="D1103" s="116">
        <v>386.5</v>
      </c>
      <c r="E1103" s="116">
        <v>395.75</v>
      </c>
      <c r="F1103" s="116">
        <v>389.85</v>
      </c>
      <c r="G1103">
        <v>1807</v>
      </c>
      <c r="H1103" s="116"/>
      <c r="I1103" s="116"/>
      <c r="L1103" s="169">
        <v>43629</v>
      </c>
      <c r="M1103" s="116">
        <v>389.65</v>
      </c>
      <c r="N1103" s="116">
        <v>399.5</v>
      </c>
      <c r="O1103" s="116">
        <v>386.05</v>
      </c>
      <c r="P1103" s="116">
        <v>399.5</v>
      </c>
      <c r="Q1103" s="116">
        <v>389.65</v>
      </c>
      <c r="R1103">
        <v>11704</v>
      </c>
    </row>
    <row r="1104" spans="1:18" x14ac:dyDescent="0.25">
      <c r="A1104" s="169">
        <v>43630</v>
      </c>
      <c r="B1104" s="116">
        <v>392</v>
      </c>
      <c r="C1104" s="116">
        <v>386.75</v>
      </c>
      <c r="D1104" s="116">
        <v>383</v>
      </c>
      <c r="E1104" s="116">
        <v>389.65</v>
      </c>
      <c r="F1104" s="116">
        <v>386.75</v>
      </c>
      <c r="G1104">
        <v>577</v>
      </c>
      <c r="H1104" s="116"/>
      <c r="I1104" s="116"/>
      <c r="L1104" s="169">
        <v>43630</v>
      </c>
      <c r="M1104" s="116">
        <v>386.05</v>
      </c>
      <c r="N1104" s="116">
        <v>392.95</v>
      </c>
      <c r="O1104" s="116">
        <v>384</v>
      </c>
      <c r="P1104" s="116">
        <v>392.95</v>
      </c>
      <c r="Q1104" s="116">
        <v>386.05</v>
      </c>
      <c r="R1104">
        <v>9694</v>
      </c>
    </row>
    <row r="1105" spans="1:18" x14ac:dyDescent="0.25">
      <c r="A1105" s="169">
        <v>43633</v>
      </c>
      <c r="B1105" s="116">
        <v>389.45</v>
      </c>
      <c r="C1105" s="116">
        <v>378.4</v>
      </c>
      <c r="D1105" s="116">
        <v>376.5</v>
      </c>
      <c r="E1105" s="116">
        <v>389.45</v>
      </c>
      <c r="F1105" s="116">
        <v>378.4</v>
      </c>
      <c r="G1105">
        <v>1456</v>
      </c>
      <c r="H1105" s="116"/>
      <c r="I1105" s="116"/>
      <c r="L1105" s="169">
        <v>43633</v>
      </c>
      <c r="M1105" s="116">
        <v>376.8</v>
      </c>
      <c r="N1105" s="116">
        <v>388.85</v>
      </c>
      <c r="O1105" s="116">
        <v>375</v>
      </c>
      <c r="P1105" s="116">
        <v>388.75</v>
      </c>
      <c r="Q1105" s="116">
        <v>376.8</v>
      </c>
      <c r="R1105">
        <v>16109</v>
      </c>
    </row>
    <row r="1106" spans="1:18" x14ac:dyDescent="0.25">
      <c r="A1106" s="169">
        <v>43634</v>
      </c>
      <c r="B1106" s="116">
        <v>377.85</v>
      </c>
      <c r="C1106" s="116">
        <v>373.25</v>
      </c>
      <c r="D1106" s="116">
        <v>368.45</v>
      </c>
      <c r="E1106" s="116">
        <v>377.75</v>
      </c>
      <c r="F1106" s="116">
        <v>373.25</v>
      </c>
      <c r="G1106">
        <v>1955</v>
      </c>
      <c r="H1106" s="116"/>
      <c r="I1106" s="116"/>
      <c r="L1106" s="169">
        <v>43634</v>
      </c>
      <c r="M1106" s="116">
        <v>372.1</v>
      </c>
      <c r="N1106" s="116">
        <v>381</v>
      </c>
      <c r="O1106" s="116">
        <v>367.95</v>
      </c>
      <c r="P1106" s="116">
        <v>381</v>
      </c>
      <c r="Q1106" s="116">
        <v>372.1</v>
      </c>
      <c r="R1106">
        <v>28699</v>
      </c>
    </row>
    <row r="1107" spans="1:18" x14ac:dyDescent="0.25">
      <c r="A1107" s="169">
        <v>43635</v>
      </c>
      <c r="B1107" s="116">
        <v>376</v>
      </c>
      <c r="C1107" s="116">
        <v>370.7</v>
      </c>
      <c r="D1107" s="116">
        <v>365.1</v>
      </c>
      <c r="E1107" s="116">
        <v>375</v>
      </c>
      <c r="F1107" s="116">
        <v>370.7</v>
      </c>
      <c r="G1107">
        <v>1880</v>
      </c>
      <c r="H1107" s="116"/>
      <c r="I1107" s="116"/>
      <c r="L1107" s="169">
        <v>43635</v>
      </c>
      <c r="M1107" s="116">
        <v>371.35</v>
      </c>
      <c r="N1107" s="116">
        <v>378</v>
      </c>
      <c r="O1107" s="116">
        <v>365.15</v>
      </c>
      <c r="P1107" s="116">
        <v>375</v>
      </c>
      <c r="Q1107" s="116">
        <v>371.35</v>
      </c>
      <c r="R1107">
        <v>25855</v>
      </c>
    </row>
    <row r="1108" spans="1:18" x14ac:dyDescent="0.25">
      <c r="A1108" s="169">
        <v>43636</v>
      </c>
      <c r="B1108" s="116">
        <v>372.9</v>
      </c>
      <c r="C1108" s="116">
        <v>372.55</v>
      </c>
      <c r="D1108" s="116">
        <v>366.85</v>
      </c>
      <c r="E1108" s="116">
        <v>369</v>
      </c>
      <c r="F1108" s="116">
        <v>372.55</v>
      </c>
      <c r="G1108">
        <v>4057</v>
      </c>
      <c r="H1108" s="116"/>
      <c r="I1108" s="116"/>
      <c r="L1108" s="169">
        <v>43636</v>
      </c>
      <c r="M1108" s="116">
        <v>372.55</v>
      </c>
      <c r="N1108" s="116">
        <v>374</v>
      </c>
      <c r="O1108" s="116">
        <v>367.2</v>
      </c>
      <c r="P1108" s="116">
        <v>374</v>
      </c>
      <c r="Q1108" s="116">
        <v>372.55</v>
      </c>
      <c r="R1108">
        <v>18992</v>
      </c>
    </row>
    <row r="1109" spans="1:18" x14ac:dyDescent="0.25">
      <c r="A1109" s="169">
        <v>43637</v>
      </c>
      <c r="B1109" s="116">
        <v>381.3</v>
      </c>
      <c r="C1109" s="116">
        <v>375.6</v>
      </c>
      <c r="D1109" s="116">
        <v>369.05</v>
      </c>
      <c r="E1109" s="116">
        <v>369.05</v>
      </c>
      <c r="F1109" s="116">
        <v>375.6</v>
      </c>
      <c r="G1109">
        <v>2340</v>
      </c>
      <c r="H1109" s="116"/>
      <c r="I1109" s="116"/>
      <c r="L1109" s="169">
        <v>43637</v>
      </c>
      <c r="M1109" s="116">
        <v>375.1</v>
      </c>
      <c r="N1109" s="116">
        <v>381</v>
      </c>
      <c r="O1109" s="116">
        <v>368.45</v>
      </c>
      <c r="P1109" s="116">
        <v>372</v>
      </c>
      <c r="Q1109" s="116">
        <v>375.1</v>
      </c>
      <c r="R1109">
        <v>24062</v>
      </c>
    </row>
    <row r="1110" spans="1:18" x14ac:dyDescent="0.25">
      <c r="A1110" s="169">
        <v>43640</v>
      </c>
      <c r="B1110" s="116">
        <v>396</v>
      </c>
      <c r="C1110" s="116">
        <v>377.1</v>
      </c>
      <c r="D1110" s="116">
        <v>373.55</v>
      </c>
      <c r="E1110" s="116">
        <v>396</v>
      </c>
      <c r="F1110" s="116">
        <v>377.1</v>
      </c>
      <c r="G1110">
        <v>1595</v>
      </c>
      <c r="H1110" s="116"/>
      <c r="I1110" s="116"/>
      <c r="L1110" s="169">
        <v>43640</v>
      </c>
      <c r="M1110" s="116">
        <v>377.8</v>
      </c>
      <c r="N1110" s="116">
        <v>381</v>
      </c>
      <c r="O1110" s="116">
        <v>372.65</v>
      </c>
      <c r="P1110" s="116">
        <v>379</v>
      </c>
      <c r="Q1110" s="116">
        <v>377.8</v>
      </c>
      <c r="R1110">
        <v>8920</v>
      </c>
    </row>
    <row r="1111" spans="1:18" x14ac:dyDescent="0.25">
      <c r="A1111" s="169">
        <v>43641</v>
      </c>
      <c r="B1111" s="116">
        <v>376</v>
      </c>
      <c r="C1111" s="116">
        <v>373.6</v>
      </c>
      <c r="D1111" s="116">
        <v>373.5</v>
      </c>
      <c r="E1111" s="116">
        <v>375.75</v>
      </c>
      <c r="F1111" s="116">
        <v>373.6</v>
      </c>
      <c r="G1111">
        <v>2293</v>
      </c>
      <c r="H1111" s="116"/>
      <c r="I1111" s="116"/>
      <c r="L1111" s="169">
        <v>43641</v>
      </c>
      <c r="M1111" s="116">
        <v>374.1</v>
      </c>
      <c r="N1111" s="116">
        <v>377.85</v>
      </c>
      <c r="O1111" s="116">
        <v>373.15</v>
      </c>
      <c r="P1111" s="116">
        <v>377.8</v>
      </c>
      <c r="Q1111" s="116">
        <v>374.1</v>
      </c>
      <c r="R1111">
        <v>9334</v>
      </c>
    </row>
    <row r="1112" spans="1:18" x14ac:dyDescent="0.25">
      <c r="A1112" s="169">
        <v>43642</v>
      </c>
      <c r="B1112" s="116">
        <v>376</v>
      </c>
      <c r="C1112" s="116">
        <v>370.45</v>
      </c>
      <c r="D1112" s="116">
        <v>367.9</v>
      </c>
      <c r="E1112" s="116">
        <v>376</v>
      </c>
      <c r="F1112" s="116">
        <v>370.45</v>
      </c>
      <c r="G1112">
        <v>692</v>
      </c>
      <c r="H1112" s="116"/>
      <c r="I1112" s="116"/>
      <c r="L1112" s="169">
        <v>43642</v>
      </c>
      <c r="M1112" s="116">
        <v>370.4</v>
      </c>
      <c r="N1112" s="116">
        <v>377</v>
      </c>
      <c r="O1112" s="116">
        <v>368.2</v>
      </c>
      <c r="P1112" s="116">
        <v>373.5</v>
      </c>
      <c r="Q1112" s="116">
        <v>370.4</v>
      </c>
      <c r="R1112">
        <v>14987</v>
      </c>
    </row>
    <row r="1113" spans="1:18" x14ac:dyDescent="0.25">
      <c r="A1113" s="169">
        <v>43643</v>
      </c>
      <c r="B1113" s="116">
        <v>378.3</v>
      </c>
      <c r="C1113" s="116">
        <v>376.65</v>
      </c>
      <c r="D1113" s="116">
        <v>370.45</v>
      </c>
      <c r="E1113" s="116">
        <v>370.45</v>
      </c>
      <c r="F1113" s="116">
        <v>376.65</v>
      </c>
      <c r="G1113">
        <v>1572</v>
      </c>
      <c r="H1113" s="116"/>
      <c r="I1113" s="116"/>
      <c r="L1113" s="169">
        <v>43643</v>
      </c>
      <c r="M1113" s="116">
        <v>377.1</v>
      </c>
      <c r="N1113" s="116">
        <v>380</v>
      </c>
      <c r="O1113" s="116">
        <v>370.4</v>
      </c>
      <c r="P1113" s="116">
        <v>370.4</v>
      </c>
      <c r="Q1113" s="116">
        <v>377.1</v>
      </c>
      <c r="R1113">
        <v>14406</v>
      </c>
    </row>
    <row r="1114" spans="1:18" x14ac:dyDescent="0.25">
      <c r="A1114" s="169">
        <v>43644</v>
      </c>
      <c r="B1114" s="116">
        <v>379.9</v>
      </c>
      <c r="C1114" s="116">
        <v>377.8</v>
      </c>
      <c r="D1114" s="116">
        <v>377</v>
      </c>
      <c r="E1114" s="116">
        <v>379.9</v>
      </c>
      <c r="F1114" s="116">
        <v>377.8</v>
      </c>
      <c r="G1114">
        <v>182</v>
      </c>
      <c r="H1114" s="116"/>
      <c r="I1114" s="116"/>
      <c r="L1114" s="169">
        <v>43644</v>
      </c>
      <c r="M1114" s="116">
        <v>378.4</v>
      </c>
      <c r="N1114" s="116">
        <v>381</v>
      </c>
      <c r="O1114" s="116">
        <v>373.25</v>
      </c>
      <c r="P1114" s="116">
        <v>373.25</v>
      </c>
      <c r="Q1114" s="116">
        <v>378.4</v>
      </c>
      <c r="R1114">
        <v>5874</v>
      </c>
    </row>
    <row r="1115" spans="1:18" x14ac:dyDescent="0.25">
      <c r="A1115" s="169">
        <v>43647</v>
      </c>
      <c r="B1115" s="116">
        <v>382.55</v>
      </c>
      <c r="C1115" s="116">
        <v>371.5</v>
      </c>
      <c r="D1115" s="116">
        <v>370</v>
      </c>
      <c r="E1115" s="116">
        <v>382.55</v>
      </c>
      <c r="F1115" s="116">
        <v>371.5</v>
      </c>
      <c r="G1115">
        <v>4308</v>
      </c>
      <c r="H1115" s="116"/>
      <c r="I1115" s="116"/>
      <c r="L1115" s="169">
        <v>43647</v>
      </c>
      <c r="M1115" s="116">
        <v>372.15</v>
      </c>
      <c r="N1115" s="116">
        <v>382</v>
      </c>
      <c r="O1115" s="116">
        <v>371.1</v>
      </c>
      <c r="P1115" s="116">
        <v>382</v>
      </c>
      <c r="Q1115" s="116">
        <v>372.15</v>
      </c>
      <c r="R1115">
        <v>11240</v>
      </c>
    </row>
    <row r="1116" spans="1:18" x14ac:dyDescent="0.25">
      <c r="A1116" s="169">
        <v>43648</v>
      </c>
      <c r="B1116" s="116">
        <v>378.2</v>
      </c>
      <c r="C1116" s="116">
        <v>377.1</v>
      </c>
      <c r="D1116" s="116">
        <v>370</v>
      </c>
      <c r="E1116" s="116">
        <v>376.2</v>
      </c>
      <c r="F1116" s="116">
        <v>377.1</v>
      </c>
      <c r="G1116">
        <v>860</v>
      </c>
      <c r="H1116" s="116"/>
      <c r="I1116" s="116"/>
      <c r="L1116" s="169">
        <v>43648</v>
      </c>
      <c r="M1116" s="116">
        <v>377.45</v>
      </c>
      <c r="N1116" s="116">
        <v>379.05</v>
      </c>
      <c r="O1116" s="116">
        <v>370.2</v>
      </c>
      <c r="P1116" s="116">
        <v>370.2</v>
      </c>
      <c r="Q1116" s="116">
        <v>377.45</v>
      </c>
      <c r="R1116">
        <v>16204</v>
      </c>
    </row>
    <row r="1117" spans="1:18" x14ac:dyDescent="0.25">
      <c r="A1117" s="169">
        <v>43649</v>
      </c>
      <c r="B1117" s="116">
        <v>376.75</v>
      </c>
      <c r="C1117" s="116">
        <v>375.15</v>
      </c>
      <c r="D1117" s="116">
        <v>373.95</v>
      </c>
      <c r="E1117" s="116">
        <v>373.95</v>
      </c>
      <c r="F1117" s="116">
        <v>375.15</v>
      </c>
      <c r="G1117">
        <v>298</v>
      </c>
      <c r="H1117" s="116"/>
      <c r="I1117" s="116"/>
      <c r="L1117" s="169">
        <v>43649</v>
      </c>
      <c r="M1117" s="116">
        <v>373.95</v>
      </c>
      <c r="N1117" s="116">
        <v>379</v>
      </c>
      <c r="O1117" s="116">
        <v>372</v>
      </c>
      <c r="P1117" s="116">
        <v>376</v>
      </c>
      <c r="Q1117" s="116">
        <v>373.95</v>
      </c>
      <c r="R1117">
        <v>4405</v>
      </c>
    </row>
    <row r="1118" spans="1:18" x14ac:dyDescent="0.25">
      <c r="A1118" s="169">
        <v>43650</v>
      </c>
      <c r="B1118" s="116">
        <v>377.5</v>
      </c>
      <c r="C1118" s="116">
        <v>373.95</v>
      </c>
      <c r="D1118" s="116">
        <v>371.55</v>
      </c>
      <c r="E1118" s="116">
        <v>376.65</v>
      </c>
      <c r="F1118" s="116">
        <v>373.95</v>
      </c>
      <c r="G1118">
        <v>4248</v>
      </c>
      <c r="H1118" s="116"/>
      <c r="I1118" s="116"/>
      <c r="L1118" s="169">
        <v>43650</v>
      </c>
      <c r="M1118" s="116">
        <v>373.75</v>
      </c>
      <c r="N1118" s="116">
        <v>377</v>
      </c>
      <c r="O1118" s="116">
        <v>372</v>
      </c>
      <c r="P1118" s="116">
        <v>372.1</v>
      </c>
      <c r="Q1118" s="116">
        <v>373.75</v>
      </c>
      <c r="R1118">
        <v>5629</v>
      </c>
    </row>
    <row r="1119" spans="1:18" x14ac:dyDescent="0.25">
      <c r="A1119" s="169">
        <v>43651</v>
      </c>
      <c r="B1119" s="116">
        <v>378.3</v>
      </c>
      <c r="C1119" s="116">
        <v>366.95</v>
      </c>
      <c r="D1119" s="116">
        <v>366.25</v>
      </c>
      <c r="E1119" s="116">
        <v>377.7</v>
      </c>
      <c r="F1119" s="116">
        <v>366.95</v>
      </c>
      <c r="G1119">
        <v>798</v>
      </c>
      <c r="H1119" s="116"/>
      <c r="I1119" s="116"/>
      <c r="L1119" s="169">
        <v>43651</v>
      </c>
      <c r="M1119" s="116">
        <v>367.35</v>
      </c>
      <c r="N1119" s="116">
        <v>378</v>
      </c>
      <c r="O1119" s="116">
        <v>366</v>
      </c>
      <c r="P1119" s="116">
        <v>376.95</v>
      </c>
      <c r="Q1119" s="116">
        <v>367.35</v>
      </c>
      <c r="R1119">
        <v>25773</v>
      </c>
    </row>
    <row r="1120" spans="1:18" x14ac:dyDescent="0.25">
      <c r="A1120" s="169">
        <v>43654</v>
      </c>
      <c r="B1120" s="116">
        <v>367.35</v>
      </c>
      <c r="C1120" s="116">
        <v>355.25</v>
      </c>
      <c r="D1120" s="116">
        <v>351.05</v>
      </c>
      <c r="E1120" s="116">
        <v>366.5</v>
      </c>
      <c r="F1120" s="116">
        <v>355.25</v>
      </c>
      <c r="G1120">
        <v>2041</v>
      </c>
      <c r="H1120" s="116"/>
      <c r="I1120" s="116"/>
      <c r="L1120" s="169">
        <v>43654</v>
      </c>
      <c r="M1120" s="116">
        <v>352.45</v>
      </c>
      <c r="N1120" s="116">
        <v>371</v>
      </c>
      <c r="O1120" s="116">
        <v>350</v>
      </c>
      <c r="P1120" s="116">
        <v>365</v>
      </c>
      <c r="Q1120" s="116">
        <v>352.45</v>
      </c>
      <c r="R1120">
        <v>16725</v>
      </c>
    </row>
    <row r="1121" spans="1:18" x14ac:dyDescent="0.25">
      <c r="A1121" s="169">
        <v>43655</v>
      </c>
      <c r="B1121" s="116">
        <v>354.25</v>
      </c>
      <c r="C1121" s="116">
        <v>350.25</v>
      </c>
      <c r="D1121" s="116">
        <v>347.2</v>
      </c>
      <c r="E1121" s="116">
        <v>352.7</v>
      </c>
      <c r="F1121" s="116">
        <v>350.25</v>
      </c>
      <c r="G1121">
        <v>960</v>
      </c>
      <c r="H1121" s="116"/>
      <c r="I1121" s="116"/>
      <c r="L1121" s="169">
        <v>43655</v>
      </c>
      <c r="M1121" s="116">
        <v>349.85</v>
      </c>
      <c r="N1121" s="116">
        <v>354.55</v>
      </c>
      <c r="O1121" s="116">
        <v>346.6</v>
      </c>
      <c r="P1121" s="116">
        <v>352.45</v>
      </c>
      <c r="Q1121" s="116">
        <v>349.85</v>
      </c>
      <c r="R1121">
        <v>10080</v>
      </c>
    </row>
    <row r="1122" spans="1:18" x14ac:dyDescent="0.25">
      <c r="A1122" s="169">
        <v>43656</v>
      </c>
      <c r="B1122" s="116">
        <v>354.15</v>
      </c>
      <c r="C1122" s="116">
        <v>348.4</v>
      </c>
      <c r="D1122" s="116">
        <v>347</v>
      </c>
      <c r="E1122" s="116">
        <v>352.6</v>
      </c>
      <c r="F1122" s="116">
        <v>348.4</v>
      </c>
      <c r="G1122">
        <v>1460</v>
      </c>
      <c r="H1122" s="116"/>
      <c r="I1122" s="116"/>
      <c r="L1122" s="169">
        <v>43656</v>
      </c>
      <c r="M1122" s="116">
        <v>348.65</v>
      </c>
      <c r="N1122" s="116">
        <v>354</v>
      </c>
      <c r="O1122" s="116">
        <v>347.15</v>
      </c>
      <c r="P1122" s="116">
        <v>350</v>
      </c>
      <c r="Q1122" s="116">
        <v>348.65</v>
      </c>
      <c r="R1122">
        <v>7022</v>
      </c>
    </row>
    <row r="1123" spans="1:18" x14ac:dyDescent="0.25">
      <c r="A1123" s="169">
        <v>43657</v>
      </c>
      <c r="B1123" s="116">
        <v>347.95</v>
      </c>
      <c r="C1123" s="116">
        <v>338.95</v>
      </c>
      <c r="D1123" s="116">
        <v>335.85</v>
      </c>
      <c r="E1123" s="116">
        <v>346.2</v>
      </c>
      <c r="F1123" s="116">
        <v>338.95</v>
      </c>
      <c r="G1123">
        <v>6376</v>
      </c>
      <c r="H1123" s="116"/>
      <c r="I1123" s="116"/>
      <c r="L1123" s="169">
        <v>43657</v>
      </c>
      <c r="M1123" s="116">
        <v>338.65</v>
      </c>
      <c r="N1123" s="116">
        <v>349.95</v>
      </c>
      <c r="O1123" s="116">
        <v>333.15</v>
      </c>
      <c r="P1123" s="116">
        <v>347.5</v>
      </c>
      <c r="Q1123" s="116">
        <v>338.65</v>
      </c>
      <c r="R1123">
        <v>10780</v>
      </c>
    </row>
    <row r="1124" spans="1:18" x14ac:dyDescent="0.25">
      <c r="A1124" s="169">
        <v>43658</v>
      </c>
      <c r="B1124" s="116">
        <v>346.1</v>
      </c>
      <c r="C1124" s="116">
        <v>337.15</v>
      </c>
      <c r="D1124" s="116">
        <v>334.2</v>
      </c>
      <c r="E1124" s="116">
        <v>345.55</v>
      </c>
      <c r="F1124" s="116">
        <v>337.15</v>
      </c>
      <c r="G1124">
        <v>796</v>
      </c>
      <c r="H1124" s="116"/>
      <c r="I1124" s="116"/>
      <c r="L1124" s="169">
        <v>43658</v>
      </c>
      <c r="M1124" s="116">
        <v>337.15</v>
      </c>
      <c r="N1124" s="116">
        <v>345</v>
      </c>
      <c r="O1124" s="116">
        <v>333.95</v>
      </c>
      <c r="P1124" s="116">
        <v>338</v>
      </c>
      <c r="Q1124" s="116">
        <v>337.15</v>
      </c>
      <c r="R1124">
        <v>11692</v>
      </c>
    </row>
    <row r="1125" spans="1:18" x14ac:dyDescent="0.25">
      <c r="A1125" s="169">
        <v>43661</v>
      </c>
      <c r="B1125" s="116">
        <v>339.8</v>
      </c>
      <c r="C1125" s="116">
        <v>333.2</v>
      </c>
      <c r="D1125" s="116">
        <v>331</v>
      </c>
      <c r="E1125" s="116">
        <v>339.65</v>
      </c>
      <c r="F1125" s="116">
        <v>333.2</v>
      </c>
      <c r="G1125">
        <v>688</v>
      </c>
      <c r="H1125" s="116"/>
      <c r="I1125" s="116"/>
      <c r="L1125" s="169">
        <v>43661</v>
      </c>
      <c r="M1125" s="116">
        <v>334.1</v>
      </c>
      <c r="N1125" s="116">
        <v>340</v>
      </c>
      <c r="O1125" s="116">
        <v>331.35</v>
      </c>
      <c r="P1125" s="116">
        <v>337.35</v>
      </c>
      <c r="Q1125" s="116">
        <v>334.1</v>
      </c>
      <c r="R1125">
        <v>8696</v>
      </c>
    </row>
    <row r="1126" spans="1:18" x14ac:dyDescent="0.25">
      <c r="A1126" s="169">
        <v>43662</v>
      </c>
      <c r="B1126" s="116">
        <v>331.5</v>
      </c>
      <c r="C1126" s="116">
        <v>328.45</v>
      </c>
      <c r="D1126" s="116">
        <v>322.3</v>
      </c>
      <c r="E1126" s="116">
        <v>328.75</v>
      </c>
      <c r="F1126" s="116">
        <v>328.45</v>
      </c>
      <c r="G1126">
        <v>1745</v>
      </c>
      <c r="H1126" s="116"/>
      <c r="I1126" s="116"/>
      <c r="L1126" s="169">
        <v>43662</v>
      </c>
      <c r="M1126" s="116">
        <v>328.15</v>
      </c>
      <c r="N1126" s="116">
        <v>332.6</v>
      </c>
      <c r="O1126" s="116">
        <v>320</v>
      </c>
      <c r="P1126" s="116">
        <v>332.1</v>
      </c>
      <c r="Q1126" s="116">
        <v>328.15</v>
      </c>
      <c r="R1126">
        <v>11818</v>
      </c>
    </row>
    <row r="1127" spans="1:18" x14ac:dyDescent="0.25">
      <c r="A1127" s="169">
        <v>43663</v>
      </c>
      <c r="B1127" s="116">
        <v>332.9</v>
      </c>
      <c r="C1127" s="116">
        <v>325.14999999999998</v>
      </c>
      <c r="D1127" s="116">
        <v>320.5</v>
      </c>
      <c r="E1127" s="116">
        <v>323.89999999999998</v>
      </c>
      <c r="F1127" s="116">
        <v>325.14999999999998</v>
      </c>
      <c r="G1127">
        <v>2648</v>
      </c>
      <c r="H1127" s="116"/>
      <c r="I1127" s="116"/>
      <c r="L1127" s="169">
        <v>43663</v>
      </c>
      <c r="M1127" s="116">
        <v>323.89999999999998</v>
      </c>
      <c r="N1127" s="116">
        <v>333.9</v>
      </c>
      <c r="O1127" s="116">
        <v>320</v>
      </c>
      <c r="P1127" s="116">
        <v>323</v>
      </c>
      <c r="Q1127" s="116">
        <v>323.89999999999998</v>
      </c>
      <c r="R1127">
        <v>27301</v>
      </c>
    </row>
    <row r="1128" spans="1:18" x14ac:dyDescent="0.25">
      <c r="A1128" s="169">
        <v>43664</v>
      </c>
      <c r="B1128" s="116">
        <v>320.7</v>
      </c>
      <c r="C1128" s="116">
        <v>300.05</v>
      </c>
      <c r="D1128" s="116">
        <v>295</v>
      </c>
      <c r="E1128" s="116">
        <v>320</v>
      </c>
      <c r="F1128" s="116">
        <v>300.05</v>
      </c>
      <c r="G1128">
        <v>7891</v>
      </c>
      <c r="H1128" s="116"/>
      <c r="I1128" s="116"/>
      <c r="L1128" s="169">
        <v>43664</v>
      </c>
      <c r="M1128" s="116">
        <v>299.60000000000002</v>
      </c>
      <c r="N1128" s="116">
        <v>321.05</v>
      </c>
      <c r="O1128" s="116">
        <v>295.35000000000002</v>
      </c>
      <c r="P1128" s="116">
        <v>321</v>
      </c>
      <c r="Q1128" s="116">
        <v>299.60000000000002</v>
      </c>
      <c r="R1128">
        <v>45021</v>
      </c>
    </row>
    <row r="1129" spans="1:18" x14ac:dyDescent="0.25">
      <c r="A1129" s="169">
        <v>43665</v>
      </c>
      <c r="B1129" s="116">
        <v>300</v>
      </c>
      <c r="C1129" s="116">
        <v>285.05</v>
      </c>
      <c r="D1129" s="116">
        <v>281</v>
      </c>
      <c r="E1129" s="116">
        <v>300</v>
      </c>
      <c r="F1129" s="116">
        <v>285.05</v>
      </c>
      <c r="G1129">
        <v>5318</v>
      </c>
      <c r="H1129" s="116"/>
      <c r="I1129" s="116"/>
      <c r="L1129" s="169">
        <v>43665</v>
      </c>
      <c r="M1129" s="116">
        <v>284.10000000000002</v>
      </c>
      <c r="N1129" s="116">
        <v>306.95</v>
      </c>
      <c r="O1129" s="116">
        <v>280</v>
      </c>
      <c r="P1129" s="116">
        <v>300</v>
      </c>
      <c r="Q1129" s="116">
        <v>284.10000000000002</v>
      </c>
      <c r="R1129">
        <v>33197</v>
      </c>
    </row>
    <row r="1130" spans="1:18" x14ac:dyDescent="0.25">
      <c r="A1130" s="169">
        <v>43668</v>
      </c>
      <c r="B1130" s="116">
        <v>285</v>
      </c>
      <c r="C1130" s="116">
        <v>263.05</v>
      </c>
      <c r="D1130" s="116">
        <v>257</v>
      </c>
      <c r="E1130" s="116">
        <v>285</v>
      </c>
      <c r="F1130" s="116">
        <v>263.05</v>
      </c>
      <c r="G1130">
        <v>12368</v>
      </c>
      <c r="H1130" s="116"/>
      <c r="I1130" s="116"/>
      <c r="L1130" s="169">
        <v>43668</v>
      </c>
      <c r="M1130" s="116">
        <v>263</v>
      </c>
      <c r="N1130" s="116">
        <v>284.10000000000002</v>
      </c>
      <c r="O1130" s="116">
        <v>261.10000000000002</v>
      </c>
      <c r="P1130" s="116">
        <v>281</v>
      </c>
      <c r="Q1130" s="116">
        <v>263</v>
      </c>
      <c r="R1130">
        <v>50758</v>
      </c>
    </row>
    <row r="1131" spans="1:18" x14ac:dyDescent="0.25">
      <c r="A1131" s="169">
        <v>43669</v>
      </c>
      <c r="B1131" s="116">
        <v>289</v>
      </c>
      <c r="C1131" s="116">
        <v>273.95</v>
      </c>
      <c r="D1131" s="116">
        <v>264.95</v>
      </c>
      <c r="E1131" s="116">
        <v>265.10000000000002</v>
      </c>
      <c r="F1131" s="116">
        <v>273.95</v>
      </c>
      <c r="G1131">
        <v>13687</v>
      </c>
      <c r="H1131" s="116"/>
      <c r="I1131" s="116"/>
      <c r="L1131" s="169">
        <v>43669</v>
      </c>
      <c r="M1131" s="116">
        <v>273.35000000000002</v>
      </c>
      <c r="N1131" s="116">
        <v>289.14999999999998</v>
      </c>
      <c r="O1131" s="116">
        <v>263</v>
      </c>
      <c r="P1131" s="116">
        <v>263</v>
      </c>
      <c r="Q1131" s="116">
        <v>273.35000000000002</v>
      </c>
      <c r="R1131">
        <v>131870</v>
      </c>
    </row>
    <row r="1132" spans="1:18" x14ac:dyDescent="0.25">
      <c r="A1132" s="169">
        <v>43670</v>
      </c>
      <c r="B1132" s="116">
        <v>275.5</v>
      </c>
      <c r="C1132" s="116">
        <v>268.55</v>
      </c>
      <c r="D1132" s="116">
        <v>265.10000000000002</v>
      </c>
      <c r="E1132" s="116">
        <v>274</v>
      </c>
      <c r="F1132" s="116">
        <v>268.55</v>
      </c>
      <c r="G1132">
        <v>5330</v>
      </c>
      <c r="H1132" s="116"/>
      <c r="I1132" s="116"/>
      <c r="L1132" s="169">
        <v>43670</v>
      </c>
      <c r="M1132" s="116">
        <v>267.95</v>
      </c>
      <c r="N1132" s="116">
        <v>276</v>
      </c>
      <c r="O1132" s="116">
        <v>264</v>
      </c>
      <c r="P1132" s="116">
        <v>275</v>
      </c>
      <c r="Q1132" s="116">
        <v>267.95</v>
      </c>
      <c r="R1132">
        <v>32111</v>
      </c>
    </row>
    <row r="1133" spans="1:18" x14ac:dyDescent="0.25">
      <c r="A1133" s="169">
        <v>43671</v>
      </c>
      <c r="B1133" s="116">
        <v>272.95</v>
      </c>
      <c r="C1133" s="116">
        <v>240.75</v>
      </c>
      <c r="D1133" s="116">
        <v>232.95</v>
      </c>
      <c r="E1133" s="116">
        <v>269.3</v>
      </c>
      <c r="F1133" s="116">
        <v>240.75</v>
      </c>
      <c r="G1133">
        <v>16077</v>
      </c>
      <c r="H1133" s="116"/>
      <c r="I1133" s="116"/>
      <c r="L1133" s="169">
        <v>43671</v>
      </c>
      <c r="M1133" s="116">
        <v>240.6</v>
      </c>
      <c r="N1133" s="116">
        <v>273.89999999999998</v>
      </c>
      <c r="O1133" s="116">
        <v>232.15</v>
      </c>
      <c r="P1133" s="116">
        <v>267</v>
      </c>
      <c r="Q1133" s="116">
        <v>240.6</v>
      </c>
      <c r="R1133">
        <v>102266</v>
      </c>
    </row>
    <row r="1134" spans="1:18" x14ac:dyDescent="0.25">
      <c r="A1134" s="169">
        <v>43672</v>
      </c>
      <c r="B1134" s="116">
        <v>258.8</v>
      </c>
      <c r="C1134" s="116">
        <v>255.95</v>
      </c>
      <c r="D1134" s="116">
        <v>232.1</v>
      </c>
      <c r="E1134" s="116">
        <v>234.85</v>
      </c>
      <c r="F1134" s="116">
        <v>255.95</v>
      </c>
      <c r="G1134">
        <v>15554</v>
      </c>
      <c r="H1134" s="116"/>
      <c r="I1134" s="116"/>
      <c r="L1134" s="169">
        <v>43672</v>
      </c>
      <c r="M1134" s="116">
        <v>256.55</v>
      </c>
      <c r="N1134" s="116">
        <v>259.39999999999998</v>
      </c>
      <c r="O1134" s="116">
        <v>231</v>
      </c>
      <c r="P1134" s="116">
        <v>240</v>
      </c>
      <c r="Q1134" s="116">
        <v>256.55</v>
      </c>
      <c r="R1134">
        <v>83118</v>
      </c>
    </row>
    <row r="1135" spans="1:18" x14ac:dyDescent="0.25">
      <c r="A1135" s="169">
        <v>43675</v>
      </c>
      <c r="B1135" s="116">
        <v>253.95</v>
      </c>
      <c r="C1135" s="116">
        <v>241.75</v>
      </c>
      <c r="D1135" s="116">
        <v>235.2</v>
      </c>
      <c r="E1135" s="116">
        <v>253.95</v>
      </c>
      <c r="F1135" s="116">
        <v>241.75</v>
      </c>
      <c r="G1135">
        <v>4795</v>
      </c>
      <c r="H1135" s="116"/>
      <c r="I1135" s="116"/>
      <c r="L1135" s="169">
        <v>43675</v>
      </c>
      <c r="M1135" s="116">
        <v>243.1</v>
      </c>
      <c r="N1135" s="116">
        <v>256</v>
      </c>
      <c r="O1135" s="116">
        <v>233.5</v>
      </c>
      <c r="P1135" s="116">
        <v>249.8</v>
      </c>
      <c r="Q1135" s="116">
        <v>243.1</v>
      </c>
      <c r="R1135">
        <v>81152</v>
      </c>
    </row>
    <row r="1136" spans="1:18" x14ac:dyDescent="0.25">
      <c r="A1136" s="169">
        <v>43676</v>
      </c>
      <c r="B1136" s="116">
        <v>244.5</v>
      </c>
      <c r="C1136" s="116">
        <v>228.75</v>
      </c>
      <c r="D1136" s="116">
        <v>225.9</v>
      </c>
      <c r="E1136" s="116">
        <v>243.6</v>
      </c>
      <c r="F1136" s="116">
        <v>228.75</v>
      </c>
      <c r="G1136">
        <v>4123</v>
      </c>
      <c r="H1136" s="116"/>
      <c r="I1136" s="116"/>
      <c r="L1136" s="169">
        <v>43676</v>
      </c>
      <c r="M1136" s="116">
        <v>227.05</v>
      </c>
      <c r="N1136" s="116">
        <v>243.9</v>
      </c>
      <c r="O1136" s="116">
        <v>225</v>
      </c>
      <c r="P1136" s="116">
        <v>240</v>
      </c>
      <c r="Q1136" s="116">
        <v>227.05</v>
      </c>
      <c r="R1136">
        <v>37471</v>
      </c>
    </row>
    <row r="1137" spans="1:18" x14ac:dyDescent="0.25">
      <c r="A1137" s="169">
        <v>43677</v>
      </c>
      <c r="B1137" s="116">
        <v>239.8</v>
      </c>
      <c r="C1137" s="116">
        <v>234.2</v>
      </c>
      <c r="D1137" s="116">
        <v>225.65</v>
      </c>
      <c r="E1137" s="116">
        <v>227.3</v>
      </c>
      <c r="F1137" s="116">
        <v>234.2</v>
      </c>
      <c r="G1137">
        <v>3794</v>
      </c>
      <c r="H1137" s="116"/>
      <c r="I1137" s="116"/>
      <c r="L1137" s="169">
        <v>43677</v>
      </c>
      <c r="M1137" s="116">
        <v>234.65</v>
      </c>
      <c r="N1137" s="116">
        <v>240</v>
      </c>
      <c r="O1137" s="116">
        <v>225</v>
      </c>
      <c r="P1137" s="116">
        <v>227</v>
      </c>
      <c r="Q1137" s="116">
        <v>234.65</v>
      </c>
      <c r="R1137">
        <v>61875</v>
      </c>
    </row>
    <row r="1138" spans="1:18" x14ac:dyDescent="0.25">
      <c r="A1138" s="169">
        <v>43678</v>
      </c>
      <c r="B1138" s="116">
        <v>238.5</v>
      </c>
      <c r="C1138" s="116">
        <v>224.95</v>
      </c>
      <c r="D1138" s="116">
        <v>224.25</v>
      </c>
      <c r="E1138" s="116">
        <v>238.5</v>
      </c>
      <c r="F1138" s="116">
        <v>224.95</v>
      </c>
      <c r="G1138">
        <v>1734</v>
      </c>
      <c r="H1138" s="116"/>
      <c r="I1138" s="116"/>
      <c r="L1138" s="169">
        <v>43678</v>
      </c>
      <c r="M1138" s="116">
        <v>225.25</v>
      </c>
      <c r="N1138" s="116">
        <v>234.9</v>
      </c>
      <c r="O1138" s="116">
        <v>223.8</v>
      </c>
      <c r="P1138" s="116">
        <v>228.5</v>
      </c>
      <c r="Q1138" s="116">
        <v>225.25</v>
      </c>
      <c r="R1138">
        <v>31060</v>
      </c>
    </row>
    <row r="1139" spans="1:18" x14ac:dyDescent="0.25">
      <c r="A1139" s="169">
        <v>43679</v>
      </c>
      <c r="B1139" s="116">
        <v>223.2</v>
      </c>
      <c r="C1139" s="116">
        <v>219.05</v>
      </c>
      <c r="D1139" s="116">
        <v>218.4</v>
      </c>
      <c r="E1139" s="116">
        <v>220.85</v>
      </c>
      <c r="F1139" s="116">
        <v>219.05</v>
      </c>
      <c r="G1139">
        <v>2795</v>
      </c>
      <c r="H1139" s="116"/>
      <c r="I1139" s="116"/>
      <c r="L1139" s="169">
        <v>43679</v>
      </c>
      <c r="M1139" s="116">
        <v>219.15</v>
      </c>
      <c r="N1139" s="116">
        <v>227</v>
      </c>
      <c r="O1139" s="116">
        <v>217.5</v>
      </c>
      <c r="P1139" s="116">
        <v>217.5</v>
      </c>
      <c r="Q1139" s="116">
        <v>219.15</v>
      </c>
      <c r="R1139">
        <v>65750</v>
      </c>
    </row>
    <row r="1140" spans="1:18" x14ac:dyDescent="0.25">
      <c r="A1140" s="169">
        <v>43682</v>
      </c>
      <c r="B1140" s="116">
        <v>218.85</v>
      </c>
      <c r="C1140" s="116">
        <v>217.9</v>
      </c>
      <c r="D1140" s="116">
        <v>210</v>
      </c>
      <c r="E1140" s="116">
        <v>216</v>
      </c>
      <c r="F1140" s="116">
        <v>217.9</v>
      </c>
      <c r="G1140">
        <v>1527</v>
      </c>
      <c r="H1140" s="116"/>
      <c r="I1140" s="116"/>
      <c r="L1140" s="169">
        <v>43682</v>
      </c>
      <c r="M1140" s="116">
        <v>218.2</v>
      </c>
      <c r="N1140" s="116">
        <v>221.7</v>
      </c>
      <c r="O1140" s="116">
        <v>211.25</v>
      </c>
      <c r="P1140" s="116">
        <v>220</v>
      </c>
      <c r="Q1140" s="116">
        <v>218.2</v>
      </c>
      <c r="R1140">
        <v>14195</v>
      </c>
    </row>
    <row r="1141" spans="1:18" x14ac:dyDescent="0.25">
      <c r="A1141" s="169">
        <v>43683</v>
      </c>
      <c r="B1141" s="116">
        <v>240.6</v>
      </c>
      <c r="C1141" s="116">
        <v>234.65</v>
      </c>
      <c r="D1141" s="116">
        <v>212</v>
      </c>
      <c r="E1141" s="116">
        <v>212</v>
      </c>
      <c r="F1141" s="116">
        <v>234.65</v>
      </c>
      <c r="G1141">
        <v>3425</v>
      </c>
      <c r="H1141" s="116"/>
      <c r="I1141" s="116"/>
      <c r="L1141" s="169">
        <v>43683</v>
      </c>
      <c r="M1141" s="116">
        <v>234.75</v>
      </c>
      <c r="N1141" s="116">
        <v>242.05</v>
      </c>
      <c r="O1141" s="116">
        <v>215.25</v>
      </c>
      <c r="P1141" s="116">
        <v>220</v>
      </c>
      <c r="Q1141" s="116">
        <v>234.75</v>
      </c>
      <c r="R1141">
        <v>51859</v>
      </c>
    </row>
    <row r="1142" spans="1:18" x14ac:dyDescent="0.25">
      <c r="A1142" s="169">
        <v>43684</v>
      </c>
      <c r="B1142" s="116">
        <v>267.10000000000002</v>
      </c>
      <c r="C1142" s="116">
        <v>249.8</v>
      </c>
      <c r="D1142" s="116">
        <v>238.7</v>
      </c>
      <c r="E1142" s="116">
        <v>246.9</v>
      </c>
      <c r="F1142" s="116">
        <v>249.8</v>
      </c>
      <c r="G1142">
        <v>8663</v>
      </c>
      <c r="H1142" s="116"/>
      <c r="I1142" s="116"/>
      <c r="L1142" s="169">
        <v>43684</v>
      </c>
      <c r="M1142" s="116">
        <v>249.05</v>
      </c>
      <c r="N1142" s="116">
        <v>267</v>
      </c>
      <c r="O1142" s="116">
        <v>233.8</v>
      </c>
      <c r="P1142" s="116">
        <v>233.8</v>
      </c>
      <c r="Q1142" s="116">
        <v>249.05</v>
      </c>
      <c r="R1142">
        <v>64297</v>
      </c>
    </row>
    <row r="1143" spans="1:18" x14ac:dyDescent="0.25">
      <c r="A1143" s="169">
        <v>43685</v>
      </c>
      <c r="B1143" s="116">
        <v>262.2</v>
      </c>
      <c r="C1143" s="116">
        <v>260.35000000000002</v>
      </c>
      <c r="D1143" s="116">
        <v>254.75</v>
      </c>
      <c r="E1143" s="116">
        <v>260</v>
      </c>
      <c r="F1143" s="116">
        <v>260.35000000000002</v>
      </c>
      <c r="G1143">
        <v>2867</v>
      </c>
      <c r="H1143" s="116"/>
      <c r="I1143" s="116"/>
      <c r="L1143" s="169">
        <v>43685</v>
      </c>
      <c r="M1143" s="116">
        <v>260.8</v>
      </c>
      <c r="N1143" s="116">
        <v>264.05</v>
      </c>
      <c r="O1143" s="116">
        <v>253.45</v>
      </c>
      <c r="P1143" s="116">
        <v>258.89999999999998</v>
      </c>
      <c r="Q1143" s="116">
        <v>260.8</v>
      </c>
      <c r="R1143">
        <v>25423</v>
      </c>
    </row>
    <row r="1144" spans="1:18" x14ac:dyDescent="0.25">
      <c r="A1144" s="169">
        <v>43686</v>
      </c>
      <c r="B1144" s="116">
        <v>274.95</v>
      </c>
      <c r="C1144" s="116">
        <v>266.95</v>
      </c>
      <c r="D1144" s="116">
        <v>258</v>
      </c>
      <c r="E1144" s="116">
        <v>274.95</v>
      </c>
      <c r="F1144" s="116">
        <v>266.95</v>
      </c>
      <c r="G1144">
        <v>1471</v>
      </c>
      <c r="H1144" s="116"/>
      <c r="I1144" s="116"/>
      <c r="L1144" s="169">
        <v>43686</v>
      </c>
      <c r="M1144" s="116">
        <v>266.75</v>
      </c>
      <c r="N1144" s="116">
        <v>268</v>
      </c>
      <c r="O1144" s="116">
        <v>262.05</v>
      </c>
      <c r="P1144" s="116">
        <v>265</v>
      </c>
      <c r="Q1144" s="116">
        <v>266.75</v>
      </c>
      <c r="R1144">
        <v>13762</v>
      </c>
    </row>
    <row r="1145" spans="1:18" x14ac:dyDescent="0.25">
      <c r="A1145" s="169">
        <v>43690</v>
      </c>
      <c r="B1145" s="116">
        <v>273</v>
      </c>
      <c r="C1145" s="116">
        <v>258.35000000000002</v>
      </c>
      <c r="D1145" s="116">
        <v>252.5</v>
      </c>
      <c r="E1145" s="116">
        <v>269.39999999999998</v>
      </c>
      <c r="F1145" s="116">
        <v>258.35000000000002</v>
      </c>
      <c r="G1145">
        <v>2615</v>
      </c>
      <c r="H1145" s="116"/>
      <c r="I1145" s="116"/>
      <c r="L1145" s="169">
        <v>43690</v>
      </c>
      <c r="M1145" s="116">
        <v>257.5</v>
      </c>
      <c r="N1145" s="116">
        <v>274.7</v>
      </c>
      <c r="O1145" s="116">
        <v>256</v>
      </c>
      <c r="P1145" s="116">
        <v>274.7</v>
      </c>
      <c r="Q1145" s="116">
        <v>257.5</v>
      </c>
      <c r="R1145">
        <v>15057</v>
      </c>
    </row>
    <row r="1146" spans="1:18" x14ac:dyDescent="0.25">
      <c r="A1146" s="169">
        <v>43691</v>
      </c>
      <c r="B1146" s="116">
        <v>262.5</v>
      </c>
      <c r="C1146" s="116">
        <v>260.60000000000002</v>
      </c>
      <c r="D1146" s="116">
        <v>258.2</v>
      </c>
      <c r="E1146" s="116">
        <v>258.5</v>
      </c>
      <c r="F1146" s="116">
        <v>260.60000000000002</v>
      </c>
      <c r="G1146">
        <v>926</v>
      </c>
      <c r="H1146" s="116"/>
      <c r="I1146" s="116"/>
      <c r="L1146" s="169">
        <v>43691</v>
      </c>
      <c r="M1146" s="116">
        <v>260.8</v>
      </c>
      <c r="N1146" s="116">
        <v>264.64999999999998</v>
      </c>
      <c r="O1146" s="116">
        <v>253.8</v>
      </c>
      <c r="P1146" s="116">
        <v>257.45</v>
      </c>
      <c r="Q1146" s="116">
        <v>260.8</v>
      </c>
      <c r="R1146">
        <v>8927</v>
      </c>
    </row>
    <row r="1147" spans="1:18" x14ac:dyDescent="0.25">
      <c r="A1147" s="169">
        <v>43693</v>
      </c>
      <c r="B1147" s="116">
        <v>272.05</v>
      </c>
      <c r="C1147" s="116">
        <v>268.14999999999998</v>
      </c>
      <c r="D1147" s="116">
        <v>262.5</v>
      </c>
      <c r="E1147" s="116">
        <v>262.5</v>
      </c>
      <c r="F1147" s="116">
        <v>268.14999999999998</v>
      </c>
      <c r="G1147">
        <v>528</v>
      </c>
      <c r="H1147" s="116"/>
      <c r="I1147" s="116"/>
      <c r="L1147" s="169">
        <v>43693</v>
      </c>
      <c r="M1147" s="116">
        <v>269</v>
      </c>
      <c r="N1147" s="116">
        <v>272.60000000000002</v>
      </c>
      <c r="O1147" s="116">
        <v>260</v>
      </c>
      <c r="P1147" s="116">
        <v>266</v>
      </c>
      <c r="Q1147" s="116">
        <v>269</v>
      </c>
      <c r="R1147">
        <v>11633</v>
      </c>
    </row>
    <row r="1148" spans="1:18" x14ac:dyDescent="0.25">
      <c r="A1148" s="169">
        <v>43696</v>
      </c>
      <c r="B1148" s="116">
        <v>273.85000000000002</v>
      </c>
      <c r="C1148" s="116">
        <v>266.89999999999998</v>
      </c>
      <c r="D1148" s="116">
        <v>266.39999999999998</v>
      </c>
      <c r="E1148" s="116">
        <v>273.60000000000002</v>
      </c>
      <c r="F1148" s="116">
        <v>266.89999999999998</v>
      </c>
      <c r="G1148">
        <v>3653</v>
      </c>
      <c r="H1148" s="116"/>
      <c r="I1148" s="116"/>
      <c r="L1148" s="169">
        <v>43696</v>
      </c>
      <c r="M1148" s="116">
        <v>267.05</v>
      </c>
      <c r="N1148" s="116">
        <v>274.5</v>
      </c>
      <c r="O1148" s="116">
        <v>266</v>
      </c>
      <c r="P1148" s="116">
        <v>274.5</v>
      </c>
      <c r="Q1148" s="116">
        <v>267.05</v>
      </c>
      <c r="R1148">
        <v>7672</v>
      </c>
    </row>
    <row r="1149" spans="1:18" x14ac:dyDescent="0.25">
      <c r="A1149" s="169">
        <v>43697</v>
      </c>
      <c r="B1149" s="116">
        <v>270.25</v>
      </c>
      <c r="C1149" s="116">
        <v>262.2</v>
      </c>
      <c r="D1149" s="116">
        <v>261.64999999999998</v>
      </c>
      <c r="E1149" s="116">
        <v>270.25</v>
      </c>
      <c r="F1149" s="116">
        <v>262.2</v>
      </c>
      <c r="G1149">
        <v>525</v>
      </c>
      <c r="H1149" s="116"/>
      <c r="I1149" s="116"/>
      <c r="L1149" s="169">
        <v>43697</v>
      </c>
      <c r="M1149" s="116">
        <v>262.89999999999998</v>
      </c>
      <c r="N1149" s="116">
        <v>273</v>
      </c>
      <c r="O1149" s="116">
        <v>262.10000000000002</v>
      </c>
      <c r="P1149" s="116">
        <v>273</v>
      </c>
      <c r="Q1149" s="116">
        <v>262.89999999999998</v>
      </c>
      <c r="R1149">
        <v>3906</v>
      </c>
    </row>
    <row r="1150" spans="1:18" x14ac:dyDescent="0.25">
      <c r="A1150" s="169">
        <v>43698</v>
      </c>
      <c r="B1150" s="116">
        <v>259.7</v>
      </c>
      <c r="C1150" s="116">
        <v>245.65</v>
      </c>
      <c r="D1150" s="116">
        <v>243.5</v>
      </c>
      <c r="E1150" s="116">
        <v>259.7</v>
      </c>
      <c r="F1150" s="116">
        <v>245.65</v>
      </c>
      <c r="G1150">
        <v>919</v>
      </c>
      <c r="H1150" s="116"/>
      <c r="I1150" s="116"/>
      <c r="L1150" s="169">
        <v>43698</v>
      </c>
      <c r="M1150" s="116">
        <v>245.05</v>
      </c>
      <c r="N1150" s="116">
        <v>263.85000000000002</v>
      </c>
      <c r="O1150" s="116">
        <v>242.8</v>
      </c>
      <c r="P1150" s="116">
        <v>262.89999999999998</v>
      </c>
      <c r="Q1150" s="116">
        <v>245.05</v>
      </c>
      <c r="R1150">
        <v>14899</v>
      </c>
    </row>
    <row r="1151" spans="1:18" x14ac:dyDescent="0.25">
      <c r="A1151" s="169">
        <v>43699</v>
      </c>
      <c r="B1151" s="116">
        <v>245</v>
      </c>
      <c r="C1151" s="116">
        <v>231.65</v>
      </c>
      <c r="D1151" s="116">
        <v>230.1</v>
      </c>
      <c r="E1151" s="116">
        <v>245</v>
      </c>
      <c r="F1151" s="116">
        <v>231.65</v>
      </c>
      <c r="G1151">
        <v>2053</v>
      </c>
      <c r="H1151" s="116"/>
      <c r="I1151" s="116"/>
      <c r="L1151" s="169">
        <v>43699</v>
      </c>
      <c r="M1151" s="116">
        <v>232.1</v>
      </c>
      <c r="N1151" s="116">
        <v>248.5</v>
      </c>
      <c r="O1151" s="116">
        <v>230</v>
      </c>
      <c r="P1151" s="116">
        <v>240.25</v>
      </c>
      <c r="Q1151" s="116">
        <v>232.1</v>
      </c>
      <c r="R1151">
        <v>14678</v>
      </c>
    </row>
    <row r="1152" spans="1:18" x14ac:dyDescent="0.25">
      <c r="A1152" s="169">
        <v>43700</v>
      </c>
      <c r="B1152" s="116">
        <v>263.89999999999998</v>
      </c>
      <c r="C1152" s="116">
        <v>250.55</v>
      </c>
      <c r="D1152" s="116">
        <v>226</v>
      </c>
      <c r="E1152" s="116">
        <v>230.1</v>
      </c>
      <c r="F1152" s="116">
        <v>250.55</v>
      </c>
      <c r="G1152">
        <v>4696</v>
      </c>
      <c r="H1152" s="116"/>
      <c r="I1152" s="116"/>
      <c r="L1152" s="169">
        <v>43700</v>
      </c>
      <c r="M1152" s="116">
        <v>251.15</v>
      </c>
      <c r="N1152" s="116">
        <v>263.3</v>
      </c>
      <c r="O1152" s="116">
        <v>222</v>
      </c>
      <c r="P1152" s="116">
        <v>232.25</v>
      </c>
      <c r="Q1152" s="116">
        <v>251.15</v>
      </c>
      <c r="R1152">
        <v>20221</v>
      </c>
    </row>
    <row r="1153" spans="1:18" x14ac:dyDescent="0.25">
      <c r="A1153" s="169">
        <v>43703</v>
      </c>
      <c r="B1153" s="116">
        <v>255.7</v>
      </c>
      <c r="C1153" s="116">
        <v>250.4</v>
      </c>
      <c r="D1153" s="116">
        <v>232.65</v>
      </c>
      <c r="E1153" s="116">
        <v>250</v>
      </c>
      <c r="F1153" s="116">
        <v>250.4</v>
      </c>
      <c r="G1153">
        <v>2859</v>
      </c>
      <c r="H1153" s="116"/>
      <c r="I1153" s="116"/>
      <c r="L1153" s="169">
        <v>43703</v>
      </c>
      <c r="M1153" s="116">
        <v>245.2</v>
      </c>
      <c r="N1153" s="116">
        <v>261</v>
      </c>
      <c r="O1153" s="116">
        <v>232.95</v>
      </c>
      <c r="P1153" s="116">
        <v>255</v>
      </c>
      <c r="Q1153" s="116">
        <v>245.2</v>
      </c>
      <c r="R1153">
        <v>40320</v>
      </c>
    </row>
    <row r="1154" spans="1:18" x14ac:dyDescent="0.25">
      <c r="A1154" s="169">
        <v>43704</v>
      </c>
      <c r="B1154" s="116">
        <v>264.55</v>
      </c>
      <c r="C1154" s="116">
        <v>259.35000000000002</v>
      </c>
      <c r="D1154" s="116">
        <v>247.8</v>
      </c>
      <c r="E1154" s="116">
        <v>247.8</v>
      </c>
      <c r="F1154" s="116">
        <v>259.35000000000002</v>
      </c>
      <c r="G1154">
        <v>1748</v>
      </c>
      <c r="H1154" s="116"/>
      <c r="I1154" s="116"/>
      <c r="L1154" s="169">
        <v>43704</v>
      </c>
      <c r="M1154" s="116">
        <v>259.95</v>
      </c>
      <c r="N1154" s="116">
        <v>265</v>
      </c>
      <c r="O1154" s="116">
        <v>241.25</v>
      </c>
      <c r="P1154" s="116">
        <v>245.2</v>
      </c>
      <c r="Q1154" s="116">
        <v>259.95</v>
      </c>
      <c r="R1154">
        <v>16086</v>
      </c>
    </row>
    <row r="1155" spans="1:18" x14ac:dyDescent="0.25">
      <c r="A1155" s="169">
        <v>43705</v>
      </c>
      <c r="B1155" s="116">
        <v>262.39999999999998</v>
      </c>
      <c r="C1155" s="116">
        <v>257</v>
      </c>
      <c r="D1155" s="116">
        <v>251.55</v>
      </c>
      <c r="E1155" s="116">
        <v>262.35000000000002</v>
      </c>
      <c r="F1155" s="116">
        <v>257</v>
      </c>
      <c r="G1155">
        <v>866</v>
      </c>
      <c r="H1155" s="116"/>
      <c r="I1155" s="116"/>
      <c r="L1155" s="169">
        <v>43705</v>
      </c>
      <c r="M1155" s="116">
        <v>256.2</v>
      </c>
      <c r="N1155" s="116">
        <v>264</v>
      </c>
      <c r="O1155" s="116">
        <v>253.1</v>
      </c>
      <c r="P1155" s="116">
        <v>264</v>
      </c>
      <c r="Q1155" s="116">
        <v>256.2</v>
      </c>
      <c r="R1155">
        <v>15935</v>
      </c>
    </row>
    <row r="1156" spans="1:18" x14ac:dyDescent="0.25">
      <c r="A1156" s="169">
        <v>43706</v>
      </c>
      <c r="B1156" s="116">
        <v>261.10000000000002</v>
      </c>
      <c r="C1156" s="116">
        <v>253.3</v>
      </c>
      <c r="D1156" s="116">
        <v>253</v>
      </c>
      <c r="E1156" s="116">
        <v>260.55</v>
      </c>
      <c r="F1156" s="116">
        <v>253.3</v>
      </c>
      <c r="G1156">
        <v>736</v>
      </c>
      <c r="H1156" s="116"/>
      <c r="I1156" s="116"/>
      <c r="L1156" s="169">
        <v>43706</v>
      </c>
      <c r="M1156" s="116">
        <v>252.6</v>
      </c>
      <c r="N1156" s="116">
        <v>263</v>
      </c>
      <c r="O1156" s="116">
        <v>252.05</v>
      </c>
      <c r="P1156" s="116">
        <v>263</v>
      </c>
      <c r="Q1156" s="116">
        <v>252.6</v>
      </c>
      <c r="R1156">
        <v>17283</v>
      </c>
    </row>
    <row r="1157" spans="1:18" x14ac:dyDescent="0.25">
      <c r="A1157" s="169">
        <v>43707</v>
      </c>
      <c r="B1157" s="116">
        <v>258</v>
      </c>
      <c r="C1157" s="116">
        <v>253.2</v>
      </c>
      <c r="D1157" s="116">
        <v>251.05</v>
      </c>
      <c r="E1157" s="116">
        <v>257.64999999999998</v>
      </c>
      <c r="F1157" s="116">
        <v>253.2</v>
      </c>
      <c r="G1157">
        <v>1060</v>
      </c>
      <c r="H1157" s="116"/>
      <c r="I1157" s="116"/>
      <c r="L1157" s="169">
        <v>43707</v>
      </c>
      <c r="M1157" s="116">
        <v>251.65</v>
      </c>
      <c r="N1157" s="116">
        <v>258.25</v>
      </c>
      <c r="O1157" s="116">
        <v>250.65</v>
      </c>
      <c r="P1157" s="116">
        <v>252.5</v>
      </c>
      <c r="Q1157" s="116">
        <v>251.65</v>
      </c>
      <c r="R1157">
        <v>8370</v>
      </c>
    </row>
    <row r="1158" spans="1:18" x14ac:dyDescent="0.25">
      <c r="A1158" s="169">
        <v>43711</v>
      </c>
      <c r="B1158" s="116">
        <v>258</v>
      </c>
      <c r="C1158" s="116">
        <v>244.55</v>
      </c>
      <c r="D1158" s="116">
        <v>242.65</v>
      </c>
      <c r="E1158" s="116">
        <v>258</v>
      </c>
      <c r="F1158" s="116">
        <v>244.55</v>
      </c>
      <c r="G1158">
        <v>362</v>
      </c>
      <c r="H1158" s="116"/>
      <c r="I1158" s="116"/>
      <c r="L1158" s="169">
        <v>43711</v>
      </c>
      <c r="M1158" s="116">
        <v>243.85</v>
      </c>
      <c r="N1158" s="116">
        <v>254.65</v>
      </c>
      <c r="O1158" s="116">
        <v>240.35</v>
      </c>
      <c r="P1158" s="116">
        <v>251</v>
      </c>
      <c r="Q1158" s="116">
        <v>243.85</v>
      </c>
      <c r="R1158">
        <v>7332</v>
      </c>
    </row>
    <row r="1159" spans="1:18" x14ac:dyDescent="0.25">
      <c r="A1159" s="169">
        <v>43712</v>
      </c>
      <c r="B1159" s="116">
        <v>249.2</v>
      </c>
      <c r="C1159" s="116">
        <v>248.75</v>
      </c>
      <c r="D1159" s="116">
        <v>244.7</v>
      </c>
      <c r="E1159" s="116">
        <v>245.45</v>
      </c>
      <c r="F1159" s="116">
        <v>248.75</v>
      </c>
      <c r="G1159">
        <v>85</v>
      </c>
      <c r="H1159" s="116"/>
      <c r="I1159" s="116"/>
      <c r="L1159" s="169">
        <v>43712</v>
      </c>
      <c r="M1159" s="116">
        <v>247.3</v>
      </c>
      <c r="N1159" s="116">
        <v>249.45</v>
      </c>
      <c r="O1159" s="116">
        <v>242.45</v>
      </c>
      <c r="P1159" s="116">
        <v>242.45</v>
      </c>
      <c r="Q1159" s="116">
        <v>247.3</v>
      </c>
      <c r="R1159">
        <v>7866</v>
      </c>
    </row>
    <row r="1160" spans="1:18" x14ac:dyDescent="0.25">
      <c r="A1160" s="169">
        <v>43713</v>
      </c>
      <c r="B1160" s="116">
        <v>263.14999999999998</v>
      </c>
      <c r="C1160" s="116">
        <v>257.89999999999998</v>
      </c>
      <c r="D1160" s="116">
        <v>254.05</v>
      </c>
      <c r="E1160" s="116">
        <v>257.14999999999998</v>
      </c>
      <c r="F1160" s="116">
        <v>257.89999999999998</v>
      </c>
      <c r="G1160">
        <v>2160</v>
      </c>
      <c r="H1160" s="116"/>
      <c r="I1160" s="116"/>
      <c r="L1160" s="169">
        <v>43713</v>
      </c>
      <c r="M1160" s="116">
        <v>257.10000000000002</v>
      </c>
      <c r="N1160" s="116">
        <v>262.10000000000002</v>
      </c>
      <c r="O1160" s="116">
        <v>247.3</v>
      </c>
      <c r="P1160" s="116">
        <v>247.3</v>
      </c>
      <c r="Q1160" s="116">
        <v>257.10000000000002</v>
      </c>
      <c r="R1160">
        <v>12257</v>
      </c>
    </row>
    <row r="1161" spans="1:18" x14ac:dyDescent="0.25">
      <c r="A1161" s="169">
        <v>43714</v>
      </c>
      <c r="B1161" s="116">
        <v>266.45</v>
      </c>
      <c r="C1161" s="116">
        <v>260.35000000000002</v>
      </c>
      <c r="D1161" s="116">
        <v>260</v>
      </c>
      <c r="E1161" s="116">
        <v>263.7</v>
      </c>
      <c r="F1161" s="116">
        <v>260.35000000000002</v>
      </c>
      <c r="G1161">
        <v>2548</v>
      </c>
      <c r="H1161" s="116"/>
      <c r="I1161" s="116"/>
      <c r="L1161" s="169">
        <v>43714</v>
      </c>
      <c r="M1161" s="116">
        <v>261.89999999999998</v>
      </c>
      <c r="N1161" s="116">
        <v>264</v>
      </c>
      <c r="O1161" s="116">
        <v>257.10000000000002</v>
      </c>
      <c r="P1161" s="116">
        <v>257.10000000000002</v>
      </c>
      <c r="Q1161" s="116">
        <v>261.89999999999998</v>
      </c>
      <c r="R1161">
        <v>17457</v>
      </c>
    </row>
    <row r="1162" spans="1:18" x14ac:dyDescent="0.25">
      <c r="A1162" s="169">
        <v>43717</v>
      </c>
      <c r="B1162" s="116">
        <v>267.5</v>
      </c>
      <c r="C1162" s="116">
        <v>260.7</v>
      </c>
      <c r="D1162" s="116">
        <v>260</v>
      </c>
      <c r="E1162" s="116">
        <v>265.3</v>
      </c>
      <c r="F1162" s="116">
        <v>260.7</v>
      </c>
      <c r="G1162">
        <v>2554</v>
      </c>
      <c r="H1162" s="116"/>
      <c r="I1162" s="116"/>
      <c r="L1162" s="169">
        <v>43717</v>
      </c>
      <c r="M1162" s="116">
        <v>260.85000000000002</v>
      </c>
      <c r="N1162" s="116">
        <v>269.89999999999998</v>
      </c>
      <c r="O1162" s="116">
        <v>259.95</v>
      </c>
      <c r="P1162" s="116">
        <v>265.7</v>
      </c>
      <c r="Q1162" s="116">
        <v>260.85000000000002</v>
      </c>
      <c r="R1162">
        <v>25849</v>
      </c>
    </row>
    <row r="1163" spans="1:18" x14ac:dyDescent="0.25">
      <c r="A1163" s="169">
        <v>43719</v>
      </c>
      <c r="B1163" s="116">
        <v>287.45</v>
      </c>
      <c r="C1163" s="116">
        <v>284.89999999999998</v>
      </c>
      <c r="D1163" s="116">
        <v>264</v>
      </c>
      <c r="E1163" s="116">
        <v>264</v>
      </c>
      <c r="F1163" s="116">
        <v>284.89999999999998</v>
      </c>
      <c r="G1163">
        <v>8388</v>
      </c>
      <c r="H1163" s="116"/>
      <c r="I1163" s="116"/>
      <c r="L1163" s="169">
        <v>43719</v>
      </c>
      <c r="M1163" s="116">
        <v>283.55</v>
      </c>
      <c r="N1163" s="116">
        <v>286</v>
      </c>
      <c r="O1163" s="116">
        <v>261</v>
      </c>
      <c r="P1163" s="116">
        <v>261.05</v>
      </c>
      <c r="Q1163" s="116">
        <v>283.55</v>
      </c>
      <c r="R1163">
        <v>52906</v>
      </c>
    </row>
    <row r="1164" spans="1:18" x14ac:dyDescent="0.25">
      <c r="A1164" s="169">
        <v>43720</v>
      </c>
      <c r="B1164" s="116">
        <v>306.5</v>
      </c>
      <c r="C1164" s="116">
        <v>296.45</v>
      </c>
      <c r="D1164" s="116">
        <v>284.25</v>
      </c>
      <c r="E1164" s="116">
        <v>287</v>
      </c>
      <c r="F1164" s="116">
        <v>296.45</v>
      </c>
      <c r="G1164">
        <v>20940</v>
      </c>
      <c r="H1164" s="116"/>
      <c r="I1164" s="116"/>
      <c r="L1164" s="169">
        <v>43720</v>
      </c>
      <c r="M1164" s="116">
        <v>295.64999999999998</v>
      </c>
      <c r="N1164" s="116">
        <v>307</v>
      </c>
      <c r="O1164" s="116">
        <v>282.2</v>
      </c>
      <c r="P1164" s="116">
        <v>286</v>
      </c>
      <c r="Q1164" s="116">
        <v>295.64999999999998</v>
      </c>
      <c r="R1164">
        <v>57429</v>
      </c>
    </row>
    <row r="1165" spans="1:18" x14ac:dyDescent="0.25">
      <c r="A1165" s="169">
        <v>43721</v>
      </c>
      <c r="B1165" s="116">
        <v>321</v>
      </c>
      <c r="C1165" s="116">
        <v>309.14999999999998</v>
      </c>
      <c r="D1165" s="116">
        <v>300.35000000000002</v>
      </c>
      <c r="E1165" s="116">
        <v>301</v>
      </c>
      <c r="F1165" s="116">
        <v>309.14999999999998</v>
      </c>
      <c r="G1165">
        <v>41450</v>
      </c>
      <c r="H1165" s="116"/>
      <c r="I1165" s="116"/>
      <c r="L1165" s="169">
        <v>43721</v>
      </c>
      <c r="M1165" s="116">
        <v>309.60000000000002</v>
      </c>
      <c r="N1165" s="116">
        <v>322</v>
      </c>
      <c r="O1165" s="116">
        <v>298.45</v>
      </c>
      <c r="P1165" s="116">
        <v>298.45</v>
      </c>
      <c r="Q1165" s="116">
        <v>309.60000000000002</v>
      </c>
      <c r="R1165">
        <v>248564</v>
      </c>
    </row>
    <row r="1166" spans="1:18" x14ac:dyDescent="0.25">
      <c r="A1166" s="169">
        <v>43724</v>
      </c>
      <c r="B1166" s="116">
        <v>308.85000000000002</v>
      </c>
      <c r="C1166" s="116">
        <v>302.39999999999998</v>
      </c>
      <c r="D1166" s="116">
        <v>295.35000000000002</v>
      </c>
      <c r="E1166" s="116">
        <v>301.64999999999998</v>
      </c>
      <c r="F1166" s="116">
        <v>302.39999999999998</v>
      </c>
      <c r="G1166">
        <v>4819</v>
      </c>
      <c r="H1166" s="116"/>
      <c r="I1166" s="116"/>
      <c r="L1166" s="169">
        <v>43724</v>
      </c>
      <c r="M1166" s="116">
        <v>302.95</v>
      </c>
      <c r="N1166" s="116">
        <v>308.85000000000002</v>
      </c>
      <c r="O1166" s="116">
        <v>296</v>
      </c>
      <c r="P1166" s="116">
        <v>305.95</v>
      </c>
      <c r="Q1166" s="116">
        <v>302.95</v>
      </c>
      <c r="R1166">
        <v>39196</v>
      </c>
    </row>
    <row r="1167" spans="1:18" x14ac:dyDescent="0.25">
      <c r="A1167" s="169">
        <v>43725</v>
      </c>
      <c r="B1167" s="116">
        <v>314.3</v>
      </c>
      <c r="C1167" s="116">
        <v>291.39999999999998</v>
      </c>
      <c r="D1167" s="116">
        <v>285</v>
      </c>
      <c r="E1167" s="116">
        <v>302.2</v>
      </c>
      <c r="F1167" s="116">
        <v>291.39999999999998</v>
      </c>
      <c r="G1167">
        <v>5144</v>
      </c>
      <c r="H1167" s="116"/>
      <c r="I1167" s="116"/>
      <c r="L1167" s="169">
        <v>43725</v>
      </c>
      <c r="M1167" s="116">
        <v>289.45</v>
      </c>
      <c r="N1167" s="116">
        <v>313.2</v>
      </c>
      <c r="O1167" s="116">
        <v>282.95</v>
      </c>
      <c r="P1167" s="116">
        <v>304.89999999999998</v>
      </c>
      <c r="Q1167" s="116">
        <v>289.45</v>
      </c>
      <c r="R1167">
        <v>40262</v>
      </c>
    </row>
    <row r="1168" spans="1:18" x14ac:dyDescent="0.25">
      <c r="A1168" s="169">
        <v>43726</v>
      </c>
      <c r="B1168" s="116">
        <v>299.60000000000002</v>
      </c>
      <c r="C1168" s="116">
        <v>288.85000000000002</v>
      </c>
      <c r="D1168" s="116">
        <v>283.64999999999998</v>
      </c>
      <c r="E1168" s="116">
        <v>299.5</v>
      </c>
      <c r="F1168" s="116">
        <v>288.85000000000002</v>
      </c>
      <c r="G1168">
        <v>2901</v>
      </c>
      <c r="H1168" s="116"/>
      <c r="I1168" s="116"/>
      <c r="L1168" s="169">
        <v>43726</v>
      </c>
      <c r="M1168" s="116">
        <v>288.95</v>
      </c>
      <c r="N1168" s="116">
        <v>299.95</v>
      </c>
      <c r="O1168" s="116">
        <v>283.5</v>
      </c>
      <c r="P1168" s="116">
        <v>295</v>
      </c>
      <c r="Q1168" s="116">
        <v>288.95</v>
      </c>
      <c r="R1168">
        <v>25536</v>
      </c>
    </row>
    <row r="1169" spans="1:18" x14ac:dyDescent="0.25">
      <c r="A1169" s="169">
        <v>43727</v>
      </c>
      <c r="B1169" s="116">
        <v>289.14999999999998</v>
      </c>
      <c r="C1169" s="116">
        <v>279.89999999999998</v>
      </c>
      <c r="D1169" s="116">
        <v>273.75</v>
      </c>
      <c r="E1169" s="116">
        <v>285.10000000000002</v>
      </c>
      <c r="F1169" s="116">
        <v>279.89999999999998</v>
      </c>
      <c r="G1169">
        <v>4123</v>
      </c>
      <c r="H1169" s="116"/>
      <c r="I1169" s="116"/>
      <c r="L1169" s="169">
        <v>43727</v>
      </c>
      <c r="M1169" s="116">
        <v>278.64999999999998</v>
      </c>
      <c r="N1169" s="116">
        <v>289.25</v>
      </c>
      <c r="O1169" s="116">
        <v>274</v>
      </c>
      <c r="P1169" s="116">
        <v>288</v>
      </c>
      <c r="Q1169" s="116">
        <v>278.64999999999998</v>
      </c>
      <c r="R1169">
        <v>16689</v>
      </c>
    </row>
    <row r="1170" spans="1:18" x14ac:dyDescent="0.25">
      <c r="A1170" s="169">
        <v>43728</v>
      </c>
      <c r="B1170" s="116">
        <v>296.95</v>
      </c>
      <c r="C1170" s="116">
        <v>279.5</v>
      </c>
      <c r="D1170" s="116">
        <v>272</v>
      </c>
      <c r="E1170" s="116">
        <v>272.25</v>
      </c>
      <c r="F1170" s="116">
        <v>279.5</v>
      </c>
      <c r="G1170">
        <v>4559</v>
      </c>
      <c r="H1170" s="116"/>
      <c r="I1170" s="116"/>
      <c r="L1170" s="169">
        <v>43728</v>
      </c>
      <c r="M1170" s="116">
        <v>278.60000000000002</v>
      </c>
      <c r="N1170" s="116">
        <v>297</v>
      </c>
      <c r="O1170" s="116">
        <v>272.39999999999998</v>
      </c>
      <c r="P1170" s="116">
        <v>279.7</v>
      </c>
      <c r="Q1170" s="116">
        <v>278.60000000000002</v>
      </c>
      <c r="R1170">
        <v>69820</v>
      </c>
    </row>
    <row r="1171" spans="1:18" x14ac:dyDescent="0.25">
      <c r="A1171" s="169">
        <v>43731</v>
      </c>
      <c r="B1171" s="116">
        <v>310.2</v>
      </c>
      <c r="C1171" s="116">
        <v>297.8</v>
      </c>
      <c r="D1171" s="116">
        <v>285.64999999999998</v>
      </c>
      <c r="E1171" s="116">
        <v>290.2</v>
      </c>
      <c r="F1171" s="116">
        <v>297.8</v>
      </c>
      <c r="G1171">
        <v>8860</v>
      </c>
      <c r="H1171" s="116"/>
      <c r="I1171" s="116"/>
      <c r="L1171" s="169">
        <v>43731</v>
      </c>
      <c r="M1171" s="116">
        <v>297.14999999999998</v>
      </c>
      <c r="N1171" s="116">
        <v>311.7</v>
      </c>
      <c r="O1171" s="116">
        <v>283.85000000000002</v>
      </c>
      <c r="P1171" s="116">
        <v>283.85000000000002</v>
      </c>
      <c r="Q1171" s="116">
        <v>297.14999999999998</v>
      </c>
      <c r="R1171">
        <v>124569</v>
      </c>
    </row>
    <row r="1172" spans="1:18" x14ac:dyDescent="0.25">
      <c r="A1172" s="169">
        <v>43732</v>
      </c>
      <c r="B1172" s="116">
        <v>320</v>
      </c>
      <c r="C1172" s="116">
        <v>316.14999999999998</v>
      </c>
      <c r="D1172" s="116">
        <v>296.35000000000002</v>
      </c>
      <c r="E1172" s="116">
        <v>298.89999999999998</v>
      </c>
      <c r="F1172" s="116">
        <v>316.14999999999998</v>
      </c>
      <c r="G1172">
        <v>31163</v>
      </c>
      <c r="H1172" s="116"/>
      <c r="I1172" s="116"/>
      <c r="L1172" s="169">
        <v>43732</v>
      </c>
      <c r="M1172" s="116">
        <v>314.85000000000002</v>
      </c>
      <c r="N1172" s="116">
        <v>319.8</v>
      </c>
      <c r="O1172" s="116">
        <v>297.25</v>
      </c>
      <c r="P1172" s="116">
        <v>299.75</v>
      </c>
      <c r="Q1172" s="116">
        <v>314.85000000000002</v>
      </c>
      <c r="R1172">
        <v>118756</v>
      </c>
    </row>
    <row r="1173" spans="1:18" x14ac:dyDescent="0.25">
      <c r="A1173" s="169">
        <v>43733</v>
      </c>
      <c r="B1173" s="116">
        <v>330</v>
      </c>
      <c r="C1173" s="116">
        <v>318.60000000000002</v>
      </c>
      <c r="D1173" s="116">
        <v>306</v>
      </c>
      <c r="E1173" s="116">
        <v>320</v>
      </c>
      <c r="F1173" s="116">
        <v>318.60000000000002</v>
      </c>
      <c r="G1173">
        <v>10831</v>
      </c>
      <c r="H1173" s="116"/>
      <c r="I1173" s="116"/>
      <c r="L1173" s="169">
        <v>43733</v>
      </c>
      <c r="M1173" s="116">
        <v>319.25</v>
      </c>
      <c r="N1173" s="116">
        <v>331</v>
      </c>
      <c r="O1173" s="116">
        <v>315.2</v>
      </c>
      <c r="P1173" s="116">
        <v>316</v>
      </c>
      <c r="Q1173" s="116">
        <v>319.25</v>
      </c>
      <c r="R1173">
        <v>79933</v>
      </c>
    </row>
    <row r="1174" spans="1:18" x14ac:dyDescent="0.25">
      <c r="A1174" s="169">
        <v>43734</v>
      </c>
      <c r="B1174" s="116">
        <v>361.85</v>
      </c>
      <c r="C1174" s="116">
        <v>350.25</v>
      </c>
      <c r="D1174" s="116">
        <v>320.95</v>
      </c>
      <c r="E1174" s="116">
        <v>325</v>
      </c>
      <c r="F1174" s="116">
        <v>350.25</v>
      </c>
      <c r="G1174">
        <v>24049</v>
      </c>
      <c r="H1174" s="116"/>
      <c r="I1174" s="116"/>
      <c r="L1174" s="169">
        <v>43734</v>
      </c>
      <c r="M1174" s="116">
        <v>349.05</v>
      </c>
      <c r="N1174" s="116">
        <v>361.7</v>
      </c>
      <c r="O1174" s="116">
        <v>321</v>
      </c>
      <c r="P1174" s="116">
        <v>322.25</v>
      </c>
      <c r="Q1174" s="116">
        <v>349.05</v>
      </c>
      <c r="R1174">
        <v>268220</v>
      </c>
    </row>
    <row r="1175" spans="1:18" x14ac:dyDescent="0.25">
      <c r="A1175" s="169">
        <v>43735</v>
      </c>
      <c r="B1175" s="116">
        <v>356.8</v>
      </c>
      <c r="C1175" s="116">
        <v>351.3</v>
      </c>
      <c r="D1175" s="116">
        <v>341.4</v>
      </c>
      <c r="E1175" s="116">
        <v>354.8</v>
      </c>
      <c r="F1175" s="116">
        <v>351.3</v>
      </c>
      <c r="G1175">
        <v>8476</v>
      </c>
      <c r="H1175" s="116"/>
      <c r="I1175" s="116"/>
      <c r="L1175" s="169">
        <v>43735</v>
      </c>
      <c r="M1175" s="116">
        <v>350.65</v>
      </c>
      <c r="N1175" s="116">
        <v>358.7</v>
      </c>
      <c r="O1175" s="116">
        <v>342</v>
      </c>
      <c r="P1175" s="116">
        <v>349.2</v>
      </c>
      <c r="Q1175" s="116">
        <v>350.65</v>
      </c>
      <c r="R1175">
        <v>61729</v>
      </c>
    </row>
    <row r="1176" spans="1:18" x14ac:dyDescent="0.25">
      <c r="A1176" s="169">
        <v>43738</v>
      </c>
      <c r="B1176" s="116">
        <v>350.05</v>
      </c>
      <c r="C1176" s="116">
        <v>332.95</v>
      </c>
      <c r="D1176" s="116">
        <v>319.8</v>
      </c>
      <c r="E1176" s="116">
        <v>345.1</v>
      </c>
      <c r="F1176" s="116">
        <v>332.95</v>
      </c>
      <c r="G1176">
        <v>4282</v>
      </c>
      <c r="H1176" s="116"/>
      <c r="I1176" s="116"/>
      <c r="L1176" s="169">
        <v>43738</v>
      </c>
      <c r="M1176" s="116">
        <v>331.85</v>
      </c>
      <c r="N1176" s="116">
        <v>354</v>
      </c>
      <c r="O1176" s="116">
        <v>320</v>
      </c>
      <c r="P1176" s="116">
        <v>353.75</v>
      </c>
      <c r="Q1176" s="116">
        <v>331.85</v>
      </c>
      <c r="R1176">
        <v>32809</v>
      </c>
    </row>
    <row r="1177" spans="1:18" x14ac:dyDescent="0.25">
      <c r="A1177" s="169">
        <v>43739</v>
      </c>
      <c r="B1177" s="116">
        <v>337.3</v>
      </c>
      <c r="C1177" s="116">
        <v>320.05</v>
      </c>
      <c r="D1177" s="116">
        <v>315</v>
      </c>
      <c r="E1177" s="116">
        <v>337</v>
      </c>
      <c r="F1177" s="116">
        <v>320.05</v>
      </c>
      <c r="G1177">
        <v>4128</v>
      </c>
      <c r="H1177" s="116"/>
      <c r="I1177" s="116"/>
      <c r="L1177" s="169">
        <v>43739</v>
      </c>
      <c r="M1177" s="116">
        <v>320.45</v>
      </c>
      <c r="N1177" s="116">
        <v>337.95</v>
      </c>
      <c r="O1177" s="116">
        <v>315</v>
      </c>
      <c r="P1177" s="116">
        <v>337</v>
      </c>
      <c r="Q1177" s="116">
        <v>320.45</v>
      </c>
      <c r="R1177">
        <v>26986</v>
      </c>
    </row>
    <row r="1178" spans="1:18" x14ac:dyDescent="0.25">
      <c r="A1178" s="169">
        <v>43741</v>
      </c>
      <c r="B1178" s="116">
        <v>337.85</v>
      </c>
      <c r="C1178" s="116">
        <v>329.55</v>
      </c>
      <c r="D1178" s="116">
        <v>312.64999999999998</v>
      </c>
      <c r="E1178" s="116">
        <v>319</v>
      </c>
      <c r="F1178" s="116">
        <v>329.55</v>
      </c>
      <c r="G1178">
        <v>2980</v>
      </c>
      <c r="H1178" s="116"/>
      <c r="I1178" s="116"/>
      <c r="L1178" s="169">
        <v>43741</v>
      </c>
      <c r="M1178" s="116">
        <v>330.9</v>
      </c>
      <c r="N1178" s="116">
        <v>336.95</v>
      </c>
      <c r="O1178" s="116">
        <v>300.55</v>
      </c>
      <c r="P1178" s="116">
        <v>320</v>
      </c>
      <c r="Q1178" s="116">
        <v>330.9</v>
      </c>
      <c r="R1178">
        <v>30251</v>
      </c>
    </row>
    <row r="1179" spans="1:18" x14ac:dyDescent="0.25">
      <c r="A1179" s="169">
        <v>43742</v>
      </c>
      <c r="B1179" s="116">
        <v>334</v>
      </c>
      <c r="C1179" s="116">
        <v>313.89999999999998</v>
      </c>
      <c r="D1179" s="116">
        <v>311</v>
      </c>
      <c r="E1179" s="116">
        <v>334</v>
      </c>
      <c r="F1179" s="116">
        <v>313.89999999999998</v>
      </c>
      <c r="G1179">
        <v>2200</v>
      </c>
      <c r="H1179" s="116"/>
      <c r="I1179" s="116"/>
      <c r="L1179" s="169">
        <v>43742</v>
      </c>
      <c r="M1179" s="116">
        <v>314.55</v>
      </c>
      <c r="N1179" s="116">
        <v>334</v>
      </c>
      <c r="O1179" s="116">
        <v>311</v>
      </c>
      <c r="P1179" s="116">
        <v>330.85</v>
      </c>
      <c r="Q1179" s="116">
        <v>314.55</v>
      </c>
      <c r="R1179">
        <v>14892</v>
      </c>
    </row>
    <row r="1180" spans="1:18" x14ac:dyDescent="0.25">
      <c r="A1180" s="169">
        <v>43745</v>
      </c>
      <c r="B1180" s="116">
        <v>317.7</v>
      </c>
      <c r="C1180" s="116">
        <v>312.35000000000002</v>
      </c>
      <c r="D1180" s="116">
        <v>307.5</v>
      </c>
      <c r="E1180" s="116">
        <v>311</v>
      </c>
      <c r="F1180" s="116">
        <v>312.35000000000002</v>
      </c>
      <c r="G1180">
        <v>1505</v>
      </c>
      <c r="H1180" s="116"/>
      <c r="I1180" s="116"/>
      <c r="L1180" s="169">
        <v>43745</v>
      </c>
      <c r="M1180" s="116">
        <v>311.60000000000002</v>
      </c>
      <c r="N1180" s="116">
        <v>319.55</v>
      </c>
      <c r="O1180" s="116">
        <v>308.5</v>
      </c>
      <c r="P1180" s="116">
        <v>315</v>
      </c>
      <c r="Q1180" s="116">
        <v>311.60000000000002</v>
      </c>
      <c r="R1180">
        <v>21825</v>
      </c>
    </row>
    <row r="1181" spans="1:18" x14ac:dyDescent="0.25">
      <c r="A1181" s="169">
        <v>43747</v>
      </c>
      <c r="B1181" s="116">
        <v>319.95</v>
      </c>
      <c r="C1181" s="116">
        <v>311.64999999999998</v>
      </c>
      <c r="D1181" s="116">
        <v>300.25</v>
      </c>
      <c r="E1181" s="116">
        <v>301</v>
      </c>
      <c r="F1181" s="116">
        <v>311.64999999999998</v>
      </c>
      <c r="G1181">
        <v>1751</v>
      </c>
      <c r="H1181" s="116"/>
      <c r="I1181" s="116"/>
      <c r="L1181" s="169">
        <v>43747</v>
      </c>
      <c r="M1181" s="116">
        <v>312.05</v>
      </c>
      <c r="N1181" s="116">
        <v>321</v>
      </c>
      <c r="O1181" s="116">
        <v>305.14999999999998</v>
      </c>
      <c r="P1181" s="116">
        <v>305.14999999999998</v>
      </c>
      <c r="Q1181" s="116">
        <v>312.05</v>
      </c>
      <c r="R1181">
        <v>19019</v>
      </c>
    </row>
    <row r="1182" spans="1:18" x14ac:dyDescent="0.25">
      <c r="A1182" s="169">
        <v>43748</v>
      </c>
      <c r="B1182" s="116">
        <v>316.35000000000002</v>
      </c>
      <c r="C1182" s="116">
        <v>311.05</v>
      </c>
      <c r="D1182" s="116">
        <v>300</v>
      </c>
      <c r="E1182" s="116">
        <v>300</v>
      </c>
      <c r="F1182" s="116">
        <v>311.05</v>
      </c>
      <c r="G1182">
        <v>596</v>
      </c>
      <c r="H1182" s="116"/>
      <c r="I1182" s="116"/>
      <c r="L1182" s="169">
        <v>43748</v>
      </c>
      <c r="M1182" s="116">
        <v>310.35000000000002</v>
      </c>
      <c r="N1182" s="116">
        <v>317.5</v>
      </c>
      <c r="O1182" s="116">
        <v>308.10000000000002</v>
      </c>
      <c r="P1182" s="116">
        <v>309.10000000000002</v>
      </c>
      <c r="Q1182" s="116">
        <v>310.35000000000002</v>
      </c>
      <c r="R1182">
        <v>8364</v>
      </c>
    </row>
    <row r="1183" spans="1:18" x14ac:dyDescent="0.25">
      <c r="A1183" s="169">
        <v>43749</v>
      </c>
      <c r="B1183" s="116">
        <v>314.10000000000002</v>
      </c>
      <c r="C1183" s="116">
        <v>304.8</v>
      </c>
      <c r="D1183" s="116">
        <v>298</v>
      </c>
      <c r="E1183" s="116">
        <v>301</v>
      </c>
      <c r="F1183" s="116">
        <v>304.8</v>
      </c>
      <c r="G1183">
        <v>982</v>
      </c>
      <c r="H1183" s="116"/>
      <c r="I1183" s="116"/>
      <c r="L1183" s="169">
        <v>43749</v>
      </c>
      <c r="M1183" s="116">
        <v>304.2</v>
      </c>
      <c r="N1183" s="116">
        <v>313.75</v>
      </c>
      <c r="O1183" s="116">
        <v>303</v>
      </c>
      <c r="P1183" s="116">
        <v>312.89999999999998</v>
      </c>
      <c r="Q1183" s="116">
        <v>304.2</v>
      </c>
      <c r="R1183">
        <v>11267</v>
      </c>
    </row>
    <row r="1184" spans="1:18" x14ac:dyDescent="0.25">
      <c r="A1184" s="169">
        <v>43752</v>
      </c>
      <c r="B1184" s="116">
        <v>313.75</v>
      </c>
      <c r="C1184" s="116">
        <v>302.39999999999998</v>
      </c>
      <c r="D1184" s="116">
        <v>301.5</v>
      </c>
      <c r="E1184" s="116">
        <v>306.5</v>
      </c>
      <c r="F1184" s="116">
        <v>302.39999999999998</v>
      </c>
      <c r="G1184">
        <v>2597</v>
      </c>
      <c r="H1184" s="116"/>
      <c r="I1184" s="116"/>
      <c r="L1184" s="169">
        <v>43752</v>
      </c>
      <c r="M1184" s="116">
        <v>302</v>
      </c>
      <c r="N1184" s="116">
        <v>310.2</v>
      </c>
      <c r="O1184" s="116">
        <v>301</v>
      </c>
      <c r="P1184" s="116">
        <v>304.2</v>
      </c>
      <c r="Q1184" s="116">
        <v>302</v>
      </c>
      <c r="R1184">
        <v>13204</v>
      </c>
    </row>
    <row r="1185" spans="1:18" x14ac:dyDescent="0.25">
      <c r="A1185" s="169">
        <v>43753</v>
      </c>
      <c r="B1185" s="116">
        <v>319.5</v>
      </c>
      <c r="C1185" s="116">
        <v>302.55</v>
      </c>
      <c r="D1185" s="116">
        <v>300.55</v>
      </c>
      <c r="E1185" s="116">
        <v>303</v>
      </c>
      <c r="F1185" s="116">
        <v>302.55</v>
      </c>
      <c r="G1185">
        <v>3434</v>
      </c>
      <c r="H1185" s="116"/>
      <c r="I1185" s="116"/>
      <c r="L1185" s="169">
        <v>43753</v>
      </c>
      <c r="M1185" s="116">
        <v>302.05</v>
      </c>
      <c r="N1185" s="116">
        <v>318</v>
      </c>
      <c r="O1185" s="116">
        <v>300.25</v>
      </c>
      <c r="P1185" s="116">
        <v>300.25</v>
      </c>
      <c r="Q1185" s="116">
        <v>302.05</v>
      </c>
      <c r="R1185">
        <v>23049</v>
      </c>
    </row>
    <row r="1186" spans="1:18" x14ac:dyDescent="0.25">
      <c r="A1186" s="169">
        <v>43754</v>
      </c>
      <c r="B1186" s="116">
        <v>309.05</v>
      </c>
      <c r="C1186" s="116">
        <v>303.95</v>
      </c>
      <c r="D1186" s="116">
        <v>302.7</v>
      </c>
      <c r="E1186" s="116">
        <v>309.05</v>
      </c>
      <c r="F1186" s="116">
        <v>303.95</v>
      </c>
      <c r="G1186">
        <v>1308</v>
      </c>
      <c r="H1186" s="116"/>
      <c r="I1186" s="116"/>
      <c r="L1186" s="169">
        <v>43754</v>
      </c>
      <c r="M1186" s="116">
        <v>303.89999999999998</v>
      </c>
      <c r="N1186" s="116">
        <v>308.89999999999998</v>
      </c>
      <c r="O1186" s="116">
        <v>302</v>
      </c>
      <c r="P1186" s="116">
        <v>304.5</v>
      </c>
      <c r="Q1186" s="116">
        <v>303.89999999999998</v>
      </c>
      <c r="R1186">
        <v>9044</v>
      </c>
    </row>
    <row r="1187" spans="1:18" x14ac:dyDescent="0.25">
      <c r="A1187" s="169">
        <v>43755</v>
      </c>
      <c r="B1187" s="116">
        <v>310</v>
      </c>
      <c r="C1187" s="116">
        <v>307.3</v>
      </c>
      <c r="D1187" s="116">
        <v>304</v>
      </c>
      <c r="E1187" s="116">
        <v>309.8</v>
      </c>
      <c r="F1187" s="116">
        <v>307.3</v>
      </c>
      <c r="G1187">
        <v>451</v>
      </c>
      <c r="H1187" s="116"/>
      <c r="I1187" s="116"/>
      <c r="L1187" s="169">
        <v>43755</v>
      </c>
      <c r="M1187" s="116">
        <v>306.60000000000002</v>
      </c>
      <c r="N1187" s="116">
        <v>311.95</v>
      </c>
      <c r="O1187" s="116">
        <v>300</v>
      </c>
      <c r="P1187" s="116">
        <v>306.55</v>
      </c>
      <c r="Q1187" s="116">
        <v>306.60000000000002</v>
      </c>
      <c r="R1187">
        <v>8997</v>
      </c>
    </row>
    <row r="1188" spans="1:18" x14ac:dyDescent="0.25">
      <c r="A1188" s="169">
        <v>43756</v>
      </c>
      <c r="B1188" s="116">
        <v>323.75</v>
      </c>
      <c r="C1188" s="116">
        <v>316.05</v>
      </c>
      <c r="D1188" s="116">
        <v>299.64999999999998</v>
      </c>
      <c r="E1188" s="116">
        <v>299.64999999999998</v>
      </c>
      <c r="F1188" s="116">
        <v>316.05</v>
      </c>
      <c r="G1188">
        <v>2348</v>
      </c>
      <c r="H1188" s="116"/>
      <c r="I1188" s="116"/>
      <c r="L1188" s="169">
        <v>43756</v>
      </c>
      <c r="M1188" s="116">
        <v>318.89999999999998</v>
      </c>
      <c r="N1188" s="116">
        <v>324.05</v>
      </c>
      <c r="O1188" s="116">
        <v>303.5</v>
      </c>
      <c r="P1188" s="116">
        <v>303.55</v>
      </c>
      <c r="Q1188" s="116">
        <v>318.89999999999998</v>
      </c>
      <c r="R1188">
        <v>25344</v>
      </c>
    </row>
    <row r="1189" spans="1:18" x14ac:dyDescent="0.25">
      <c r="A1189" s="169">
        <v>43760</v>
      </c>
      <c r="B1189" s="116">
        <v>337</v>
      </c>
      <c r="C1189" s="116">
        <v>328.85</v>
      </c>
      <c r="D1189" s="116">
        <v>319.2</v>
      </c>
      <c r="E1189" s="116">
        <v>319.2</v>
      </c>
      <c r="F1189" s="116">
        <v>328.85</v>
      </c>
      <c r="G1189">
        <v>3971</v>
      </c>
      <c r="H1189" s="116"/>
      <c r="I1189" s="116"/>
      <c r="L1189" s="169">
        <v>43760</v>
      </c>
      <c r="M1189" s="116">
        <v>330.35</v>
      </c>
      <c r="N1189" s="116">
        <v>339</v>
      </c>
      <c r="O1189" s="116">
        <v>316</v>
      </c>
      <c r="P1189" s="116">
        <v>317.45</v>
      </c>
      <c r="Q1189" s="116">
        <v>330.35</v>
      </c>
      <c r="R1189">
        <v>25521</v>
      </c>
    </row>
    <row r="1190" spans="1:18" x14ac:dyDescent="0.25">
      <c r="A1190" s="169">
        <v>43761</v>
      </c>
      <c r="B1190" s="116">
        <v>342.6</v>
      </c>
      <c r="C1190" s="116">
        <v>341.35</v>
      </c>
      <c r="D1190" s="116">
        <v>328.9</v>
      </c>
      <c r="E1190" s="116">
        <v>330</v>
      </c>
      <c r="F1190" s="116">
        <v>341.35</v>
      </c>
      <c r="G1190">
        <v>4017</v>
      </c>
      <c r="H1190" s="116"/>
      <c r="I1190" s="116"/>
      <c r="L1190" s="169">
        <v>43761</v>
      </c>
      <c r="M1190" s="116">
        <v>342.1</v>
      </c>
      <c r="N1190" s="116">
        <v>344</v>
      </c>
      <c r="O1190" s="116">
        <v>324.5</v>
      </c>
      <c r="P1190" s="116">
        <v>333.4</v>
      </c>
      <c r="Q1190" s="116">
        <v>342.1</v>
      </c>
      <c r="R1190">
        <v>23587</v>
      </c>
    </row>
    <row r="1191" spans="1:18" x14ac:dyDescent="0.25">
      <c r="A1191" s="169">
        <v>43762</v>
      </c>
      <c r="B1191" s="116">
        <v>346.25</v>
      </c>
      <c r="C1191" s="116">
        <v>330.05</v>
      </c>
      <c r="D1191" s="116">
        <v>328</v>
      </c>
      <c r="E1191" s="116">
        <v>340</v>
      </c>
      <c r="F1191" s="116">
        <v>330.05</v>
      </c>
      <c r="G1191">
        <v>1743</v>
      </c>
      <c r="H1191" s="116"/>
      <c r="I1191" s="116"/>
      <c r="L1191" s="169">
        <v>43762</v>
      </c>
      <c r="M1191" s="116">
        <v>330.05</v>
      </c>
      <c r="N1191" s="116">
        <v>349</v>
      </c>
      <c r="O1191" s="116">
        <v>327.7</v>
      </c>
      <c r="P1191" s="116">
        <v>336.65</v>
      </c>
      <c r="Q1191" s="116">
        <v>330.05</v>
      </c>
      <c r="R1191">
        <v>16200</v>
      </c>
    </row>
    <row r="1192" spans="1:18" x14ac:dyDescent="0.25">
      <c r="A1192" s="169">
        <v>43763</v>
      </c>
      <c r="B1192" s="116">
        <v>333</v>
      </c>
      <c r="C1192" s="116">
        <v>321.14999999999998</v>
      </c>
      <c r="D1192" s="116">
        <v>317.89999999999998</v>
      </c>
      <c r="E1192" s="116">
        <v>328.5</v>
      </c>
      <c r="F1192" s="116">
        <v>321.14999999999998</v>
      </c>
      <c r="G1192">
        <v>1582</v>
      </c>
      <c r="H1192" s="116"/>
      <c r="I1192" s="116"/>
      <c r="L1192" s="169">
        <v>43763</v>
      </c>
      <c r="M1192" s="116">
        <v>320.55</v>
      </c>
      <c r="N1192" s="116">
        <v>333.7</v>
      </c>
      <c r="O1192" s="116">
        <v>317.95</v>
      </c>
      <c r="P1192" s="116">
        <v>333.7</v>
      </c>
      <c r="Q1192" s="116">
        <v>320.55</v>
      </c>
      <c r="R1192">
        <v>13728</v>
      </c>
    </row>
    <row r="1193" spans="1:18" x14ac:dyDescent="0.25">
      <c r="A1193" s="169">
        <v>43765</v>
      </c>
      <c r="B1193" s="116">
        <v>341</v>
      </c>
      <c r="C1193" s="116">
        <v>323.8</v>
      </c>
      <c r="D1193" s="116">
        <v>322</v>
      </c>
      <c r="E1193" s="116">
        <v>340</v>
      </c>
      <c r="F1193" s="116">
        <v>323.8</v>
      </c>
      <c r="G1193">
        <v>349</v>
      </c>
      <c r="H1193" s="116"/>
      <c r="I1193" s="116"/>
      <c r="L1193" s="169">
        <v>43765</v>
      </c>
      <c r="M1193" s="116">
        <v>324.75</v>
      </c>
      <c r="N1193" s="116">
        <v>331.4</v>
      </c>
      <c r="O1193" s="116">
        <v>321</v>
      </c>
      <c r="P1193" s="116">
        <v>323.64999999999998</v>
      </c>
      <c r="Q1193" s="116">
        <v>324.75</v>
      </c>
      <c r="R1193">
        <v>6460</v>
      </c>
    </row>
    <row r="1194" spans="1:18" x14ac:dyDescent="0.25">
      <c r="A1194" s="169">
        <v>43767</v>
      </c>
      <c r="B1194" s="116">
        <v>344</v>
      </c>
      <c r="C1194" s="116">
        <v>334.25</v>
      </c>
      <c r="D1194" s="116">
        <v>322.85000000000002</v>
      </c>
      <c r="E1194" s="116">
        <v>332.85</v>
      </c>
      <c r="F1194" s="116">
        <v>334.25</v>
      </c>
      <c r="G1194">
        <v>2039</v>
      </c>
      <c r="H1194" s="116"/>
      <c r="I1194" s="116"/>
      <c r="L1194" s="169">
        <v>43767</v>
      </c>
      <c r="M1194" s="116">
        <v>335.85</v>
      </c>
      <c r="N1194" s="116">
        <v>344.65</v>
      </c>
      <c r="O1194" s="116">
        <v>322</v>
      </c>
      <c r="P1194" s="116">
        <v>327.85</v>
      </c>
      <c r="Q1194" s="116">
        <v>335.85</v>
      </c>
      <c r="R1194">
        <v>25646</v>
      </c>
    </row>
    <row r="1195" spans="1:18" x14ac:dyDescent="0.25">
      <c r="A1195" s="169">
        <v>43768</v>
      </c>
      <c r="B1195" s="116">
        <v>342</v>
      </c>
      <c r="C1195" s="116">
        <v>327.35000000000002</v>
      </c>
      <c r="D1195" s="116">
        <v>321</v>
      </c>
      <c r="E1195" s="116">
        <v>338</v>
      </c>
      <c r="F1195" s="116">
        <v>327.35000000000002</v>
      </c>
      <c r="G1195">
        <v>2362</v>
      </c>
      <c r="H1195" s="116"/>
      <c r="I1195" s="116"/>
      <c r="L1195" s="169">
        <v>43768</v>
      </c>
      <c r="M1195" s="116">
        <v>327.05</v>
      </c>
      <c r="N1195" s="116">
        <v>340.95</v>
      </c>
      <c r="O1195" s="116">
        <v>321</v>
      </c>
      <c r="P1195" s="116">
        <v>336</v>
      </c>
      <c r="Q1195" s="116">
        <v>327.05</v>
      </c>
      <c r="R1195">
        <v>23766</v>
      </c>
    </row>
    <row r="1196" spans="1:18" x14ac:dyDescent="0.25">
      <c r="A1196" s="169">
        <v>43769</v>
      </c>
      <c r="B1196" s="116">
        <v>338.95</v>
      </c>
      <c r="C1196" s="116">
        <v>324.7</v>
      </c>
      <c r="D1196" s="116">
        <v>321.64999999999998</v>
      </c>
      <c r="E1196" s="116">
        <v>325</v>
      </c>
      <c r="F1196" s="116">
        <v>324.7</v>
      </c>
      <c r="G1196">
        <v>4308</v>
      </c>
      <c r="H1196" s="116"/>
      <c r="I1196" s="116"/>
      <c r="L1196" s="169">
        <v>43769</v>
      </c>
      <c r="M1196" s="116">
        <v>323.95</v>
      </c>
      <c r="N1196" s="116">
        <v>339</v>
      </c>
      <c r="O1196" s="116">
        <v>319.95</v>
      </c>
      <c r="P1196" s="116">
        <v>320</v>
      </c>
      <c r="Q1196" s="116">
        <v>323.95</v>
      </c>
      <c r="R1196">
        <v>54562</v>
      </c>
    </row>
    <row r="1197" spans="1:18" x14ac:dyDescent="0.25">
      <c r="A1197" s="169">
        <v>43770</v>
      </c>
      <c r="B1197" s="116">
        <v>325.60000000000002</v>
      </c>
      <c r="C1197" s="116">
        <v>321.7</v>
      </c>
      <c r="D1197" s="116">
        <v>320.10000000000002</v>
      </c>
      <c r="E1197" s="116">
        <v>325</v>
      </c>
      <c r="F1197" s="116">
        <v>321.7</v>
      </c>
      <c r="G1197">
        <v>1005</v>
      </c>
      <c r="H1197" s="116"/>
      <c r="I1197" s="116"/>
      <c r="L1197" s="169">
        <v>43770</v>
      </c>
      <c r="M1197" s="116">
        <v>321.60000000000002</v>
      </c>
      <c r="N1197" s="116">
        <v>327.5</v>
      </c>
      <c r="O1197" s="116">
        <v>319.10000000000002</v>
      </c>
      <c r="P1197" s="116">
        <v>323</v>
      </c>
      <c r="Q1197" s="116">
        <v>321.60000000000002</v>
      </c>
      <c r="R1197">
        <v>12472</v>
      </c>
    </row>
    <row r="1198" spans="1:18" x14ac:dyDescent="0.25">
      <c r="A1198" s="169">
        <v>43773</v>
      </c>
      <c r="B1198" s="116">
        <v>329.05</v>
      </c>
      <c r="C1198" s="116">
        <v>322.85000000000002</v>
      </c>
      <c r="D1198" s="116">
        <v>318.05</v>
      </c>
      <c r="E1198" s="116">
        <v>325.7</v>
      </c>
      <c r="F1198" s="116">
        <v>322.85000000000002</v>
      </c>
      <c r="G1198">
        <v>2224</v>
      </c>
      <c r="H1198" s="116"/>
      <c r="I1198" s="116"/>
      <c r="L1198" s="169">
        <v>43773</v>
      </c>
      <c r="M1198" s="116">
        <v>322.89999999999998</v>
      </c>
      <c r="N1198" s="116">
        <v>327.45</v>
      </c>
      <c r="O1198" s="116">
        <v>318</v>
      </c>
      <c r="P1198" s="116">
        <v>323.95</v>
      </c>
      <c r="Q1198" s="116">
        <v>322.89999999999998</v>
      </c>
      <c r="R1198">
        <v>16436</v>
      </c>
    </row>
    <row r="1199" spans="1:18" x14ac:dyDescent="0.25">
      <c r="A1199" s="169">
        <v>43774</v>
      </c>
      <c r="B1199" s="116">
        <v>335</v>
      </c>
      <c r="C1199" s="116">
        <v>331.05</v>
      </c>
      <c r="D1199" s="116">
        <v>324.95</v>
      </c>
      <c r="E1199" s="116">
        <v>328</v>
      </c>
      <c r="F1199" s="116">
        <v>331.05</v>
      </c>
      <c r="G1199">
        <v>1991</v>
      </c>
      <c r="H1199" s="116"/>
      <c r="I1199" s="116"/>
      <c r="L1199" s="169">
        <v>43774</v>
      </c>
      <c r="M1199" s="116">
        <v>331.75</v>
      </c>
      <c r="N1199" s="116">
        <v>333.95</v>
      </c>
      <c r="O1199" s="116">
        <v>321.5</v>
      </c>
      <c r="P1199" s="116">
        <v>325.95</v>
      </c>
      <c r="Q1199" s="116">
        <v>331.75</v>
      </c>
      <c r="R1199">
        <v>29776</v>
      </c>
    </row>
    <row r="1200" spans="1:18" x14ac:dyDescent="0.25">
      <c r="A1200" s="169">
        <v>43775</v>
      </c>
      <c r="B1200" s="116">
        <v>337</v>
      </c>
      <c r="C1200" s="116">
        <v>334.95</v>
      </c>
      <c r="D1200" s="116">
        <v>312</v>
      </c>
      <c r="E1200" s="116">
        <v>330</v>
      </c>
      <c r="F1200" s="116">
        <v>334.95</v>
      </c>
      <c r="G1200">
        <v>1863</v>
      </c>
      <c r="H1200" s="116"/>
      <c r="I1200" s="116"/>
      <c r="L1200" s="169">
        <v>43775</v>
      </c>
      <c r="M1200" s="116">
        <v>335.25</v>
      </c>
      <c r="N1200" s="116">
        <v>337</v>
      </c>
      <c r="O1200" s="116">
        <v>327.2</v>
      </c>
      <c r="P1200" s="116">
        <v>334</v>
      </c>
      <c r="Q1200" s="116">
        <v>335.25</v>
      </c>
      <c r="R1200">
        <v>33039</v>
      </c>
    </row>
    <row r="1201" spans="1:18" x14ac:dyDescent="0.25">
      <c r="A1201" s="169">
        <v>43776</v>
      </c>
      <c r="B1201" s="116">
        <v>391.4</v>
      </c>
      <c r="C1201" s="116">
        <v>375.95</v>
      </c>
      <c r="D1201" s="116">
        <v>338</v>
      </c>
      <c r="E1201" s="116">
        <v>338</v>
      </c>
      <c r="F1201" s="116">
        <v>375.95</v>
      </c>
      <c r="G1201">
        <v>19714</v>
      </c>
      <c r="H1201" s="116"/>
      <c r="I1201" s="116"/>
      <c r="L1201" s="169">
        <v>43776</v>
      </c>
      <c r="M1201" s="116">
        <v>377.25</v>
      </c>
      <c r="N1201" s="116">
        <v>392.7</v>
      </c>
      <c r="O1201" s="116">
        <v>335.3</v>
      </c>
      <c r="P1201" s="116">
        <v>335.5</v>
      </c>
      <c r="Q1201" s="116">
        <v>377.25</v>
      </c>
      <c r="R1201">
        <v>230764</v>
      </c>
    </row>
    <row r="1202" spans="1:18" x14ac:dyDescent="0.25">
      <c r="A1202" s="169">
        <v>43777</v>
      </c>
      <c r="B1202" s="116">
        <v>391.05</v>
      </c>
      <c r="C1202" s="116">
        <v>380.7</v>
      </c>
      <c r="D1202" s="116">
        <v>375</v>
      </c>
      <c r="E1202" s="116">
        <v>375.95</v>
      </c>
      <c r="F1202" s="116">
        <v>380.7</v>
      </c>
      <c r="G1202">
        <v>12888</v>
      </c>
      <c r="H1202" s="116"/>
      <c r="I1202" s="116"/>
      <c r="L1202" s="169">
        <v>43777</v>
      </c>
      <c r="M1202" s="116">
        <v>379.75</v>
      </c>
      <c r="N1202" s="116">
        <v>390</v>
      </c>
      <c r="O1202" s="116">
        <v>374</v>
      </c>
      <c r="P1202" s="116">
        <v>378</v>
      </c>
      <c r="Q1202" s="116">
        <v>379.75</v>
      </c>
      <c r="R1202">
        <v>68531</v>
      </c>
    </row>
    <row r="1203" spans="1:18" x14ac:dyDescent="0.25">
      <c r="A1203" s="169">
        <v>43780</v>
      </c>
      <c r="B1203" s="116">
        <v>400</v>
      </c>
      <c r="C1203" s="116">
        <v>372.9</v>
      </c>
      <c r="D1203" s="116">
        <v>354.95</v>
      </c>
      <c r="E1203" s="116">
        <v>400</v>
      </c>
      <c r="F1203" s="116">
        <v>372.9</v>
      </c>
      <c r="G1203">
        <v>2967</v>
      </c>
      <c r="H1203" s="116"/>
      <c r="I1203" s="116"/>
      <c r="L1203" s="169">
        <v>43780</v>
      </c>
      <c r="M1203" s="116">
        <v>373.8</v>
      </c>
      <c r="N1203" s="116">
        <v>384</v>
      </c>
      <c r="O1203" s="116">
        <v>355.4</v>
      </c>
      <c r="P1203" s="116">
        <v>379.8</v>
      </c>
      <c r="Q1203" s="116">
        <v>373.8</v>
      </c>
      <c r="R1203">
        <v>44786</v>
      </c>
    </row>
    <row r="1204" spans="1:18" x14ac:dyDescent="0.25">
      <c r="A1204" s="169">
        <v>43782</v>
      </c>
      <c r="B1204" s="116">
        <v>375</v>
      </c>
      <c r="C1204" s="116">
        <v>361.45</v>
      </c>
      <c r="D1204" s="116">
        <v>355</v>
      </c>
      <c r="E1204" s="116">
        <v>375</v>
      </c>
      <c r="F1204" s="116">
        <v>361.45</v>
      </c>
      <c r="G1204">
        <v>2982</v>
      </c>
      <c r="H1204" s="116"/>
      <c r="I1204" s="116"/>
      <c r="L1204" s="169">
        <v>43782</v>
      </c>
      <c r="M1204" s="116">
        <v>359.9</v>
      </c>
      <c r="N1204" s="116">
        <v>375</v>
      </c>
      <c r="O1204" s="116">
        <v>355.55</v>
      </c>
      <c r="P1204" s="116">
        <v>367</v>
      </c>
      <c r="Q1204" s="116">
        <v>359.9</v>
      </c>
      <c r="R1204">
        <v>24050</v>
      </c>
    </row>
    <row r="1205" spans="1:18" x14ac:dyDescent="0.25">
      <c r="A1205" s="169">
        <v>43783</v>
      </c>
      <c r="B1205" s="116">
        <v>365.9</v>
      </c>
      <c r="C1205" s="116">
        <v>356.8</v>
      </c>
      <c r="D1205" s="116">
        <v>355.5</v>
      </c>
      <c r="E1205" s="116">
        <v>357.7</v>
      </c>
      <c r="F1205" s="116">
        <v>356.8</v>
      </c>
      <c r="G1205">
        <v>2234</v>
      </c>
      <c r="H1205" s="116"/>
      <c r="I1205" s="116"/>
      <c r="L1205" s="169">
        <v>43783</v>
      </c>
      <c r="M1205" s="116">
        <v>357.75</v>
      </c>
      <c r="N1205" s="116">
        <v>365</v>
      </c>
      <c r="O1205" s="116">
        <v>354.15</v>
      </c>
      <c r="P1205" s="116">
        <v>360.9</v>
      </c>
      <c r="Q1205" s="116">
        <v>357.75</v>
      </c>
      <c r="R1205">
        <v>16478</v>
      </c>
    </row>
    <row r="1206" spans="1:18" x14ac:dyDescent="0.25">
      <c r="A1206" s="169">
        <v>43784</v>
      </c>
      <c r="B1206" s="116">
        <v>362</v>
      </c>
      <c r="C1206" s="116">
        <v>346.65</v>
      </c>
      <c r="D1206" s="116">
        <v>343.4</v>
      </c>
      <c r="E1206" s="116">
        <v>361</v>
      </c>
      <c r="F1206" s="116">
        <v>346.65</v>
      </c>
      <c r="G1206">
        <v>2375</v>
      </c>
      <c r="H1206" s="116"/>
      <c r="I1206" s="116"/>
      <c r="L1206" s="169">
        <v>43784</v>
      </c>
      <c r="M1206" s="116">
        <v>345.9</v>
      </c>
      <c r="N1206" s="116">
        <v>363.85</v>
      </c>
      <c r="O1206" s="116">
        <v>344</v>
      </c>
      <c r="P1206" s="116">
        <v>358.85</v>
      </c>
      <c r="Q1206" s="116">
        <v>345.9</v>
      </c>
      <c r="R1206">
        <v>20256</v>
      </c>
    </row>
    <row r="1207" spans="1:18" x14ac:dyDescent="0.25">
      <c r="A1207" s="169">
        <v>43787</v>
      </c>
      <c r="B1207" s="116">
        <v>352.75</v>
      </c>
      <c r="C1207" s="116">
        <v>342.45</v>
      </c>
      <c r="D1207" s="116">
        <v>340</v>
      </c>
      <c r="E1207" s="116">
        <v>347.35</v>
      </c>
      <c r="F1207" s="116">
        <v>342.45</v>
      </c>
      <c r="G1207">
        <v>828</v>
      </c>
      <c r="H1207" s="116"/>
      <c r="I1207" s="116"/>
      <c r="L1207" s="169">
        <v>43787</v>
      </c>
      <c r="M1207" s="116">
        <v>341.8</v>
      </c>
      <c r="N1207" s="116">
        <v>353.65</v>
      </c>
      <c r="O1207" s="116">
        <v>338</v>
      </c>
      <c r="P1207" s="116">
        <v>345.9</v>
      </c>
      <c r="Q1207" s="116">
        <v>341.8</v>
      </c>
      <c r="R1207">
        <v>13010</v>
      </c>
    </row>
    <row r="1208" spans="1:18" x14ac:dyDescent="0.25">
      <c r="A1208" s="169">
        <v>43788</v>
      </c>
      <c r="B1208" s="116">
        <v>342.5</v>
      </c>
      <c r="C1208" s="116">
        <v>337.2</v>
      </c>
      <c r="D1208" s="116">
        <v>335.35</v>
      </c>
      <c r="E1208" s="116">
        <v>341.95</v>
      </c>
      <c r="F1208" s="116">
        <v>337.2</v>
      </c>
      <c r="G1208">
        <v>871</v>
      </c>
      <c r="H1208" s="116"/>
      <c r="I1208" s="116"/>
      <c r="L1208" s="169">
        <v>43788</v>
      </c>
      <c r="M1208" s="116">
        <v>336.7</v>
      </c>
      <c r="N1208" s="116">
        <v>347.2</v>
      </c>
      <c r="O1208" s="116">
        <v>335</v>
      </c>
      <c r="P1208" s="116">
        <v>341.8</v>
      </c>
      <c r="Q1208" s="116">
        <v>336.7</v>
      </c>
      <c r="R1208">
        <v>14193</v>
      </c>
    </row>
    <row r="1209" spans="1:18" x14ac:dyDescent="0.25">
      <c r="A1209" s="169">
        <v>43789</v>
      </c>
      <c r="B1209" s="116">
        <v>335.95</v>
      </c>
      <c r="C1209" s="116">
        <v>326.05</v>
      </c>
      <c r="D1209" s="116">
        <v>323.8</v>
      </c>
      <c r="E1209" s="116">
        <v>335.9</v>
      </c>
      <c r="F1209" s="116">
        <v>326.05</v>
      </c>
      <c r="G1209">
        <v>2394</v>
      </c>
      <c r="H1209" s="116"/>
      <c r="I1209" s="116"/>
      <c r="L1209" s="169">
        <v>43789</v>
      </c>
      <c r="M1209" s="116">
        <v>324.60000000000002</v>
      </c>
      <c r="N1209" s="116">
        <v>336.9</v>
      </c>
      <c r="O1209" s="116">
        <v>323.95</v>
      </c>
      <c r="P1209" s="116">
        <v>336.9</v>
      </c>
      <c r="Q1209" s="116">
        <v>324.60000000000002</v>
      </c>
      <c r="R1209">
        <v>26305</v>
      </c>
    </row>
    <row r="1210" spans="1:18" x14ac:dyDescent="0.25">
      <c r="A1210" s="169">
        <v>43790</v>
      </c>
      <c r="B1210" s="116">
        <v>362</v>
      </c>
      <c r="C1210" s="116">
        <v>339.85</v>
      </c>
      <c r="D1210" s="116">
        <v>328.5</v>
      </c>
      <c r="E1210" s="116">
        <v>328.6</v>
      </c>
      <c r="F1210" s="116">
        <v>339.85</v>
      </c>
      <c r="G1210">
        <v>14402</v>
      </c>
      <c r="H1210" s="116"/>
      <c r="I1210" s="116"/>
      <c r="L1210" s="169">
        <v>43790</v>
      </c>
      <c r="M1210" s="116">
        <v>340.75</v>
      </c>
      <c r="N1210" s="116">
        <v>373.3</v>
      </c>
      <c r="O1210" s="116">
        <v>324</v>
      </c>
      <c r="P1210" s="116">
        <v>324</v>
      </c>
      <c r="Q1210" s="116">
        <v>340.75</v>
      </c>
      <c r="R1210">
        <v>80299</v>
      </c>
    </row>
    <row r="1211" spans="1:18" x14ac:dyDescent="0.25">
      <c r="A1211" s="169">
        <v>43791</v>
      </c>
      <c r="B1211" s="116">
        <v>353.95</v>
      </c>
      <c r="C1211" s="116">
        <v>339.85</v>
      </c>
      <c r="D1211" s="116">
        <v>338</v>
      </c>
      <c r="E1211" s="116">
        <v>341.9</v>
      </c>
      <c r="F1211" s="116">
        <v>339.85</v>
      </c>
      <c r="G1211">
        <v>7424</v>
      </c>
      <c r="H1211" s="116"/>
      <c r="I1211" s="116"/>
      <c r="L1211" s="169">
        <v>43791</v>
      </c>
      <c r="M1211" s="116">
        <v>339.15</v>
      </c>
      <c r="N1211" s="116">
        <v>354.6</v>
      </c>
      <c r="O1211" s="116">
        <v>336.1</v>
      </c>
      <c r="P1211" s="116">
        <v>343.7</v>
      </c>
      <c r="Q1211" s="116">
        <v>339.15</v>
      </c>
      <c r="R1211">
        <v>31803</v>
      </c>
    </row>
    <row r="1212" spans="1:18" x14ac:dyDescent="0.25">
      <c r="A1212" s="169">
        <v>43794</v>
      </c>
      <c r="B1212" s="116">
        <v>345</v>
      </c>
      <c r="C1212" s="116">
        <v>339.35</v>
      </c>
      <c r="D1212" s="116">
        <v>336.7</v>
      </c>
      <c r="E1212" s="116">
        <v>342.8</v>
      </c>
      <c r="F1212" s="116">
        <v>339.35</v>
      </c>
      <c r="G1212">
        <v>1127</v>
      </c>
      <c r="H1212" s="116"/>
      <c r="I1212" s="116"/>
      <c r="L1212" s="169">
        <v>43794</v>
      </c>
      <c r="M1212" s="116">
        <v>339.4</v>
      </c>
      <c r="N1212" s="116">
        <v>347.55</v>
      </c>
      <c r="O1212" s="116">
        <v>337</v>
      </c>
      <c r="P1212" s="116">
        <v>341</v>
      </c>
      <c r="Q1212" s="116">
        <v>339.4</v>
      </c>
      <c r="R1212">
        <v>9251</v>
      </c>
    </row>
    <row r="1213" spans="1:18" x14ac:dyDescent="0.25">
      <c r="A1213" s="169">
        <v>43795</v>
      </c>
      <c r="B1213" s="116">
        <v>347.7</v>
      </c>
      <c r="C1213" s="116">
        <v>343.7</v>
      </c>
      <c r="D1213" s="116">
        <v>342.1</v>
      </c>
      <c r="E1213" s="116">
        <v>343</v>
      </c>
      <c r="F1213" s="116">
        <v>343.7</v>
      </c>
      <c r="G1213">
        <v>2755</v>
      </c>
      <c r="H1213" s="116"/>
      <c r="I1213" s="116"/>
      <c r="L1213" s="169">
        <v>43795</v>
      </c>
      <c r="M1213" s="116">
        <v>343.65</v>
      </c>
      <c r="N1213" s="116">
        <v>348.2</v>
      </c>
      <c r="O1213" s="116">
        <v>334.65</v>
      </c>
      <c r="P1213" s="116">
        <v>341</v>
      </c>
      <c r="Q1213" s="116">
        <v>343.65</v>
      </c>
      <c r="R1213">
        <v>12162</v>
      </c>
    </row>
    <row r="1214" spans="1:18" x14ac:dyDescent="0.25">
      <c r="A1214" s="169">
        <v>43796</v>
      </c>
      <c r="B1214" s="116">
        <v>358.1</v>
      </c>
      <c r="C1214" s="116">
        <v>350</v>
      </c>
      <c r="D1214" s="116">
        <v>345.25</v>
      </c>
      <c r="E1214" s="116">
        <v>345.25</v>
      </c>
      <c r="F1214" s="116">
        <v>350</v>
      </c>
      <c r="G1214">
        <v>2560</v>
      </c>
      <c r="H1214" s="116"/>
      <c r="I1214" s="116"/>
      <c r="L1214" s="169">
        <v>43796</v>
      </c>
      <c r="M1214" s="116">
        <v>352.05</v>
      </c>
      <c r="N1214" s="116">
        <v>358</v>
      </c>
      <c r="O1214" s="116">
        <v>342.9</v>
      </c>
      <c r="P1214" s="116">
        <v>346</v>
      </c>
      <c r="Q1214" s="116">
        <v>352.05</v>
      </c>
      <c r="R1214">
        <v>25809</v>
      </c>
    </row>
    <row r="1215" spans="1:18" x14ac:dyDescent="0.25">
      <c r="A1215" s="169">
        <v>43797</v>
      </c>
      <c r="B1215" s="116">
        <v>379</v>
      </c>
      <c r="C1215" s="116">
        <v>367.1</v>
      </c>
      <c r="D1215" s="116">
        <v>361</v>
      </c>
      <c r="E1215" s="116">
        <v>365.5</v>
      </c>
      <c r="F1215" s="116">
        <v>367.1</v>
      </c>
      <c r="G1215">
        <v>38284</v>
      </c>
      <c r="H1215" s="116"/>
      <c r="I1215" s="116"/>
      <c r="L1215" s="169">
        <v>43797</v>
      </c>
      <c r="M1215" s="116">
        <v>366.8</v>
      </c>
      <c r="N1215" s="116">
        <v>379</v>
      </c>
      <c r="O1215" s="116">
        <v>360.05</v>
      </c>
      <c r="P1215" s="116">
        <v>367.7</v>
      </c>
      <c r="Q1215" s="116">
        <v>366.8</v>
      </c>
      <c r="R1215">
        <v>251371</v>
      </c>
    </row>
    <row r="1216" spans="1:18" x14ac:dyDescent="0.25">
      <c r="A1216" s="169">
        <v>43798</v>
      </c>
      <c r="B1216" s="116">
        <v>370</v>
      </c>
      <c r="C1216" s="116">
        <v>365.1</v>
      </c>
      <c r="D1216" s="116">
        <v>363.15</v>
      </c>
      <c r="E1216" s="116">
        <v>370</v>
      </c>
      <c r="F1216" s="116">
        <v>365.1</v>
      </c>
      <c r="G1216">
        <v>4884</v>
      </c>
      <c r="H1216" s="116"/>
      <c r="I1216" s="116"/>
      <c r="L1216" s="169">
        <v>43798</v>
      </c>
      <c r="M1216" s="116">
        <v>364.65</v>
      </c>
      <c r="N1216" s="116">
        <v>373.9</v>
      </c>
      <c r="O1216" s="116">
        <v>362</v>
      </c>
      <c r="P1216" s="116">
        <v>373.9</v>
      </c>
      <c r="Q1216" s="116">
        <v>364.65</v>
      </c>
      <c r="R1216">
        <v>34348</v>
      </c>
    </row>
    <row r="1217" spans="1:18" x14ac:dyDescent="0.25">
      <c r="A1217" s="169">
        <v>43801</v>
      </c>
      <c r="B1217" s="116">
        <v>360</v>
      </c>
      <c r="C1217" s="116">
        <v>350.4</v>
      </c>
      <c r="D1217" s="116">
        <v>350</v>
      </c>
      <c r="E1217" s="116">
        <v>360</v>
      </c>
      <c r="F1217" s="116">
        <v>350.4</v>
      </c>
      <c r="G1217">
        <v>1216</v>
      </c>
      <c r="H1217" s="116"/>
      <c r="I1217" s="116"/>
      <c r="L1217" s="169">
        <v>43801</v>
      </c>
      <c r="M1217" s="116">
        <v>350</v>
      </c>
      <c r="N1217" s="116">
        <v>367.65</v>
      </c>
      <c r="O1217" s="116">
        <v>348.5</v>
      </c>
      <c r="P1217" s="116">
        <v>367.65</v>
      </c>
      <c r="Q1217" s="116">
        <v>350</v>
      </c>
      <c r="R1217">
        <v>29160</v>
      </c>
    </row>
    <row r="1218" spans="1:18" x14ac:dyDescent="0.25">
      <c r="A1218" s="169">
        <v>43802</v>
      </c>
      <c r="B1218" s="116">
        <v>355.8</v>
      </c>
      <c r="C1218" s="116">
        <v>350.2</v>
      </c>
      <c r="D1218" s="116">
        <v>348.6</v>
      </c>
      <c r="E1218" s="116">
        <v>353.05</v>
      </c>
      <c r="F1218" s="116">
        <v>350.2</v>
      </c>
      <c r="G1218">
        <v>1892</v>
      </c>
      <c r="H1218" s="116"/>
      <c r="I1218" s="116"/>
      <c r="L1218" s="169">
        <v>43802</v>
      </c>
      <c r="M1218" s="116">
        <v>350</v>
      </c>
      <c r="N1218" s="116">
        <v>356.75</v>
      </c>
      <c r="O1218" s="116">
        <v>348.8</v>
      </c>
      <c r="P1218" s="116">
        <v>350.15</v>
      </c>
      <c r="Q1218" s="116">
        <v>350</v>
      </c>
      <c r="R1218">
        <v>13927</v>
      </c>
    </row>
    <row r="1219" spans="1:18" x14ac:dyDescent="0.25">
      <c r="A1219" s="169">
        <v>43803</v>
      </c>
      <c r="B1219" s="116">
        <v>349.1</v>
      </c>
      <c r="C1219" s="116">
        <v>336.9</v>
      </c>
      <c r="D1219" s="116">
        <v>333.5</v>
      </c>
      <c r="E1219" s="116">
        <v>349.1</v>
      </c>
      <c r="F1219" s="116">
        <v>336.9</v>
      </c>
      <c r="G1219">
        <v>1802</v>
      </c>
      <c r="H1219" s="116"/>
      <c r="I1219" s="116"/>
      <c r="L1219" s="169">
        <v>43803</v>
      </c>
      <c r="M1219" s="116">
        <v>335.9</v>
      </c>
      <c r="N1219" s="116">
        <v>351.15</v>
      </c>
      <c r="O1219" s="116">
        <v>333.1</v>
      </c>
      <c r="P1219" s="116">
        <v>351.15</v>
      </c>
      <c r="Q1219" s="116">
        <v>335.9</v>
      </c>
      <c r="R1219">
        <v>26801</v>
      </c>
    </row>
    <row r="1220" spans="1:18" x14ac:dyDescent="0.25">
      <c r="A1220" s="169">
        <v>43804</v>
      </c>
      <c r="B1220" s="116">
        <v>343.8</v>
      </c>
      <c r="C1220" s="116">
        <v>334.35</v>
      </c>
      <c r="D1220" s="116">
        <v>333</v>
      </c>
      <c r="E1220" s="116">
        <v>342</v>
      </c>
      <c r="F1220" s="116">
        <v>334.35</v>
      </c>
      <c r="G1220">
        <v>11955</v>
      </c>
      <c r="H1220" s="116"/>
      <c r="I1220" s="116"/>
      <c r="L1220" s="169">
        <v>43804</v>
      </c>
      <c r="M1220" s="116">
        <v>334.9</v>
      </c>
      <c r="N1220" s="116">
        <v>343.75</v>
      </c>
      <c r="O1220" s="116">
        <v>332.6</v>
      </c>
      <c r="P1220" s="116">
        <v>334.3</v>
      </c>
      <c r="Q1220" s="116">
        <v>334.9</v>
      </c>
      <c r="R1220">
        <v>16188</v>
      </c>
    </row>
    <row r="1221" spans="1:18" x14ac:dyDescent="0.25">
      <c r="A1221" s="169">
        <v>43805</v>
      </c>
      <c r="B1221" s="116">
        <v>339.75</v>
      </c>
      <c r="C1221" s="116">
        <v>329.55</v>
      </c>
      <c r="D1221" s="116">
        <v>328.4</v>
      </c>
      <c r="E1221" s="116">
        <v>337.1</v>
      </c>
      <c r="F1221" s="116">
        <v>329.55</v>
      </c>
      <c r="G1221">
        <v>2088</v>
      </c>
      <c r="H1221" s="116"/>
      <c r="I1221" s="116"/>
      <c r="L1221" s="169">
        <v>43805</v>
      </c>
      <c r="M1221" s="116">
        <v>329.05</v>
      </c>
      <c r="N1221" s="116">
        <v>341.05</v>
      </c>
      <c r="O1221" s="116">
        <v>327.5</v>
      </c>
      <c r="P1221" s="116">
        <v>338</v>
      </c>
      <c r="Q1221" s="116">
        <v>329.05</v>
      </c>
      <c r="R1221">
        <v>18614</v>
      </c>
    </row>
    <row r="1222" spans="1:18" x14ac:dyDescent="0.25">
      <c r="A1222" s="169">
        <v>43808</v>
      </c>
      <c r="B1222" s="116">
        <v>336.45</v>
      </c>
      <c r="C1222" s="116">
        <v>330.35</v>
      </c>
      <c r="D1222" s="116">
        <v>325</v>
      </c>
      <c r="E1222" s="116">
        <v>331.65</v>
      </c>
      <c r="F1222" s="116">
        <v>330.35</v>
      </c>
      <c r="G1222">
        <v>750</v>
      </c>
      <c r="H1222" s="116"/>
      <c r="I1222" s="116"/>
      <c r="L1222" s="169">
        <v>43808</v>
      </c>
      <c r="M1222" s="116">
        <v>330.3</v>
      </c>
      <c r="N1222" s="116">
        <v>337.8</v>
      </c>
      <c r="O1222" s="116">
        <v>325.39999999999998</v>
      </c>
      <c r="P1222" s="116">
        <v>329.55</v>
      </c>
      <c r="Q1222" s="116">
        <v>330.3</v>
      </c>
      <c r="R1222">
        <v>17826</v>
      </c>
    </row>
    <row r="1223" spans="1:18" x14ac:dyDescent="0.25">
      <c r="A1223" s="169">
        <v>43809</v>
      </c>
      <c r="B1223" s="116">
        <v>331.5</v>
      </c>
      <c r="C1223" s="116">
        <v>327.3</v>
      </c>
      <c r="D1223" s="116">
        <v>326.14999999999998</v>
      </c>
      <c r="E1223" s="116">
        <v>331.5</v>
      </c>
      <c r="F1223" s="116">
        <v>327.3</v>
      </c>
      <c r="G1223">
        <v>964</v>
      </c>
      <c r="H1223" s="116"/>
      <c r="I1223" s="116"/>
      <c r="L1223" s="169">
        <v>43809</v>
      </c>
      <c r="M1223" s="116">
        <v>326.14999999999998</v>
      </c>
      <c r="N1223" s="116">
        <v>331.25</v>
      </c>
      <c r="O1223" s="116">
        <v>325.45</v>
      </c>
      <c r="P1223" s="116">
        <v>328.05</v>
      </c>
      <c r="Q1223" s="116">
        <v>326.14999999999998</v>
      </c>
      <c r="R1223">
        <v>9160</v>
      </c>
    </row>
    <row r="1224" spans="1:18" x14ac:dyDescent="0.25">
      <c r="A1224" s="169">
        <v>43810</v>
      </c>
      <c r="B1224" s="116">
        <v>328.5</v>
      </c>
      <c r="C1224" s="116">
        <v>323.5</v>
      </c>
      <c r="D1224" s="116">
        <v>320.8</v>
      </c>
      <c r="E1224" s="116">
        <v>325</v>
      </c>
      <c r="F1224" s="116">
        <v>323.5</v>
      </c>
      <c r="G1224">
        <v>849</v>
      </c>
      <c r="H1224" s="116"/>
      <c r="I1224" s="116"/>
      <c r="L1224" s="169">
        <v>43810</v>
      </c>
      <c r="M1224" s="116">
        <v>327.25</v>
      </c>
      <c r="N1224" s="116">
        <v>330</v>
      </c>
      <c r="O1224" s="116">
        <v>321.3</v>
      </c>
      <c r="P1224" s="116">
        <v>321.5</v>
      </c>
      <c r="Q1224" s="116">
        <v>327.25</v>
      </c>
      <c r="R1224">
        <v>10309</v>
      </c>
    </row>
    <row r="1225" spans="1:18" x14ac:dyDescent="0.25">
      <c r="A1225" s="169">
        <v>43811</v>
      </c>
      <c r="B1225" s="116">
        <v>334.55</v>
      </c>
      <c r="C1225" s="116">
        <v>331.75</v>
      </c>
      <c r="D1225" s="116">
        <v>323.5</v>
      </c>
      <c r="E1225" s="116">
        <v>323.5</v>
      </c>
      <c r="F1225" s="116">
        <v>331.75</v>
      </c>
      <c r="G1225">
        <v>656</v>
      </c>
      <c r="H1225" s="116"/>
      <c r="I1225" s="116"/>
      <c r="L1225" s="169">
        <v>43811</v>
      </c>
      <c r="M1225" s="116">
        <v>330.05</v>
      </c>
      <c r="N1225" s="116">
        <v>334.8</v>
      </c>
      <c r="O1225" s="116">
        <v>321</v>
      </c>
      <c r="P1225" s="116">
        <v>324.3</v>
      </c>
      <c r="Q1225" s="116">
        <v>330.05</v>
      </c>
      <c r="R1225">
        <v>14192</v>
      </c>
    </row>
    <row r="1226" spans="1:18" x14ac:dyDescent="0.25">
      <c r="A1226" s="169">
        <v>43812</v>
      </c>
      <c r="B1226" s="116">
        <v>342.3</v>
      </c>
      <c r="C1226" s="116">
        <v>338.2</v>
      </c>
      <c r="D1226" s="116">
        <v>334.1</v>
      </c>
      <c r="E1226" s="116">
        <v>337.85</v>
      </c>
      <c r="F1226" s="116">
        <v>338.2</v>
      </c>
      <c r="G1226">
        <v>1186</v>
      </c>
      <c r="H1226" s="116"/>
      <c r="I1226" s="116"/>
      <c r="L1226" s="169">
        <v>43812</v>
      </c>
      <c r="M1226" s="116">
        <v>338.7</v>
      </c>
      <c r="N1226" s="116">
        <v>342</v>
      </c>
      <c r="O1226" s="116">
        <v>330.8</v>
      </c>
      <c r="P1226" s="116">
        <v>332.25</v>
      </c>
      <c r="Q1226" s="116">
        <v>338.7</v>
      </c>
      <c r="R1226">
        <v>11566</v>
      </c>
    </row>
    <row r="1227" spans="1:18" x14ac:dyDescent="0.25">
      <c r="A1227" s="169">
        <v>43815</v>
      </c>
      <c r="B1227" s="116">
        <v>348.3</v>
      </c>
      <c r="C1227" s="116">
        <v>344.5</v>
      </c>
      <c r="D1227" s="116">
        <v>339.55</v>
      </c>
      <c r="E1227" s="116">
        <v>341.05</v>
      </c>
      <c r="F1227" s="116">
        <v>344.5</v>
      </c>
      <c r="G1227">
        <v>740</v>
      </c>
      <c r="H1227" s="116"/>
      <c r="I1227" s="116"/>
      <c r="L1227" s="169">
        <v>43815</v>
      </c>
      <c r="M1227" s="116">
        <v>342.35</v>
      </c>
      <c r="N1227" s="116">
        <v>347.9</v>
      </c>
      <c r="O1227" s="116">
        <v>336.2</v>
      </c>
      <c r="P1227" s="116">
        <v>342</v>
      </c>
      <c r="Q1227" s="116">
        <v>342.35</v>
      </c>
      <c r="R1227">
        <v>15550</v>
      </c>
    </row>
    <row r="1228" spans="1:18" x14ac:dyDescent="0.25">
      <c r="A1228" s="169">
        <v>43816</v>
      </c>
      <c r="B1228" s="116">
        <v>358.1</v>
      </c>
      <c r="C1228" s="116">
        <v>355</v>
      </c>
      <c r="D1228" s="116">
        <v>344</v>
      </c>
      <c r="E1228" s="116">
        <v>347</v>
      </c>
      <c r="F1228" s="116">
        <v>355</v>
      </c>
      <c r="G1228">
        <v>3435</v>
      </c>
      <c r="H1228" s="116"/>
      <c r="I1228" s="116"/>
      <c r="L1228" s="169">
        <v>43816</v>
      </c>
      <c r="M1228" s="116">
        <v>355.2</v>
      </c>
      <c r="N1228" s="116">
        <v>359.7</v>
      </c>
      <c r="O1228" s="116">
        <v>343.05</v>
      </c>
      <c r="P1228" s="116">
        <v>345</v>
      </c>
      <c r="Q1228" s="116">
        <v>355.2</v>
      </c>
      <c r="R1228">
        <v>23149</v>
      </c>
    </row>
    <row r="1229" spans="1:18" x14ac:dyDescent="0.25">
      <c r="A1229" s="169">
        <v>43817</v>
      </c>
      <c r="B1229" s="116">
        <v>360</v>
      </c>
      <c r="C1229" s="116">
        <v>353.1</v>
      </c>
      <c r="D1229" s="116">
        <v>351.9</v>
      </c>
      <c r="E1229" s="116">
        <v>360</v>
      </c>
      <c r="F1229" s="116">
        <v>353.1</v>
      </c>
      <c r="G1229">
        <v>1866</v>
      </c>
      <c r="H1229" s="116"/>
      <c r="I1229" s="116"/>
      <c r="L1229" s="169">
        <v>43817</v>
      </c>
      <c r="M1229" s="116">
        <v>353.2</v>
      </c>
      <c r="N1229" s="116">
        <v>362</v>
      </c>
      <c r="O1229" s="116">
        <v>350</v>
      </c>
      <c r="P1229" s="116">
        <v>362</v>
      </c>
      <c r="Q1229" s="116">
        <v>353.2</v>
      </c>
      <c r="R1229">
        <v>10383</v>
      </c>
    </row>
    <row r="1230" spans="1:18" x14ac:dyDescent="0.25">
      <c r="A1230" s="169">
        <v>43818</v>
      </c>
      <c r="B1230" s="116">
        <v>352.3</v>
      </c>
      <c r="C1230" s="116">
        <v>346.95</v>
      </c>
      <c r="D1230" s="116">
        <v>343.55</v>
      </c>
      <c r="E1230" s="116">
        <v>352.25</v>
      </c>
      <c r="F1230" s="116">
        <v>346.95</v>
      </c>
      <c r="G1230">
        <v>1197</v>
      </c>
      <c r="H1230" s="116"/>
      <c r="I1230" s="116"/>
      <c r="L1230" s="169">
        <v>43818</v>
      </c>
      <c r="M1230" s="116">
        <v>348.5</v>
      </c>
      <c r="N1230" s="116">
        <v>354.9</v>
      </c>
      <c r="O1230" s="116">
        <v>342.15</v>
      </c>
      <c r="P1230" s="116">
        <v>354.9</v>
      </c>
      <c r="Q1230" s="116">
        <v>348.5</v>
      </c>
      <c r="R1230">
        <v>7309</v>
      </c>
    </row>
    <row r="1231" spans="1:18" x14ac:dyDescent="0.25">
      <c r="A1231" s="169">
        <v>43819</v>
      </c>
      <c r="B1231" s="116">
        <v>348</v>
      </c>
      <c r="C1231" s="116">
        <v>341.9</v>
      </c>
      <c r="D1231" s="116">
        <v>339.95</v>
      </c>
      <c r="E1231" s="116">
        <v>347.65</v>
      </c>
      <c r="F1231" s="116">
        <v>341.9</v>
      </c>
      <c r="G1231">
        <v>2524</v>
      </c>
      <c r="H1231" s="116"/>
      <c r="I1231" s="116"/>
      <c r="L1231" s="169">
        <v>43819</v>
      </c>
      <c r="M1231" s="116">
        <v>343.05</v>
      </c>
      <c r="N1231" s="116">
        <v>348.95</v>
      </c>
      <c r="O1231" s="116">
        <v>338.2</v>
      </c>
      <c r="P1231" s="116">
        <v>345.05</v>
      </c>
      <c r="Q1231" s="116">
        <v>343.05</v>
      </c>
      <c r="R1231">
        <v>10245</v>
      </c>
    </row>
    <row r="1232" spans="1:18" x14ac:dyDescent="0.25">
      <c r="A1232" s="169">
        <v>43822</v>
      </c>
      <c r="B1232" s="116">
        <v>357</v>
      </c>
      <c r="C1232" s="116">
        <v>350.9</v>
      </c>
      <c r="D1232" s="116">
        <v>343.35</v>
      </c>
      <c r="E1232" s="116">
        <v>345</v>
      </c>
      <c r="F1232" s="116">
        <v>350.9</v>
      </c>
      <c r="G1232">
        <v>1863</v>
      </c>
      <c r="H1232" s="116"/>
      <c r="I1232" s="116"/>
      <c r="L1232" s="169">
        <v>43822</v>
      </c>
      <c r="M1232" s="116">
        <v>351.45</v>
      </c>
      <c r="N1232" s="116">
        <v>358</v>
      </c>
      <c r="O1232" s="116">
        <v>338.15</v>
      </c>
      <c r="P1232" s="116">
        <v>339.3</v>
      </c>
      <c r="Q1232" s="116">
        <v>351.45</v>
      </c>
      <c r="R1232">
        <v>27301</v>
      </c>
    </row>
    <row r="1233" spans="1:18" x14ac:dyDescent="0.25">
      <c r="A1233" s="169">
        <v>43823</v>
      </c>
      <c r="B1233" s="116">
        <v>357</v>
      </c>
      <c r="C1233" s="116">
        <v>345.55</v>
      </c>
      <c r="D1233" s="116">
        <v>344.8</v>
      </c>
      <c r="E1233" s="116">
        <v>357</v>
      </c>
      <c r="F1233" s="116">
        <v>345.55</v>
      </c>
      <c r="G1233">
        <v>587</v>
      </c>
      <c r="H1233" s="116"/>
      <c r="I1233" s="116"/>
      <c r="L1233" s="169">
        <v>43823</v>
      </c>
      <c r="M1233" s="116">
        <v>346.1</v>
      </c>
      <c r="N1233" s="116">
        <v>359</v>
      </c>
      <c r="O1233" s="116">
        <v>344.05</v>
      </c>
      <c r="P1233" s="116">
        <v>359</v>
      </c>
      <c r="Q1233" s="116">
        <v>346.1</v>
      </c>
      <c r="R1233">
        <v>10068</v>
      </c>
    </row>
    <row r="1234" spans="1:18" x14ac:dyDescent="0.25">
      <c r="A1234" s="169">
        <v>43825</v>
      </c>
      <c r="B1234" s="116">
        <v>365.5</v>
      </c>
      <c r="C1234" s="116">
        <v>361.45</v>
      </c>
      <c r="D1234" s="116">
        <v>347</v>
      </c>
      <c r="E1234" s="116">
        <v>347</v>
      </c>
      <c r="F1234" s="116">
        <v>361.45</v>
      </c>
      <c r="G1234">
        <v>2842</v>
      </c>
      <c r="H1234" s="116"/>
      <c r="I1234" s="116"/>
      <c r="L1234" s="169">
        <v>43825</v>
      </c>
      <c r="M1234" s="116">
        <v>362.2</v>
      </c>
      <c r="N1234" s="116">
        <v>366.8</v>
      </c>
      <c r="O1234" s="116">
        <v>345.1</v>
      </c>
      <c r="P1234" s="116">
        <v>345.1</v>
      </c>
      <c r="Q1234" s="116">
        <v>362.2</v>
      </c>
      <c r="R1234">
        <v>36983</v>
      </c>
    </row>
    <row r="1235" spans="1:18" x14ac:dyDescent="0.25">
      <c r="A1235" s="169">
        <v>43826</v>
      </c>
      <c r="B1235" s="116">
        <v>364.3</v>
      </c>
      <c r="C1235" s="116">
        <v>360.2</v>
      </c>
      <c r="D1235" s="116">
        <v>356.05</v>
      </c>
      <c r="E1235" s="116">
        <v>363.4</v>
      </c>
      <c r="F1235" s="116">
        <v>360.2</v>
      </c>
      <c r="G1235">
        <v>1578</v>
      </c>
      <c r="H1235" s="116"/>
      <c r="I1235" s="116"/>
      <c r="L1235" s="169">
        <v>43826</v>
      </c>
      <c r="M1235" s="116">
        <v>362.1</v>
      </c>
      <c r="N1235" s="116">
        <v>366</v>
      </c>
      <c r="O1235" s="116">
        <v>351.25</v>
      </c>
      <c r="P1235" s="116">
        <v>362.2</v>
      </c>
      <c r="Q1235" s="116">
        <v>362.1</v>
      </c>
      <c r="R1235">
        <v>15615</v>
      </c>
    </row>
    <row r="1236" spans="1:18" x14ac:dyDescent="0.25">
      <c r="A1236" s="169">
        <v>43829</v>
      </c>
      <c r="B1236" s="116">
        <v>414.8</v>
      </c>
      <c r="C1236" s="116">
        <v>402.4</v>
      </c>
      <c r="D1236" s="116">
        <v>370</v>
      </c>
      <c r="E1236" s="116">
        <v>370</v>
      </c>
      <c r="F1236" s="116">
        <v>402.4</v>
      </c>
      <c r="G1236">
        <v>47907</v>
      </c>
      <c r="H1236" s="116"/>
      <c r="I1236" s="116"/>
      <c r="L1236" s="169">
        <v>43829</v>
      </c>
      <c r="M1236" s="116">
        <v>402.35</v>
      </c>
      <c r="N1236" s="116">
        <v>416.7</v>
      </c>
      <c r="O1236" s="116">
        <v>368.9</v>
      </c>
      <c r="P1236" s="116">
        <v>374.4</v>
      </c>
      <c r="Q1236" s="116">
        <v>402.35</v>
      </c>
      <c r="R1236">
        <v>541440</v>
      </c>
    </row>
    <row r="1237" spans="1:18" x14ac:dyDescent="0.25">
      <c r="A1237" s="169">
        <v>43830</v>
      </c>
      <c r="B1237" s="116">
        <v>407.95</v>
      </c>
      <c r="C1237" s="116">
        <v>398.2</v>
      </c>
      <c r="D1237" s="116">
        <v>395.1</v>
      </c>
      <c r="E1237" s="116">
        <v>402.85</v>
      </c>
      <c r="F1237" s="116">
        <v>398.2</v>
      </c>
      <c r="G1237">
        <v>13951</v>
      </c>
      <c r="H1237" s="116"/>
      <c r="I1237" s="116"/>
      <c r="L1237" s="169">
        <v>43830</v>
      </c>
      <c r="M1237" s="116">
        <v>399.3</v>
      </c>
      <c r="N1237" s="116">
        <v>408.8</v>
      </c>
      <c r="O1237" s="116">
        <v>395.1</v>
      </c>
      <c r="P1237" s="116">
        <v>403.95</v>
      </c>
      <c r="Q1237" s="116">
        <v>399.3</v>
      </c>
      <c r="R1237">
        <v>107843</v>
      </c>
    </row>
    <row r="1238" spans="1:18" x14ac:dyDescent="0.25">
      <c r="A1238" s="169">
        <v>43831</v>
      </c>
      <c r="B1238" s="116">
        <v>420.2</v>
      </c>
      <c r="C1238" s="116">
        <v>415.25</v>
      </c>
      <c r="D1238" s="116">
        <v>399.65</v>
      </c>
      <c r="E1238" s="116">
        <v>399.95</v>
      </c>
      <c r="F1238" s="116">
        <v>415.25</v>
      </c>
      <c r="G1238">
        <v>14479</v>
      </c>
      <c r="H1238" s="116"/>
      <c r="I1238" s="116"/>
      <c r="L1238" s="169">
        <v>43831</v>
      </c>
      <c r="M1238" s="116">
        <v>415.85</v>
      </c>
      <c r="N1238" s="116">
        <v>420</v>
      </c>
      <c r="O1238" s="116">
        <v>399</v>
      </c>
      <c r="P1238" s="116">
        <v>404.7</v>
      </c>
      <c r="Q1238" s="116">
        <v>415.85</v>
      </c>
      <c r="R1238">
        <v>124076</v>
      </c>
    </row>
    <row r="1239" spans="1:18" x14ac:dyDescent="0.25">
      <c r="A1239" s="169">
        <v>43832</v>
      </c>
      <c r="B1239" s="116">
        <v>430</v>
      </c>
      <c r="C1239" s="116">
        <v>411.65</v>
      </c>
      <c r="D1239" s="116">
        <v>410</v>
      </c>
      <c r="E1239" s="116">
        <v>415.25</v>
      </c>
      <c r="F1239" s="116">
        <v>411.65</v>
      </c>
      <c r="G1239">
        <v>5847</v>
      </c>
      <c r="H1239" s="116"/>
      <c r="I1239" s="116"/>
      <c r="L1239" s="169">
        <v>43832</v>
      </c>
      <c r="M1239" s="116">
        <v>412.15</v>
      </c>
      <c r="N1239" s="116">
        <v>423</v>
      </c>
      <c r="O1239" s="116">
        <v>408.5</v>
      </c>
      <c r="P1239" s="116">
        <v>415</v>
      </c>
      <c r="Q1239" s="116">
        <v>412.15</v>
      </c>
      <c r="R1239">
        <v>74358</v>
      </c>
    </row>
    <row r="1240" spans="1:18" x14ac:dyDescent="0.25">
      <c r="A1240" s="169">
        <v>43833</v>
      </c>
      <c r="B1240" s="116">
        <v>411</v>
      </c>
      <c r="C1240" s="116">
        <v>404.65</v>
      </c>
      <c r="D1240" s="116">
        <v>402</v>
      </c>
      <c r="E1240" s="116">
        <v>411</v>
      </c>
      <c r="F1240" s="116">
        <v>404.65</v>
      </c>
      <c r="G1240">
        <v>2485</v>
      </c>
      <c r="H1240" s="116"/>
      <c r="I1240" s="116"/>
      <c r="L1240" s="169">
        <v>43833</v>
      </c>
      <c r="M1240" s="116">
        <v>404.65</v>
      </c>
      <c r="N1240" s="116">
        <v>412.95</v>
      </c>
      <c r="O1240" s="116">
        <v>401.25</v>
      </c>
      <c r="P1240" s="116">
        <v>412</v>
      </c>
      <c r="Q1240" s="116">
        <v>404.65</v>
      </c>
      <c r="R1240">
        <v>27363</v>
      </c>
    </row>
    <row r="1241" spans="1:18" x14ac:dyDescent="0.25">
      <c r="A1241" s="169">
        <v>43836</v>
      </c>
      <c r="B1241" s="116">
        <v>400.95</v>
      </c>
      <c r="C1241" s="116">
        <v>384.75</v>
      </c>
      <c r="D1241" s="116">
        <v>377.35</v>
      </c>
      <c r="E1241" s="116">
        <v>400.95</v>
      </c>
      <c r="F1241" s="116">
        <v>384.75</v>
      </c>
      <c r="G1241">
        <v>4769</v>
      </c>
      <c r="H1241" s="116"/>
      <c r="I1241" s="116"/>
      <c r="L1241" s="169">
        <v>43836</v>
      </c>
      <c r="M1241" s="116">
        <v>388</v>
      </c>
      <c r="N1241" s="116">
        <v>399</v>
      </c>
      <c r="O1241" s="116">
        <v>387</v>
      </c>
      <c r="P1241" s="116">
        <v>392.65</v>
      </c>
      <c r="Q1241" s="116">
        <v>388</v>
      </c>
      <c r="R1241">
        <v>44974</v>
      </c>
    </row>
    <row r="1242" spans="1:18" x14ac:dyDescent="0.25">
      <c r="A1242" s="169">
        <v>43837</v>
      </c>
      <c r="B1242" s="116">
        <v>400.35</v>
      </c>
      <c r="C1242" s="116">
        <v>396.6</v>
      </c>
      <c r="D1242" s="116">
        <v>392</v>
      </c>
      <c r="E1242" s="116">
        <v>398.35</v>
      </c>
      <c r="F1242" s="116">
        <v>396.6</v>
      </c>
      <c r="G1242">
        <v>1811</v>
      </c>
      <c r="H1242" s="116"/>
      <c r="I1242" s="116"/>
      <c r="L1242" s="169">
        <v>43837</v>
      </c>
      <c r="M1242" s="116">
        <v>397.35</v>
      </c>
      <c r="N1242" s="116">
        <v>401</v>
      </c>
      <c r="O1242" s="116">
        <v>391.05</v>
      </c>
      <c r="P1242" s="116">
        <v>391.95</v>
      </c>
      <c r="Q1242" s="116">
        <v>397.35</v>
      </c>
      <c r="R1242">
        <v>25291</v>
      </c>
    </row>
    <row r="1243" spans="1:18" x14ac:dyDescent="0.25">
      <c r="A1243" s="169">
        <v>43838</v>
      </c>
      <c r="B1243" s="116">
        <v>399.9</v>
      </c>
      <c r="C1243" s="116">
        <v>395.45</v>
      </c>
      <c r="D1243" s="116">
        <v>388</v>
      </c>
      <c r="E1243" s="116">
        <v>389.9</v>
      </c>
      <c r="F1243" s="116">
        <v>395.45</v>
      </c>
      <c r="G1243">
        <v>2687</v>
      </c>
      <c r="H1243" s="116"/>
      <c r="I1243" s="116"/>
      <c r="L1243" s="169">
        <v>43838</v>
      </c>
      <c r="M1243" s="116">
        <v>396.2</v>
      </c>
      <c r="N1243" s="116">
        <v>400</v>
      </c>
      <c r="O1243" s="116">
        <v>387.95</v>
      </c>
      <c r="P1243" s="116">
        <v>388</v>
      </c>
      <c r="Q1243" s="116">
        <v>396.2</v>
      </c>
      <c r="R1243">
        <v>31115</v>
      </c>
    </row>
    <row r="1244" spans="1:18" x14ac:dyDescent="0.25">
      <c r="A1244" s="169">
        <v>43839</v>
      </c>
      <c r="B1244" s="116">
        <v>417.3</v>
      </c>
      <c r="C1244" s="116">
        <v>410.85</v>
      </c>
      <c r="D1244" s="116">
        <v>397.05</v>
      </c>
      <c r="E1244" s="116">
        <v>404</v>
      </c>
      <c r="F1244" s="116">
        <v>410.85</v>
      </c>
      <c r="G1244">
        <v>5247</v>
      </c>
      <c r="H1244" s="116"/>
      <c r="I1244" s="116"/>
      <c r="L1244" s="169">
        <v>43839</v>
      </c>
      <c r="M1244" s="116">
        <v>412.15</v>
      </c>
      <c r="N1244" s="116">
        <v>417</v>
      </c>
      <c r="O1244" s="116">
        <v>397</v>
      </c>
      <c r="P1244" s="116">
        <v>397</v>
      </c>
      <c r="Q1244" s="116">
        <v>412.15</v>
      </c>
      <c r="R1244">
        <v>73839</v>
      </c>
    </row>
    <row r="1245" spans="1:18" x14ac:dyDescent="0.25">
      <c r="A1245" s="169">
        <v>43840</v>
      </c>
      <c r="B1245" s="116">
        <v>424</v>
      </c>
      <c r="C1245" s="116">
        <v>411.65</v>
      </c>
      <c r="D1245" s="116">
        <v>410.45</v>
      </c>
      <c r="E1245" s="116">
        <v>416.75</v>
      </c>
      <c r="F1245" s="116">
        <v>411.65</v>
      </c>
      <c r="G1245">
        <v>2639</v>
      </c>
      <c r="H1245" s="116"/>
      <c r="I1245" s="116"/>
      <c r="L1245" s="169">
        <v>43840</v>
      </c>
      <c r="M1245" s="116">
        <v>412.65</v>
      </c>
      <c r="N1245" s="116">
        <v>424.95</v>
      </c>
      <c r="O1245" s="116">
        <v>411</v>
      </c>
      <c r="P1245" s="116">
        <v>415.9</v>
      </c>
      <c r="Q1245" s="116">
        <v>412.65</v>
      </c>
      <c r="R1245">
        <v>54903</v>
      </c>
    </row>
    <row r="1246" spans="1:18" x14ac:dyDescent="0.25">
      <c r="A1246" s="169">
        <v>43843</v>
      </c>
      <c r="B1246" s="116">
        <v>416.5</v>
      </c>
      <c r="C1246" s="116">
        <v>409.15</v>
      </c>
      <c r="D1246" s="116">
        <v>407.8</v>
      </c>
      <c r="E1246" s="116">
        <v>416.3</v>
      </c>
      <c r="F1246" s="116">
        <v>409.15</v>
      </c>
      <c r="G1246">
        <v>1429</v>
      </c>
      <c r="H1246" s="116"/>
      <c r="I1246" s="116"/>
      <c r="L1246" s="169">
        <v>43843</v>
      </c>
      <c r="M1246" s="116">
        <v>409.65</v>
      </c>
      <c r="N1246" s="116">
        <v>416</v>
      </c>
      <c r="O1246" s="116">
        <v>407.1</v>
      </c>
      <c r="P1246" s="116">
        <v>412.65</v>
      </c>
      <c r="Q1246" s="116">
        <v>409.65</v>
      </c>
      <c r="R1246">
        <v>21470</v>
      </c>
    </row>
    <row r="1247" spans="1:18" x14ac:dyDescent="0.25">
      <c r="A1247" s="169">
        <v>43844</v>
      </c>
      <c r="B1247" s="116">
        <v>440</v>
      </c>
      <c r="C1247" s="116">
        <v>432.7</v>
      </c>
      <c r="D1247" s="116">
        <v>407.8</v>
      </c>
      <c r="E1247" s="116">
        <v>418.05</v>
      </c>
      <c r="F1247" s="116">
        <v>432.7</v>
      </c>
      <c r="G1247">
        <v>13463</v>
      </c>
      <c r="H1247" s="116"/>
      <c r="I1247" s="116"/>
      <c r="L1247" s="169">
        <v>43844</v>
      </c>
      <c r="M1247" s="116">
        <v>430.55</v>
      </c>
      <c r="N1247" s="116">
        <v>436</v>
      </c>
      <c r="O1247" s="116">
        <v>407.25</v>
      </c>
      <c r="P1247" s="116">
        <v>410</v>
      </c>
      <c r="Q1247" s="116">
        <v>430.55</v>
      </c>
      <c r="R1247">
        <v>81112</v>
      </c>
    </row>
    <row r="1248" spans="1:18" x14ac:dyDescent="0.25">
      <c r="A1248" s="169">
        <v>43845</v>
      </c>
      <c r="B1248" s="116">
        <v>437</v>
      </c>
      <c r="C1248" s="116">
        <v>425.7</v>
      </c>
      <c r="D1248" s="116">
        <v>422.45</v>
      </c>
      <c r="E1248" s="116">
        <v>425.6</v>
      </c>
      <c r="F1248" s="116">
        <v>425.7</v>
      </c>
      <c r="G1248">
        <v>1334</v>
      </c>
      <c r="H1248" s="116"/>
      <c r="I1248" s="116"/>
      <c r="L1248" s="169">
        <v>43845</v>
      </c>
      <c r="M1248" s="116">
        <v>427.2</v>
      </c>
      <c r="N1248" s="116">
        <v>437.9</v>
      </c>
      <c r="O1248" s="116">
        <v>421.05</v>
      </c>
      <c r="P1248" s="116">
        <v>421.05</v>
      </c>
      <c r="Q1248" s="116">
        <v>427.2</v>
      </c>
      <c r="R1248">
        <v>38604</v>
      </c>
    </row>
    <row r="1249" spans="1:18" x14ac:dyDescent="0.25">
      <c r="A1249" s="169">
        <v>43846</v>
      </c>
      <c r="B1249" s="116">
        <v>458.35</v>
      </c>
      <c r="C1249" s="116">
        <v>450.75</v>
      </c>
      <c r="D1249" s="116">
        <v>425</v>
      </c>
      <c r="E1249" s="116">
        <v>436</v>
      </c>
      <c r="F1249" s="116">
        <v>450.75</v>
      </c>
      <c r="G1249">
        <v>10789</v>
      </c>
      <c r="H1249" s="116"/>
      <c r="I1249" s="116"/>
      <c r="L1249" s="169">
        <v>43846</v>
      </c>
      <c r="M1249" s="116">
        <v>452.35</v>
      </c>
      <c r="N1249" s="116">
        <v>458</v>
      </c>
      <c r="O1249" s="116">
        <v>428</v>
      </c>
      <c r="P1249" s="116">
        <v>431</v>
      </c>
      <c r="Q1249" s="116">
        <v>452.35</v>
      </c>
      <c r="R1249">
        <v>137536</v>
      </c>
    </row>
    <row r="1250" spans="1:18" x14ac:dyDescent="0.25">
      <c r="A1250" s="169">
        <v>43847</v>
      </c>
      <c r="B1250" s="116">
        <v>470</v>
      </c>
      <c r="C1250" s="116">
        <v>454.3</v>
      </c>
      <c r="D1250" s="116">
        <v>452.4</v>
      </c>
      <c r="E1250" s="116">
        <v>464.85</v>
      </c>
      <c r="F1250" s="116">
        <v>454.3</v>
      </c>
      <c r="G1250">
        <v>12376</v>
      </c>
      <c r="H1250" s="116"/>
      <c r="I1250" s="116"/>
      <c r="L1250" s="169">
        <v>43847</v>
      </c>
      <c r="M1250" s="116">
        <v>454.35</v>
      </c>
      <c r="N1250" s="116">
        <v>470</v>
      </c>
      <c r="O1250" s="116">
        <v>452</v>
      </c>
      <c r="P1250" s="116">
        <v>464.9</v>
      </c>
      <c r="Q1250" s="116">
        <v>454.35</v>
      </c>
      <c r="R1250">
        <v>108016</v>
      </c>
    </row>
    <row r="1251" spans="1:18" x14ac:dyDescent="0.25">
      <c r="A1251" s="169">
        <v>43850</v>
      </c>
      <c r="B1251" s="116">
        <v>457.95</v>
      </c>
      <c r="C1251" s="116">
        <v>442.55</v>
      </c>
      <c r="D1251" s="116">
        <v>439.65</v>
      </c>
      <c r="E1251" s="116">
        <v>456</v>
      </c>
      <c r="F1251" s="116">
        <v>442.55</v>
      </c>
      <c r="G1251">
        <v>2632</v>
      </c>
      <c r="H1251" s="116"/>
      <c r="I1251" s="116"/>
      <c r="L1251" s="169">
        <v>43850</v>
      </c>
      <c r="M1251" s="116">
        <v>443.4</v>
      </c>
      <c r="N1251" s="116">
        <v>458.9</v>
      </c>
      <c r="O1251" s="116">
        <v>438.55</v>
      </c>
      <c r="P1251" s="116">
        <v>457.85</v>
      </c>
      <c r="Q1251" s="116">
        <v>443.4</v>
      </c>
      <c r="R1251">
        <v>37744</v>
      </c>
    </row>
    <row r="1252" spans="1:18" x14ac:dyDescent="0.25">
      <c r="A1252" s="169">
        <v>43851</v>
      </c>
      <c r="B1252" s="116">
        <v>475.35</v>
      </c>
      <c r="C1252" s="116">
        <v>468.65</v>
      </c>
      <c r="D1252" s="116">
        <v>429.55</v>
      </c>
      <c r="E1252" s="116">
        <v>435</v>
      </c>
      <c r="F1252" s="116">
        <v>468.65</v>
      </c>
      <c r="G1252">
        <v>11377</v>
      </c>
      <c r="H1252" s="116"/>
      <c r="I1252" s="116"/>
      <c r="L1252" s="169">
        <v>43851</v>
      </c>
      <c r="M1252" s="116">
        <v>470.05</v>
      </c>
      <c r="N1252" s="116">
        <v>475.25</v>
      </c>
      <c r="O1252" s="116">
        <v>426.3</v>
      </c>
      <c r="P1252" s="116">
        <v>437.9</v>
      </c>
      <c r="Q1252" s="116">
        <v>470.05</v>
      </c>
      <c r="R1252">
        <v>96281</v>
      </c>
    </row>
    <row r="1253" spans="1:18" x14ac:dyDescent="0.25">
      <c r="A1253" s="169">
        <v>43852</v>
      </c>
      <c r="B1253" s="116">
        <v>486.6</v>
      </c>
      <c r="C1253" s="116">
        <v>459.55</v>
      </c>
      <c r="D1253" s="116">
        <v>455.65</v>
      </c>
      <c r="E1253" s="116">
        <v>480</v>
      </c>
      <c r="F1253" s="116">
        <v>459.55</v>
      </c>
      <c r="G1253">
        <v>12083</v>
      </c>
      <c r="H1253" s="116"/>
      <c r="I1253" s="116"/>
      <c r="L1253" s="169">
        <v>43852</v>
      </c>
      <c r="M1253" s="116">
        <v>459.3</v>
      </c>
      <c r="N1253" s="116">
        <v>489.2</v>
      </c>
      <c r="O1253" s="116">
        <v>455.1</v>
      </c>
      <c r="P1253" s="116">
        <v>475.95</v>
      </c>
      <c r="Q1253" s="116">
        <v>459.3</v>
      </c>
      <c r="R1253">
        <v>76882</v>
      </c>
    </row>
    <row r="1254" spans="1:18" x14ac:dyDescent="0.25">
      <c r="A1254" s="169">
        <v>43853</v>
      </c>
      <c r="B1254" s="116">
        <v>467</v>
      </c>
      <c r="C1254" s="116">
        <v>461.35</v>
      </c>
      <c r="D1254" s="116">
        <v>459</v>
      </c>
      <c r="E1254" s="116">
        <v>464</v>
      </c>
      <c r="F1254" s="116">
        <v>461.35</v>
      </c>
      <c r="G1254">
        <v>1583</v>
      </c>
      <c r="H1254" s="116"/>
      <c r="I1254" s="116"/>
      <c r="L1254" s="169">
        <v>43853</v>
      </c>
      <c r="M1254" s="116">
        <v>460.85</v>
      </c>
      <c r="N1254" s="116">
        <v>469.6</v>
      </c>
      <c r="O1254" s="116">
        <v>458.4</v>
      </c>
      <c r="P1254" s="116">
        <v>464</v>
      </c>
      <c r="Q1254" s="116">
        <v>460.85</v>
      </c>
      <c r="R1254">
        <v>36260</v>
      </c>
    </row>
    <row r="1255" spans="1:18" x14ac:dyDescent="0.25">
      <c r="A1255" s="169">
        <v>43854</v>
      </c>
      <c r="B1255" s="116">
        <v>473</v>
      </c>
      <c r="C1255" s="116">
        <v>463.8</v>
      </c>
      <c r="D1255" s="116">
        <v>462</v>
      </c>
      <c r="E1255" s="116">
        <v>464.75</v>
      </c>
      <c r="F1255" s="116">
        <v>463.8</v>
      </c>
      <c r="G1255">
        <v>2533</v>
      </c>
      <c r="H1255" s="116"/>
      <c r="I1255" s="116"/>
      <c r="L1255" s="169">
        <v>43854</v>
      </c>
      <c r="M1255" s="116">
        <v>463.35</v>
      </c>
      <c r="N1255" s="116">
        <v>472.9</v>
      </c>
      <c r="O1255" s="116">
        <v>461.5</v>
      </c>
      <c r="P1255" s="116">
        <v>464.7</v>
      </c>
      <c r="Q1255" s="116">
        <v>463.35</v>
      </c>
      <c r="R1255">
        <v>44867</v>
      </c>
    </row>
    <row r="1256" spans="1:18" x14ac:dyDescent="0.25">
      <c r="A1256" s="169">
        <v>43857</v>
      </c>
      <c r="B1256" s="116">
        <v>468.25</v>
      </c>
      <c r="C1256" s="116">
        <v>457.75</v>
      </c>
      <c r="D1256" s="116">
        <v>454.45</v>
      </c>
      <c r="E1256" s="116">
        <v>462.95</v>
      </c>
      <c r="F1256" s="116">
        <v>457.75</v>
      </c>
      <c r="G1256">
        <v>2881</v>
      </c>
      <c r="H1256" s="116"/>
      <c r="I1256" s="116"/>
      <c r="L1256" s="169">
        <v>43857</v>
      </c>
      <c r="M1256" s="116">
        <v>457.65</v>
      </c>
      <c r="N1256" s="116">
        <v>469</v>
      </c>
      <c r="O1256" s="116">
        <v>454.8</v>
      </c>
      <c r="P1256" s="116">
        <v>467.95</v>
      </c>
      <c r="Q1256" s="116">
        <v>457.65</v>
      </c>
      <c r="R1256">
        <v>24479</v>
      </c>
    </row>
    <row r="1257" spans="1:18" x14ac:dyDescent="0.25">
      <c r="A1257" s="169">
        <v>43858</v>
      </c>
      <c r="B1257" s="116">
        <v>465.6</v>
      </c>
      <c r="C1257" s="116">
        <v>457.8</v>
      </c>
      <c r="D1257" s="116">
        <v>454.6</v>
      </c>
      <c r="E1257" s="116">
        <v>459.6</v>
      </c>
      <c r="F1257" s="116">
        <v>457.8</v>
      </c>
      <c r="G1257">
        <v>2133</v>
      </c>
      <c r="H1257" s="116"/>
      <c r="I1257" s="116"/>
      <c r="L1257" s="169">
        <v>43858</v>
      </c>
      <c r="M1257" s="116">
        <v>458.55</v>
      </c>
      <c r="N1257" s="116">
        <v>467.85</v>
      </c>
      <c r="O1257" s="116">
        <v>455</v>
      </c>
      <c r="P1257" s="116">
        <v>460</v>
      </c>
      <c r="Q1257" s="116">
        <v>458.55</v>
      </c>
      <c r="R1257">
        <v>24816</v>
      </c>
    </row>
    <row r="1258" spans="1:18" x14ac:dyDescent="0.25">
      <c r="A1258" s="169">
        <v>43859</v>
      </c>
      <c r="B1258" s="116">
        <v>477</v>
      </c>
      <c r="C1258" s="116">
        <v>472.05</v>
      </c>
      <c r="D1258" s="116">
        <v>457</v>
      </c>
      <c r="E1258" s="116">
        <v>457</v>
      </c>
      <c r="F1258" s="116">
        <v>472.05</v>
      </c>
      <c r="G1258">
        <v>8750</v>
      </c>
      <c r="H1258" s="116"/>
      <c r="I1258" s="116"/>
      <c r="L1258" s="169">
        <v>43859</v>
      </c>
      <c r="M1258" s="116">
        <v>471.85</v>
      </c>
      <c r="N1258" s="116">
        <v>476.3</v>
      </c>
      <c r="O1258" s="116">
        <v>463.05</v>
      </c>
      <c r="P1258" s="116">
        <v>467</v>
      </c>
      <c r="Q1258" s="116">
        <v>471.85</v>
      </c>
      <c r="R1258">
        <v>55123</v>
      </c>
    </row>
    <row r="1259" spans="1:18" x14ac:dyDescent="0.25">
      <c r="A1259" s="169">
        <v>43860</v>
      </c>
      <c r="B1259" s="116">
        <v>472.9</v>
      </c>
      <c r="C1259" s="116">
        <v>435.1</v>
      </c>
      <c r="D1259" s="116">
        <v>431.5</v>
      </c>
      <c r="E1259" s="116">
        <v>472.75</v>
      </c>
      <c r="F1259" s="116">
        <v>435.1</v>
      </c>
      <c r="G1259">
        <v>11431</v>
      </c>
      <c r="H1259" s="116"/>
      <c r="I1259" s="116"/>
      <c r="L1259" s="169">
        <v>43860</v>
      </c>
      <c r="M1259" s="116">
        <v>436.4</v>
      </c>
      <c r="N1259" s="116">
        <v>477.5</v>
      </c>
      <c r="O1259" s="116">
        <v>431.2</v>
      </c>
      <c r="P1259" s="116">
        <v>472.15</v>
      </c>
      <c r="Q1259" s="116">
        <v>436.4</v>
      </c>
      <c r="R1259">
        <v>105075</v>
      </c>
    </row>
    <row r="1260" spans="1:18" x14ac:dyDescent="0.25">
      <c r="A1260" s="169">
        <v>43861</v>
      </c>
      <c r="B1260" s="116">
        <v>420.05</v>
      </c>
      <c r="C1260" s="116">
        <v>387.8</v>
      </c>
      <c r="D1260" s="116">
        <v>381.6</v>
      </c>
      <c r="E1260" s="116">
        <v>420.05</v>
      </c>
      <c r="F1260" s="116">
        <v>387.8</v>
      </c>
      <c r="G1260">
        <v>18083</v>
      </c>
      <c r="H1260" s="116"/>
      <c r="I1260" s="116"/>
      <c r="L1260" s="169">
        <v>43861</v>
      </c>
      <c r="M1260" s="116">
        <v>387.3</v>
      </c>
      <c r="N1260" s="116">
        <v>427.9</v>
      </c>
      <c r="O1260" s="116">
        <v>381</v>
      </c>
      <c r="P1260" s="116">
        <v>425</v>
      </c>
      <c r="Q1260" s="116">
        <v>387.3</v>
      </c>
      <c r="R1260">
        <v>184283</v>
      </c>
    </row>
    <row r="1261" spans="1:18" x14ac:dyDescent="0.25">
      <c r="A1261" s="169">
        <v>43862</v>
      </c>
      <c r="B1261" s="116">
        <v>414</v>
      </c>
      <c r="C1261" s="116">
        <v>389.95</v>
      </c>
      <c r="D1261" s="116">
        <v>387.1</v>
      </c>
      <c r="E1261" s="116">
        <v>409.9</v>
      </c>
      <c r="F1261" s="116">
        <v>389.95</v>
      </c>
      <c r="G1261">
        <v>7639</v>
      </c>
      <c r="H1261" s="116"/>
      <c r="I1261" s="116"/>
      <c r="L1261" s="169">
        <v>43862</v>
      </c>
      <c r="M1261" s="116">
        <v>390.25</v>
      </c>
      <c r="N1261" s="116">
        <v>414</v>
      </c>
      <c r="O1261" s="116">
        <v>387</v>
      </c>
      <c r="P1261" s="116">
        <v>390</v>
      </c>
      <c r="Q1261" s="116">
        <v>390.25</v>
      </c>
      <c r="R1261">
        <v>61493</v>
      </c>
    </row>
    <row r="1262" spans="1:18" x14ac:dyDescent="0.25">
      <c r="A1262" s="169">
        <v>43864</v>
      </c>
      <c r="B1262" s="116">
        <v>400</v>
      </c>
      <c r="C1262" s="116">
        <v>396.7</v>
      </c>
      <c r="D1262" s="116">
        <v>381.4</v>
      </c>
      <c r="E1262" s="116">
        <v>390.6</v>
      </c>
      <c r="F1262" s="116">
        <v>396.7</v>
      </c>
      <c r="G1262">
        <v>3075</v>
      </c>
      <c r="H1262" s="116"/>
      <c r="I1262" s="116"/>
      <c r="L1262" s="169">
        <v>43864</v>
      </c>
      <c r="M1262" s="116">
        <v>397.1</v>
      </c>
      <c r="N1262" s="116">
        <v>401.2</v>
      </c>
      <c r="O1262" s="116">
        <v>380.1</v>
      </c>
      <c r="P1262" s="116">
        <v>394.9</v>
      </c>
      <c r="Q1262" s="116">
        <v>397.1</v>
      </c>
      <c r="R1262">
        <v>22664</v>
      </c>
    </row>
    <row r="1263" spans="1:18" x14ac:dyDescent="0.25">
      <c r="A1263" s="169">
        <v>43865</v>
      </c>
      <c r="B1263" s="116">
        <v>427.1</v>
      </c>
      <c r="C1263" s="116">
        <v>407.15</v>
      </c>
      <c r="D1263" s="116">
        <v>405</v>
      </c>
      <c r="E1263" s="116">
        <v>409</v>
      </c>
      <c r="F1263" s="116">
        <v>407.15</v>
      </c>
      <c r="G1263">
        <v>4436</v>
      </c>
      <c r="H1263" s="116"/>
      <c r="I1263" s="116"/>
      <c r="L1263" s="169">
        <v>43865</v>
      </c>
      <c r="M1263" s="116">
        <v>408</v>
      </c>
      <c r="N1263" s="116">
        <v>428.05</v>
      </c>
      <c r="O1263" s="116">
        <v>405.25</v>
      </c>
      <c r="P1263" s="116">
        <v>408.1</v>
      </c>
      <c r="Q1263" s="116">
        <v>408</v>
      </c>
      <c r="R1263">
        <v>49803</v>
      </c>
    </row>
    <row r="1264" spans="1:18" x14ac:dyDescent="0.25">
      <c r="A1264" s="169">
        <v>43866</v>
      </c>
      <c r="B1264" s="116">
        <v>427.6</v>
      </c>
      <c r="C1264" s="116">
        <v>418.85</v>
      </c>
      <c r="D1264" s="116">
        <v>411.3</v>
      </c>
      <c r="E1264" s="116">
        <v>412.55</v>
      </c>
      <c r="F1264" s="116">
        <v>418.85</v>
      </c>
      <c r="G1264">
        <v>2627</v>
      </c>
      <c r="H1264" s="116"/>
      <c r="I1264" s="116"/>
      <c r="L1264" s="169">
        <v>43866</v>
      </c>
      <c r="M1264" s="116">
        <v>418.95</v>
      </c>
      <c r="N1264" s="116">
        <v>428</v>
      </c>
      <c r="O1264" s="116">
        <v>408.1</v>
      </c>
      <c r="P1264" s="116">
        <v>408.1</v>
      </c>
      <c r="Q1264" s="116">
        <v>418.95</v>
      </c>
      <c r="R1264">
        <v>33540</v>
      </c>
    </row>
    <row r="1265" spans="1:18" x14ac:dyDescent="0.25">
      <c r="A1265" s="169">
        <v>43867</v>
      </c>
      <c r="B1265" s="116">
        <v>428</v>
      </c>
      <c r="C1265" s="116">
        <v>421.1</v>
      </c>
      <c r="D1265" s="116">
        <v>415.1</v>
      </c>
      <c r="E1265" s="116">
        <v>421.15</v>
      </c>
      <c r="F1265" s="116">
        <v>421.1</v>
      </c>
      <c r="G1265">
        <v>2627</v>
      </c>
      <c r="H1265" s="116"/>
      <c r="I1265" s="116"/>
      <c r="L1265" s="169">
        <v>43867</v>
      </c>
      <c r="M1265" s="116">
        <v>421</v>
      </c>
      <c r="N1265" s="116">
        <v>428.8</v>
      </c>
      <c r="O1265" s="116">
        <v>415</v>
      </c>
      <c r="P1265" s="116">
        <v>419.8</v>
      </c>
      <c r="Q1265" s="116">
        <v>421</v>
      </c>
      <c r="R1265">
        <v>33915</v>
      </c>
    </row>
    <row r="1266" spans="1:18" x14ac:dyDescent="0.25">
      <c r="A1266" s="169">
        <v>43868</v>
      </c>
      <c r="B1266" s="116">
        <v>422</v>
      </c>
      <c r="C1266" s="116">
        <v>411.2</v>
      </c>
      <c r="D1266" s="116">
        <v>409.55</v>
      </c>
      <c r="E1266" s="116">
        <v>417.8</v>
      </c>
      <c r="F1266" s="116">
        <v>411.2</v>
      </c>
      <c r="G1266">
        <v>2382</v>
      </c>
      <c r="H1266" s="116"/>
      <c r="I1266" s="116"/>
      <c r="L1266" s="169">
        <v>43868</v>
      </c>
      <c r="M1266" s="116">
        <v>411.75</v>
      </c>
      <c r="N1266" s="116">
        <v>424.95</v>
      </c>
      <c r="O1266" s="116">
        <v>410.05</v>
      </c>
      <c r="P1266" s="116">
        <v>421</v>
      </c>
      <c r="Q1266" s="116">
        <v>411.75</v>
      </c>
      <c r="R1266">
        <v>19417</v>
      </c>
    </row>
    <row r="1267" spans="1:18" x14ac:dyDescent="0.25">
      <c r="A1267" s="169">
        <v>43871</v>
      </c>
      <c r="B1267" s="116">
        <v>445.15</v>
      </c>
      <c r="C1267" s="116">
        <v>436</v>
      </c>
      <c r="D1267" s="116">
        <v>408.55</v>
      </c>
      <c r="E1267" s="116">
        <v>417.75</v>
      </c>
      <c r="F1267" s="116">
        <v>436</v>
      </c>
      <c r="G1267">
        <v>7938</v>
      </c>
      <c r="H1267" s="116"/>
      <c r="I1267" s="116"/>
      <c r="L1267" s="169">
        <v>43871</v>
      </c>
      <c r="M1267" s="116">
        <v>436.45</v>
      </c>
      <c r="N1267" s="116">
        <v>444.75</v>
      </c>
      <c r="O1267" s="116">
        <v>407.65</v>
      </c>
      <c r="P1267" s="116">
        <v>417.9</v>
      </c>
      <c r="Q1267" s="116">
        <v>436.45</v>
      </c>
      <c r="R1267">
        <v>115390</v>
      </c>
    </row>
    <row r="1268" spans="1:18" x14ac:dyDescent="0.25">
      <c r="A1268" s="169">
        <v>43872</v>
      </c>
      <c r="B1268" s="116">
        <v>448</v>
      </c>
      <c r="C1268" s="116">
        <v>424.55</v>
      </c>
      <c r="D1268" s="116">
        <v>422.5</v>
      </c>
      <c r="E1268" s="116">
        <v>440</v>
      </c>
      <c r="F1268" s="116">
        <v>424.55</v>
      </c>
      <c r="G1268">
        <v>4484</v>
      </c>
      <c r="H1268" s="116"/>
      <c r="I1268" s="116"/>
      <c r="L1268" s="169">
        <v>43872</v>
      </c>
      <c r="M1268" s="116">
        <v>424.3</v>
      </c>
      <c r="N1268" s="116">
        <v>448.75</v>
      </c>
      <c r="O1268" s="116">
        <v>422</v>
      </c>
      <c r="P1268" s="116">
        <v>440.7</v>
      </c>
      <c r="Q1268" s="116">
        <v>424.3</v>
      </c>
      <c r="R1268">
        <v>49653</v>
      </c>
    </row>
    <row r="1269" spans="1:18" x14ac:dyDescent="0.25">
      <c r="A1269" s="169">
        <v>43873</v>
      </c>
      <c r="B1269" s="116">
        <v>423.5</v>
      </c>
      <c r="C1269" s="116">
        <v>411.9</v>
      </c>
      <c r="D1269" s="116">
        <v>408</v>
      </c>
      <c r="E1269" s="116">
        <v>423.5</v>
      </c>
      <c r="F1269" s="116">
        <v>411.9</v>
      </c>
      <c r="G1269">
        <v>3262</v>
      </c>
      <c r="H1269" s="116"/>
      <c r="I1269" s="116"/>
      <c r="L1269" s="169">
        <v>43873</v>
      </c>
      <c r="M1269" s="116">
        <v>411.85</v>
      </c>
      <c r="N1269" s="116">
        <v>429.8</v>
      </c>
      <c r="O1269" s="116">
        <v>408.15</v>
      </c>
      <c r="P1269" s="116">
        <v>425</v>
      </c>
      <c r="Q1269" s="116">
        <v>411.85</v>
      </c>
      <c r="R1269">
        <v>30936</v>
      </c>
    </row>
    <row r="1270" spans="1:18" x14ac:dyDescent="0.25">
      <c r="A1270" s="169">
        <v>43874</v>
      </c>
      <c r="B1270" s="116">
        <v>418.55</v>
      </c>
      <c r="C1270" s="116">
        <v>404.1</v>
      </c>
      <c r="D1270" s="116">
        <v>400.45</v>
      </c>
      <c r="E1270" s="116">
        <v>416</v>
      </c>
      <c r="F1270" s="116">
        <v>404.1</v>
      </c>
      <c r="G1270">
        <v>1583</v>
      </c>
      <c r="H1270" s="116"/>
      <c r="I1270" s="116"/>
      <c r="L1270" s="169">
        <v>43874</v>
      </c>
      <c r="M1270" s="116">
        <v>402.55</v>
      </c>
      <c r="N1270" s="116">
        <v>418</v>
      </c>
      <c r="O1270" s="116">
        <v>400</v>
      </c>
      <c r="P1270" s="116">
        <v>410</v>
      </c>
      <c r="Q1270" s="116">
        <v>402.55</v>
      </c>
      <c r="R1270">
        <v>32403</v>
      </c>
    </row>
    <row r="1271" spans="1:18" x14ac:dyDescent="0.25">
      <c r="A1271" s="169">
        <v>43875</v>
      </c>
      <c r="B1271" s="116">
        <v>433.4</v>
      </c>
      <c r="C1271" s="116">
        <v>420.1</v>
      </c>
      <c r="D1271" s="116">
        <v>400.2</v>
      </c>
      <c r="E1271" s="116">
        <v>404.1</v>
      </c>
      <c r="F1271" s="116">
        <v>420.1</v>
      </c>
      <c r="G1271">
        <v>4374</v>
      </c>
      <c r="H1271" s="116"/>
      <c r="I1271" s="116"/>
      <c r="L1271" s="169">
        <v>43875</v>
      </c>
      <c r="M1271" s="116">
        <v>421.65</v>
      </c>
      <c r="N1271" s="116">
        <v>432.7</v>
      </c>
      <c r="O1271" s="116">
        <v>400.55</v>
      </c>
      <c r="P1271" s="116">
        <v>401.85</v>
      </c>
      <c r="Q1271" s="116">
        <v>421.65</v>
      </c>
      <c r="R1271">
        <v>69735</v>
      </c>
    </row>
    <row r="1272" spans="1:18" x14ac:dyDescent="0.25">
      <c r="A1272" s="169">
        <v>43878</v>
      </c>
      <c r="B1272" s="116">
        <v>426.7</v>
      </c>
      <c r="C1272" s="116">
        <v>413.4</v>
      </c>
      <c r="D1272" s="116">
        <v>412.05</v>
      </c>
      <c r="E1272" s="116">
        <v>426.45</v>
      </c>
      <c r="F1272" s="116">
        <v>413.4</v>
      </c>
      <c r="G1272">
        <v>1724</v>
      </c>
      <c r="H1272" s="116"/>
      <c r="I1272" s="116"/>
      <c r="L1272" s="169">
        <v>43878</v>
      </c>
      <c r="M1272" s="116">
        <v>413.4</v>
      </c>
      <c r="N1272" s="116">
        <v>426.7</v>
      </c>
      <c r="O1272" s="116">
        <v>412.35</v>
      </c>
      <c r="P1272" s="116">
        <v>423</v>
      </c>
      <c r="Q1272" s="116">
        <v>413.4</v>
      </c>
      <c r="R1272">
        <v>32064</v>
      </c>
    </row>
    <row r="1273" spans="1:18" x14ac:dyDescent="0.25">
      <c r="A1273" s="169">
        <v>43879</v>
      </c>
      <c r="B1273" s="116">
        <v>413.85</v>
      </c>
      <c r="C1273" s="116">
        <v>410</v>
      </c>
      <c r="D1273" s="116">
        <v>396.55</v>
      </c>
      <c r="E1273" s="116">
        <v>403.95</v>
      </c>
      <c r="F1273" s="116">
        <v>410</v>
      </c>
      <c r="G1273">
        <v>2115</v>
      </c>
      <c r="H1273" s="116"/>
      <c r="I1273" s="116"/>
      <c r="L1273" s="169">
        <v>43879</v>
      </c>
      <c r="M1273" s="116">
        <v>410.15</v>
      </c>
      <c r="N1273" s="116">
        <v>413.1</v>
      </c>
      <c r="O1273" s="116">
        <v>396.25</v>
      </c>
      <c r="P1273" s="116">
        <v>413.1</v>
      </c>
      <c r="Q1273" s="116">
        <v>410.15</v>
      </c>
      <c r="R1273">
        <v>36689</v>
      </c>
    </row>
    <row r="1274" spans="1:18" x14ac:dyDescent="0.25">
      <c r="A1274" s="169">
        <v>43880</v>
      </c>
      <c r="B1274" s="116">
        <v>425.25</v>
      </c>
      <c r="C1274" s="116">
        <v>411.85</v>
      </c>
      <c r="D1274" s="116">
        <v>390</v>
      </c>
      <c r="E1274" s="116">
        <v>410</v>
      </c>
      <c r="F1274" s="116">
        <v>411.85</v>
      </c>
      <c r="G1274">
        <v>1954</v>
      </c>
      <c r="H1274" s="116"/>
      <c r="I1274" s="116"/>
      <c r="L1274" s="169">
        <v>43880</v>
      </c>
      <c r="M1274" s="116">
        <v>412.05</v>
      </c>
      <c r="N1274" s="116">
        <v>424.9</v>
      </c>
      <c r="O1274" s="116">
        <v>385.5</v>
      </c>
      <c r="P1274" s="116">
        <v>411.05</v>
      </c>
      <c r="Q1274" s="116">
        <v>412.05</v>
      </c>
      <c r="R1274">
        <v>45013</v>
      </c>
    </row>
    <row r="1275" spans="1:18" x14ac:dyDescent="0.25">
      <c r="A1275" s="169">
        <v>43881</v>
      </c>
      <c r="B1275" s="116">
        <v>419</v>
      </c>
      <c r="C1275" s="116">
        <v>412.85</v>
      </c>
      <c r="D1275" s="116">
        <v>411</v>
      </c>
      <c r="E1275" s="116">
        <v>415.75</v>
      </c>
      <c r="F1275" s="116">
        <v>412.85</v>
      </c>
      <c r="G1275">
        <v>1251</v>
      </c>
      <c r="H1275" s="116"/>
      <c r="I1275" s="116"/>
      <c r="L1275" s="169">
        <v>43881</v>
      </c>
      <c r="M1275" s="116">
        <v>416.35</v>
      </c>
      <c r="N1275" s="116">
        <v>425</v>
      </c>
      <c r="O1275" s="116">
        <v>410.1</v>
      </c>
      <c r="P1275" s="116">
        <v>414.05</v>
      </c>
      <c r="Q1275" s="116">
        <v>416.35</v>
      </c>
      <c r="R1275">
        <v>27388</v>
      </c>
    </row>
    <row r="1276" spans="1:18" x14ac:dyDescent="0.25">
      <c r="A1276" s="169">
        <v>43885</v>
      </c>
      <c r="B1276" s="116">
        <v>432.55</v>
      </c>
      <c r="C1276" s="116">
        <v>414.25</v>
      </c>
      <c r="D1276" s="116">
        <v>411</v>
      </c>
      <c r="E1276" s="116">
        <v>413</v>
      </c>
      <c r="F1276" s="116">
        <v>414.25</v>
      </c>
      <c r="G1276">
        <v>1432</v>
      </c>
      <c r="H1276" s="116"/>
      <c r="I1276" s="116"/>
      <c r="L1276" s="169">
        <v>43885</v>
      </c>
      <c r="M1276" s="116">
        <v>414.75</v>
      </c>
      <c r="N1276" s="116">
        <v>432.3</v>
      </c>
      <c r="O1276" s="116">
        <v>412</v>
      </c>
      <c r="P1276" s="116">
        <v>416</v>
      </c>
      <c r="Q1276" s="116">
        <v>414.75</v>
      </c>
      <c r="R1276">
        <v>44177</v>
      </c>
    </row>
    <row r="1277" spans="1:18" x14ac:dyDescent="0.25">
      <c r="A1277" s="169">
        <v>43886</v>
      </c>
      <c r="B1277" s="116">
        <v>443.45</v>
      </c>
      <c r="C1277" s="116">
        <v>427.85</v>
      </c>
      <c r="D1277" s="116">
        <v>416.5</v>
      </c>
      <c r="E1277" s="116">
        <v>427</v>
      </c>
      <c r="F1277" s="116">
        <v>427.85</v>
      </c>
      <c r="G1277">
        <v>6951</v>
      </c>
      <c r="H1277" s="116"/>
      <c r="I1277" s="116"/>
      <c r="L1277" s="169">
        <v>43886</v>
      </c>
      <c r="M1277" s="116">
        <v>427.45</v>
      </c>
      <c r="N1277" s="116">
        <v>444.7</v>
      </c>
      <c r="O1277" s="116">
        <v>416.25</v>
      </c>
      <c r="P1277" s="116">
        <v>424</v>
      </c>
      <c r="Q1277" s="116">
        <v>427.45</v>
      </c>
      <c r="R1277">
        <v>159058</v>
      </c>
    </row>
    <row r="1278" spans="1:18" x14ac:dyDescent="0.25">
      <c r="A1278" s="169">
        <v>43887</v>
      </c>
      <c r="B1278" s="116">
        <v>468.75</v>
      </c>
      <c r="C1278" s="116">
        <v>454.05</v>
      </c>
      <c r="D1278" s="116">
        <v>427</v>
      </c>
      <c r="E1278" s="116">
        <v>427</v>
      </c>
      <c r="F1278" s="116">
        <v>454.05</v>
      </c>
      <c r="G1278">
        <v>19471</v>
      </c>
      <c r="H1278" s="116"/>
      <c r="I1278" s="116"/>
      <c r="L1278" s="169">
        <v>43887</v>
      </c>
      <c r="M1278" s="116">
        <v>455.2</v>
      </c>
      <c r="N1278" s="116">
        <v>469.85</v>
      </c>
      <c r="O1278" s="116">
        <v>422.75</v>
      </c>
      <c r="P1278" s="116">
        <v>429.5</v>
      </c>
      <c r="Q1278" s="116">
        <v>455.2</v>
      </c>
      <c r="R1278">
        <v>357876</v>
      </c>
    </row>
    <row r="1279" spans="1:18" x14ac:dyDescent="0.25">
      <c r="A1279" s="169">
        <v>43888</v>
      </c>
      <c r="B1279" s="116">
        <v>475</v>
      </c>
      <c r="C1279" s="116">
        <v>451.5</v>
      </c>
      <c r="D1279" s="116">
        <v>445</v>
      </c>
      <c r="E1279" s="116">
        <v>464.4</v>
      </c>
      <c r="F1279" s="116">
        <v>451.5</v>
      </c>
      <c r="G1279">
        <v>7687</v>
      </c>
      <c r="H1279" s="116"/>
      <c r="I1279" s="116"/>
      <c r="L1279" s="169">
        <v>43888</v>
      </c>
      <c r="M1279" s="116">
        <v>451.85</v>
      </c>
      <c r="N1279" s="116">
        <v>477</v>
      </c>
      <c r="O1279" s="116">
        <v>444.05</v>
      </c>
      <c r="P1279" s="116">
        <v>458.85</v>
      </c>
      <c r="Q1279" s="116">
        <v>451.85</v>
      </c>
      <c r="R1279">
        <v>139772</v>
      </c>
    </row>
    <row r="1280" spans="1:18" x14ac:dyDescent="0.25">
      <c r="A1280" s="169">
        <v>43889</v>
      </c>
      <c r="B1280" s="116">
        <v>440.45</v>
      </c>
      <c r="C1280" s="116">
        <v>409.65</v>
      </c>
      <c r="D1280" s="116">
        <v>406.25</v>
      </c>
      <c r="E1280" s="116">
        <v>440.45</v>
      </c>
      <c r="F1280" s="116">
        <v>409.65</v>
      </c>
      <c r="G1280">
        <v>3464</v>
      </c>
      <c r="H1280" s="116"/>
      <c r="I1280" s="116"/>
      <c r="L1280" s="169">
        <v>43889</v>
      </c>
      <c r="M1280" s="116">
        <v>408.9</v>
      </c>
      <c r="N1280" s="116">
        <v>445.25</v>
      </c>
      <c r="O1280" s="116">
        <v>404.45</v>
      </c>
      <c r="P1280" s="116">
        <v>445.25</v>
      </c>
      <c r="Q1280" s="116">
        <v>408.9</v>
      </c>
      <c r="R1280">
        <v>104083</v>
      </c>
    </row>
    <row r="1281" spans="1:18" x14ac:dyDescent="0.25">
      <c r="A1281" s="169">
        <v>43892</v>
      </c>
      <c r="B1281" s="116">
        <v>421.7</v>
      </c>
      <c r="C1281" s="116">
        <v>396.5</v>
      </c>
      <c r="D1281" s="116">
        <v>389.95</v>
      </c>
      <c r="E1281" s="116">
        <v>413.65</v>
      </c>
      <c r="F1281" s="116">
        <v>396.5</v>
      </c>
      <c r="G1281">
        <v>3411</v>
      </c>
      <c r="H1281" s="116"/>
      <c r="I1281" s="116"/>
      <c r="L1281" s="169">
        <v>43892</v>
      </c>
      <c r="M1281" s="116">
        <v>398.2</v>
      </c>
      <c r="N1281" s="116">
        <v>424</v>
      </c>
      <c r="O1281" s="116">
        <v>387.7</v>
      </c>
      <c r="P1281" s="116">
        <v>412.25</v>
      </c>
      <c r="Q1281" s="116">
        <v>398.2</v>
      </c>
      <c r="R1281">
        <v>51961</v>
      </c>
    </row>
    <row r="1282" spans="1:18" x14ac:dyDescent="0.25">
      <c r="A1282" s="169">
        <v>43893</v>
      </c>
      <c r="B1282" s="116">
        <v>413</v>
      </c>
      <c r="C1282" s="116">
        <v>401.85</v>
      </c>
      <c r="D1282" s="116">
        <v>397.25</v>
      </c>
      <c r="E1282" s="116">
        <v>410.75</v>
      </c>
      <c r="F1282" s="116">
        <v>401.85</v>
      </c>
      <c r="G1282">
        <v>3235</v>
      </c>
      <c r="H1282" s="116"/>
      <c r="I1282" s="116"/>
      <c r="L1282" s="169">
        <v>43893</v>
      </c>
      <c r="M1282" s="116">
        <v>402.75</v>
      </c>
      <c r="N1282" s="116">
        <v>414.85</v>
      </c>
      <c r="O1282" s="116">
        <v>397.15</v>
      </c>
      <c r="P1282" s="116">
        <v>411.1</v>
      </c>
      <c r="Q1282" s="116">
        <v>402.75</v>
      </c>
      <c r="R1282">
        <v>41156</v>
      </c>
    </row>
    <row r="1283" spans="1:18" x14ac:dyDescent="0.25">
      <c r="A1283" s="169">
        <v>43894</v>
      </c>
      <c r="B1283" s="116">
        <v>410.2</v>
      </c>
      <c r="C1283" s="116">
        <v>389.45</v>
      </c>
      <c r="D1283" s="116">
        <v>384.65</v>
      </c>
      <c r="E1283" s="116">
        <v>404.4</v>
      </c>
      <c r="F1283" s="116">
        <v>389.45</v>
      </c>
      <c r="G1283">
        <v>2095</v>
      </c>
      <c r="H1283" s="116"/>
      <c r="I1283" s="116"/>
      <c r="L1283" s="169">
        <v>43894</v>
      </c>
      <c r="M1283" s="116">
        <v>390.15</v>
      </c>
      <c r="N1283" s="116">
        <v>411.2</v>
      </c>
      <c r="O1283" s="116">
        <v>384.85</v>
      </c>
      <c r="P1283" s="116">
        <v>404.2</v>
      </c>
      <c r="Q1283" s="116">
        <v>390.15</v>
      </c>
      <c r="R1283">
        <v>43800</v>
      </c>
    </row>
    <row r="1284" spans="1:18" x14ac:dyDescent="0.25">
      <c r="A1284" s="169">
        <v>43895</v>
      </c>
      <c r="B1284" s="116">
        <v>410.4</v>
      </c>
      <c r="C1284" s="116">
        <v>400.9</v>
      </c>
      <c r="D1284" s="116">
        <v>394.45</v>
      </c>
      <c r="E1284" s="116">
        <v>396.45</v>
      </c>
      <c r="F1284" s="116">
        <v>400.9</v>
      </c>
      <c r="G1284">
        <v>3604</v>
      </c>
      <c r="H1284" s="116"/>
      <c r="I1284" s="116"/>
      <c r="L1284" s="169">
        <v>43895</v>
      </c>
      <c r="M1284" s="116">
        <v>401.9</v>
      </c>
      <c r="N1284" s="116">
        <v>409.9</v>
      </c>
      <c r="O1284" s="116">
        <v>392.7</v>
      </c>
      <c r="P1284" s="116">
        <v>393.15</v>
      </c>
      <c r="Q1284" s="116">
        <v>401.9</v>
      </c>
      <c r="R1284">
        <v>71340</v>
      </c>
    </row>
    <row r="1285" spans="1:18" x14ac:dyDescent="0.25">
      <c r="A1285" s="169">
        <v>43896</v>
      </c>
      <c r="B1285" s="116">
        <v>397.6</v>
      </c>
      <c r="C1285" s="116">
        <v>390.85</v>
      </c>
      <c r="D1285" s="116">
        <v>382.05</v>
      </c>
      <c r="E1285" s="116">
        <v>390.15</v>
      </c>
      <c r="F1285" s="116">
        <v>390.85</v>
      </c>
      <c r="G1285">
        <v>4097</v>
      </c>
      <c r="H1285" s="116"/>
      <c r="I1285" s="116"/>
      <c r="L1285" s="169">
        <v>43896</v>
      </c>
      <c r="M1285" s="116">
        <v>391.1</v>
      </c>
      <c r="N1285" s="116">
        <v>399</v>
      </c>
      <c r="O1285" s="116">
        <v>380</v>
      </c>
      <c r="P1285" s="116">
        <v>392.25</v>
      </c>
      <c r="Q1285" s="116">
        <v>391.1</v>
      </c>
      <c r="R1285">
        <v>34051</v>
      </c>
    </row>
    <row r="1286" spans="1:18" x14ac:dyDescent="0.25">
      <c r="A1286" s="169">
        <v>43899</v>
      </c>
      <c r="B1286" s="116">
        <v>383.4</v>
      </c>
      <c r="C1286" s="116">
        <v>360.05</v>
      </c>
      <c r="D1286" s="116">
        <v>351.6</v>
      </c>
      <c r="E1286" s="116">
        <v>382</v>
      </c>
      <c r="F1286" s="116">
        <v>360.05</v>
      </c>
      <c r="G1286">
        <v>12801</v>
      </c>
      <c r="H1286" s="116"/>
      <c r="I1286" s="116"/>
      <c r="L1286" s="169">
        <v>43899</v>
      </c>
      <c r="M1286" s="116">
        <v>358.3</v>
      </c>
      <c r="N1286" s="116">
        <v>390</v>
      </c>
      <c r="O1286" s="116">
        <v>351</v>
      </c>
      <c r="P1286" s="116">
        <v>385.15</v>
      </c>
      <c r="Q1286" s="116">
        <v>358.3</v>
      </c>
      <c r="R1286">
        <v>70290</v>
      </c>
    </row>
    <row r="1287" spans="1:18" x14ac:dyDescent="0.25">
      <c r="A1287" s="169">
        <v>43901</v>
      </c>
      <c r="B1287" s="116">
        <v>372.55</v>
      </c>
      <c r="C1287" s="116">
        <v>334.5</v>
      </c>
      <c r="D1287" s="116">
        <v>330.7</v>
      </c>
      <c r="E1287" s="116">
        <v>360.05</v>
      </c>
      <c r="F1287" s="116">
        <v>334.5</v>
      </c>
      <c r="G1287">
        <v>5652</v>
      </c>
      <c r="H1287" s="116"/>
      <c r="I1287" s="116"/>
      <c r="L1287" s="169">
        <v>43901</v>
      </c>
      <c r="M1287" s="116">
        <v>333.05</v>
      </c>
      <c r="N1287" s="116">
        <v>372.55</v>
      </c>
      <c r="O1287" s="116">
        <v>329.45</v>
      </c>
      <c r="P1287" s="116">
        <v>364.95</v>
      </c>
      <c r="Q1287" s="116">
        <v>333.05</v>
      </c>
      <c r="R1287">
        <v>52361</v>
      </c>
    </row>
    <row r="1288" spans="1:18" x14ac:dyDescent="0.25">
      <c r="A1288" s="169">
        <v>43902</v>
      </c>
      <c r="B1288" s="116">
        <v>316.39999999999998</v>
      </c>
      <c r="C1288" s="116">
        <v>278.10000000000002</v>
      </c>
      <c r="D1288" s="116">
        <v>272.5</v>
      </c>
      <c r="E1288" s="116">
        <v>316.39999999999998</v>
      </c>
      <c r="F1288" s="116">
        <v>278.10000000000002</v>
      </c>
      <c r="G1288">
        <v>16672</v>
      </c>
      <c r="H1288" s="116"/>
      <c r="I1288" s="116"/>
      <c r="L1288" s="169">
        <v>43902</v>
      </c>
      <c r="M1288" s="116">
        <v>276.2</v>
      </c>
      <c r="N1288" s="116">
        <v>321</v>
      </c>
      <c r="O1288" s="116">
        <v>272</v>
      </c>
      <c r="P1288" s="116">
        <v>305</v>
      </c>
      <c r="Q1288" s="116">
        <v>276.2</v>
      </c>
      <c r="R1288">
        <v>95959</v>
      </c>
    </row>
    <row r="1289" spans="1:18" x14ac:dyDescent="0.25">
      <c r="A1289" s="169">
        <v>43903</v>
      </c>
      <c r="B1289" s="116">
        <v>317.89999999999998</v>
      </c>
      <c r="C1289" s="116">
        <v>303.2</v>
      </c>
      <c r="D1289" s="116">
        <v>240.6</v>
      </c>
      <c r="E1289" s="116">
        <v>278</v>
      </c>
      <c r="F1289" s="116">
        <v>303.2</v>
      </c>
      <c r="G1289">
        <v>9029</v>
      </c>
      <c r="H1289" s="116"/>
      <c r="I1289" s="116"/>
      <c r="L1289" s="169">
        <v>43903</v>
      </c>
      <c r="M1289" s="116">
        <v>305.35000000000002</v>
      </c>
      <c r="N1289" s="116">
        <v>317.05</v>
      </c>
      <c r="O1289" s="116">
        <v>221</v>
      </c>
      <c r="P1289" s="116">
        <v>265</v>
      </c>
      <c r="Q1289" s="116">
        <v>305.35000000000002</v>
      </c>
      <c r="R1289">
        <v>84345</v>
      </c>
    </row>
    <row r="1290" spans="1:18" x14ac:dyDescent="0.25">
      <c r="A1290" s="169">
        <v>43906</v>
      </c>
      <c r="B1290" s="116">
        <v>300</v>
      </c>
      <c r="C1290" s="116">
        <v>280.89999999999998</v>
      </c>
      <c r="D1290" s="116">
        <v>276</v>
      </c>
      <c r="E1290" s="116">
        <v>300</v>
      </c>
      <c r="F1290" s="116">
        <v>280.89999999999998</v>
      </c>
      <c r="G1290">
        <v>10415</v>
      </c>
      <c r="H1290" s="116"/>
      <c r="I1290" s="116"/>
      <c r="L1290" s="169">
        <v>43906</v>
      </c>
      <c r="M1290" s="116">
        <v>280.75</v>
      </c>
      <c r="N1290" s="116">
        <v>304</v>
      </c>
      <c r="O1290" s="116">
        <v>275</v>
      </c>
      <c r="P1290" s="116">
        <v>304</v>
      </c>
      <c r="Q1290" s="116">
        <v>280.75</v>
      </c>
      <c r="R1290">
        <v>75648</v>
      </c>
    </row>
    <row r="1291" spans="1:18" x14ac:dyDescent="0.25">
      <c r="A1291" s="169">
        <v>43907</v>
      </c>
      <c r="B1291" s="116">
        <v>281.60000000000002</v>
      </c>
      <c r="C1291" s="116">
        <v>256.8</v>
      </c>
      <c r="D1291" s="116">
        <v>251.15</v>
      </c>
      <c r="E1291" s="116">
        <v>281.60000000000002</v>
      </c>
      <c r="F1291" s="116">
        <v>256.8</v>
      </c>
      <c r="G1291">
        <v>16314</v>
      </c>
      <c r="H1291" s="116"/>
      <c r="I1291" s="116"/>
      <c r="L1291" s="169">
        <v>43907</v>
      </c>
      <c r="M1291" s="116">
        <v>256.7</v>
      </c>
      <c r="N1291" s="116">
        <v>290.10000000000002</v>
      </c>
      <c r="O1291" s="116">
        <v>250.1</v>
      </c>
      <c r="P1291" s="116">
        <v>274</v>
      </c>
      <c r="Q1291" s="116">
        <v>256.7</v>
      </c>
      <c r="R1291">
        <v>119067</v>
      </c>
    </row>
    <row r="1292" spans="1:18" x14ac:dyDescent="0.25">
      <c r="A1292" s="169">
        <v>43908</v>
      </c>
      <c r="B1292" s="116">
        <v>260.64999999999998</v>
      </c>
      <c r="C1292" s="116">
        <v>237.4</v>
      </c>
      <c r="D1292" s="116">
        <v>232</v>
      </c>
      <c r="E1292" s="116">
        <v>260.64999999999998</v>
      </c>
      <c r="F1292" s="116">
        <v>237.4</v>
      </c>
      <c r="G1292">
        <v>13881</v>
      </c>
      <c r="H1292" s="116"/>
      <c r="I1292" s="116"/>
      <c r="L1292" s="169">
        <v>43908</v>
      </c>
      <c r="M1292" s="116">
        <v>236.35</v>
      </c>
      <c r="N1292" s="116">
        <v>268.85000000000002</v>
      </c>
      <c r="O1292" s="116">
        <v>232.25</v>
      </c>
      <c r="P1292" s="116">
        <v>256.7</v>
      </c>
      <c r="Q1292" s="116">
        <v>236.35</v>
      </c>
      <c r="R1292">
        <v>71470</v>
      </c>
    </row>
    <row r="1293" spans="1:18" x14ac:dyDescent="0.25">
      <c r="A1293" s="169">
        <v>43909</v>
      </c>
      <c r="B1293" s="116">
        <v>250.1</v>
      </c>
      <c r="C1293" s="116">
        <v>220.35</v>
      </c>
      <c r="D1293" s="116">
        <v>214</v>
      </c>
      <c r="E1293" s="116">
        <v>224.65</v>
      </c>
      <c r="F1293" s="116">
        <v>220.35</v>
      </c>
      <c r="G1293">
        <v>9354</v>
      </c>
      <c r="H1293" s="116"/>
      <c r="I1293" s="116"/>
      <c r="L1293" s="169">
        <v>43909</v>
      </c>
      <c r="M1293" s="116">
        <v>219.15</v>
      </c>
      <c r="N1293" s="116">
        <v>246.75</v>
      </c>
      <c r="O1293" s="116">
        <v>213.3</v>
      </c>
      <c r="P1293" s="116">
        <v>230</v>
      </c>
      <c r="Q1293" s="116">
        <v>219.15</v>
      </c>
      <c r="R1293">
        <v>103374</v>
      </c>
    </row>
    <row r="1294" spans="1:18" x14ac:dyDescent="0.25">
      <c r="A1294" s="169">
        <v>43910</v>
      </c>
      <c r="B1294" s="116">
        <v>242.35</v>
      </c>
      <c r="C1294" s="116">
        <v>240.7</v>
      </c>
      <c r="D1294" s="116">
        <v>220.2</v>
      </c>
      <c r="E1294" s="116">
        <v>229.5</v>
      </c>
      <c r="F1294" s="116">
        <v>240.7</v>
      </c>
      <c r="G1294">
        <v>9238</v>
      </c>
      <c r="H1294" s="116"/>
      <c r="I1294" s="116"/>
      <c r="L1294" s="169">
        <v>43910</v>
      </c>
      <c r="M1294" s="116">
        <v>239.7</v>
      </c>
      <c r="N1294" s="116">
        <v>241.05</v>
      </c>
      <c r="O1294" s="116">
        <v>219.2</v>
      </c>
      <c r="P1294" s="116">
        <v>235.7</v>
      </c>
      <c r="Q1294" s="116">
        <v>239.7</v>
      </c>
      <c r="R1294">
        <v>86106</v>
      </c>
    </row>
    <row r="1295" spans="1:18" x14ac:dyDescent="0.25">
      <c r="A1295" s="169">
        <v>43913</v>
      </c>
      <c r="B1295" s="116">
        <v>248.8</v>
      </c>
      <c r="C1295" s="116">
        <v>217.15</v>
      </c>
      <c r="D1295" s="116">
        <v>216.65</v>
      </c>
      <c r="E1295" s="116">
        <v>231.4</v>
      </c>
      <c r="F1295" s="116">
        <v>217.15</v>
      </c>
      <c r="G1295">
        <v>7048</v>
      </c>
      <c r="H1295" s="116"/>
      <c r="I1295" s="116"/>
      <c r="L1295" s="169">
        <v>43913</v>
      </c>
      <c r="M1295" s="116">
        <v>215.75</v>
      </c>
      <c r="N1295" s="116">
        <v>230</v>
      </c>
      <c r="O1295" s="116">
        <v>215.75</v>
      </c>
      <c r="P1295" s="116">
        <v>230</v>
      </c>
      <c r="Q1295" s="116">
        <v>215.75</v>
      </c>
      <c r="R1295">
        <v>53038</v>
      </c>
    </row>
    <row r="1296" spans="1:18" x14ac:dyDescent="0.25">
      <c r="A1296" s="169">
        <v>43914</v>
      </c>
      <c r="B1296" s="116">
        <v>238.75</v>
      </c>
      <c r="C1296" s="116">
        <v>225.8</v>
      </c>
      <c r="D1296" s="116">
        <v>205</v>
      </c>
      <c r="E1296" s="116">
        <v>238.75</v>
      </c>
      <c r="F1296" s="116">
        <v>225.8</v>
      </c>
      <c r="G1296">
        <v>9717</v>
      </c>
      <c r="H1296" s="116"/>
      <c r="I1296" s="116"/>
      <c r="L1296" s="169">
        <v>43914</v>
      </c>
      <c r="M1296" s="116">
        <v>225.05</v>
      </c>
      <c r="N1296" s="116">
        <v>237</v>
      </c>
      <c r="O1296" s="116">
        <v>200</v>
      </c>
      <c r="P1296" s="116">
        <v>220</v>
      </c>
      <c r="Q1296" s="116">
        <v>225.05</v>
      </c>
      <c r="R1296">
        <v>49983</v>
      </c>
    </row>
    <row r="1297" spans="1:18" x14ac:dyDescent="0.25">
      <c r="A1297" s="169">
        <v>43915</v>
      </c>
      <c r="B1297" s="116">
        <v>240</v>
      </c>
      <c r="C1297" s="116">
        <v>233.8</v>
      </c>
      <c r="D1297" s="116">
        <v>204.1</v>
      </c>
      <c r="E1297" s="116">
        <v>204.1</v>
      </c>
      <c r="F1297" s="116">
        <v>233.8</v>
      </c>
      <c r="G1297">
        <v>4227</v>
      </c>
      <c r="H1297" s="116"/>
      <c r="I1297" s="116"/>
      <c r="L1297" s="169">
        <v>43915</v>
      </c>
      <c r="M1297" s="116">
        <v>232.55</v>
      </c>
      <c r="N1297" s="116">
        <v>239.85</v>
      </c>
      <c r="O1297" s="116">
        <v>218.2</v>
      </c>
      <c r="P1297" s="116">
        <v>225.95</v>
      </c>
      <c r="Q1297" s="116">
        <v>232.55</v>
      </c>
      <c r="R1297">
        <v>41514</v>
      </c>
    </row>
    <row r="1298" spans="1:18" x14ac:dyDescent="0.25">
      <c r="A1298" s="169">
        <v>43916</v>
      </c>
      <c r="B1298" s="116">
        <v>257</v>
      </c>
      <c r="C1298" s="116">
        <v>253.15</v>
      </c>
      <c r="D1298" s="116">
        <v>236.65</v>
      </c>
      <c r="E1298" s="116">
        <v>242.85</v>
      </c>
      <c r="F1298" s="116">
        <v>253.15</v>
      </c>
      <c r="G1298">
        <v>2478</v>
      </c>
      <c r="H1298" s="116"/>
      <c r="I1298" s="116"/>
      <c r="L1298" s="169">
        <v>43916</v>
      </c>
      <c r="M1298" s="116">
        <v>254.5</v>
      </c>
      <c r="N1298" s="116">
        <v>255.8</v>
      </c>
      <c r="O1298" s="116">
        <v>230.3</v>
      </c>
      <c r="P1298" s="116">
        <v>238.65</v>
      </c>
      <c r="Q1298" s="116">
        <v>254.5</v>
      </c>
      <c r="R1298">
        <v>49022</v>
      </c>
    </row>
    <row r="1299" spans="1:18" x14ac:dyDescent="0.25">
      <c r="A1299" s="169">
        <v>43917</v>
      </c>
      <c r="B1299" s="116">
        <v>273</v>
      </c>
      <c r="C1299" s="116">
        <v>250.2</v>
      </c>
      <c r="D1299" s="116">
        <v>246.85</v>
      </c>
      <c r="E1299" s="116">
        <v>266.7</v>
      </c>
      <c r="F1299" s="116">
        <v>250.2</v>
      </c>
      <c r="G1299">
        <v>1968</v>
      </c>
      <c r="H1299" s="116"/>
      <c r="I1299" s="116"/>
      <c r="L1299" s="169">
        <v>43917</v>
      </c>
      <c r="M1299" s="116">
        <v>250.25</v>
      </c>
      <c r="N1299" s="116">
        <v>274</v>
      </c>
      <c r="O1299" s="116">
        <v>245.05</v>
      </c>
      <c r="P1299" s="116">
        <v>264</v>
      </c>
      <c r="Q1299" s="116">
        <v>250.25</v>
      </c>
      <c r="R1299">
        <v>49388</v>
      </c>
    </row>
    <row r="1300" spans="1:18" x14ac:dyDescent="0.25">
      <c r="A1300" s="169">
        <v>43920</v>
      </c>
      <c r="B1300" s="116">
        <v>255</v>
      </c>
      <c r="C1300" s="116">
        <v>243.5</v>
      </c>
      <c r="D1300" s="116">
        <v>237</v>
      </c>
      <c r="E1300" s="116">
        <v>240.25</v>
      </c>
      <c r="F1300" s="116">
        <v>243.5</v>
      </c>
      <c r="G1300">
        <v>2145</v>
      </c>
      <c r="H1300" s="116"/>
      <c r="I1300" s="116"/>
      <c r="L1300" s="169">
        <v>43920</v>
      </c>
      <c r="M1300" s="116">
        <v>243.4</v>
      </c>
      <c r="N1300" s="116">
        <v>253</v>
      </c>
      <c r="O1300" s="116">
        <v>234.35</v>
      </c>
      <c r="P1300" s="116">
        <v>244</v>
      </c>
      <c r="Q1300" s="116">
        <v>243.4</v>
      </c>
      <c r="R1300">
        <v>37681</v>
      </c>
    </row>
    <row r="1301" spans="1:18" x14ac:dyDescent="0.25">
      <c r="A1301" s="169">
        <v>43921</v>
      </c>
      <c r="B1301" s="116">
        <v>260.39999999999998</v>
      </c>
      <c r="C1301" s="116">
        <v>250.95</v>
      </c>
      <c r="D1301" s="116">
        <v>245.55</v>
      </c>
      <c r="E1301" s="116">
        <v>250</v>
      </c>
      <c r="F1301" s="116">
        <v>250.95</v>
      </c>
      <c r="G1301">
        <v>3347</v>
      </c>
      <c r="H1301" s="116"/>
      <c r="I1301" s="116"/>
      <c r="L1301" s="169">
        <v>43921</v>
      </c>
      <c r="M1301" s="116">
        <v>251.6</v>
      </c>
      <c r="N1301" s="116">
        <v>261.85000000000002</v>
      </c>
      <c r="O1301" s="116">
        <v>247</v>
      </c>
      <c r="P1301" s="116">
        <v>252.2</v>
      </c>
      <c r="Q1301" s="116">
        <v>251.6</v>
      </c>
      <c r="R1301">
        <v>36171</v>
      </c>
    </row>
    <row r="1302" spans="1:18" x14ac:dyDescent="0.25">
      <c r="A1302" s="169">
        <v>43922</v>
      </c>
      <c r="B1302" s="116">
        <v>259.35000000000002</v>
      </c>
      <c r="C1302" s="116">
        <v>248.4</v>
      </c>
      <c r="D1302" s="116">
        <v>245.4</v>
      </c>
      <c r="E1302" s="116">
        <v>250</v>
      </c>
      <c r="F1302" s="116">
        <v>248.4</v>
      </c>
      <c r="G1302">
        <v>1905</v>
      </c>
      <c r="H1302" s="116"/>
      <c r="I1302" s="116"/>
      <c r="L1302" s="169">
        <v>43922</v>
      </c>
      <c r="M1302" s="116">
        <v>252.05</v>
      </c>
      <c r="N1302" s="116">
        <v>258.95</v>
      </c>
      <c r="O1302" s="116">
        <v>245.5</v>
      </c>
      <c r="P1302" s="116">
        <v>255</v>
      </c>
      <c r="Q1302" s="116">
        <v>252.05</v>
      </c>
      <c r="R1302">
        <v>12817</v>
      </c>
    </row>
    <row r="1303" spans="1:18" x14ac:dyDescent="0.25">
      <c r="A1303" s="169">
        <v>43924</v>
      </c>
      <c r="B1303" s="116">
        <v>256.45</v>
      </c>
      <c r="C1303" s="116">
        <v>246.6</v>
      </c>
      <c r="D1303" s="116">
        <v>241.5</v>
      </c>
      <c r="E1303" s="116">
        <v>250</v>
      </c>
      <c r="F1303" s="116">
        <v>246.6</v>
      </c>
      <c r="G1303">
        <v>3106</v>
      </c>
      <c r="H1303" s="116"/>
      <c r="I1303" s="116"/>
      <c r="L1303" s="169">
        <v>43924</v>
      </c>
      <c r="M1303" s="116">
        <v>247.25</v>
      </c>
      <c r="N1303" s="116">
        <v>257</v>
      </c>
      <c r="O1303" s="116">
        <v>241.3</v>
      </c>
      <c r="P1303" s="116">
        <v>250</v>
      </c>
      <c r="Q1303" s="116">
        <v>247.25</v>
      </c>
      <c r="R1303">
        <v>39172</v>
      </c>
    </row>
    <row r="1304" spans="1:18" x14ac:dyDescent="0.25">
      <c r="A1304" s="169">
        <v>43928</v>
      </c>
      <c r="B1304" s="116">
        <v>271.25</v>
      </c>
      <c r="C1304" s="116">
        <v>270.39999999999998</v>
      </c>
      <c r="D1304" s="116">
        <v>255.6</v>
      </c>
      <c r="E1304" s="116">
        <v>256.7</v>
      </c>
      <c r="F1304" s="116">
        <v>270.39999999999998</v>
      </c>
      <c r="G1304">
        <v>10436</v>
      </c>
      <c r="H1304" s="116"/>
      <c r="I1304" s="116"/>
      <c r="L1304" s="169">
        <v>43928</v>
      </c>
      <c r="M1304" s="116">
        <v>271.2</v>
      </c>
      <c r="N1304" s="116">
        <v>271.95</v>
      </c>
      <c r="O1304" s="116">
        <v>252.05</v>
      </c>
      <c r="P1304" s="116">
        <v>254.05</v>
      </c>
      <c r="Q1304" s="116">
        <v>271.2</v>
      </c>
      <c r="R1304">
        <v>200799</v>
      </c>
    </row>
    <row r="1305" spans="1:18" x14ac:dyDescent="0.25">
      <c r="A1305" s="169">
        <v>43929</v>
      </c>
      <c r="B1305" s="116">
        <v>297.39999999999998</v>
      </c>
      <c r="C1305" s="116">
        <v>283.35000000000002</v>
      </c>
      <c r="D1305" s="116">
        <v>269.8</v>
      </c>
      <c r="E1305" s="116">
        <v>271.45</v>
      </c>
      <c r="F1305" s="116">
        <v>283.35000000000002</v>
      </c>
      <c r="G1305">
        <v>9778</v>
      </c>
      <c r="H1305" s="116"/>
      <c r="I1305" s="116"/>
      <c r="L1305" s="169">
        <v>43929</v>
      </c>
      <c r="M1305" s="116">
        <v>283.64999999999998</v>
      </c>
      <c r="N1305" s="116">
        <v>296</v>
      </c>
      <c r="O1305" s="116">
        <v>260.39999999999998</v>
      </c>
      <c r="P1305" s="116">
        <v>277</v>
      </c>
      <c r="Q1305" s="116">
        <v>283.64999999999998</v>
      </c>
      <c r="R1305">
        <v>70594</v>
      </c>
    </row>
    <row r="1306" spans="1:18" x14ac:dyDescent="0.25">
      <c r="A1306" s="169">
        <v>43930</v>
      </c>
      <c r="B1306" s="116">
        <v>312.05</v>
      </c>
      <c r="C1306" s="116">
        <v>310.89999999999998</v>
      </c>
      <c r="D1306" s="116">
        <v>291</v>
      </c>
      <c r="E1306" s="116">
        <v>291</v>
      </c>
      <c r="F1306" s="116">
        <v>310.89999999999998</v>
      </c>
      <c r="G1306">
        <v>7219</v>
      </c>
      <c r="H1306" s="116"/>
      <c r="I1306" s="116"/>
      <c r="L1306" s="169">
        <v>43930</v>
      </c>
      <c r="M1306" s="116">
        <v>310.8</v>
      </c>
      <c r="N1306" s="116">
        <v>318</v>
      </c>
      <c r="O1306" s="116">
        <v>287.25</v>
      </c>
      <c r="P1306" s="116">
        <v>287.25</v>
      </c>
      <c r="Q1306" s="116">
        <v>310.8</v>
      </c>
      <c r="R1306">
        <v>84468</v>
      </c>
    </row>
    <row r="1307" spans="1:18" x14ac:dyDescent="0.25">
      <c r="A1307" s="169">
        <v>43934</v>
      </c>
      <c r="B1307" s="116">
        <v>347.7</v>
      </c>
      <c r="C1307" s="116">
        <v>315.5</v>
      </c>
      <c r="D1307" s="116">
        <v>304.7</v>
      </c>
      <c r="E1307" s="116">
        <v>315.75</v>
      </c>
      <c r="F1307" s="116">
        <v>315.5</v>
      </c>
      <c r="G1307">
        <v>9521</v>
      </c>
      <c r="H1307" s="116"/>
      <c r="I1307" s="116"/>
      <c r="L1307" s="169">
        <v>43934</v>
      </c>
      <c r="M1307" s="116">
        <v>315.3</v>
      </c>
      <c r="N1307" s="116">
        <v>332.3</v>
      </c>
      <c r="O1307" s="116">
        <v>304.95</v>
      </c>
      <c r="P1307" s="116">
        <v>317</v>
      </c>
      <c r="Q1307" s="116">
        <v>315.3</v>
      </c>
      <c r="R1307">
        <v>82177</v>
      </c>
    </row>
    <row r="1308" spans="1:18" x14ac:dyDescent="0.25">
      <c r="A1308" s="169">
        <v>43936</v>
      </c>
      <c r="B1308" s="116">
        <v>340</v>
      </c>
      <c r="C1308" s="116">
        <v>317.3</v>
      </c>
      <c r="D1308" s="116">
        <v>315</v>
      </c>
      <c r="E1308" s="116">
        <v>316</v>
      </c>
      <c r="F1308" s="116">
        <v>317.3</v>
      </c>
      <c r="G1308">
        <v>7602</v>
      </c>
      <c r="H1308" s="116"/>
      <c r="I1308" s="116"/>
      <c r="L1308" s="169">
        <v>43936</v>
      </c>
      <c r="M1308" s="116">
        <v>318.2</v>
      </c>
      <c r="N1308" s="116">
        <v>340.9</v>
      </c>
      <c r="O1308" s="116">
        <v>315.5</v>
      </c>
      <c r="P1308" s="116">
        <v>315.5</v>
      </c>
      <c r="Q1308" s="116">
        <v>318.2</v>
      </c>
      <c r="R1308">
        <v>67871</v>
      </c>
    </row>
    <row r="1309" spans="1:18" x14ac:dyDescent="0.25">
      <c r="A1309" s="169">
        <v>43937</v>
      </c>
      <c r="B1309" s="116">
        <v>363</v>
      </c>
      <c r="C1309" s="116">
        <v>351.85</v>
      </c>
      <c r="D1309" s="116">
        <v>322.3</v>
      </c>
      <c r="E1309" s="116">
        <v>322.3</v>
      </c>
      <c r="F1309" s="116">
        <v>351.85</v>
      </c>
      <c r="G1309">
        <v>11004</v>
      </c>
      <c r="H1309" s="116"/>
      <c r="I1309" s="116"/>
      <c r="L1309" s="169">
        <v>43937</v>
      </c>
      <c r="M1309" s="116">
        <v>352.35</v>
      </c>
      <c r="N1309" s="116">
        <v>362</v>
      </c>
      <c r="O1309" s="116">
        <v>319.60000000000002</v>
      </c>
      <c r="P1309" s="116">
        <v>319.64999999999998</v>
      </c>
      <c r="Q1309" s="116">
        <v>352.35</v>
      </c>
      <c r="R1309">
        <v>94220</v>
      </c>
    </row>
    <row r="1310" spans="1:18" x14ac:dyDescent="0.25">
      <c r="A1310" s="169">
        <v>43938</v>
      </c>
      <c r="B1310" s="116">
        <v>373</v>
      </c>
      <c r="C1310" s="116">
        <v>356.55</v>
      </c>
      <c r="D1310" s="116">
        <v>350</v>
      </c>
      <c r="E1310" s="116">
        <v>369</v>
      </c>
      <c r="F1310" s="116">
        <v>356.55</v>
      </c>
      <c r="G1310">
        <v>6739</v>
      </c>
      <c r="H1310" s="116"/>
      <c r="I1310" s="116"/>
      <c r="L1310" s="169">
        <v>43938</v>
      </c>
      <c r="M1310" s="116">
        <v>355.8</v>
      </c>
      <c r="N1310" s="116">
        <v>374</v>
      </c>
      <c r="O1310" s="116">
        <v>348</v>
      </c>
      <c r="P1310" s="116">
        <v>362</v>
      </c>
      <c r="Q1310" s="116">
        <v>355.8</v>
      </c>
      <c r="R1310">
        <v>62081</v>
      </c>
    </row>
    <row r="1311" spans="1:18" x14ac:dyDescent="0.25">
      <c r="A1311" s="169">
        <v>43941</v>
      </c>
      <c r="B1311" s="116">
        <v>357.95</v>
      </c>
      <c r="C1311" s="116">
        <v>352.6</v>
      </c>
      <c r="D1311" s="116">
        <v>335.05</v>
      </c>
      <c r="E1311" s="116">
        <v>355</v>
      </c>
      <c r="F1311" s="116">
        <v>352.6</v>
      </c>
      <c r="G1311">
        <v>5067</v>
      </c>
      <c r="H1311" s="116"/>
      <c r="I1311" s="116"/>
      <c r="L1311" s="169">
        <v>43941</v>
      </c>
      <c r="M1311" s="116">
        <v>350.35</v>
      </c>
      <c r="N1311" s="116">
        <v>358</v>
      </c>
      <c r="O1311" s="116">
        <v>343.55</v>
      </c>
      <c r="P1311" s="116">
        <v>358</v>
      </c>
      <c r="Q1311" s="116">
        <v>350.35</v>
      </c>
      <c r="R1311">
        <v>26356</v>
      </c>
    </row>
    <row r="1312" spans="1:18" x14ac:dyDescent="0.25">
      <c r="A1312" s="169">
        <v>43942</v>
      </c>
      <c r="B1312" s="116">
        <v>341.35</v>
      </c>
      <c r="C1312" s="116">
        <v>334.6</v>
      </c>
      <c r="D1312" s="116">
        <v>333</v>
      </c>
      <c r="E1312" s="116">
        <v>336</v>
      </c>
      <c r="F1312" s="116">
        <v>334.6</v>
      </c>
      <c r="G1312">
        <v>3747</v>
      </c>
      <c r="H1312" s="116"/>
      <c r="I1312" s="116"/>
      <c r="L1312" s="169">
        <v>43942</v>
      </c>
      <c r="M1312" s="116">
        <v>334.05</v>
      </c>
      <c r="N1312" s="116">
        <v>347</v>
      </c>
      <c r="O1312" s="116">
        <v>330.25</v>
      </c>
      <c r="P1312" s="116">
        <v>347</v>
      </c>
      <c r="Q1312" s="116">
        <v>334.05</v>
      </c>
      <c r="R1312">
        <v>31708</v>
      </c>
    </row>
    <row r="1313" spans="1:18" x14ac:dyDescent="0.25">
      <c r="A1313" s="169">
        <v>43943</v>
      </c>
      <c r="B1313" s="116">
        <v>401.5</v>
      </c>
      <c r="C1313" s="116">
        <v>391.75</v>
      </c>
      <c r="D1313" s="116">
        <v>320.5</v>
      </c>
      <c r="E1313" s="116">
        <v>320.5</v>
      </c>
      <c r="F1313" s="116">
        <v>391.75</v>
      </c>
      <c r="G1313">
        <v>40351</v>
      </c>
      <c r="H1313" s="116"/>
      <c r="I1313" s="116"/>
      <c r="L1313" s="169">
        <v>43943</v>
      </c>
      <c r="M1313" s="116">
        <v>393.85</v>
      </c>
      <c r="N1313" s="116">
        <v>400.85</v>
      </c>
      <c r="O1313" s="116">
        <v>327</v>
      </c>
      <c r="P1313" s="116">
        <v>334</v>
      </c>
      <c r="Q1313" s="116">
        <v>393.85</v>
      </c>
      <c r="R1313">
        <v>435344</v>
      </c>
    </row>
    <row r="1314" spans="1:18" x14ac:dyDescent="0.25">
      <c r="A1314" s="169">
        <v>43944</v>
      </c>
      <c r="B1314" s="116">
        <v>406</v>
      </c>
      <c r="C1314" s="116">
        <v>382.85</v>
      </c>
      <c r="D1314" s="116">
        <v>380</v>
      </c>
      <c r="E1314" s="116">
        <v>399.9</v>
      </c>
      <c r="F1314" s="116">
        <v>382.85</v>
      </c>
      <c r="G1314">
        <v>10871</v>
      </c>
      <c r="H1314" s="116"/>
      <c r="I1314" s="116"/>
      <c r="L1314" s="169">
        <v>43944</v>
      </c>
      <c r="M1314" s="116">
        <v>383.45</v>
      </c>
      <c r="N1314" s="116">
        <v>399.9</v>
      </c>
      <c r="O1314" s="116">
        <v>380</v>
      </c>
      <c r="P1314" s="116">
        <v>397</v>
      </c>
      <c r="Q1314" s="116">
        <v>383.45</v>
      </c>
      <c r="R1314">
        <v>121229</v>
      </c>
    </row>
    <row r="1315" spans="1:18" x14ac:dyDescent="0.25">
      <c r="A1315" s="169">
        <v>43945</v>
      </c>
      <c r="B1315" s="116">
        <v>421.95</v>
      </c>
      <c r="C1315" s="116">
        <v>405.1</v>
      </c>
      <c r="D1315" s="116">
        <v>371</v>
      </c>
      <c r="E1315" s="116">
        <v>380</v>
      </c>
      <c r="F1315" s="116">
        <v>405.1</v>
      </c>
      <c r="G1315">
        <v>11840</v>
      </c>
      <c r="H1315" s="116"/>
      <c r="I1315" s="116"/>
      <c r="L1315" s="169">
        <v>43945</v>
      </c>
      <c r="M1315" s="116">
        <v>404.9</v>
      </c>
      <c r="N1315" s="116">
        <v>418.8</v>
      </c>
      <c r="O1315" s="116">
        <v>369.95</v>
      </c>
      <c r="P1315" s="116">
        <v>370.15</v>
      </c>
      <c r="Q1315" s="116">
        <v>404.9</v>
      </c>
      <c r="R1315">
        <v>183019</v>
      </c>
    </row>
    <row r="1316" spans="1:18" x14ac:dyDescent="0.25">
      <c r="A1316" s="169">
        <v>43948</v>
      </c>
      <c r="B1316" s="116">
        <v>458</v>
      </c>
      <c r="C1316" s="116">
        <v>443.4</v>
      </c>
      <c r="D1316" s="116">
        <v>392.65</v>
      </c>
      <c r="E1316" s="116">
        <v>412.7</v>
      </c>
      <c r="F1316" s="116">
        <v>443.4</v>
      </c>
      <c r="G1316">
        <v>22437</v>
      </c>
      <c r="H1316" s="116"/>
      <c r="I1316" s="116"/>
      <c r="L1316" s="169">
        <v>43948</v>
      </c>
      <c r="M1316" s="116">
        <v>443.55</v>
      </c>
      <c r="N1316" s="116">
        <v>455</v>
      </c>
      <c r="O1316" s="116">
        <v>397.3</v>
      </c>
      <c r="P1316" s="116">
        <v>405</v>
      </c>
      <c r="Q1316" s="116">
        <v>443.55</v>
      </c>
      <c r="R1316">
        <v>359990</v>
      </c>
    </row>
    <row r="1317" spans="1:18" x14ac:dyDescent="0.25">
      <c r="A1317" s="169">
        <v>43949</v>
      </c>
      <c r="B1317" s="116">
        <v>485</v>
      </c>
      <c r="C1317" s="116">
        <v>449.95</v>
      </c>
      <c r="D1317" s="116">
        <v>445</v>
      </c>
      <c r="E1317" s="116">
        <v>475</v>
      </c>
      <c r="F1317" s="116">
        <v>449.95</v>
      </c>
      <c r="G1317">
        <v>38560</v>
      </c>
      <c r="H1317" s="116"/>
      <c r="I1317" s="116"/>
      <c r="L1317" s="169">
        <v>43949</v>
      </c>
      <c r="M1317" s="116">
        <v>450.4</v>
      </c>
      <c r="N1317" s="116">
        <v>482.7</v>
      </c>
      <c r="O1317" s="116">
        <v>445.1</v>
      </c>
      <c r="P1317" s="116">
        <v>478.95</v>
      </c>
      <c r="Q1317" s="116">
        <v>450.4</v>
      </c>
      <c r="R1317">
        <v>387121</v>
      </c>
    </row>
    <row r="1318" spans="1:18" x14ac:dyDescent="0.25">
      <c r="A1318" s="169">
        <v>43950</v>
      </c>
      <c r="B1318" s="116">
        <v>449.65</v>
      </c>
      <c r="C1318" s="116">
        <v>426.35</v>
      </c>
      <c r="D1318" s="116">
        <v>425</v>
      </c>
      <c r="E1318" s="116">
        <v>449.65</v>
      </c>
      <c r="F1318" s="116">
        <v>426.35</v>
      </c>
      <c r="G1318">
        <v>17478</v>
      </c>
      <c r="H1318" s="116"/>
      <c r="I1318" s="116"/>
      <c r="L1318" s="169">
        <v>43950</v>
      </c>
      <c r="M1318" s="116">
        <v>426.45</v>
      </c>
      <c r="N1318" s="116">
        <v>454.95</v>
      </c>
      <c r="O1318" s="116">
        <v>425</v>
      </c>
      <c r="P1318" s="116">
        <v>450.05</v>
      </c>
      <c r="Q1318" s="116">
        <v>426.45</v>
      </c>
      <c r="R1318">
        <v>122706</v>
      </c>
    </row>
    <row r="1319" spans="1:18" x14ac:dyDescent="0.25">
      <c r="A1319" s="169">
        <v>43951</v>
      </c>
      <c r="B1319" s="116">
        <v>441</v>
      </c>
      <c r="C1319" s="116">
        <v>410</v>
      </c>
      <c r="D1319" s="116">
        <v>408</v>
      </c>
      <c r="E1319" s="116">
        <v>430.75</v>
      </c>
      <c r="F1319" s="116">
        <v>410</v>
      </c>
      <c r="G1319">
        <v>14045</v>
      </c>
      <c r="H1319" s="116"/>
      <c r="I1319" s="116"/>
      <c r="L1319" s="169">
        <v>43951</v>
      </c>
      <c r="M1319" s="116">
        <v>409.9</v>
      </c>
      <c r="N1319" s="116">
        <v>442.75</v>
      </c>
      <c r="O1319" s="116">
        <v>407.7</v>
      </c>
      <c r="P1319" s="116">
        <v>428.1</v>
      </c>
      <c r="Q1319" s="116">
        <v>409.9</v>
      </c>
      <c r="R1319">
        <v>141860</v>
      </c>
    </row>
    <row r="1320" spans="1:18" x14ac:dyDescent="0.25">
      <c r="A1320" s="169">
        <v>43955</v>
      </c>
      <c r="B1320" s="116">
        <v>423</v>
      </c>
      <c r="C1320" s="116">
        <v>404</v>
      </c>
      <c r="D1320" s="116">
        <v>381.25</v>
      </c>
      <c r="E1320" s="116">
        <v>406</v>
      </c>
      <c r="F1320" s="116">
        <v>404</v>
      </c>
      <c r="G1320">
        <v>15999</v>
      </c>
      <c r="H1320" s="116"/>
      <c r="I1320" s="116"/>
      <c r="L1320" s="169">
        <v>43955</v>
      </c>
      <c r="M1320" s="116">
        <v>404</v>
      </c>
      <c r="N1320" s="116">
        <v>423.25</v>
      </c>
      <c r="O1320" s="116">
        <v>381</v>
      </c>
      <c r="P1320" s="116">
        <v>392.25</v>
      </c>
      <c r="Q1320" s="116">
        <v>404</v>
      </c>
      <c r="R1320">
        <v>199245</v>
      </c>
    </row>
    <row r="1321" spans="1:18" x14ac:dyDescent="0.25">
      <c r="A1321" s="169">
        <v>43956</v>
      </c>
      <c r="B1321" s="116">
        <v>425</v>
      </c>
      <c r="C1321" s="116">
        <v>394.4</v>
      </c>
      <c r="D1321" s="116">
        <v>391</v>
      </c>
      <c r="E1321" s="116">
        <v>422</v>
      </c>
      <c r="F1321" s="116">
        <v>394.4</v>
      </c>
      <c r="G1321">
        <v>10042</v>
      </c>
      <c r="H1321" s="116"/>
      <c r="I1321" s="116"/>
      <c r="L1321" s="169">
        <v>43956</v>
      </c>
      <c r="M1321" s="116">
        <v>394.05</v>
      </c>
      <c r="N1321" s="116">
        <v>419.45</v>
      </c>
      <c r="O1321" s="116">
        <v>391</v>
      </c>
      <c r="P1321" s="116">
        <v>407.15</v>
      </c>
      <c r="Q1321" s="116">
        <v>394.05</v>
      </c>
      <c r="R1321">
        <v>90496</v>
      </c>
    </row>
    <row r="1322" spans="1:18" x14ac:dyDescent="0.25">
      <c r="A1322" s="169">
        <v>43957</v>
      </c>
      <c r="B1322" s="116">
        <v>410.4</v>
      </c>
      <c r="C1322" s="116">
        <v>395</v>
      </c>
      <c r="D1322" s="116">
        <v>388</v>
      </c>
      <c r="E1322" s="116">
        <v>400</v>
      </c>
      <c r="F1322" s="116">
        <v>395</v>
      </c>
      <c r="G1322">
        <v>11186</v>
      </c>
      <c r="H1322" s="116"/>
      <c r="I1322" s="116"/>
      <c r="L1322" s="169">
        <v>43957</v>
      </c>
      <c r="M1322" s="116">
        <v>393.9</v>
      </c>
      <c r="N1322" s="116">
        <v>410</v>
      </c>
      <c r="O1322" s="116">
        <v>388</v>
      </c>
      <c r="P1322" s="116">
        <v>398.8</v>
      </c>
      <c r="Q1322" s="116">
        <v>393.9</v>
      </c>
      <c r="R1322">
        <v>79508</v>
      </c>
    </row>
    <row r="1323" spans="1:18" x14ac:dyDescent="0.25">
      <c r="A1323" s="169">
        <v>43958</v>
      </c>
      <c r="B1323" s="116">
        <v>398.75</v>
      </c>
      <c r="C1323" s="116">
        <v>388.1</v>
      </c>
      <c r="D1323" s="116">
        <v>386</v>
      </c>
      <c r="E1323" s="116">
        <v>396</v>
      </c>
      <c r="F1323" s="116">
        <v>388.1</v>
      </c>
      <c r="G1323">
        <v>5628</v>
      </c>
      <c r="H1323" s="116"/>
      <c r="I1323" s="116"/>
      <c r="L1323" s="169">
        <v>43958</v>
      </c>
      <c r="M1323" s="116">
        <v>388.4</v>
      </c>
      <c r="N1323" s="116">
        <v>398.65</v>
      </c>
      <c r="O1323" s="116">
        <v>385.6</v>
      </c>
      <c r="P1323" s="116">
        <v>393.7</v>
      </c>
      <c r="Q1323" s="116">
        <v>388.4</v>
      </c>
      <c r="R1323">
        <v>58802</v>
      </c>
    </row>
    <row r="1324" spans="1:18" x14ac:dyDescent="0.25">
      <c r="A1324" s="169">
        <v>43959</v>
      </c>
      <c r="B1324" s="116">
        <v>396.4</v>
      </c>
      <c r="C1324" s="116">
        <v>384.2</v>
      </c>
      <c r="D1324" s="116">
        <v>381.45</v>
      </c>
      <c r="E1324" s="116">
        <v>393.65</v>
      </c>
      <c r="F1324" s="116">
        <v>384.2</v>
      </c>
      <c r="G1324">
        <v>6023</v>
      </c>
      <c r="H1324" s="116"/>
      <c r="I1324" s="116"/>
      <c r="L1324" s="169">
        <v>43959</v>
      </c>
      <c r="M1324" s="116">
        <v>383.35</v>
      </c>
      <c r="N1324" s="116">
        <v>395.75</v>
      </c>
      <c r="O1324" s="116">
        <v>381</v>
      </c>
      <c r="P1324" s="116">
        <v>390.35</v>
      </c>
      <c r="Q1324" s="116">
        <v>383.35</v>
      </c>
      <c r="R1324">
        <v>51819</v>
      </c>
    </row>
    <row r="1325" spans="1:18" x14ac:dyDescent="0.25">
      <c r="A1325" s="169">
        <v>43962</v>
      </c>
      <c r="B1325" s="116">
        <v>388.35</v>
      </c>
      <c r="C1325" s="116">
        <v>376.7</v>
      </c>
      <c r="D1325" s="116">
        <v>375.65</v>
      </c>
      <c r="E1325" s="116">
        <v>385</v>
      </c>
      <c r="F1325" s="116">
        <v>376.7</v>
      </c>
      <c r="G1325">
        <v>2655</v>
      </c>
      <c r="H1325" s="116"/>
      <c r="I1325" s="116"/>
      <c r="L1325" s="169">
        <v>43962</v>
      </c>
      <c r="M1325" s="116">
        <v>376.2</v>
      </c>
      <c r="N1325" s="116">
        <v>387.95</v>
      </c>
      <c r="O1325" s="116">
        <v>375</v>
      </c>
      <c r="P1325" s="116">
        <v>385.3</v>
      </c>
      <c r="Q1325" s="116">
        <v>376.2</v>
      </c>
      <c r="R1325">
        <v>45405</v>
      </c>
    </row>
    <row r="1326" spans="1:18" x14ac:dyDescent="0.25">
      <c r="A1326" s="169">
        <v>43963</v>
      </c>
      <c r="B1326" s="116">
        <v>381.35</v>
      </c>
      <c r="C1326" s="116">
        <v>375.55</v>
      </c>
      <c r="D1326" s="116">
        <v>358.25</v>
      </c>
      <c r="E1326" s="116">
        <v>377.25</v>
      </c>
      <c r="F1326" s="116">
        <v>375.55</v>
      </c>
      <c r="G1326">
        <v>5065</v>
      </c>
      <c r="H1326" s="116"/>
      <c r="I1326" s="116"/>
      <c r="L1326" s="169">
        <v>43963</v>
      </c>
      <c r="M1326" s="116">
        <v>376.7</v>
      </c>
      <c r="N1326" s="116">
        <v>384</v>
      </c>
      <c r="O1326" s="116">
        <v>357.3</v>
      </c>
      <c r="P1326" s="116">
        <v>378.1</v>
      </c>
      <c r="Q1326" s="116">
        <v>376.7</v>
      </c>
      <c r="R1326">
        <v>69368</v>
      </c>
    </row>
    <row r="1327" spans="1:18" x14ac:dyDescent="0.25">
      <c r="A1327" s="169">
        <v>43964</v>
      </c>
      <c r="B1327" s="116">
        <v>398.7</v>
      </c>
      <c r="C1327" s="116">
        <v>395</v>
      </c>
      <c r="D1327" s="116">
        <v>383.2</v>
      </c>
      <c r="E1327" s="116">
        <v>385.65</v>
      </c>
      <c r="F1327" s="116">
        <v>395</v>
      </c>
      <c r="G1327">
        <v>11726</v>
      </c>
      <c r="H1327" s="116"/>
      <c r="I1327" s="116"/>
      <c r="L1327" s="169">
        <v>43964</v>
      </c>
      <c r="M1327" s="116">
        <v>393.95</v>
      </c>
      <c r="N1327" s="116">
        <v>398.2</v>
      </c>
      <c r="O1327" s="116">
        <v>380</v>
      </c>
      <c r="P1327" s="116">
        <v>390</v>
      </c>
      <c r="Q1327" s="116">
        <v>393.95</v>
      </c>
      <c r="R1327">
        <v>85243</v>
      </c>
    </row>
    <row r="1328" spans="1:18" x14ac:dyDescent="0.25">
      <c r="A1328" s="169">
        <v>43965</v>
      </c>
      <c r="B1328" s="116">
        <v>395</v>
      </c>
      <c r="C1328" s="116">
        <v>389.7</v>
      </c>
      <c r="D1328" s="116">
        <v>384.05</v>
      </c>
      <c r="E1328" s="116">
        <v>390.35</v>
      </c>
      <c r="F1328" s="116">
        <v>389.7</v>
      </c>
      <c r="G1328">
        <v>4606</v>
      </c>
      <c r="H1328" s="116"/>
      <c r="I1328" s="116"/>
      <c r="L1328" s="169">
        <v>43965</v>
      </c>
      <c r="M1328" s="116">
        <v>390.05</v>
      </c>
      <c r="N1328" s="116">
        <v>395.9</v>
      </c>
      <c r="O1328" s="116">
        <v>382.55</v>
      </c>
      <c r="P1328" s="116">
        <v>392.95</v>
      </c>
      <c r="Q1328" s="116">
        <v>390.05</v>
      </c>
      <c r="R1328">
        <v>60533</v>
      </c>
    </row>
    <row r="1329" spans="1:18" x14ac:dyDescent="0.25">
      <c r="A1329" s="169">
        <v>43966</v>
      </c>
      <c r="B1329" s="116">
        <v>407.55</v>
      </c>
      <c r="C1329" s="116">
        <v>397.1</v>
      </c>
      <c r="D1329" s="116">
        <v>384.4</v>
      </c>
      <c r="E1329" s="116">
        <v>388</v>
      </c>
      <c r="F1329" s="116">
        <v>397.1</v>
      </c>
      <c r="G1329">
        <v>8321</v>
      </c>
      <c r="H1329" s="116"/>
      <c r="I1329" s="116"/>
      <c r="L1329" s="169">
        <v>43966</v>
      </c>
      <c r="M1329" s="116">
        <v>397.45</v>
      </c>
      <c r="N1329" s="116">
        <v>408.95</v>
      </c>
      <c r="O1329" s="116">
        <v>384.05</v>
      </c>
      <c r="P1329" s="116">
        <v>392</v>
      </c>
      <c r="Q1329" s="116">
        <v>397.45</v>
      </c>
      <c r="R1329">
        <v>172098</v>
      </c>
    </row>
    <row r="1330" spans="1:18" x14ac:dyDescent="0.25">
      <c r="A1330" s="169">
        <v>43969</v>
      </c>
      <c r="B1330" s="116">
        <v>397.2</v>
      </c>
      <c r="C1330" s="116">
        <v>385.65</v>
      </c>
      <c r="D1330" s="116">
        <v>370</v>
      </c>
      <c r="E1330" s="116">
        <v>397.2</v>
      </c>
      <c r="F1330" s="116">
        <v>385.65</v>
      </c>
      <c r="G1330">
        <v>7904</v>
      </c>
      <c r="H1330" s="116"/>
      <c r="I1330" s="116"/>
      <c r="L1330" s="169">
        <v>43969</v>
      </c>
      <c r="M1330" s="116">
        <v>385.15</v>
      </c>
      <c r="N1330" s="116">
        <v>399.7</v>
      </c>
      <c r="O1330" s="116">
        <v>368.1</v>
      </c>
      <c r="P1330" s="116">
        <v>399.45</v>
      </c>
      <c r="Q1330" s="116">
        <v>385.15</v>
      </c>
      <c r="R1330">
        <v>57115</v>
      </c>
    </row>
    <row r="1331" spans="1:18" x14ac:dyDescent="0.25">
      <c r="A1331" s="169">
        <v>43970</v>
      </c>
      <c r="B1331" s="116">
        <v>405</v>
      </c>
      <c r="C1331" s="116">
        <v>369.2</v>
      </c>
      <c r="D1331" s="116">
        <v>362</v>
      </c>
      <c r="E1331" s="116">
        <v>405</v>
      </c>
      <c r="F1331" s="116">
        <v>369.2</v>
      </c>
      <c r="G1331">
        <v>3754</v>
      </c>
      <c r="H1331" s="116"/>
      <c r="I1331" s="116"/>
      <c r="L1331" s="169">
        <v>43970</v>
      </c>
      <c r="M1331" s="116">
        <v>369</v>
      </c>
      <c r="N1331" s="116">
        <v>390.95</v>
      </c>
      <c r="O1331" s="116">
        <v>356.2</v>
      </c>
      <c r="P1331" s="116">
        <v>387.1</v>
      </c>
      <c r="Q1331" s="116">
        <v>369</v>
      </c>
      <c r="R1331">
        <v>54460</v>
      </c>
    </row>
    <row r="1332" spans="1:18" x14ac:dyDescent="0.25">
      <c r="A1332" s="169">
        <v>43971</v>
      </c>
      <c r="B1332" s="116">
        <v>402.1</v>
      </c>
      <c r="C1332" s="116">
        <v>380.55</v>
      </c>
      <c r="D1332" s="116">
        <v>375</v>
      </c>
      <c r="E1332" s="116">
        <v>380.75</v>
      </c>
      <c r="F1332" s="116">
        <v>380.55</v>
      </c>
      <c r="G1332">
        <v>7188</v>
      </c>
      <c r="H1332" s="116"/>
      <c r="I1332" s="116"/>
      <c r="L1332" s="169">
        <v>43971</v>
      </c>
      <c r="M1332" s="116">
        <v>381.2</v>
      </c>
      <c r="N1332" s="116">
        <v>407.8</v>
      </c>
      <c r="O1332" s="116">
        <v>369.85</v>
      </c>
      <c r="P1332" s="116">
        <v>369.9</v>
      </c>
      <c r="Q1332" s="116">
        <v>381.2</v>
      </c>
      <c r="R1332">
        <v>143341</v>
      </c>
    </row>
    <row r="1333" spans="1:18" x14ac:dyDescent="0.25">
      <c r="A1333" s="169">
        <v>43972</v>
      </c>
      <c r="B1333" s="116">
        <v>404.35</v>
      </c>
      <c r="C1333" s="116">
        <v>386.2</v>
      </c>
      <c r="D1333" s="116">
        <v>377.7</v>
      </c>
      <c r="E1333" s="116">
        <v>378.5</v>
      </c>
      <c r="F1333" s="116">
        <v>386.2</v>
      </c>
      <c r="G1333">
        <v>6229</v>
      </c>
      <c r="H1333" s="116"/>
      <c r="I1333" s="116"/>
      <c r="L1333" s="169">
        <v>43972</v>
      </c>
      <c r="M1333" s="116">
        <v>386.1</v>
      </c>
      <c r="N1333" s="116">
        <v>403.7</v>
      </c>
      <c r="O1333" s="116">
        <v>377.05</v>
      </c>
      <c r="P1333" s="116">
        <v>381.2</v>
      </c>
      <c r="Q1333" s="116">
        <v>386.1</v>
      </c>
      <c r="R1333">
        <v>129030</v>
      </c>
    </row>
    <row r="1334" spans="1:18" x14ac:dyDescent="0.25">
      <c r="A1334" s="169">
        <v>43973</v>
      </c>
      <c r="B1334" s="116">
        <v>397.5</v>
      </c>
      <c r="C1334" s="116">
        <v>381.8</v>
      </c>
      <c r="D1334" s="116">
        <v>375.85</v>
      </c>
      <c r="E1334" s="116">
        <v>392.05</v>
      </c>
      <c r="F1334" s="116">
        <v>381.8</v>
      </c>
      <c r="G1334">
        <v>9538</v>
      </c>
      <c r="H1334" s="116"/>
      <c r="I1334" s="116"/>
      <c r="L1334" s="169">
        <v>43973</v>
      </c>
      <c r="M1334" s="116">
        <v>382.2</v>
      </c>
      <c r="N1334" s="116">
        <v>397.7</v>
      </c>
      <c r="O1334" s="116">
        <v>378.8</v>
      </c>
      <c r="P1334" s="116">
        <v>391.1</v>
      </c>
      <c r="Q1334" s="116">
        <v>382.2</v>
      </c>
      <c r="R1334">
        <v>86077</v>
      </c>
    </row>
    <row r="1335" spans="1:18" x14ac:dyDescent="0.25">
      <c r="A1335" s="169">
        <v>43977</v>
      </c>
      <c r="B1335" s="116">
        <v>393.6</v>
      </c>
      <c r="C1335" s="116">
        <v>387.9</v>
      </c>
      <c r="D1335" s="116">
        <v>378.75</v>
      </c>
      <c r="E1335" s="116">
        <v>383</v>
      </c>
      <c r="F1335" s="116">
        <v>387.9</v>
      </c>
      <c r="G1335">
        <v>2540</v>
      </c>
      <c r="H1335" s="116"/>
      <c r="I1335" s="116"/>
      <c r="L1335" s="169">
        <v>43977</v>
      </c>
      <c r="M1335" s="116">
        <v>387.85</v>
      </c>
      <c r="N1335" s="116">
        <v>394.7</v>
      </c>
      <c r="O1335" s="116">
        <v>379</v>
      </c>
      <c r="P1335" s="116">
        <v>382.5</v>
      </c>
      <c r="Q1335" s="116">
        <v>387.85</v>
      </c>
      <c r="R1335">
        <v>68003</v>
      </c>
    </row>
    <row r="1336" spans="1:18" x14ac:dyDescent="0.25">
      <c r="A1336" s="169">
        <v>43978</v>
      </c>
      <c r="B1336" s="116">
        <v>428.95</v>
      </c>
      <c r="C1336" s="116">
        <v>404.6</v>
      </c>
      <c r="D1336" s="116">
        <v>384.8</v>
      </c>
      <c r="E1336" s="116">
        <v>390</v>
      </c>
      <c r="F1336" s="116">
        <v>404.6</v>
      </c>
      <c r="G1336">
        <v>48668</v>
      </c>
      <c r="H1336" s="116"/>
      <c r="I1336" s="116"/>
      <c r="L1336" s="169">
        <v>43978</v>
      </c>
      <c r="M1336" s="116">
        <v>405.4</v>
      </c>
      <c r="N1336" s="116">
        <v>428.7</v>
      </c>
      <c r="O1336" s="116">
        <v>383.95</v>
      </c>
      <c r="P1336" s="116">
        <v>388.05</v>
      </c>
      <c r="Q1336" s="116">
        <v>405.4</v>
      </c>
      <c r="R1336">
        <v>996763</v>
      </c>
    </row>
    <row r="1337" spans="1:18" x14ac:dyDescent="0.25">
      <c r="A1337" s="169">
        <v>43979</v>
      </c>
      <c r="B1337" s="116">
        <v>420</v>
      </c>
      <c r="C1337" s="116">
        <v>408.55</v>
      </c>
      <c r="D1337" s="116">
        <v>406.7</v>
      </c>
      <c r="E1337" s="116">
        <v>408.8</v>
      </c>
      <c r="F1337" s="116">
        <v>408.55</v>
      </c>
      <c r="G1337">
        <v>8979</v>
      </c>
      <c r="H1337" s="116"/>
      <c r="I1337" s="116"/>
      <c r="L1337" s="169">
        <v>43979</v>
      </c>
      <c r="M1337" s="116">
        <v>408.55</v>
      </c>
      <c r="N1337" s="116">
        <v>419.9</v>
      </c>
      <c r="O1337" s="116">
        <v>405.45</v>
      </c>
      <c r="P1337" s="116">
        <v>407</v>
      </c>
      <c r="Q1337" s="116">
        <v>408.55</v>
      </c>
      <c r="R1337">
        <v>182564</v>
      </c>
    </row>
    <row r="1338" spans="1:18" x14ac:dyDescent="0.25">
      <c r="A1338" s="169">
        <v>43980</v>
      </c>
      <c r="B1338" s="116">
        <v>415.4</v>
      </c>
      <c r="C1338" s="116">
        <v>403.45</v>
      </c>
      <c r="D1338" s="116">
        <v>400.75</v>
      </c>
      <c r="E1338" s="116">
        <v>408.5</v>
      </c>
      <c r="F1338" s="116">
        <v>403.45</v>
      </c>
      <c r="G1338">
        <v>5904</v>
      </c>
      <c r="H1338" s="116"/>
      <c r="I1338" s="116"/>
      <c r="L1338" s="169">
        <v>43980</v>
      </c>
      <c r="M1338" s="116">
        <v>403.35</v>
      </c>
      <c r="N1338" s="116">
        <v>415.25</v>
      </c>
      <c r="O1338" s="116">
        <v>400</v>
      </c>
      <c r="P1338" s="116">
        <v>410.9</v>
      </c>
      <c r="Q1338" s="116">
        <v>403.35</v>
      </c>
      <c r="R1338">
        <v>78250</v>
      </c>
    </row>
    <row r="1339" spans="1:18" x14ac:dyDescent="0.25">
      <c r="A1339" s="169">
        <v>43983</v>
      </c>
      <c r="B1339" s="116">
        <v>413.7</v>
      </c>
      <c r="C1339" s="116">
        <v>405.35</v>
      </c>
      <c r="D1339" s="116">
        <v>403</v>
      </c>
      <c r="E1339" s="116">
        <v>403</v>
      </c>
      <c r="F1339" s="116">
        <v>405.35</v>
      </c>
      <c r="G1339">
        <v>5617</v>
      </c>
      <c r="H1339" s="116"/>
      <c r="I1339" s="116"/>
      <c r="L1339" s="169">
        <v>43983</v>
      </c>
      <c r="M1339" s="116">
        <v>405.3</v>
      </c>
      <c r="N1339" s="116">
        <v>414.05</v>
      </c>
      <c r="O1339" s="116">
        <v>403</v>
      </c>
      <c r="P1339" s="116">
        <v>407.35</v>
      </c>
      <c r="Q1339" s="116">
        <v>405.3</v>
      </c>
      <c r="R1339">
        <v>81162</v>
      </c>
    </row>
    <row r="1340" spans="1:18" x14ac:dyDescent="0.25">
      <c r="A1340" s="169">
        <v>43984</v>
      </c>
      <c r="B1340" s="116">
        <v>413.35</v>
      </c>
      <c r="C1340" s="116">
        <v>403.2</v>
      </c>
      <c r="D1340" s="116">
        <v>397.55</v>
      </c>
      <c r="E1340" s="116">
        <v>407</v>
      </c>
      <c r="F1340" s="116">
        <v>403.2</v>
      </c>
      <c r="G1340">
        <v>4407</v>
      </c>
      <c r="H1340" s="116"/>
      <c r="I1340" s="116"/>
      <c r="L1340" s="169">
        <v>43984</v>
      </c>
      <c r="M1340" s="116">
        <v>402.05</v>
      </c>
      <c r="N1340" s="116">
        <v>413.65</v>
      </c>
      <c r="O1340" s="116">
        <v>398.2</v>
      </c>
      <c r="P1340" s="116">
        <v>407</v>
      </c>
      <c r="Q1340" s="116">
        <v>402.05</v>
      </c>
      <c r="R1340">
        <v>73779</v>
      </c>
    </row>
    <row r="1341" spans="1:18" x14ac:dyDescent="0.25">
      <c r="A1341" s="169">
        <v>43985</v>
      </c>
      <c r="B1341" s="116">
        <v>407.15</v>
      </c>
      <c r="C1341" s="116">
        <v>399.5</v>
      </c>
      <c r="D1341" s="116">
        <v>397.5</v>
      </c>
      <c r="E1341" s="116">
        <v>405.25</v>
      </c>
      <c r="F1341" s="116">
        <v>399.5</v>
      </c>
      <c r="G1341">
        <v>5641</v>
      </c>
      <c r="H1341" s="116"/>
      <c r="I1341" s="116"/>
      <c r="L1341" s="169">
        <v>43985</v>
      </c>
      <c r="M1341" s="116">
        <v>399.4</v>
      </c>
      <c r="N1341" s="116">
        <v>408</v>
      </c>
      <c r="O1341" s="116">
        <v>397.5</v>
      </c>
      <c r="P1341" s="116">
        <v>404.95</v>
      </c>
      <c r="Q1341" s="116">
        <v>399.4</v>
      </c>
      <c r="R1341">
        <v>81818</v>
      </c>
    </row>
    <row r="1342" spans="1:18" x14ac:dyDescent="0.25">
      <c r="A1342" s="169">
        <v>43986</v>
      </c>
      <c r="B1342" s="116">
        <v>399.8</v>
      </c>
      <c r="C1342" s="116">
        <v>392.45</v>
      </c>
      <c r="D1342" s="116">
        <v>390.7</v>
      </c>
      <c r="E1342" s="116">
        <v>399.8</v>
      </c>
      <c r="F1342" s="116">
        <v>392.45</v>
      </c>
      <c r="G1342">
        <v>1662</v>
      </c>
      <c r="H1342" s="116"/>
      <c r="I1342" s="116"/>
      <c r="L1342" s="169">
        <v>43986</v>
      </c>
      <c r="M1342" s="116">
        <v>391.85</v>
      </c>
      <c r="N1342" s="116">
        <v>402.2</v>
      </c>
      <c r="O1342" s="116">
        <v>390.45</v>
      </c>
      <c r="P1342" s="116">
        <v>402.2</v>
      </c>
      <c r="Q1342" s="116">
        <v>391.85</v>
      </c>
      <c r="R1342">
        <v>52857</v>
      </c>
    </row>
    <row r="1343" spans="1:18" x14ac:dyDescent="0.25">
      <c r="A1343" s="169">
        <v>43987</v>
      </c>
      <c r="B1343" s="116">
        <v>407</v>
      </c>
      <c r="C1343" s="116">
        <v>397.05</v>
      </c>
      <c r="D1343" s="116">
        <v>394.15</v>
      </c>
      <c r="E1343" s="116">
        <v>407</v>
      </c>
      <c r="F1343" s="116">
        <v>397.05</v>
      </c>
      <c r="G1343">
        <v>5124</v>
      </c>
      <c r="H1343" s="116"/>
      <c r="I1343" s="116"/>
      <c r="L1343" s="169">
        <v>43987</v>
      </c>
      <c r="M1343" s="116">
        <v>397.5</v>
      </c>
      <c r="N1343" s="116">
        <v>403</v>
      </c>
      <c r="O1343" s="116">
        <v>393.35</v>
      </c>
      <c r="P1343" s="116">
        <v>393.85</v>
      </c>
      <c r="Q1343" s="116">
        <v>397.5</v>
      </c>
      <c r="R1343">
        <v>76919</v>
      </c>
    </row>
    <row r="1344" spans="1:18" x14ac:dyDescent="0.25">
      <c r="A1344" s="169">
        <v>43990</v>
      </c>
      <c r="B1344" s="116">
        <v>412</v>
      </c>
      <c r="C1344" s="116">
        <v>409.45</v>
      </c>
      <c r="D1344" s="116">
        <v>396.7</v>
      </c>
      <c r="E1344" s="116">
        <v>401.35</v>
      </c>
      <c r="F1344" s="116">
        <v>409.45</v>
      </c>
      <c r="G1344">
        <v>6788</v>
      </c>
      <c r="H1344" s="116"/>
      <c r="I1344" s="116"/>
      <c r="L1344" s="169">
        <v>43990</v>
      </c>
      <c r="M1344" s="116">
        <v>408.2</v>
      </c>
      <c r="N1344" s="116">
        <v>412</v>
      </c>
      <c r="O1344" s="116">
        <v>396.55</v>
      </c>
      <c r="P1344" s="116">
        <v>400.45</v>
      </c>
      <c r="Q1344" s="116">
        <v>408.2</v>
      </c>
      <c r="R1344">
        <v>92402</v>
      </c>
    </row>
    <row r="1345" spans="1:18" x14ac:dyDescent="0.25">
      <c r="A1345" s="169">
        <v>43991</v>
      </c>
      <c r="B1345" s="116">
        <v>411</v>
      </c>
      <c r="C1345" s="116">
        <v>395.6</v>
      </c>
      <c r="D1345" s="116">
        <v>391.3</v>
      </c>
      <c r="E1345" s="116">
        <v>411</v>
      </c>
      <c r="F1345" s="116">
        <v>395.6</v>
      </c>
      <c r="G1345">
        <v>3848</v>
      </c>
      <c r="H1345" s="116"/>
      <c r="I1345" s="116"/>
      <c r="L1345" s="169">
        <v>43991</v>
      </c>
      <c r="M1345" s="116">
        <v>395.95</v>
      </c>
      <c r="N1345" s="116">
        <v>410</v>
      </c>
      <c r="O1345" s="116">
        <v>390</v>
      </c>
      <c r="P1345" s="116">
        <v>410</v>
      </c>
      <c r="Q1345" s="116">
        <v>395.95</v>
      </c>
      <c r="R1345">
        <v>52178</v>
      </c>
    </row>
    <row r="1346" spans="1:18" x14ac:dyDescent="0.25">
      <c r="A1346" s="169">
        <v>43992</v>
      </c>
      <c r="B1346" s="116">
        <v>401</v>
      </c>
      <c r="C1346" s="116">
        <v>394.3</v>
      </c>
      <c r="D1346" s="116">
        <v>389.2</v>
      </c>
      <c r="E1346" s="116">
        <v>392.6</v>
      </c>
      <c r="F1346" s="116">
        <v>394.3</v>
      </c>
      <c r="G1346">
        <v>3042</v>
      </c>
      <c r="H1346" s="116"/>
      <c r="I1346" s="116"/>
      <c r="L1346" s="169">
        <v>43992</v>
      </c>
      <c r="M1346" s="116">
        <v>394.25</v>
      </c>
      <c r="N1346" s="116">
        <v>400.25</v>
      </c>
      <c r="O1346" s="116">
        <v>389.05</v>
      </c>
      <c r="P1346" s="116">
        <v>397.8</v>
      </c>
      <c r="Q1346" s="116">
        <v>394.25</v>
      </c>
      <c r="R1346">
        <v>43002</v>
      </c>
    </row>
    <row r="1347" spans="1:18" x14ac:dyDescent="0.25">
      <c r="A1347" s="169">
        <v>43993</v>
      </c>
      <c r="B1347" s="116">
        <v>418</v>
      </c>
      <c r="C1347" s="116">
        <v>402.7</v>
      </c>
      <c r="D1347" s="116">
        <v>392</v>
      </c>
      <c r="E1347" s="116">
        <v>404.8</v>
      </c>
      <c r="F1347" s="116">
        <v>402.7</v>
      </c>
      <c r="G1347">
        <v>8119</v>
      </c>
      <c r="H1347" s="116"/>
      <c r="I1347" s="116"/>
      <c r="L1347" s="169">
        <v>43993</v>
      </c>
      <c r="M1347" s="116">
        <v>402.95</v>
      </c>
      <c r="N1347" s="116">
        <v>418.4</v>
      </c>
      <c r="O1347" s="116">
        <v>390.3</v>
      </c>
      <c r="P1347" s="116">
        <v>395</v>
      </c>
      <c r="Q1347" s="116">
        <v>402.95</v>
      </c>
      <c r="R1347">
        <v>165542</v>
      </c>
    </row>
    <row r="1348" spans="1:18" x14ac:dyDescent="0.25">
      <c r="A1348" s="169">
        <v>43994</v>
      </c>
      <c r="B1348" s="116">
        <v>401.9</v>
      </c>
      <c r="C1348" s="116">
        <v>398.6</v>
      </c>
      <c r="D1348" s="116">
        <v>391.5</v>
      </c>
      <c r="E1348" s="116">
        <v>393.9</v>
      </c>
      <c r="F1348" s="116">
        <v>398.6</v>
      </c>
      <c r="G1348">
        <v>3629</v>
      </c>
      <c r="H1348" s="116"/>
      <c r="I1348" s="116"/>
      <c r="L1348" s="169">
        <v>43994</v>
      </c>
      <c r="M1348" s="116">
        <v>398.5</v>
      </c>
      <c r="N1348" s="116">
        <v>402</v>
      </c>
      <c r="O1348" s="116">
        <v>389.9</v>
      </c>
      <c r="P1348" s="116">
        <v>390</v>
      </c>
      <c r="Q1348" s="116">
        <v>398.5</v>
      </c>
      <c r="R1348">
        <v>73288</v>
      </c>
    </row>
    <row r="1349" spans="1:18" x14ac:dyDescent="0.25">
      <c r="A1349" s="169">
        <v>43997</v>
      </c>
      <c r="B1349" s="116">
        <v>405.9</v>
      </c>
      <c r="C1349" s="116">
        <v>403.6</v>
      </c>
      <c r="D1349" s="116">
        <v>395.4</v>
      </c>
      <c r="E1349" s="116">
        <v>405.2</v>
      </c>
      <c r="F1349" s="116">
        <v>403.6</v>
      </c>
      <c r="G1349">
        <v>2859</v>
      </c>
      <c r="H1349" s="116"/>
      <c r="I1349" s="116"/>
      <c r="L1349" s="169">
        <v>43997</v>
      </c>
      <c r="M1349" s="116">
        <v>403.3</v>
      </c>
      <c r="N1349" s="116">
        <v>406.7</v>
      </c>
      <c r="O1349" s="116">
        <v>395</v>
      </c>
      <c r="P1349" s="116">
        <v>400</v>
      </c>
      <c r="Q1349" s="116">
        <v>403.3</v>
      </c>
      <c r="R1349">
        <v>59506</v>
      </c>
    </row>
    <row r="1350" spans="1:18" x14ac:dyDescent="0.25">
      <c r="A1350" s="169">
        <v>43998</v>
      </c>
      <c r="B1350" s="116">
        <v>445</v>
      </c>
      <c r="C1350" s="116">
        <v>439.2</v>
      </c>
      <c r="D1350" s="116">
        <v>403.65</v>
      </c>
      <c r="E1350" s="116">
        <v>408.6</v>
      </c>
      <c r="F1350" s="116">
        <v>439.2</v>
      </c>
      <c r="G1350">
        <v>70928</v>
      </c>
      <c r="H1350" s="116"/>
      <c r="I1350" s="116"/>
      <c r="L1350" s="169">
        <v>43998</v>
      </c>
      <c r="M1350" s="116">
        <v>439.5</v>
      </c>
      <c r="N1350" s="116">
        <v>444.85</v>
      </c>
      <c r="O1350" s="116">
        <v>404.05</v>
      </c>
      <c r="P1350" s="116">
        <v>406</v>
      </c>
      <c r="Q1350" s="116">
        <v>439.5</v>
      </c>
      <c r="R1350">
        <v>693376</v>
      </c>
    </row>
    <row r="1351" spans="1:18" x14ac:dyDescent="0.25">
      <c r="A1351" s="169">
        <v>43999</v>
      </c>
      <c r="B1351" s="116">
        <v>456.75</v>
      </c>
      <c r="C1351" s="116">
        <v>440.45</v>
      </c>
      <c r="D1351" s="116">
        <v>437</v>
      </c>
      <c r="E1351" s="116">
        <v>438</v>
      </c>
      <c r="F1351" s="116">
        <v>440.45</v>
      </c>
      <c r="G1351">
        <v>25646</v>
      </c>
      <c r="H1351" s="116"/>
      <c r="I1351" s="116"/>
      <c r="L1351" s="169">
        <v>43999</v>
      </c>
      <c r="M1351" s="116">
        <v>441.5</v>
      </c>
      <c r="N1351" s="116">
        <v>456</v>
      </c>
      <c r="O1351" s="116">
        <v>435.1</v>
      </c>
      <c r="P1351" s="116">
        <v>443.9</v>
      </c>
      <c r="Q1351" s="116">
        <v>441.5</v>
      </c>
      <c r="R1351">
        <v>494610</v>
      </c>
    </row>
    <row r="1352" spans="1:18" x14ac:dyDescent="0.25">
      <c r="A1352" s="169">
        <v>44000</v>
      </c>
      <c r="B1352" s="116">
        <v>443.6</v>
      </c>
      <c r="C1352" s="116">
        <v>430.95</v>
      </c>
      <c r="D1352" s="116">
        <v>427.4</v>
      </c>
      <c r="E1352" s="116">
        <v>440</v>
      </c>
      <c r="F1352" s="116">
        <v>430.95</v>
      </c>
      <c r="G1352">
        <v>8835</v>
      </c>
      <c r="H1352" s="116"/>
      <c r="I1352" s="116"/>
      <c r="L1352" s="169">
        <v>44000</v>
      </c>
      <c r="M1352" s="116">
        <v>431.1</v>
      </c>
      <c r="N1352" s="116">
        <v>443.95</v>
      </c>
      <c r="O1352" s="116">
        <v>427.05</v>
      </c>
      <c r="P1352" s="116">
        <v>441</v>
      </c>
      <c r="Q1352" s="116">
        <v>431.1</v>
      </c>
      <c r="R1352">
        <v>116826</v>
      </c>
    </row>
    <row r="1353" spans="1:18" x14ac:dyDescent="0.25">
      <c r="A1353" s="169">
        <v>44001</v>
      </c>
      <c r="B1353" s="116">
        <v>445</v>
      </c>
      <c r="C1353" s="116">
        <v>436.1</v>
      </c>
      <c r="D1353" s="116">
        <v>428.65</v>
      </c>
      <c r="E1353" s="116">
        <v>433.5</v>
      </c>
      <c r="F1353" s="116">
        <v>436.1</v>
      </c>
      <c r="G1353">
        <v>8703</v>
      </c>
      <c r="H1353" s="116"/>
      <c r="I1353" s="116"/>
      <c r="L1353" s="169">
        <v>44001</v>
      </c>
      <c r="M1353" s="116">
        <v>435.55</v>
      </c>
      <c r="N1353" s="116">
        <v>444.7</v>
      </c>
      <c r="O1353" s="116">
        <v>427.55</v>
      </c>
      <c r="P1353" s="116">
        <v>429</v>
      </c>
      <c r="Q1353" s="116">
        <v>435.55</v>
      </c>
      <c r="R1353">
        <v>90939</v>
      </c>
    </row>
    <row r="1354" spans="1:18" x14ac:dyDescent="0.25">
      <c r="A1354" s="169">
        <v>44004</v>
      </c>
      <c r="B1354" s="116">
        <v>456</v>
      </c>
      <c r="C1354" s="116">
        <v>446.2</v>
      </c>
      <c r="D1354" s="116">
        <v>432.45</v>
      </c>
      <c r="E1354" s="116">
        <v>443</v>
      </c>
      <c r="F1354" s="116">
        <v>446.2</v>
      </c>
      <c r="G1354">
        <v>32115</v>
      </c>
      <c r="H1354" s="116"/>
      <c r="I1354" s="116"/>
      <c r="L1354" s="169">
        <v>44004</v>
      </c>
      <c r="M1354" s="116">
        <v>446.25</v>
      </c>
      <c r="N1354" s="116">
        <v>456</v>
      </c>
      <c r="O1354" s="116">
        <v>438</v>
      </c>
      <c r="P1354" s="116">
        <v>444.7</v>
      </c>
      <c r="Q1354" s="116">
        <v>446.25</v>
      </c>
      <c r="R1354">
        <v>204231</v>
      </c>
    </row>
    <row r="1355" spans="1:18" x14ac:dyDescent="0.25">
      <c r="A1355" s="169">
        <v>44005</v>
      </c>
      <c r="B1355" s="116">
        <v>484</v>
      </c>
      <c r="C1355" s="116">
        <v>459.4</v>
      </c>
      <c r="D1355" s="116">
        <v>455.85</v>
      </c>
      <c r="E1355" s="116">
        <v>467.95</v>
      </c>
      <c r="F1355" s="116">
        <v>459.4</v>
      </c>
      <c r="G1355">
        <v>29176</v>
      </c>
      <c r="H1355" s="116"/>
      <c r="I1355" s="116"/>
      <c r="L1355" s="169">
        <v>44005</v>
      </c>
      <c r="M1355" s="116">
        <v>459.9</v>
      </c>
      <c r="N1355" s="116">
        <v>484.8</v>
      </c>
      <c r="O1355" s="116">
        <v>455.05</v>
      </c>
      <c r="P1355" s="116">
        <v>471</v>
      </c>
      <c r="Q1355" s="116">
        <v>459.9</v>
      </c>
      <c r="R1355">
        <v>517737</v>
      </c>
    </row>
    <row r="1356" spans="1:18" x14ac:dyDescent="0.25">
      <c r="A1356" s="169">
        <v>44006</v>
      </c>
      <c r="B1356" s="116">
        <v>478</v>
      </c>
      <c r="C1356" s="116">
        <v>450.5</v>
      </c>
      <c r="D1356" s="116">
        <v>447</v>
      </c>
      <c r="E1356" s="116">
        <v>465.7</v>
      </c>
      <c r="F1356" s="116">
        <v>450.5</v>
      </c>
      <c r="G1356">
        <v>15144</v>
      </c>
      <c r="H1356" s="116"/>
      <c r="I1356" s="116"/>
      <c r="L1356" s="169">
        <v>44006</v>
      </c>
      <c r="M1356" s="116">
        <v>449.8</v>
      </c>
      <c r="N1356" s="116">
        <v>480</v>
      </c>
      <c r="O1356" s="116">
        <v>445.6</v>
      </c>
      <c r="P1356" s="116">
        <v>472.65</v>
      </c>
      <c r="Q1356" s="116">
        <v>449.8</v>
      </c>
      <c r="R1356">
        <v>259975</v>
      </c>
    </row>
    <row r="1357" spans="1:18" x14ac:dyDescent="0.25">
      <c r="A1357" s="169">
        <v>44007</v>
      </c>
      <c r="B1357" s="116">
        <v>461</v>
      </c>
      <c r="C1357" s="116">
        <v>456.1</v>
      </c>
      <c r="D1357" s="116">
        <v>435.25</v>
      </c>
      <c r="E1357" s="116">
        <v>435.25</v>
      </c>
      <c r="F1357" s="116">
        <v>456.1</v>
      </c>
      <c r="G1357">
        <v>9882</v>
      </c>
      <c r="H1357" s="116"/>
      <c r="I1357" s="116"/>
      <c r="L1357" s="169">
        <v>44007</v>
      </c>
      <c r="M1357" s="116">
        <v>456.65</v>
      </c>
      <c r="N1357" s="116">
        <v>461</v>
      </c>
      <c r="O1357" s="116">
        <v>445</v>
      </c>
      <c r="P1357" s="116">
        <v>450</v>
      </c>
      <c r="Q1357" s="116">
        <v>456.65</v>
      </c>
      <c r="R1357">
        <v>95718</v>
      </c>
    </row>
    <row r="1358" spans="1:18" x14ac:dyDescent="0.25">
      <c r="A1358" s="169">
        <v>44008</v>
      </c>
      <c r="B1358" s="116">
        <v>543.95000000000005</v>
      </c>
      <c r="C1358" s="116">
        <v>524.95000000000005</v>
      </c>
      <c r="D1358" s="116">
        <v>450.6</v>
      </c>
      <c r="E1358" s="116">
        <v>450.6</v>
      </c>
      <c r="F1358" s="116">
        <v>524.95000000000005</v>
      </c>
      <c r="G1358">
        <v>147683</v>
      </c>
      <c r="H1358" s="116"/>
      <c r="I1358" s="116"/>
      <c r="L1358" s="169">
        <v>44008</v>
      </c>
      <c r="M1358" s="116">
        <v>525.29999999999995</v>
      </c>
      <c r="N1358" s="116">
        <v>543.70000000000005</v>
      </c>
      <c r="O1358" s="116">
        <v>456</v>
      </c>
      <c r="P1358" s="116">
        <v>458.55</v>
      </c>
      <c r="Q1358" s="116">
        <v>525.29999999999995</v>
      </c>
      <c r="R1358">
        <v>3029910</v>
      </c>
    </row>
    <row r="1359" spans="1:18" x14ac:dyDescent="0.25">
      <c r="A1359" s="169">
        <v>44011</v>
      </c>
      <c r="B1359" s="116">
        <v>543</v>
      </c>
      <c r="C1359" s="116">
        <v>522</v>
      </c>
      <c r="D1359" s="116">
        <v>509.1</v>
      </c>
      <c r="E1359" s="116">
        <v>529.54999999999995</v>
      </c>
      <c r="F1359" s="116">
        <v>522</v>
      </c>
      <c r="G1359">
        <v>32453</v>
      </c>
      <c r="H1359" s="116"/>
      <c r="I1359" s="116"/>
      <c r="L1359" s="169">
        <v>44011</v>
      </c>
      <c r="M1359" s="116">
        <v>521.95000000000005</v>
      </c>
      <c r="N1359" s="116">
        <v>543</v>
      </c>
      <c r="O1359" s="116">
        <v>509.05</v>
      </c>
      <c r="P1359" s="116">
        <v>530</v>
      </c>
      <c r="Q1359" s="116">
        <v>521.95000000000005</v>
      </c>
      <c r="R1359">
        <v>648243</v>
      </c>
    </row>
    <row r="1360" spans="1:18" x14ac:dyDescent="0.25">
      <c r="A1360" s="169">
        <v>44012</v>
      </c>
      <c r="B1360" s="116">
        <v>534.20000000000005</v>
      </c>
      <c r="C1360" s="116">
        <v>493.65</v>
      </c>
      <c r="D1360" s="116">
        <v>490</v>
      </c>
      <c r="E1360" s="116">
        <v>532.79999999999995</v>
      </c>
      <c r="F1360" s="116">
        <v>493.65</v>
      </c>
      <c r="G1360">
        <v>37782</v>
      </c>
      <c r="H1360" s="116"/>
      <c r="I1360" s="116"/>
      <c r="L1360" s="169">
        <v>44012</v>
      </c>
      <c r="M1360" s="116">
        <v>493.4</v>
      </c>
      <c r="N1360" s="116">
        <v>534.6</v>
      </c>
      <c r="O1360" s="116">
        <v>490</v>
      </c>
      <c r="P1360" s="116">
        <v>526</v>
      </c>
      <c r="Q1360" s="116">
        <v>493.4</v>
      </c>
      <c r="R1360">
        <v>338224</v>
      </c>
    </row>
    <row r="1361" spans="1:18" x14ac:dyDescent="0.25">
      <c r="A1361" s="169">
        <v>44013</v>
      </c>
      <c r="B1361" s="116">
        <v>557.75</v>
      </c>
      <c r="C1361" s="116">
        <v>542.79999999999995</v>
      </c>
      <c r="D1361" s="116">
        <v>497.6</v>
      </c>
      <c r="E1361" s="116">
        <v>505</v>
      </c>
      <c r="F1361" s="116">
        <v>542.79999999999995</v>
      </c>
      <c r="G1361">
        <v>126471</v>
      </c>
      <c r="H1361" s="116"/>
      <c r="I1361" s="116"/>
      <c r="L1361" s="169">
        <v>44013</v>
      </c>
      <c r="M1361" s="116">
        <v>542.35</v>
      </c>
      <c r="N1361" s="116">
        <v>557.70000000000005</v>
      </c>
      <c r="O1361" s="116">
        <v>495</v>
      </c>
      <c r="P1361" s="116">
        <v>495</v>
      </c>
      <c r="Q1361" s="116">
        <v>542.35</v>
      </c>
      <c r="R1361">
        <v>1879498</v>
      </c>
    </row>
    <row r="1362" spans="1:18" x14ac:dyDescent="0.25">
      <c r="A1362" s="169">
        <v>44014</v>
      </c>
      <c r="B1362" s="116">
        <v>549.1</v>
      </c>
      <c r="C1362" s="116">
        <v>533.15</v>
      </c>
      <c r="D1362" s="116">
        <v>527.15</v>
      </c>
      <c r="E1362" s="116">
        <v>543</v>
      </c>
      <c r="F1362" s="116">
        <v>533.15</v>
      </c>
      <c r="G1362">
        <v>24954</v>
      </c>
      <c r="H1362" s="116"/>
      <c r="I1362" s="116"/>
      <c r="L1362" s="169">
        <v>44014</v>
      </c>
      <c r="M1362" s="116">
        <v>533.95000000000005</v>
      </c>
      <c r="N1362" s="116">
        <v>548.79999999999995</v>
      </c>
      <c r="O1362" s="116">
        <v>528.1</v>
      </c>
      <c r="P1362" s="116">
        <v>543</v>
      </c>
      <c r="Q1362" s="116">
        <v>533.95000000000005</v>
      </c>
      <c r="R1362">
        <v>285917</v>
      </c>
    </row>
    <row r="1363" spans="1:18" x14ac:dyDescent="0.25">
      <c r="A1363" s="169">
        <v>44015</v>
      </c>
      <c r="B1363" s="116">
        <v>575.5</v>
      </c>
      <c r="C1363" s="116">
        <v>555.6</v>
      </c>
      <c r="D1363" s="116">
        <v>528.9</v>
      </c>
      <c r="E1363" s="116">
        <v>538.9</v>
      </c>
      <c r="F1363" s="116">
        <v>555.6</v>
      </c>
      <c r="G1363">
        <v>59789</v>
      </c>
      <c r="H1363" s="116"/>
      <c r="I1363" s="116"/>
      <c r="L1363" s="169">
        <v>44015</v>
      </c>
      <c r="M1363" s="116">
        <v>556.20000000000005</v>
      </c>
      <c r="N1363" s="116">
        <v>575.95000000000005</v>
      </c>
      <c r="O1363" s="116">
        <v>528.35</v>
      </c>
      <c r="P1363" s="116">
        <v>534</v>
      </c>
      <c r="Q1363" s="116">
        <v>556.20000000000005</v>
      </c>
      <c r="R1363">
        <v>1042512</v>
      </c>
    </row>
    <row r="1364" spans="1:18" x14ac:dyDescent="0.25">
      <c r="A1364" s="169">
        <v>44018</v>
      </c>
      <c r="B1364" s="116">
        <v>599</v>
      </c>
      <c r="C1364" s="116">
        <v>584.1</v>
      </c>
      <c r="D1364" s="116">
        <v>547</v>
      </c>
      <c r="E1364" s="116">
        <v>560</v>
      </c>
      <c r="F1364" s="116">
        <v>584.1</v>
      </c>
      <c r="G1364">
        <v>61936</v>
      </c>
      <c r="H1364" s="116"/>
      <c r="I1364" s="116"/>
      <c r="L1364" s="169">
        <v>44018</v>
      </c>
      <c r="M1364" s="116">
        <v>584.20000000000005</v>
      </c>
      <c r="N1364" s="116">
        <v>599</v>
      </c>
      <c r="O1364" s="116">
        <v>545.35</v>
      </c>
      <c r="P1364" s="116">
        <v>559.1</v>
      </c>
      <c r="Q1364" s="116">
        <v>584.20000000000005</v>
      </c>
      <c r="R1364">
        <v>1205246</v>
      </c>
    </row>
    <row r="1365" spans="1:18" x14ac:dyDescent="0.25">
      <c r="A1365" s="169">
        <v>44019</v>
      </c>
      <c r="B1365" s="116">
        <v>588.70000000000005</v>
      </c>
      <c r="C1365" s="116">
        <v>571.25</v>
      </c>
      <c r="D1365" s="116">
        <v>562.1</v>
      </c>
      <c r="E1365" s="116">
        <v>588.70000000000005</v>
      </c>
      <c r="F1365" s="116">
        <v>571.25</v>
      </c>
      <c r="G1365">
        <v>21307</v>
      </c>
      <c r="H1365" s="116"/>
      <c r="I1365" s="116"/>
      <c r="L1365" s="169">
        <v>44019</v>
      </c>
      <c r="M1365" s="116">
        <v>571.9</v>
      </c>
      <c r="N1365" s="116">
        <v>589.35</v>
      </c>
      <c r="O1365" s="116">
        <v>562</v>
      </c>
      <c r="P1365" s="116">
        <v>586.29999999999995</v>
      </c>
      <c r="Q1365" s="116">
        <v>571.9</v>
      </c>
      <c r="R1365">
        <v>361088</v>
      </c>
    </row>
    <row r="1366" spans="1:18" x14ac:dyDescent="0.25">
      <c r="A1366" s="169">
        <v>44020</v>
      </c>
      <c r="B1366" s="116">
        <v>596.1</v>
      </c>
      <c r="C1366" s="116">
        <v>564.54999999999995</v>
      </c>
      <c r="D1366" s="116">
        <v>560</v>
      </c>
      <c r="E1366" s="116">
        <v>584</v>
      </c>
      <c r="F1366" s="116">
        <v>564.54999999999995</v>
      </c>
      <c r="G1366">
        <v>21199</v>
      </c>
      <c r="H1366" s="116"/>
      <c r="I1366" s="116"/>
      <c r="L1366" s="169">
        <v>44020</v>
      </c>
      <c r="M1366" s="116">
        <v>564.35</v>
      </c>
      <c r="N1366" s="116">
        <v>596</v>
      </c>
      <c r="O1366" s="116">
        <v>560.25</v>
      </c>
      <c r="P1366" s="116">
        <v>580</v>
      </c>
      <c r="Q1366" s="116">
        <v>564.35</v>
      </c>
      <c r="R1366">
        <v>337518</v>
      </c>
    </row>
    <row r="1367" spans="1:18" x14ac:dyDescent="0.25">
      <c r="A1367" s="169">
        <v>44021</v>
      </c>
      <c r="B1367" s="116">
        <v>604.25</v>
      </c>
      <c r="C1367" s="116">
        <v>592.04999999999995</v>
      </c>
      <c r="D1367" s="116">
        <v>556.6</v>
      </c>
      <c r="E1367" s="116">
        <v>577</v>
      </c>
      <c r="F1367" s="116">
        <v>592.04999999999995</v>
      </c>
      <c r="G1367">
        <v>89789</v>
      </c>
      <c r="H1367" s="116"/>
      <c r="I1367" s="116"/>
      <c r="L1367" s="169">
        <v>44021</v>
      </c>
      <c r="M1367" s="116">
        <v>592.4</v>
      </c>
      <c r="N1367" s="116">
        <v>604.29999999999995</v>
      </c>
      <c r="O1367" s="116">
        <v>557</v>
      </c>
      <c r="P1367" s="116">
        <v>567.95000000000005</v>
      </c>
      <c r="Q1367" s="116">
        <v>592.4</v>
      </c>
      <c r="R1367">
        <v>935513</v>
      </c>
    </row>
    <row r="1368" spans="1:18" x14ac:dyDescent="0.25">
      <c r="A1368" s="169">
        <v>44022</v>
      </c>
      <c r="B1368" s="116">
        <v>608.75</v>
      </c>
      <c r="C1368" s="116">
        <v>588.79999999999995</v>
      </c>
      <c r="D1368" s="116">
        <v>581.1</v>
      </c>
      <c r="E1368" s="116">
        <v>581.1</v>
      </c>
      <c r="F1368" s="116">
        <v>588.79999999999995</v>
      </c>
      <c r="G1368">
        <v>30401</v>
      </c>
      <c r="H1368" s="116"/>
      <c r="I1368" s="116"/>
      <c r="L1368" s="169">
        <v>44022</v>
      </c>
      <c r="M1368" s="116">
        <v>589.4</v>
      </c>
      <c r="N1368" s="116">
        <v>607.65</v>
      </c>
      <c r="O1368" s="116">
        <v>582</v>
      </c>
      <c r="P1368" s="116">
        <v>590</v>
      </c>
      <c r="Q1368" s="116">
        <v>589.4</v>
      </c>
      <c r="R1368">
        <v>344228</v>
      </c>
    </row>
    <row r="1369" spans="1:18" x14ac:dyDescent="0.25">
      <c r="A1369" s="169">
        <v>44025</v>
      </c>
      <c r="B1369" s="116">
        <v>635.4</v>
      </c>
      <c r="C1369" s="116">
        <v>627</v>
      </c>
      <c r="D1369" s="116">
        <v>588.6</v>
      </c>
      <c r="E1369" s="116">
        <v>594</v>
      </c>
      <c r="F1369" s="116">
        <v>627</v>
      </c>
      <c r="G1369">
        <v>53682</v>
      </c>
      <c r="H1369" s="116"/>
      <c r="I1369" s="116"/>
      <c r="L1369" s="169">
        <v>44025</v>
      </c>
      <c r="M1369" s="116">
        <v>626.5</v>
      </c>
      <c r="N1369" s="116">
        <v>635.9</v>
      </c>
      <c r="O1369" s="116">
        <v>587.1</v>
      </c>
      <c r="P1369" s="116">
        <v>593.9</v>
      </c>
      <c r="Q1369" s="116">
        <v>626.5</v>
      </c>
      <c r="R1369">
        <v>838680</v>
      </c>
    </row>
    <row r="1370" spans="1:18" x14ac:dyDescent="0.25">
      <c r="A1370" s="169">
        <v>44026</v>
      </c>
      <c r="B1370" s="116">
        <v>646.79999999999995</v>
      </c>
      <c r="C1370" s="116">
        <v>631.79999999999995</v>
      </c>
      <c r="D1370" s="116">
        <v>608.1</v>
      </c>
      <c r="E1370" s="116">
        <v>628.79999999999995</v>
      </c>
      <c r="F1370" s="116">
        <v>631.79999999999995</v>
      </c>
      <c r="G1370">
        <v>72293</v>
      </c>
      <c r="H1370" s="116"/>
      <c r="I1370" s="116"/>
      <c r="L1370" s="169">
        <v>44026</v>
      </c>
      <c r="M1370" s="116">
        <v>631.35</v>
      </c>
      <c r="N1370" s="116">
        <v>647</v>
      </c>
      <c r="O1370" s="116">
        <v>608.1</v>
      </c>
      <c r="P1370" s="116">
        <v>628</v>
      </c>
      <c r="Q1370" s="116">
        <v>631.35</v>
      </c>
      <c r="R1370">
        <v>753445</v>
      </c>
    </row>
    <row r="1371" spans="1:18" x14ac:dyDescent="0.25">
      <c r="A1371" s="169">
        <v>44027</v>
      </c>
      <c r="B1371" s="116">
        <v>639</v>
      </c>
      <c r="C1371" s="116">
        <v>611.75</v>
      </c>
      <c r="D1371" s="116">
        <v>602.54999999999995</v>
      </c>
      <c r="E1371" s="116">
        <v>636.5</v>
      </c>
      <c r="F1371" s="116">
        <v>611.75</v>
      </c>
      <c r="G1371">
        <v>25847</v>
      </c>
      <c r="H1371" s="116"/>
      <c r="I1371" s="116"/>
      <c r="L1371" s="169">
        <v>44027</v>
      </c>
      <c r="M1371" s="116">
        <v>613.9</v>
      </c>
      <c r="N1371" s="116">
        <v>638.65</v>
      </c>
      <c r="O1371" s="116">
        <v>603.5</v>
      </c>
      <c r="P1371" s="116">
        <v>634.79999999999995</v>
      </c>
      <c r="Q1371" s="116">
        <v>613.9</v>
      </c>
      <c r="R1371">
        <v>249233</v>
      </c>
    </row>
    <row r="1372" spans="1:18" x14ac:dyDescent="0.25">
      <c r="A1372" s="169">
        <v>44028</v>
      </c>
      <c r="B1372" s="116">
        <v>622.95000000000005</v>
      </c>
      <c r="C1372" s="116">
        <v>578.5</v>
      </c>
      <c r="D1372" s="116">
        <v>573.20000000000005</v>
      </c>
      <c r="E1372" s="116">
        <v>622.95000000000005</v>
      </c>
      <c r="F1372" s="116">
        <v>578.5</v>
      </c>
      <c r="G1372">
        <v>14985</v>
      </c>
      <c r="H1372" s="116"/>
      <c r="I1372" s="116"/>
      <c r="L1372" s="169">
        <v>44028</v>
      </c>
      <c r="M1372" s="116">
        <v>578.6</v>
      </c>
      <c r="N1372" s="116">
        <v>619</v>
      </c>
      <c r="O1372" s="116">
        <v>573</v>
      </c>
      <c r="P1372" s="116">
        <v>615.6</v>
      </c>
      <c r="Q1372" s="116">
        <v>578.6</v>
      </c>
      <c r="R1372">
        <v>234973</v>
      </c>
    </row>
    <row r="1373" spans="1:18" x14ac:dyDescent="0.25">
      <c r="A1373" s="169">
        <v>44029</v>
      </c>
      <c r="B1373" s="116">
        <v>609.79999999999995</v>
      </c>
      <c r="C1373" s="116">
        <v>596.85</v>
      </c>
      <c r="D1373" s="116">
        <v>578.79999999999995</v>
      </c>
      <c r="E1373" s="116">
        <v>578.79999999999995</v>
      </c>
      <c r="F1373" s="116">
        <v>596.85</v>
      </c>
      <c r="G1373">
        <v>10059</v>
      </c>
      <c r="H1373" s="116"/>
      <c r="I1373" s="116"/>
      <c r="L1373" s="169">
        <v>44029</v>
      </c>
      <c r="M1373" s="116">
        <v>596.4</v>
      </c>
      <c r="N1373" s="116">
        <v>608.6</v>
      </c>
      <c r="O1373" s="116">
        <v>579</v>
      </c>
      <c r="P1373" s="116">
        <v>583.9</v>
      </c>
      <c r="Q1373" s="116">
        <v>596.4</v>
      </c>
      <c r="R1373">
        <v>381553</v>
      </c>
    </row>
    <row r="1374" spans="1:18" x14ac:dyDescent="0.25">
      <c r="A1374" s="169">
        <v>44032</v>
      </c>
      <c r="B1374" s="116">
        <v>600.6</v>
      </c>
      <c r="C1374" s="116">
        <v>585.79999999999995</v>
      </c>
      <c r="D1374" s="116">
        <v>576.29999999999995</v>
      </c>
      <c r="E1374" s="116">
        <v>593.25</v>
      </c>
      <c r="F1374" s="116">
        <v>585.79999999999995</v>
      </c>
      <c r="G1374">
        <v>20960</v>
      </c>
      <c r="H1374" s="116"/>
      <c r="I1374" s="116"/>
      <c r="L1374" s="169">
        <v>44032</v>
      </c>
      <c r="M1374" s="116">
        <v>586.6</v>
      </c>
      <c r="N1374" s="116">
        <v>599.95000000000005</v>
      </c>
      <c r="O1374" s="116">
        <v>575.25</v>
      </c>
      <c r="P1374" s="116">
        <v>598.5</v>
      </c>
      <c r="Q1374" s="116">
        <v>586.6</v>
      </c>
      <c r="R1374">
        <v>258284</v>
      </c>
    </row>
    <row r="1375" spans="1:18" x14ac:dyDescent="0.25">
      <c r="A1375" s="169">
        <v>44033</v>
      </c>
      <c r="B1375" s="116">
        <v>598.20000000000005</v>
      </c>
      <c r="C1375" s="116">
        <v>578.70000000000005</v>
      </c>
      <c r="D1375" s="116">
        <v>575.6</v>
      </c>
      <c r="E1375" s="116">
        <v>591.25</v>
      </c>
      <c r="F1375" s="116">
        <v>578.70000000000005</v>
      </c>
      <c r="G1375">
        <v>12950</v>
      </c>
      <c r="H1375" s="116"/>
      <c r="I1375" s="116"/>
      <c r="L1375" s="169">
        <v>44033</v>
      </c>
      <c r="M1375" s="116">
        <v>579.1</v>
      </c>
      <c r="N1375" s="116">
        <v>598.15</v>
      </c>
      <c r="O1375" s="116">
        <v>575</v>
      </c>
      <c r="P1375" s="116">
        <v>589.95000000000005</v>
      </c>
      <c r="Q1375" s="116">
        <v>579.1</v>
      </c>
      <c r="R1375">
        <v>192333</v>
      </c>
    </row>
    <row r="1376" spans="1:18" x14ac:dyDescent="0.25">
      <c r="A1376" s="169">
        <v>44034</v>
      </c>
      <c r="B1376" s="116">
        <v>601.75</v>
      </c>
      <c r="C1376" s="116">
        <v>590.95000000000005</v>
      </c>
      <c r="D1376" s="116">
        <v>562.04999999999995</v>
      </c>
      <c r="E1376" s="116">
        <v>579.5</v>
      </c>
      <c r="F1376" s="116">
        <v>590.95000000000005</v>
      </c>
      <c r="G1376">
        <v>18049</v>
      </c>
      <c r="H1376" s="116"/>
      <c r="I1376" s="116"/>
      <c r="L1376" s="169">
        <v>44034</v>
      </c>
      <c r="M1376" s="116">
        <v>591.70000000000005</v>
      </c>
      <c r="N1376" s="116">
        <v>602.20000000000005</v>
      </c>
      <c r="O1376" s="116">
        <v>562</v>
      </c>
      <c r="P1376" s="116">
        <v>579</v>
      </c>
      <c r="Q1376" s="116">
        <v>591.70000000000005</v>
      </c>
      <c r="R1376">
        <v>335142</v>
      </c>
    </row>
    <row r="1377" spans="1:18" x14ac:dyDescent="0.25">
      <c r="A1377" s="169">
        <v>44035</v>
      </c>
      <c r="B1377" s="116">
        <v>593.75</v>
      </c>
      <c r="C1377" s="116">
        <v>582.4</v>
      </c>
      <c r="D1377" s="116">
        <v>580.15</v>
      </c>
      <c r="E1377" s="116">
        <v>592</v>
      </c>
      <c r="F1377" s="116">
        <v>582.4</v>
      </c>
      <c r="G1377">
        <v>17561</v>
      </c>
      <c r="H1377" s="116"/>
      <c r="I1377" s="116"/>
      <c r="L1377" s="169">
        <v>44035</v>
      </c>
      <c r="M1377" s="116">
        <v>582.75</v>
      </c>
      <c r="N1377" s="116">
        <v>594.9</v>
      </c>
      <c r="O1377" s="116">
        <v>580.54999999999995</v>
      </c>
      <c r="P1377" s="116">
        <v>591.70000000000005</v>
      </c>
      <c r="Q1377" s="116">
        <v>582.75</v>
      </c>
      <c r="R1377">
        <v>245367</v>
      </c>
    </row>
    <row r="1378" spans="1:18" x14ac:dyDescent="0.25">
      <c r="A1378" s="169">
        <v>44036</v>
      </c>
      <c r="B1378" s="116">
        <v>593.9</v>
      </c>
      <c r="C1378" s="116">
        <v>584.15</v>
      </c>
      <c r="D1378" s="116">
        <v>571.75</v>
      </c>
      <c r="E1378" s="116">
        <v>582.4</v>
      </c>
      <c r="F1378" s="116">
        <v>584.15</v>
      </c>
      <c r="G1378">
        <v>8491</v>
      </c>
      <c r="H1378" s="116"/>
      <c r="I1378" s="116"/>
      <c r="L1378" s="169">
        <v>44036</v>
      </c>
      <c r="M1378" s="116">
        <v>584.15</v>
      </c>
      <c r="N1378" s="116">
        <v>594.15</v>
      </c>
      <c r="O1378" s="116">
        <v>570.15</v>
      </c>
      <c r="P1378" s="116">
        <v>577</v>
      </c>
      <c r="Q1378" s="116">
        <v>584.15</v>
      </c>
      <c r="R1378">
        <v>298723</v>
      </c>
    </row>
    <row r="1379" spans="1:18" x14ac:dyDescent="0.25">
      <c r="A1379" s="169">
        <v>44039</v>
      </c>
      <c r="B1379" s="116">
        <v>591</v>
      </c>
      <c r="C1379" s="116">
        <v>574.1</v>
      </c>
      <c r="D1379" s="116">
        <v>566.65</v>
      </c>
      <c r="E1379" s="116">
        <v>583</v>
      </c>
      <c r="F1379" s="116">
        <v>574.1</v>
      </c>
      <c r="G1379">
        <v>29486</v>
      </c>
      <c r="H1379" s="116"/>
      <c r="I1379" s="116"/>
      <c r="L1379" s="169">
        <v>44039</v>
      </c>
      <c r="M1379" s="116">
        <v>574.5</v>
      </c>
      <c r="N1379" s="116">
        <v>592.15</v>
      </c>
      <c r="O1379" s="116">
        <v>566.15</v>
      </c>
      <c r="P1379" s="116">
        <v>588.75</v>
      </c>
      <c r="Q1379" s="116">
        <v>574.5</v>
      </c>
      <c r="R1379">
        <v>233589</v>
      </c>
    </row>
    <row r="1380" spans="1:18" x14ac:dyDescent="0.25">
      <c r="A1380" s="169">
        <v>44040</v>
      </c>
      <c r="B1380" s="116">
        <v>578</v>
      </c>
      <c r="C1380" s="116">
        <v>559.1</v>
      </c>
      <c r="D1380" s="116">
        <v>555.6</v>
      </c>
      <c r="E1380" s="116">
        <v>576.15</v>
      </c>
      <c r="F1380" s="116">
        <v>559.1</v>
      </c>
      <c r="G1380">
        <v>7864</v>
      </c>
      <c r="H1380" s="116"/>
      <c r="I1380" s="116"/>
      <c r="L1380" s="169">
        <v>44040</v>
      </c>
      <c r="M1380" s="116">
        <v>559.29999999999995</v>
      </c>
      <c r="N1380" s="116">
        <v>578.9</v>
      </c>
      <c r="O1380" s="116">
        <v>555.20000000000005</v>
      </c>
      <c r="P1380" s="116">
        <v>574.5</v>
      </c>
      <c r="Q1380" s="116">
        <v>559.29999999999995</v>
      </c>
      <c r="R1380">
        <v>222045</v>
      </c>
    </row>
    <row r="1381" spans="1:18" x14ac:dyDescent="0.25">
      <c r="A1381" s="169">
        <v>44041</v>
      </c>
      <c r="B1381" s="116">
        <v>592</v>
      </c>
      <c r="C1381" s="116">
        <v>581.15</v>
      </c>
      <c r="D1381" s="116">
        <v>559.1</v>
      </c>
      <c r="E1381" s="116">
        <v>559.1</v>
      </c>
      <c r="F1381" s="116">
        <v>581.15</v>
      </c>
      <c r="G1381">
        <v>19235</v>
      </c>
      <c r="H1381" s="116"/>
      <c r="I1381" s="116"/>
      <c r="L1381" s="169">
        <v>44041</v>
      </c>
      <c r="M1381" s="116">
        <v>580.70000000000005</v>
      </c>
      <c r="N1381" s="116">
        <v>592</v>
      </c>
      <c r="O1381" s="116">
        <v>558</v>
      </c>
      <c r="P1381" s="116">
        <v>558.9</v>
      </c>
      <c r="Q1381" s="116">
        <v>580.70000000000005</v>
      </c>
      <c r="R1381">
        <v>372794</v>
      </c>
    </row>
    <row r="1382" spans="1:18" x14ac:dyDescent="0.25">
      <c r="A1382" s="169">
        <v>44042</v>
      </c>
      <c r="B1382" s="116">
        <v>585.9</v>
      </c>
      <c r="C1382" s="116">
        <v>567.1</v>
      </c>
      <c r="D1382" s="116">
        <v>564.29999999999995</v>
      </c>
      <c r="E1382" s="116">
        <v>582.04999999999995</v>
      </c>
      <c r="F1382" s="116">
        <v>567.1</v>
      </c>
      <c r="G1382">
        <v>10916</v>
      </c>
      <c r="H1382" s="116"/>
      <c r="I1382" s="116"/>
      <c r="L1382" s="169">
        <v>44042</v>
      </c>
      <c r="M1382" s="116">
        <v>567.29999999999995</v>
      </c>
      <c r="N1382" s="116">
        <v>586.35</v>
      </c>
      <c r="O1382" s="116">
        <v>565.25</v>
      </c>
      <c r="P1382" s="116">
        <v>581.20000000000005</v>
      </c>
      <c r="Q1382" s="116">
        <v>567.29999999999995</v>
      </c>
      <c r="R1382">
        <v>181655</v>
      </c>
    </row>
    <row r="1383" spans="1:18" x14ac:dyDescent="0.25">
      <c r="A1383" s="169">
        <v>44043</v>
      </c>
      <c r="B1383" s="116">
        <v>575</v>
      </c>
      <c r="C1383" s="116">
        <v>568.65</v>
      </c>
      <c r="D1383" s="116">
        <v>564</v>
      </c>
      <c r="E1383" s="116">
        <v>572.70000000000005</v>
      </c>
      <c r="F1383" s="116">
        <v>568.65</v>
      </c>
      <c r="G1383">
        <v>7669</v>
      </c>
      <c r="H1383" s="116"/>
      <c r="I1383" s="116"/>
      <c r="L1383" s="169">
        <v>44043</v>
      </c>
      <c r="M1383" s="116">
        <v>570.45000000000005</v>
      </c>
      <c r="N1383" s="116">
        <v>574.79999999999995</v>
      </c>
      <c r="O1383" s="116">
        <v>560</v>
      </c>
      <c r="P1383" s="116">
        <v>569</v>
      </c>
      <c r="Q1383" s="116">
        <v>570.45000000000005</v>
      </c>
      <c r="R1383">
        <v>177559</v>
      </c>
    </row>
    <row r="1384" spans="1:18" x14ac:dyDescent="0.25">
      <c r="A1384" s="169">
        <v>44046</v>
      </c>
      <c r="B1384" s="116">
        <v>624.5</v>
      </c>
      <c r="C1384" s="116">
        <v>618.95000000000005</v>
      </c>
      <c r="D1384" s="116">
        <v>567.4</v>
      </c>
      <c r="E1384" s="116">
        <v>569</v>
      </c>
      <c r="F1384" s="116">
        <v>618.95000000000005</v>
      </c>
      <c r="G1384">
        <v>37924</v>
      </c>
      <c r="H1384" s="116"/>
      <c r="I1384" s="116"/>
      <c r="L1384" s="169">
        <v>44046</v>
      </c>
      <c r="M1384" s="116">
        <v>619.04999999999995</v>
      </c>
      <c r="N1384" s="116">
        <v>623.95000000000005</v>
      </c>
      <c r="O1384" s="116">
        <v>566.45000000000005</v>
      </c>
      <c r="P1384" s="116">
        <v>570.45000000000005</v>
      </c>
      <c r="Q1384" s="116">
        <v>619.04999999999995</v>
      </c>
      <c r="R1384">
        <v>742635</v>
      </c>
    </row>
    <row r="1385" spans="1:18" x14ac:dyDescent="0.25">
      <c r="A1385" s="169">
        <v>44047</v>
      </c>
      <c r="B1385" s="116">
        <v>636.70000000000005</v>
      </c>
      <c r="C1385" s="116">
        <v>611.9</v>
      </c>
      <c r="D1385" s="116">
        <v>608.25</v>
      </c>
      <c r="E1385" s="116">
        <v>625.6</v>
      </c>
      <c r="F1385" s="116">
        <v>611.9</v>
      </c>
      <c r="G1385">
        <v>20401</v>
      </c>
      <c r="H1385" s="116"/>
      <c r="I1385" s="116"/>
      <c r="L1385" s="169">
        <v>44047</v>
      </c>
      <c r="M1385" s="116">
        <v>611.6</v>
      </c>
      <c r="N1385" s="116">
        <v>636.95000000000005</v>
      </c>
      <c r="O1385" s="116">
        <v>607.9</v>
      </c>
      <c r="P1385" s="116">
        <v>625</v>
      </c>
      <c r="Q1385" s="116">
        <v>611.6</v>
      </c>
      <c r="R1385">
        <v>299467</v>
      </c>
    </row>
    <row r="1386" spans="1:18" x14ac:dyDescent="0.25">
      <c r="A1386" s="169">
        <v>44048</v>
      </c>
      <c r="B1386" s="116">
        <v>619</v>
      </c>
      <c r="C1386" s="116">
        <v>602.25</v>
      </c>
      <c r="D1386" s="116">
        <v>600.04999999999995</v>
      </c>
      <c r="E1386" s="116">
        <v>616.9</v>
      </c>
      <c r="F1386" s="116">
        <v>602.25</v>
      </c>
      <c r="G1386">
        <v>17070</v>
      </c>
      <c r="H1386" s="116"/>
      <c r="I1386" s="116"/>
      <c r="L1386" s="169">
        <v>44048</v>
      </c>
      <c r="M1386" s="116">
        <v>602.70000000000005</v>
      </c>
      <c r="N1386" s="116">
        <v>618.95000000000005</v>
      </c>
      <c r="O1386" s="116">
        <v>601</v>
      </c>
      <c r="P1386" s="116">
        <v>615</v>
      </c>
      <c r="Q1386" s="116">
        <v>602.70000000000005</v>
      </c>
      <c r="R1386">
        <v>326656</v>
      </c>
    </row>
    <row r="1387" spans="1:18" x14ac:dyDescent="0.25">
      <c r="A1387" s="169">
        <v>44049</v>
      </c>
      <c r="B1387" s="116">
        <v>628</v>
      </c>
      <c r="C1387" s="116">
        <v>623.4</v>
      </c>
      <c r="D1387" s="116">
        <v>605</v>
      </c>
      <c r="E1387" s="116">
        <v>605</v>
      </c>
      <c r="F1387" s="116">
        <v>623.4</v>
      </c>
      <c r="G1387">
        <v>19665</v>
      </c>
      <c r="H1387" s="116"/>
      <c r="I1387" s="116"/>
      <c r="L1387" s="169">
        <v>44049</v>
      </c>
      <c r="M1387" s="116">
        <v>622.75</v>
      </c>
      <c r="N1387" s="116">
        <v>627.5</v>
      </c>
      <c r="O1387" s="116">
        <v>606</v>
      </c>
      <c r="P1387" s="116">
        <v>607.45000000000005</v>
      </c>
      <c r="Q1387" s="116">
        <v>622.75</v>
      </c>
      <c r="R1387">
        <v>339567</v>
      </c>
    </row>
    <row r="1388" spans="1:18" x14ac:dyDescent="0.25">
      <c r="A1388" s="169">
        <v>44050</v>
      </c>
      <c r="B1388" s="116">
        <v>632</v>
      </c>
      <c r="C1388" s="116">
        <v>612.5</v>
      </c>
      <c r="D1388" s="116">
        <v>611.4</v>
      </c>
      <c r="E1388" s="116">
        <v>617</v>
      </c>
      <c r="F1388" s="116">
        <v>612.5</v>
      </c>
      <c r="G1388">
        <v>15026</v>
      </c>
      <c r="H1388" s="116"/>
      <c r="I1388" s="116"/>
      <c r="L1388" s="169">
        <v>44050</v>
      </c>
      <c r="M1388" s="116">
        <v>613.15</v>
      </c>
      <c r="N1388" s="116">
        <v>632</v>
      </c>
      <c r="O1388" s="116">
        <v>611.6</v>
      </c>
      <c r="P1388" s="116">
        <v>622.75</v>
      </c>
      <c r="Q1388" s="116">
        <v>613.15</v>
      </c>
      <c r="R1388">
        <v>194181</v>
      </c>
    </row>
    <row r="1389" spans="1:18" x14ac:dyDescent="0.25">
      <c r="A1389" s="169">
        <v>44053</v>
      </c>
      <c r="B1389" s="116">
        <v>665</v>
      </c>
      <c r="C1389" s="116">
        <v>654.15</v>
      </c>
      <c r="D1389" s="116">
        <v>615.45000000000005</v>
      </c>
      <c r="E1389" s="116">
        <v>618</v>
      </c>
      <c r="F1389" s="116">
        <v>654.15</v>
      </c>
      <c r="G1389">
        <v>35242</v>
      </c>
      <c r="H1389" s="116"/>
      <c r="I1389" s="116"/>
      <c r="L1389" s="169">
        <v>44053</v>
      </c>
      <c r="M1389" s="116">
        <v>654.65</v>
      </c>
      <c r="N1389" s="116">
        <v>664.4</v>
      </c>
      <c r="O1389" s="116">
        <v>613</v>
      </c>
      <c r="P1389" s="116">
        <v>617.20000000000005</v>
      </c>
      <c r="Q1389" s="116">
        <v>654.65</v>
      </c>
      <c r="R1389">
        <v>662007</v>
      </c>
    </row>
    <row r="1390" spans="1:18" x14ac:dyDescent="0.25">
      <c r="A1390" s="169">
        <v>44054</v>
      </c>
      <c r="B1390" s="116">
        <v>674.75</v>
      </c>
      <c r="C1390" s="116">
        <v>664.5</v>
      </c>
      <c r="D1390" s="116">
        <v>645.79999999999995</v>
      </c>
      <c r="E1390" s="116">
        <v>659</v>
      </c>
      <c r="F1390" s="116">
        <v>664.5</v>
      </c>
      <c r="G1390">
        <v>19243</v>
      </c>
      <c r="H1390" s="116"/>
      <c r="I1390" s="116"/>
      <c r="L1390" s="169">
        <v>44054</v>
      </c>
      <c r="M1390" s="116">
        <v>662.45</v>
      </c>
      <c r="N1390" s="116">
        <v>676</v>
      </c>
      <c r="O1390" s="116">
        <v>644</v>
      </c>
      <c r="P1390" s="116">
        <v>660</v>
      </c>
      <c r="Q1390" s="116">
        <v>662.45</v>
      </c>
      <c r="R1390">
        <v>325549</v>
      </c>
    </row>
    <row r="1391" spans="1:18" x14ac:dyDescent="0.25">
      <c r="A1391" s="169">
        <v>44055</v>
      </c>
      <c r="B1391" s="116">
        <v>659.95</v>
      </c>
      <c r="C1391" s="116">
        <v>650.54999999999995</v>
      </c>
      <c r="D1391" s="116">
        <v>633.75</v>
      </c>
      <c r="E1391" s="116">
        <v>659.95</v>
      </c>
      <c r="F1391" s="116">
        <v>650.54999999999995</v>
      </c>
      <c r="G1391">
        <v>19851</v>
      </c>
      <c r="H1391" s="116"/>
      <c r="I1391" s="116"/>
      <c r="L1391" s="169">
        <v>44055</v>
      </c>
      <c r="M1391" s="116">
        <v>651.29999999999995</v>
      </c>
      <c r="N1391" s="116">
        <v>660</v>
      </c>
      <c r="O1391" s="116">
        <v>632.5</v>
      </c>
      <c r="P1391" s="116">
        <v>659.9</v>
      </c>
      <c r="Q1391" s="116">
        <v>651.29999999999995</v>
      </c>
      <c r="R1391">
        <v>214505</v>
      </c>
    </row>
    <row r="1392" spans="1:18" x14ac:dyDescent="0.25">
      <c r="A1392" s="169">
        <v>44056</v>
      </c>
      <c r="B1392" s="116">
        <v>693</v>
      </c>
      <c r="C1392" s="116">
        <v>672.3</v>
      </c>
      <c r="D1392" s="116">
        <v>663.05</v>
      </c>
      <c r="E1392" s="116">
        <v>667.7</v>
      </c>
      <c r="F1392" s="116">
        <v>672.3</v>
      </c>
      <c r="G1392">
        <v>37597</v>
      </c>
      <c r="H1392" s="116"/>
      <c r="I1392" s="116"/>
      <c r="L1392" s="169">
        <v>44056</v>
      </c>
      <c r="M1392" s="116">
        <v>672.45</v>
      </c>
      <c r="N1392" s="116">
        <v>698</v>
      </c>
      <c r="O1392" s="116">
        <v>663.55</v>
      </c>
      <c r="P1392" s="116">
        <v>670</v>
      </c>
      <c r="Q1392" s="116">
        <v>672.45</v>
      </c>
      <c r="R1392">
        <v>541328</v>
      </c>
    </row>
    <row r="1393" spans="1:18" x14ac:dyDescent="0.25">
      <c r="A1393" s="169">
        <v>44057</v>
      </c>
      <c r="B1393" s="116">
        <v>753.9</v>
      </c>
      <c r="C1393" s="116">
        <v>718.35</v>
      </c>
      <c r="D1393" s="116">
        <v>662.1</v>
      </c>
      <c r="E1393" s="116">
        <v>680</v>
      </c>
      <c r="F1393" s="116">
        <v>718.35</v>
      </c>
      <c r="G1393">
        <v>90484</v>
      </c>
      <c r="H1393" s="116"/>
      <c r="I1393" s="116"/>
      <c r="L1393" s="169">
        <v>44057</v>
      </c>
      <c r="M1393" s="116">
        <v>717.1</v>
      </c>
      <c r="N1393" s="116">
        <v>753.9</v>
      </c>
      <c r="O1393" s="116">
        <v>661.6</v>
      </c>
      <c r="P1393" s="116">
        <v>675.15</v>
      </c>
      <c r="Q1393" s="116">
        <v>717.1</v>
      </c>
      <c r="R1393">
        <v>1612733</v>
      </c>
    </row>
    <row r="1394" spans="1:18" x14ac:dyDescent="0.25">
      <c r="A1394" s="169">
        <v>44060</v>
      </c>
      <c r="B1394" s="116">
        <v>854.9</v>
      </c>
      <c r="C1394" s="116">
        <v>827.5</v>
      </c>
      <c r="D1394" s="116">
        <v>716.3</v>
      </c>
      <c r="E1394" s="116">
        <v>725</v>
      </c>
      <c r="F1394" s="116">
        <v>827.5</v>
      </c>
      <c r="G1394">
        <v>158910</v>
      </c>
      <c r="H1394" s="116"/>
      <c r="I1394" s="116"/>
      <c r="L1394" s="169">
        <v>44060</v>
      </c>
      <c r="M1394" s="116">
        <v>824.7</v>
      </c>
      <c r="N1394" s="116">
        <v>855</v>
      </c>
      <c r="O1394" s="116">
        <v>718</v>
      </c>
      <c r="P1394" s="116">
        <v>726</v>
      </c>
      <c r="Q1394" s="116">
        <v>824.7</v>
      </c>
      <c r="R1394">
        <v>2070189</v>
      </c>
    </row>
    <row r="1395" spans="1:18" x14ac:dyDescent="0.25">
      <c r="A1395" s="169">
        <v>44061</v>
      </c>
      <c r="B1395" s="116">
        <v>856.5</v>
      </c>
      <c r="C1395" s="116">
        <v>802.4</v>
      </c>
      <c r="D1395" s="116">
        <v>775</v>
      </c>
      <c r="E1395" s="116">
        <v>839</v>
      </c>
      <c r="F1395" s="116">
        <v>802.4</v>
      </c>
      <c r="G1395">
        <v>64859</v>
      </c>
      <c r="H1395" s="116"/>
      <c r="I1395" s="116"/>
      <c r="L1395" s="169">
        <v>44061</v>
      </c>
      <c r="M1395" s="116">
        <v>802.25</v>
      </c>
      <c r="N1395" s="116">
        <v>857.2</v>
      </c>
      <c r="O1395" s="116">
        <v>793</v>
      </c>
      <c r="P1395" s="116">
        <v>835</v>
      </c>
      <c r="Q1395" s="116">
        <v>802.25</v>
      </c>
      <c r="R1395">
        <v>535434</v>
      </c>
    </row>
    <row r="1396" spans="1:18" x14ac:dyDescent="0.25">
      <c r="A1396" s="169">
        <v>44062</v>
      </c>
      <c r="B1396" s="116">
        <v>878</v>
      </c>
      <c r="C1396" s="116">
        <v>840.45</v>
      </c>
      <c r="D1396" s="116">
        <v>785.3</v>
      </c>
      <c r="E1396" s="116">
        <v>812</v>
      </c>
      <c r="F1396" s="116">
        <v>840.45</v>
      </c>
      <c r="G1396">
        <v>103844</v>
      </c>
      <c r="H1396" s="116"/>
      <c r="I1396" s="116"/>
      <c r="L1396" s="169">
        <v>44062</v>
      </c>
      <c r="M1396" s="116">
        <v>841</v>
      </c>
      <c r="N1396" s="116">
        <v>880</v>
      </c>
      <c r="O1396" s="116">
        <v>795</v>
      </c>
      <c r="P1396" s="116">
        <v>808</v>
      </c>
      <c r="Q1396" s="116">
        <v>841</v>
      </c>
      <c r="R1396">
        <v>743901</v>
      </c>
    </row>
    <row r="1397" spans="1:18" x14ac:dyDescent="0.25">
      <c r="A1397" s="169">
        <v>44063</v>
      </c>
      <c r="B1397" s="116">
        <v>849.15</v>
      </c>
      <c r="C1397" s="116">
        <v>818.5</v>
      </c>
      <c r="D1397" s="116">
        <v>811.6</v>
      </c>
      <c r="E1397" s="116">
        <v>830.05</v>
      </c>
      <c r="F1397" s="116">
        <v>818.5</v>
      </c>
      <c r="G1397">
        <v>21741</v>
      </c>
      <c r="H1397" s="116"/>
      <c r="I1397" s="116"/>
      <c r="L1397" s="169">
        <v>44063</v>
      </c>
      <c r="M1397" s="116">
        <v>818.8</v>
      </c>
      <c r="N1397" s="116">
        <v>850</v>
      </c>
      <c r="O1397" s="116">
        <v>811</v>
      </c>
      <c r="P1397" s="116">
        <v>848.85</v>
      </c>
      <c r="Q1397" s="116">
        <v>818.8</v>
      </c>
      <c r="R1397">
        <v>244379</v>
      </c>
    </row>
    <row r="1398" spans="1:18" x14ac:dyDescent="0.25">
      <c r="A1398" s="169">
        <v>44064</v>
      </c>
      <c r="B1398" s="116">
        <v>881.9</v>
      </c>
      <c r="C1398" s="116">
        <v>865.25</v>
      </c>
      <c r="D1398" s="116">
        <v>809.45</v>
      </c>
      <c r="E1398" s="116">
        <v>873</v>
      </c>
      <c r="F1398" s="116">
        <v>865.25</v>
      </c>
      <c r="G1398">
        <v>61186</v>
      </c>
      <c r="H1398" s="116"/>
      <c r="I1398" s="116"/>
      <c r="L1398" s="169">
        <v>44064</v>
      </c>
      <c r="M1398" s="116">
        <v>863.8</v>
      </c>
      <c r="N1398" s="116">
        <v>880</v>
      </c>
      <c r="O1398" s="116">
        <v>808.8</v>
      </c>
      <c r="P1398" s="116">
        <v>819</v>
      </c>
      <c r="Q1398" s="116">
        <v>863.8</v>
      </c>
      <c r="R1398">
        <v>787729</v>
      </c>
    </row>
    <row r="1399" spans="1:18" x14ac:dyDescent="0.25">
      <c r="A1399" s="169">
        <v>44067</v>
      </c>
      <c r="B1399" s="116">
        <v>949</v>
      </c>
      <c r="C1399" s="116">
        <v>923.65</v>
      </c>
      <c r="D1399" s="116">
        <v>855.2</v>
      </c>
      <c r="E1399" s="116">
        <v>855.2</v>
      </c>
      <c r="F1399" s="116">
        <v>923.65</v>
      </c>
      <c r="G1399">
        <v>88310</v>
      </c>
      <c r="H1399" s="116"/>
      <c r="I1399" s="116"/>
      <c r="L1399" s="169">
        <v>44067</v>
      </c>
      <c r="M1399" s="116">
        <v>924.1</v>
      </c>
      <c r="N1399" s="116">
        <v>950</v>
      </c>
      <c r="O1399" s="116">
        <v>874</v>
      </c>
      <c r="P1399" s="116">
        <v>878</v>
      </c>
      <c r="Q1399" s="116">
        <v>924.1</v>
      </c>
      <c r="R1399">
        <v>739097</v>
      </c>
    </row>
    <row r="1400" spans="1:18" x14ac:dyDescent="0.25">
      <c r="A1400" s="169">
        <v>44068</v>
      </c>
      <c r="B1400" s="116">
        <v>969.95</v>
      </c>
      <c r="C1400" s="116">
        <v>914.35</v>
      </c>
      <c r="D1400" s="116">
        <v>907.75</v>
      </c>
      <c r="E1400" s="116">
        <v>956</v>
      </c>
      <c r="F1400" s="116">
        <v>914.35</v>
      </c>
      <c r="G1400">
        <v>34175</v>
      </c>
      <c r="H1400" s="116"/>
      <c r="I1400" s="116"/>
      <c r="L1400" s="169">
        <v>44068</v>
      </c>
      <c r="M1400" s="116">
        <v>914.8</v>
      </c>
      <c r="N1400" s="116">
        <v>968.2</v>
      </c>
      <c r="O1400" s="116">
        <v>907.15</v>
      </c>
      <c r="P1400" s="116">
        <v>950</v>
      </c>
      <c r="Q1400" s="116">
        <v>914.8</v>
      </c>
      <c r="R1400">
        <v>388082</v>
      </c>
    </row>
    <row r="1401" spans="1:18" x14ac:dyDescent="0.25">
      <c r="A1401" s="169">
        <v>44069</v>
      </c>
      <c r="B1401" s="116">
        <v>995</v>
      </c>
      <c r="C1401" s="116">
        <v>971.75</v>
      </c>
      <c r="D1401" s="116">
        <v>914</v>
      </c>
      <c r="E1401" s="116">
        <v>921</v>
      </c>
      <c r="F1401" s="116">
        <v>971.75</v>
      </c>
      <c r="G1401">
        <v>80977</v>
      </c>
      <c r="H1401" s="116"/>
      <c r="I1401" s="116"/>
      <c r="L1401" s="169">
        <v>44069</v>
      </c>
      <c r="M1401" s="116">
        <v>971.8</v>
      </c>
      <c r="N1401" s="116">
        <v>994.8</v>
      </c>
      <c r="O1401" s="116">
        <v>912</v>
      </c>
      <c r="P1401" s="116">
        <v>918.4</v>
      </c>
      <c r="Q1401" s="116">
        <v>971.8</v>
      </c>
      <c r="R1401">
        <v>1224499</v>
      </c>
    </row>
    <row r="1402" spans="1:18" x14ac:dyDescent="0.25">
      <c r="A1402" s="169">
        <v>44070</v>
      </c>
      <c r="B1402" s="116">
        <v>986.45</v>
      </c>
      <c r="C1402" s="116">
        <v>948.65</v>
      </c>
      <c r="D1402" s="116">
        <v>940</v>
      </c>
      <c r="E1402" s="116">
        <v>986.45</v>
      </c>
      <c r="F1402" s="116">
        <v>948.65</v>
      </c>
      <c r="G1402">
        <v>17837</v>
      </c>
      <c r="H1402" s="116"/>
      <c r="I1402" s="116"/>
      <c r="L1402" s="169">
        <v>44070</v>
      </c>
      <c r="M1402" s="116">
        <v>948.2</v>
      </c>
      <c r="N1402" s="116">
        <v>987</v>
      </c>
      <c r="O1402" s="116">
        <v>945</v>
      </c>
      <c r="P1402" s="116">
        <v>975</v>
      </c>
      <c r="Q1402" s="116">
        <v>948.2</v>
      </c>
      <c r="R1402">
        <v>254754</v>
      </c>
    </row>
    <row r="1403" spans="1:18" x14ac:dyDescent="0.25">
      <c r="A1403" s="169">
        <v>44071</v>
      </c>
      <c r="B1403" s="116">
        <v>965</v>
      </c>
      <c r="C1403" s="116">
        <v>882.9</v>
      </c>
      <c r="D1403" s="116">
        <v>865.3</v>
      </c>
      <c r="E1403" s="116">
        <v>952.55</v>
      </c>
      <c r="F1403" s="116">
        <v>882.9</v>
      </c>
      <c r="G1403">
        <v>52481</v>
      </c>
      <c r="H1403" s="116"/>
      <c r="I1403" s="116"/>
      <c r="L1403" s="169">
        <v>44071</v>
      </c>
      <c r="M1403" s="116">
        <v>883.35</v>
      </c>
      <c r="N1403" s="116">
        <v>965</v>
      </c>
      <c r="O1403" s="116">
        <v>868</v>
      </c>
      <c r="P1403" s="116">
        <v>951.95</v>
      </c>
      <c r="Q1403" s="116">
        <v>883.35</v>
      </c>
      <c r="R1403">
        <v>407313</v>
      </c>
    </row>
    <row r="1404" spans="1:18" x14ac:dyDescent="0.25">
      <c r="A1404" s="169">
        <v>44074</v>
      </c>
      <c r="B1404" s="116">
        <v>890.5</v>
      </c>
      <c r="C1404" s="116">
        <v>791.45</v>
      </c>
      <c r="D1404" s="116">
        <v>764.15</v>
      </c>
      <c r="E1404" s="116">
        <v>890.5</v>
      </c>
      <c r="F1404" s="116">
        <v>791.45</v>
      </c>
      <c r="G1404">
        <v>44410</v>
      </c>
      <c r="H1404" s="116"/>
      <c r="I1404" s="116"/>
      <c r="L1404" s="169">
        <v>44074</v>
      </c>
      <c r="M1404" s="116">
        <v>791.6</v>
      </c>
      <c r="N1404" s="116">
        <v>885</v>
      </c>
      <c r="O1404" s="116">
        <v>763.1</v>
      </c>
      <c r="P1404" s="116">
        <v>884.95</v>
      </c>
      <c r="Q1404" s="116">
        <v>791.6</v>
      </c>
      <c r="R1404">
        <v>524047</v>
      </c>
    </row>
    <row r="1405" spans="1:18" x14ac:dyDescent="0.25">
      <c r="A1405" s="169">
        <v>44075</v>
      </c>
      <c r="B1405" s="116">
        <v>949.7</v>
      </c>
      <c r="C1405" s="116">
        <v>837.4</v>
      </c>
      <c r="D1405" s="116">
        <v>763.9</v>
      </c>
      <c r="E1405" s="116">
        <v>800</v>
      </c>
      <c r="F1405" s="116">
        <v>837.4</v>
      </c>
      <c r="G1405">
        <v>15298</v>
      </c>
      <c r="H1405" s="116"/>
      <c r="I1405" s="116"/>
      <c r="L1405" s="169">
        <v>44075</v>
      </c>
      <c r="M1405" s="116">
        <v>838.75</v>
      </c>
      <c r="N1405" s="116">
        <v>850</v>
      </c>
      <c r="O1405" s="116">
        <v>761.9</v>
      </c>
      <c r="P1405" s="116">
        <v>792</v>
      </c>
      <c r="Q1405" s="116">
        <v>838.75</v>
      </c>
      <c r="R1405">
        <v>269572</v>
      </c>
    </row>
    <row r="1406" spans="1:18" x14ac:dyDescent="0.25">
      <c r="A1406" s="169">
        <v>44076</v>
      </c>
      <c r="B1406" s="116">
        <v>883</v>
      </c>
      <c r="C1406" s="116">
        <v>853.1</v>
      </c>
      <c r="D1406" s="116">
        <v>830.55</v>
      </c>
      <c r="E1406" s="116">
        <v>850</v>
      </c>
      <c r="F1406" s="116">
        <v>853.1</v>
      </c>
      <c r="G1406">
        <v>7338</v>
      </c>
      <c r="H1406" s="116"/>
      <c r="I1406" s="116"/>
      <c r="L1406" s="169">
        <v>44076</v>
      </c>
      <c r="M1406" s="116">
        <v>856.25</v>
      </c>
      <c r="N1406" s="116">
        <v>874.95</v>
      </c>
      <c r="O1406" s="116">
        <v>829</v>
      </c>
      <c r="P1406" s="116">
        <v>846</v>
      </c>
      <c r="Q1406" s="116">
        <v>856.25</v>
      </c>
      <c r="R1406">
        <v>147070</v>
      </c>
    </row>
    <row r="1407" spans="1:18" x14ac:dyDescent="0.25">
      <c r="A1407" s="169">
        <v>44077</v>
      </c>
      <c r="B1407" s="116">
        <v>912</v>
      </c>
      <c r="C1407" s="116">
        <v>895.2</v>
      </c>
      <c r="D1407" s="116">
        <v>850.6</v>
      </c>
      <c r="E1407" s="116">
        <v>856.25</v>
      </c>
      <c r="F1407" s="116">
        <v>895.2</v>
      </c>
      <c r="G1407">
        <v>20200</v>
      </c>
      <c r="H1407" s="116"/>
      <c r="I1407" s="116"/>
      <c r="L1407" s="169">
        <v>44077</v>
      </c>
      <c r="M1407" s="116">
        <v>895.8</v>
      </c>
      <c r="N1407" s="116">
        <v>914</v>
      </c>
      <c r="O1407" s="116">
        <v>850</v>
      </c>
      <c r="P1407" s="116">
        <v>866.8</v>
      </c>
      <c r="Q1407" s="116">
        <v>895.8</v>
      </c>
      <c r="R1407">
        <v>347553</v>
      </c>
    </row>
    <row r="1408" spans="1:18" x14ac:dyDescent="0.25">
      <c r="A1408" s="169">
        <v>44078</v>
      </c>
      <c r="B1408" s="116">
        <v>894.95</v>
      </c>
      <c r="C1408" s="116">
        <v>867.5</v>
      </c>
      <c r="D1408" s="116">
        <v>853.15</v>
      </c>
      <c r="E1408" s="116">
        <v>864.5</v>
      </c>
      <c r="F1408" s="116">
        <v>867.5</v>
      </c>
      <c r="G1408">
        <v>10938</v>
      </c>
      <c r="H1408" s="116"/>
      <c r="I1408" s="116"/>
      <c r="L1408" s="169">
        <v>44078</v>
      </c>
      <c r="M1408" s="116">
        <v>866.55</v>
      </c>
      <c r="N1408" s="116">
        <v>895</v>
      </c>
      <c r="O1408" s="116">
        <v>854.9</v>
      </c>
      <c r="P1408" s="116">
        <v>862</v>
      </c>
      <c r="Q1408" s="116">
        <v>866.55</v>
      </c>
      <c r="R1408">
        <v>188260</v>
      </c>
    </row>
    <row r="1409" spans="1:18" x14ac:dyDescent="0.25">
      <c r="A1409" s="169">
        <v>44081</v>
      </c>
      <c r="B1409" s="116">
        <v>879.65</v>
      </c>
      <c r="C1409" s="116">
        <v>829.95</v>
      </c>
      <c r="D1409" s="116">
        <v>815</v>
      </c>
      <c r="E1409" s="116">
        <v>860</v>
      </c>
      <c r="F1409" s="116">
        <v>829.95</v>
      </c>
      <c r="G1409">
        <v>23427</v>
      </c>
      <c r="H1409" s="116"/>
      <c r="I1409" s="116"/>
      <c r="L1409" s="169">
        <v>44081</v>
      </c>
      <c r="M1409" s="116">
        <v>829.25</v>
      </c>
      <c r="N1409" s="116">
        <v>878.65</v>
      </c>
      <c r="O1409" s="116">
        <v>815.55</v>
      </c>
      <c r="P1409" s="116">
        <v>874.9</v>
      </c>
      <c r="Q1409" s="116">
        <v>829.25</v>
      </c>
      <c r="R1409">
        <v>138419</v>
      </c>
    </row>
    <row r="1410" spans="1:18" x14ac:dyDescent="0.25">
      <c r="A1410" s="169">
        <v>44082</v>
      </c>
      <c r="B1410" s="116">
        <v>863.65</v>
      </c>
      <c r="C1410" s="116">
        <v>827.65</v>
      </c>
      <c r="D1410" s="116">
        <v>824</v>
      </c>
      <c r="E1410" s="116">
        <v>835</v>
      </c>
      <c r="F1410" s="116">
        <v>827.65</v>
      </c>
      <c r="G1410">
        <v>25055</v>
      </c>
      <c r="H1410" s="116"/>
      <c r="I1410" s="116"/>
      <c r="L1410" s="169">
        <v>44082</v>
      </c>
      <c r="M1410" s="116">
        <v>827.85</v>
      </c>
      <c r="N1410" s="116">
        <v>865</v>
      </c>
      <c r="O1410" s="116">
        <v>824.1</v>
      </c>
      <c r="P1410" s="116">
        <v>836</v>
      </c>
      <c r="Q1410" s="116">
        <v>827.85</v>
      </c>
      <c r="R1410">
        <v>141713</v>
      </c>
    </row>
    <row r="1411" spans="1:18" x14ac:dyDescent="0.25">
      <c r="A1411" s="169">
        <v>44083</v>
      </c>
      <c r="B1411" s="116">
        <v>822</v>
      </c>
      <c r="C1411" s="116">
        <v>807.3</v>
      </c>
      <c r="D1411" s="116">
        <v>789</v>
      </c>
      <c r="E1411" s="116">
        <v>822</v>
      </c>
      <c r="F1411" s="116">
        <v>807.3</v>
      </c>
      <c r="G1411">
        <v>10146</v>
      </c>
      <c r="H1411" s="116"/>
      <c r="I1411" s="116"/>
      <c r="L1411" s="169">
        <v>44083</v>
      </c>
      <c r="M1411" s="116">
        <v>808.05</v>
      </c>
      <c r="N1411" s="116">
        <v>824.8</v>
      </c>
      <c r="O1411" s="116">
        <v>785</v>
      </c>
      <c r="P1411" s="116">
        <v>810.1</v>
      </c>
      <c r="Q1411" s="116">
        <v>808.05</v>
      </c>
      <c r="R1411">
        <v>141958</v>
      </c>
    </row>
    <row r="1412" spans="1:18" x14ac:dyDescent="0.25">
      <c r="A1412" s="169">
        <v>44084</v>
      </c>
      <c r="B1412" s="116">
        <v>849</v>
      </c>
      <c r="C1412" s="116">
        <v>823.25</v>
      </c>
      <c r="D1412" s="116">
        <v>815.75</v>
      </c>
      <c r="E1412" s="116">
        <v>823.8</v>
      </c>
      <c r="F1412" s="116">
        <v>823.25</v>
      </c>
      <c r="G1412">
        <v>4807</v>
      </c>
      <c r="H1412" s="116"/>
      <c r="I1412" s="116"/>
      <c r="L1412" s="169">
        <v>44084</v>
      </c>
      <c r="M1412" s="116">
        <v>822.1</v>
      </c>
      <c r="N1412" s="116">
        <v>849</v>
      </c>
      <c r="O1412" s="116">
        <v>816</v>
      </c>
      <c r="P1412" s="116">
        <v>819.7</v>
      </c>
      <c r="Q1412" s="116">
        <v>822.1</v>
      </c>
      <c r="R1412">
        <v>127272</v>
      </c>
    </row>
    <row r="1413" spans="1:18" x14ac:dyDescent="0.25">
      <c r="A1413" s="169">
        <v>44085</v>
      </c>
      <c r="B1413" s="116">
        <v>848</v>
      </c>
      <c r="C1413" s="116">
        <v>838.45</v>
      </c>
      <c r="D1413" s="116">
        <v>812.8</v>
      </c>
      <c r="E1413" s="116">
        <v>832</v>
      </c>
      <c r="F1413" s="116">
        <v>838.45</v>
      </c>
      <c r="G1413">
        <v>15536</v>
      </c>
      <c r="H1413" s="116"/>
      <c r="I1413" s="116"/>
      <c r="L1413" s="169">
        <v>44085</v>
      </c>
      <c r="M1413" s="116">
        <v>840.4</v>
      </c>
      <c r="N1413" s="116">
        <v>849</v>
      </c>
      <c r="O1413" s="116">
        <v>812.5</v>
      </c>
      <c r="P1413" s="116">
        <v>827</v>
      </c>
      <c r="Q1413" s="116">
        <v>840.4</v>
      </c>
      <c r="R1413">
        <v>152214</v>
      </c>
    </row>
    <row r="1414" spans="1:18" x14ac:dyDescent="0.25">
      <c r="A1414" s="169">
        <v>44088</v>
      </c>
      <c r="B1414" s="116">
        <v>890.05</v>
      </c>
      <c r="C1414" s="116">
        <v>877.9</v>
      </c>
      <c r="D1414" s="116">
        <v>850.05</v>
      </c>
      <c r="E1414" s="116">
        <v>866.9</v>
      </c>
      <c r="F1414" s="116">
        <v>877.9</v>
      </c>
      <c r="G1414">
        <v>19508</v>
      </c>
      <c r="H1414" s="116"/>
      <c r="I1414" s="116"/>
      <c r="L1414" s="169">
        <v>44088</v>
      </c>
      <c r="M1414" s="116">
        <v>876.45</v>
      </c>
      <c r="N1414" s="116">
        <v>890</v>
      </c>
      <c r="O1414" s="116">
        <v>860.1</v>
      </c>
      <c r="P1414" s="116">
        <v>865</v>
      </c>
      <c r="Q1414" s="116">
        <v>876.45</v>
      </c>
      <c r="R1414">
        <v>307763</v>
      </c>
    </row>
    <row r="1415" spans="1:18" x14ac:dyDescent="0.25">
      <c r="A1415" s="169">
        <v>44089</v>
      </c>
      <c r="B1415" s="116">
        <v>897.1</v>
      </c>
      <c r="C1415" s="116">
        <v>873.55</v>
      </c>
      <c r="D1415" s="116">
        <v>865</v>
      </c>
      <c r="E1415" s="116">
        <v>889</v>
      </c>
      <c r="F1415" s="116">
        <v>873.55</v>
      </c>
      <c r="G1415">
        <v>16552</v>
      </c>
      <c r="H1415" s="116"/>
      <c r="I1415" s="116"/>
      <c r="L1415" s="169">
        <v>44089</v>
      </c>
      <c r="M1415" s="116">
        <v>873.65</v>
      </c>
      <c r="N1415" s="116">
        <v>898</v>
      </c>
      <c r="O1415" s="116">
        <v>869</v>
      </c>
      <c r="P1415" s="116">
        <v>889.45</v>
      </c>
      <c r="Q1415" s="116">
        <v>873.65</v>
      </c>
      <c r="R1415">
        <v>99776</v>
      </c>
    </row>
    <row r="1416" spans="1:18" x14ac:dyDescent="0.25">
      <c r="A1416" s="169">
        <v>44090</v>
      </c>
      <c r="B1416" s="116">
        <v>883.8</v>
      </c>
      <c r="C1416" s="116">
        <v>859.6</v>
      </c>
      <c r="D1416" s="116">
        <v>854.7</v>
      </c>
      <c r="E1416" s="116">
        <v>883.8</v>
      </c>
      <c r="F1416" s="116">
        <v>859.6</v>
      </c>
      <c r="G1416">
        <v>5816</v>
      </c>
      <c r="H1416" s="116"/>
      <c r="I1416" s="116"/>
      <c r="L1416" s="169">
        <v>44090</v>
      </c>
      <c r="M1416" s="116">
        <v>859.85</v>
      </c>
      <c r="N1416" s="116">
        <v>883.4</v>
      </c>
      <c r="O1416" s="116">
        <v>853</v>
      </c>
      <c r="P1416" s="116">
        <v>875</v>
      </c>
      <c r="Q1416" s="116">
        <v>859.85</v>
      </c>
      <c r="R1416">
        <v>82053</v>
      </c>
    </row>
    <row r="1417" spans="1:18" x14ac:dyDescent="0.25">
      <c r="A1417" s="169">
        <v>44091</v>
      </c>
      <c r="B1417" s="116">
        <v>878</v>
      </c>
      <c r="C1417" s="116">
        <v>868.6</v>
      </c>
      <c r="D1417" s="116">
        <v>855</v>
      </c>
      <c r="E1417" s="116">
        <v>859.6</v>
      </c>
      <c r="F1417" s="116">
        <v>868.6</v>
      </c>
      <c r="G1417">
        <v>7927</v>
      </c>
      <c r="H1417" s="116"/>
      <c r="I1417" s="116"/>
      <c r="L1417" s="169">
        <v>44091</v>
      </c>
      <c r="M1417" s="116">
        <v>867.65</v>
      </c>
      <c r="N1417" s="116">
        <v>878.65</v>
      </c>
      <c r="O1417" s="116">
        <v>854</v>
      </c>
      <c r="P1417" s="116">
        <v>855</v>
      </c>
      <c r="Q1417" s="116">
        <v>867.65</v>
      </c>
      <c r="R1417">
        <v>107636</v>
      </c>
    </row>
    <row r="1418" spans="1:18" x14ac:dyDescent="0.25">
      <c r="A1418" s="169">
        <v>44092</v>
      </c>
      <c r="B1418" s="116">
        <v>910</v>
      </c>
      <c r="C1418" s="116">
        <v>893.5</v>
      </c>
      <c r="D1418" s="116">
        <v>864</v>
      </c>
      <c r="E1418" s="116">
        <v>864</v>
      </c>
      <c r="F1418" s="116">
        <v>893.5</v>
      </c>
      <c r="G1418">
        <v>46604</v>
      </c>
      <c r="H1418" s="116"/>
      <c r="I1418" s="116"/>
      <c r="L1418" s="169">
        <v>44092</v>
      </c>
      <c r="M1418" s="116">
        <v>893.3</v>
      </c>
      <c r="N1418" s="116">
        <v>910</v>
      </c>
      <c r="O1418" s="116">
        <v>870</v>
      </c>
      <c r="P1418" s="116">
        <v>870</v>
      </c>
      <c r="Q1418" s="116">
        <v>893.3</v>
      </c>
      <c r="R1418">
        <v>315672</v>
      </c>
    </row>
    <row r="1419" spans="1:18" x14ac:dyDescent="0.25">
      <c r="A1419" s="169">
        <v>44095</v>
      </c>
      <c r="B1419" s="116">
        <v>929</v>
      </c>
      <c r="C1419" s="116">
        <v>835.45</v>
      </c>
      <c r="D1419" s="116">
        <v>825</v>
      </c>
      <c r="E1419" s="116">
        <v>893.5</v>
      </c>
      <c r="F1419" s="116">
        <v>835.45</v>
      </c>
      <c r="G1419">
        <v>33241</v>
      </c>
      <c r="H1419" s="116"/>
      <c r="I1419" s="116"/>
      <c r="L1419" s="169">
        <v>44095</v>
      </c>
      <c r="M1419" s="116">
        <v>835.8</v>
      </c>
      <c r="N1419" s="116">
        <v>911.3</v>
      </c>
      <c r="O1419" s="116">
        <v>822</v>
      </c>
      <c r="P1419" s="116">
        <v>900</v>
      </c>
      <c r="Q1419" s="116">
        <v>835.8</v>
      </c>
      <c r="R1419">
        <v>198145</v>
      </c>
    </row>
    <row r="1420" spans="1:18" x14ac:dyDescent="0.25">
      <c r="A1420" s="169">
        <v>44096</v>
      </c>
      <c r="B1420" s="116">
        <v>845.45</v>
      </c>
      <c r="C1420" s="116">
        <v>809.1</v>
      </c>
      <c r="D1420" s="116">
        <v>744</v>
      </c>
      <c r="E1420" s="116">
        <v>825.05</v>
      </c>
      <c r="F1420" s="116">
        <v>809.1</v>
      </c>
      <c r="G1420">
        <v>19556</v>
      </c>
      <c r="H1420" s="116"/>
      <c r="I1420" s="116"/>
      <c r="L1420" s="169">
        <v>44096</v>
      </c>
      <c r="M1420" s="116">
        <v>805.95</v>
      </c>
      <c r="N1420" s="116">
        <v>843.7</v>
      </c>
      <c r="O1420" s="116">
        <v>741.65</v>
      </c>
      <c r="P1420" s="116">
        <v>842.2</v>
      </c>
      <c r="Q1420" s="116">
        <v>805.95</v>
      </c>
      <c r="R1420">
        <v>238946</v>
      </c>
    </row>
    <row r="1421" spans="1:18" x14ac:dyDescent="0.25">
      <c r="A1421" s="169">
        <v>44097</v>
      </c>
      <c r="B1421" s="116">
        <v>834</v>
      </c>
      <c r="C1421" s="116">
        <v>798.55</v>
      </c>
      <c r="D1421" s="116">
        <v>781</v>
      </c>
      <c r="E1421" s="116">
        <v>812.15</v>
      </c>
      <c r="F1421" s="116">
        <v>798.55</v>
      </c>
      <c r="G1421">
        <v>15145</v>
      </c>
      <c r="H1421" s="116"/>
      <c r="I1421" s="116"/>
      <c r="L1421" s="169">
        <v>44097</v>
      </c>
      <c r="M1421" s="116">
        <v>799.05</v>
      </c>
      <c r="N1421" s="116">
        <v>836.7</v>
      </c>
      <c r="O1421" s="116">
        <v>782.75</v>
      </c>
      <c r="P1421" s="116">
        <v>818.8</v>
      </c>
      <c r="Q1421" s="116">
        <v>799.05</v>
      </c>
      <c r="R1421">
        <v>105615</v>
      </c>
    </row>
    <row r="1422" spans="1:18" x14ac:dyDescent="0.25">
      <c r="A1422" s="169">
        <v>44098</v>
      </c>
      <c r="B1422" s="116">
        <v>796.9</v>
      </c>
      <c r="C1422" s="116">
        <v>773.45</v>
      </c>
      <c r="D1422" s="116">
        <v>757</v>
      </c>
      <c r="E1422" s="116">
        <v>796.9</v>
      </c>
      <c r="F1422" s="116">
        <v>773.45</v>
      </c>
      <c r="G1422">
        <v>6236</v>
      </c>
      <c r="H1422" s="116"/>
      <c r="I1422" s="116"/>
      <c r="L1422" s="169">
        <v>44098</v>
      </c>
      <c r="M1422" s="116">
        <v>771.5</v>
      </c>
      <c r="N1422" s="116">
        <v>797</v>
      </c>
      <c r="O1422" s="116">
        <v>742</v>
      </c>
      <c r="P1422" s="116">
        <v>785</v>
      </c>
      <c r="Q1422" s="116">
        <v>771.5</v>
      </c>
      <c r="R1422">
        <v>112620</v>
      </c>
    </row>
    <row r="1423" spans="1:18" x14ac:dyDescent="0.25">
      <c r="A1423" s="169">
        <v>44099</v>
      </c>
      <c r="B1423" s="116">
        <v>822.25</v>
      </c>
      <c r="C1423" s="116">
        <v>811.4</v>
      </c>
      <c r="D1423" s="116">
        <v>772</v>
      </c>
      <c r="E1423" s="116">
        <v>780.05</v>
      </c>
      <c r="F1423" s="116">
        <v>811.4</v>
      </c>
      <c r="G1423">
        <v>16904</v>
      </c>
      <c r="H1423" s="116"/>
      <c r="I1423" s="116"/>
      <c r="L1423" s="169">
        <v>44099</v>
      </c>
      <c r="M1423" s="116">
        <v>813.3</v>
      </c>
      <c r="N1423" s="116">
        <v>824</v>
      </c>
      <c r="O1423" s="116">
        <v>775.7</v>
      </c>
      <c r="P1423" s="116">
        <v>790.05</v>
      </c>
      <c r="Q1423" s="116">
        <v>813.3</v>
      </c>
      <c r="R1423">
        <v>137718</v>
      </c>
    </row>
    <row r="1424" spans="1:18" x14ac:dyDescent="0.25">
      <c r="A1424" s="169">
        <v>44102</v>
      </c>
      <c r="B1424" s="116">
        <v>840</v>
      </c>
      <c r="C1424" s="116">
        <v>821.95</v>
      </c>
      <c r="D1424" s="116">
        <v>811</v>
      </c>
      <c r="E1424" s="116">
        <v>820.4</v>
      </c>
      <c r="F1424" s="116">
        <v>821.95</v>
      </c>
      <c r="G1424">
        <v>7783</v>
      </c>
      <c r="H1424" s="116"/>
      <c r="I1424" s="116"/>
      <c r="L1424" s="169">
        <v>44102</v>
      </c>
      <c r="M1424" s="116">
        <v>822.45</v>
      </c>
      <c r="N1424" s="116">
        <v>838.85</v>
      </c>
      <c r="O1424" s="116">
        <v>817</v>
      </c>
      <c r="P1424" s="116">
        <v>819.85</v>
      </c>
      <c r="Q1424" s="116">
        <v>822.45</v>
      </c>
      <c r="R1424">
        <v>116917</v>
      </c>
    </row>
    <row r="1425" spans="1:18" x14ac:dyDescent="0.25">
      <c r="A1425" s="169">
        <v>44103</v>
      </c>
      <c r="B1425" s="116">
        <v>837</v>
      </c>
      <c r="C1425" s="116">
        <v>814.55</v>
      </c>
      <c r="D1425" s="116">
        <v>805</v>
      </c>
      <c r="E1425" s="116">
        <v>830.5</v>
      </c>
      <c r="F1425" s="116">
        <v>814.55</v>
      </c>
      <c r="G1425">
        <v>4766</v>
      </c>
      <c r="H1425" s="116"/>
      <c r="I1425" s="116"/>
      <c r="L1425" s="169">
        <v>44103</v>
      </c>
      <c r="M1425" s="116">
        <v>815.55</v>
      </c>
      <c r="N1425" s="116">
        <v>837.9</v>
      </c>
      <c r="O1425" s="116">
        <v>805</v>
      </c>
      <c r="P1425" s="116">
        <v>827</v>
      </c>
      <c r="Q1425" s="116">
        <v>815.55</v>
      </c>
      <c r="R1425">
        <v>97479</v>
      </c>
    </row>
    <row r="1426" spans="1:18" x14ac:dyDescent="0.25">
      <c r="A1426" s="169">
        <v>44104</v>
      </c>
      <c r="B1426" s="116">
        <v>834.3</v>
      </c>
      <c r="C1426" s="116">
        <v>807.9</v>
      </c>
      <c r="D1426" s="116">
        <v>805.7</v>
      </c>
      <c r="E1426" s="116">
        <v>815.5</v>
      </c>
      <c r="F1426" s="116">
        <v>807.9</v>
      </c>
      <c r="G1426">
        <v>4690</v>
      </c>
      <c r="H1426" s="116"/>
      <c r="I1426" s="116"/>
      <c r="L1426" s="169">
        <v>44104</v>
      </c>
      <c r="M1426" s="116">
        <v>807.4</v>
      </c>
      <c r="N1426" s="116">
        <v>835.6</v>
      </c>
      <c r="O1426" s="116">
        <v>805</v>
      </c>
      <c r="P1426" s="116">
        <v>820.95</v>
      </c>
      <c r="Q1426" s="116">
        <v>807.4</v>
      </c>
      <c r="R1426">
        <v>75236</v>
      </c>
    </row>
    <row r="1427" spans="1:18" x14ac:dyDescent="0.25">
      <c r="A1427" s="169">
        <v>44105</v>
      </c>
      <c r="B1427" s="116">
        <v>832.5</v>
      </c>
      <c r="C1427" s="116">
        <v>806.1</v>
      </c>
      <c r="D1427" s="116">
        <v>803.65</v>
      </c>
      <c r="E1427" s="116">
        <v>828</v>
      </c>
      <c r="F1427" s="116">
        <v>806.1</v>
      </c>
      <c r="G1427">
        <v>11372</v>
      </c>
      <c r="H1427" s="116"/>
      <c r="I1427" s="116"/>
      <c r="L1427" s="169">
        <v>44105</v>
      </c>
      <c r="M1427" s="116">
        <v>806.25</v>
      </c>
      <c r="N1427" s="116">
        <v>834.15</v>
      </c>
      <c r="O1427" s="116">
        <v>804</v>
      </c>
      <c r="P1427" s="116">
        <v>816.45</v>
      </c>
      <c r="Q1427" s="116">
        <v>806.25</v>
      </c>
      <c r="R1427">
        <v>80507</v>
      </c>
    </row>
    <row r="1428" spans="1:18" x14ac:dyDescent="0.25">
      <c r="A1428" s="169">
        <v>44109</v>
      </c>
      <c r="B1428" s="116">
        <v>822.25</v>
      </c>
      <c r="C1428" s="116">
        <v>806.6</v>
      </c>
      <c r="D1428" s="116">
        <v>804</v>
      </c>
      <c r="E1428" s="116">
        <v>818</v>
      </c>
      <c r="F1428" s="116">
        <v>806.6</v>
      </c>
      <c r="G1428">
        <v>1984</v>
      </c>
      <c r="H1428" s="116"/>
      <c r="I1428" s="116"/>
      <c r="L1428" s="169">
        <v>44109</v>
      </c>
      <c r="M1428" s="116">
        <v>806.6</v>
      </c>
      <c r="N1428" s="116">
        <v>827</v>
      </c>
      <c r="O1428" s="116">
        <v>802.45</v>
      </c>
      <c r="P1428" s="116">
        <v>813</v>
      </c>
      <c r="Q1428" s="116">
        <v>806.6</v>
      </c>
      <c r="R1428">
        <v>58927</v>
      </c>
    </row>
    <row r="1429" spans="1:18" x14ac:dyDescent="0.25">
      <c r="A1429" s="169">
        <v>44110</v>
      </c>
      <c r="B1429" s="116">
        <v>820</v>
      </c>
      <c r="C1429" s="116">
        <v>809.95</v>
      </c>
      <c r="D1429" s="116">
        <v>787.1</v>
      </c>
      <c r="E1429" s="116">
        <v>812</v>
      </c>
      <c r="F1429" s="116">
        <v>809.95</v>
      </c>
      <c r="G1429">
        <v>10271</v>
      </c>
      <c r="H1429" s="116"/>
      <c r="I1429" s="116"/>
      <c r="L1429" s="169">
        <v>44110</v>
      </c>
      <c r="M1429" s="116">
        <v>809.6</v>
      </c>
      <c r="N1429" s="116">
        <v>821</v>
      </c>
      <c r="O1429" s="116">
        <v>806</v>
      </c>
      <c r="P1429" s="116">
        <v>811.9</v>
      </c>
      <c r="Q1429" s="116">
        <v>809.6</v>
      </c>
      <c r="R1429">
        <v>55014</v>
      </c>
    </row>
    <row r="1430" spans="1:18" x14ac:dyDescent="0.25">
      <c r="A1430" s="169">
        <v>44111</v>
      </c>
      <c r="B1430" s="116">
        <v>819.9</v>
      </c>
      <c r="C1430" s="116">
        <v>801.8</v>
      </c>
      <c r="D1430" s="116">
        <v>790</v>
      </c>
      <c r="E1430" s="116">
        <v>800.2</v>
      </c>
      <c r="F1430" s="116">
        <v>801.8</v>
      </c>
      <c r="G1430">
        <v>12248</v>
      </c>
      <c r="H1430" s="116"/>
      <c r="I1430" s="116"/>
      <c r="L1430" s="169">
        <v>44111</v>
      </c>
      <c r="M1430" s="116">
        <v>803.75</v>
      </c>
      <c r="N1430" s="116">
        <v>816.8</v>
      </c>
      <c r="O1430" s="116">
        <v>801.05</v>
      </c>
      <c r="P1430" s="116">
        <v>814.9</v>
      </c>
      <c r="Q1430" s="116">
        <v>803.75</v>
      </c>
      <c r="R1430">
        <v>58403</v>
      </c>
    </row>
    <row r="1431" spans="1:18" x14ac:dyDescent="0.25">
      <c r="A1431" s="169">
        <v>44112</v>
      </c>
      <c r="B1431" s="116">
        <v>859.9</v>
      </c>
      <c r="C1431" s="116">
        <v>844.6</v>
      </c>
      <c r="D1431" s="116">
        <v>794.5</v>
      </c>
      <c r="E1431" s="116">
        <v>817</v>
      </c>
      <c r="F1431" s="116">
        <v>844.6</v>
      </c>
      <c r="G1431">
        <v>10797</v>
      </c>
      <c r="H1431" s="116"/>
      <c r="I1431" s="116"/>
      <c r="L1431" s="169">
        <v>44112</v>
      </c>
      <c r="M1431" s="116">
        <v>846.05</v>
      </c>
      <c r="N1431" s="116">
        <v>859.9</v>
      </c>
      <c r="O1431" s="116">
        <v>795</v>
      </c>
      <c r="P1431" s="116">
        <v>810</v>
      </c>
      <c r="Q1431" s="116">
        <v>846.05</v>
      </c>
      <c r="R1431">
        <v>305331</v>
      </c>
    </row>
    <row r="1432" spans="1:18" x14ac:dyDescent="0.25">
      <c r="A1432" s="169">
        <v>44113</v>
      </c>
      <c r="B1432" s="116">
        <v>871.45</v>
      </c>
      <c r="C1432" s="116">
        <v>832.4</v>
      </c>
      <c r="D1432" s="116">
        <v>820.05</v>
      </c>
      <c r="E1432" s="116">
        <v>846.5</v>
      </c>
      <c r="F1432" s="116">
        <v>832.4</v>
      </c>
      <c r="G1432">
        <v>7065</v>
      </c>
      <c r="H1432" s="116"/>
      <c r="I1432" s="116"/>
      <c r="L1432" s="169">
        <v>44113</v>
      </c>
      <c r="M1432" s="116">
        <v>831.1</v>
      </c>
      <c r="N1432" s="116">
        <v>868.8</v>
      </c>
      <c r="O1432" s="116">
        <v>821.05</v>
      </c>
      <c r="P1432" s="116">
        <v>851.1</v>
      </c>
      <c r="Q1432" s="116">
        <v>831.1</v>
      </c>
      <c r="R1432">
        <v>131813</v>
      </c>
    </row>
    <row r="1433" spans="1:18" x14ac:dyDescent="0.25">
      <c r="A1433" s="169">
        <v>44116</v>
      </c>
      <c r="B1433" s="116">
        <v>849.75</v>
      </c>
      <c r="C1433" s="116">
        <v>811.15</v>
      </c>
      <c r="D1433" s="116">
        <v>803</v>
      </c>
      <c r="E1433" s="116">
        <v>825</v>
      </c>
      <c r="F1433" s="116">
        <v>811.15</v>
      </c>
      <c r="G1433">
        <v>8693</v>
      </c>
      <c r="H1433" s="116"/>
      <c r="I1433" s="116"/>
      <c r="L1433" s="169">
        <v>44116</v>
      </c>
      <c r="M1433" s="116">
        <v>812.05</v>
      </c>
      <c r="N1433" s="116">
        <v>836.5</v>
      </c>
      <c r="O1433" s="116">
        <v>802</v>
      </c>
      <c r="P1433" s="116">
        <v>835</v>
      </c>
      <c r="Q1433" s="116">
        <v>812.05</v>
      </c>
      <c r="R1433">
        <v>61667</v>
      </c>
    </row>
    <row r="1434" spans="1:18" x14ac:dyDescent="0.25">
      <c r="A1434" s="169">
        <v>44117</v>
      </c>
      <c r="B1434" s="116">
        <v>845</v>
      </c>
      <c r="C1434" s="116">
        <v>837.6</v>
      </c>
      <c r="D1434" s="116">
        <v>810</v>
      </c>
      <c r="E1434" s="116">
        <v>819</v>
      </c>
      <c r="F1434" s="116">
        <v>837.6</v>
      </c>
      <c r="G1434">
        <v>11332</v>
      </c>
      <c r="H1434" s="116"/>
      <c r="I1434" s="116"/>
      <c r="L1434" s="169">
        <v>44117</v>
      </c>
      <c r="M1434" s="116">
        <v>839.75</v>
      </c>
      <c r="N1434" s="116">
        <v>845.55</v>
      </c>
      <c r="O1434" s="116">
        <v>802.2</v>
      </c>
      <c r="P1434" s="116">
        <v>807.9</v>
      </c>
      <c r="Q1434" s="116">
        <v>839.75</v>
      </c>
      <c r="R1434">
        <v>119954</v>
      </c>
    </row>
    <row r="1435" spans="1:18" x14ac:dyDescent="0.25">
      <c r="A1435" s="169">
        <v>44118</v>
      </c>
      <c r="B1435" s="116">
        <v>885</v>
      </c>
      <c r="C1435" s="116">
        <v>874.1</v>
      </c>
      <c r="D1435" s="116">
        <v>827</v>
      </c>
      <c r="E1435" s="116">
        <v>843</v>
      </c>
      <c r="F1435" s="116">
        <v>874.1</v>
      </c>
      <c r="G1435">
        <v>12478</v>
      </c>
      <c r="H1435" s="116"/>
      <c r="I1435" s="116"/>
      <c r="L1435" s="169">
        <v>44118</v>
      </c>
      <c r="M1435" s="116">
        <v>873.95</v>
      </c>
      <c r="N1435" s="116">
        <v>884.35</v>
      </c>
      <c r="O1435" s="116">
        <v>825</v>
      </c>
      <c r="P1435" s="116">
        <v>839.75</v>
      </c>
      <c r="Q1435" s="116">
        <v>873.95</v>
      </c>
      <c r="R1435">
        <v>251103</v>
      </c>
    </row>
    <row r="1436" spans="1:18" x14ac:dyDescent="0.25">
      <c r="A1436" s="169">
        <v>44119</v>
      </c>
      <c r="B1436" s="116">
        <v>873</v>
      </c>
      <c r="C1436" s="116">
        <v>820.6</v>
      </c>
      <c r="D1436" s="116">
        <v>814.8</v>
      </c>
      <c r="E1436" s="116">
        <v>873</v>
      </c>
      <c r="F1436" s="116">
        <v>820.6</v>
      </c>
      <c r="G1436">
        <v>23619</v>
      </c>
      <c r="H1436" s="116"/>
      <c r="I1436" s="116"/>
      <c r="L1436" s="169">
        <v>44119</v>
      </c>
      <c r="M1436" s="116">
        <v>820.8</v>
      </c>
      <c r="N1436" s="116">
        <v>872.35</v>
      </c>
      <c r="O1436" s="116">
        <v>816.75</v>
      </c>
      <c r="P1436" s="116">
        <v>872.35</v>
      </c>
      <c r="Q1436" s="116">
        <v>820.8</v>
      </c>
      <c r="R1436">
        <v>136942</v>
      </c>
    </row>
    <row r="1437" spans="1:18" x14ac:dyDescent="0.25">
      <c r="A1437" s="169">
        <v>44120</v>
      </c>
      <c r="B1437" s="116">
        <v>840</v>
      </c>
      <c r="C1437" s="116">
        <v>833.7</v>
      </c>
      <c r="D1437" s="116">
        <v>817.7</v>
      </c>
      <c r="E1437" s="116">
        <v>822.7</v>
      </c>
      <c r="F1437" s="116">
        <v>833.7</v>
      </c>
      <c r="G1437">
        <v>2874</v>
      </c>
      <c r="H1437" s="116"/>
      <c r="I1437" s="116"/>
      <c r="L1437" s="169">
        <v>44120</v>
      </c>
      <c r="M1437" s="116">
        <v>832.3</v>
      </c>
      <c r="N1437" s="116">
        <v>842</v>
      </c>
      <c r="O1437" s="116">
        <v>815</v>
      </c>
      <c r="P1437" s="116">
        <v>827.2</v>
      </c>
      <c r="Q1437" s="116">
        <v>832.3</v>
      </c>
      <c r="R1437">
        <v>71017</v>
      </c>
    </row>
    <row r="1438" spans="1:18" x14ac:dyDescent="0.25">
      <c r="A1438" s="169">
        <v>44123</v>
      </c>
      <c r="B1438" s="116">
        <v>840.25</v>
      </c>
      <c r="C1438" s="116">
        <v>829.85</v>
      </c>
      <c r="D1438" s="116">
        <v>824.75</v>
      </c>
      <c r="E1438" s="116">
        <v>835</v>
      </c>
      <c r="F1438" s="116">
        <v>829.85</v>
      </c>
      <c r="G1438">
        <v>5137</v>
      </c>
      <c r="H1438" s="116"/>
      <c r="I1438" s="116"/>
      <c r="L1438" s="169">
        <v>44123</v>
      </c>
      <c r="M1438" s="116">
        <v>830.1</v>
      </c>
      <c r="N1438" s="116">
        <v>841</v>
      </c>
      <c r="O1438" s="116">
        <v>827</v>
      </c>
      <c r="P1438" s="116">
        <v>837.7</v>
      </c>
      <c r="Q1438" s="116">
        <v>830.1</v>
      </c>
      <c r="R1438">
        <v>35799</v>
      </c>
    </row>
    <row r="1439" spans="1:18" x14ac:dyDescent="0.25">
      <c r="A1439" s="169">
        <v>44124</v>
      </c>
      <c r="B1439" s="116">
        <v>850</v>
      </c>
      <c r="C1439" s="116">
        <v>839.4</v>
      </c>
      <c r="D1439" s="116">
        <v>815.5</v>
      </c>
      <c r="E1439" s="116">
        <v>815.5</v>
      </c>
      <c r="F1439" s="116">
        <v>839.4</v>
      </c>
      <c r="G1439">
        <v>4180</v>
      </c>
      <c r="H1439" s="116"/>
      <c r="I1439" s="116"/>
      <c r="L1439" s="169">
        <v>44124</v>
      </c>
      <c r="M1439" s="116">
        <v>840.6</v>
      </c>
      <c r="N1439" s="116">
        <v>850.8</v>
      </c>
      <c r="O1439" s="116">
        <v>821.5</v>
      </c>
      <c r="P1439" s="116">
        <v>829.8</v>
      </c>
      <c r="Q1439" s="116">
        <v>840.6</v>
      </c>
      <c r="R1439">
        <v>58656</v>
      </c>
    </row>
    <row r="1440" spans="1:18" x14ac:dyDescent="0.25">
      <c r="A1440" s="169">
        <v>44125</v>
      </c>
      <c r="B1440" s="116">
        <v>851</v>
      </c>
      <c r="C1440" s="116">
        <v>831.3</v>
      </c>
      <c r="D1440" s="116">
        <v>813.2</v>
      </c>
      <c r="E1440" s="116">
        <v>851</v>
      </c>
      <c r="F1440" s="116">
        <v>831.3</v>
      </c>
      <c r="G1440">
        <v>4682</v>
      </c>
      <c r="H1440" s="116"/>
      <c r="I1440" s="116"/>
      <c r="L1440" s="169">
        <v>44125</v>
      </c>
      <c r="M1440" s="116">
        <v>830.35</v>
      </c>
      <c r="N1440" s="116">
        <v>848.7</v>
      </c>
      <c r="O1440" s="116">
        <v>815.5</v>
      </c>
      <c r="P1440" s="116">
        <v>841.1</v>
      </c>
      <c r="Q1440" s="116">
        <v>830.35</v>
      </c>
      <c r="R1440">
        <v>44437</v>
      </c>
    </row>
    <row r="1441" spans="1:18" x14ac:dyDescent="0.25">
      <c r="A1441" s="169">
        <v>44126</v>
      </c>
      <c r="B1441" s="116">
        <v>836.3</v>
      </c>
      <c r="C1441" s="116">
        <v>829.3</v>
      </c>
      <c r="D1441" s="116">
        <v>818.5</v>
      </c>
      <c r="E1441" s="116">
        <v>827.2</v>
      </c>
      <c r="F1441" s="116">
        <v>829.3</v>
      </c>
      <c r="G1441">
        <v>5523</v>
      </c>
      <c r="H1441" s="116"/>
      <c r="I1441" s="116"/>
      <c r="L1441" s="169">
        <v>44126</v>
      </c>
      <c r="M1441" s="116">
        <v>829.6</v>
      </c>
      <c r="N1441" s="116">
        <v>836.65</v>
      </c>
      <c r="O1441" s="116">
        <v>821.35</v>
      </c>
      <c r="P1441" s="116">
        <v>827.6</v>
      </c>
      <c r="Q1441" s="116">
        <v>829.6</v>
      </c>
      <c r="R1441">
        <v>35200</v>
      </c>
    </row>
    <row r="1442" spans="1:18" x14ac:dyDescent="0.25">
      <c r="A1442" s="169">
        <v>44127</v>
      </c>
      <c r="B1442" s="116">
        <v>855</v>
      </c>
      <c r="C1442" s="116">
        <v>843.2</v>
      </c>
      <c r="D1442" s="116">
        <v>829.3</v>
      </c>
      <c r="E1442" s="116">
        <v>829.3</v>
      </c>
      <c r="F1442" s="116">
        <v>843.2</v>
      </c>
      <c r="G1442">
        <v>4419</v>
      </c>
      <c r="H1442" s="116"/>
      <c r="I1442" s="116"/>
      <c r="L1442" s="169">
        <v>44127</v>
      </c>
      <c r="M1442" s="116">
        <v>844.45</v>
      </c>
      <c r="N1442" s="116">
        <v>855.4</v>
      </c>
      <c r="O1442" s="116">
        <v>818</v>
      </c>
      <c r="P1442" s="116">
        <v>833</v>
      </c>
      <c r="Q1442" s="116">
        <v>844.45</v>
      </c>
      <c r="R1442">
        <v>75251</v>
      </c>
    </row>
    <row r="1443" spans="1:18" x14ac:dyDescent="0.25">
      <c r="A1443" s="169">
        <v>44130</v>
      </c>
      <c r="B1443" s="116">
        <v>863.8</v>
      </c>
      <c r="C1443" s="116">
        <v>830.6</v>
      </c>
      <c r="D1443" s="116">
        <v>825.55</v>
      </c>
      <c r="E1443" s="116">
        <v>843.2</v>
      </c>
      <c r="F1443" s="116">
        <v>830.6</v>
      </c>
      <c r="G1443">
        <v>6069</v>
      </c>
      <c r="H1443" s="116"/>
      <c r="I1443" s="116"/>
      <c r="L1443" s="169">
        <v>44130</v>
      </c>
      <c r="M1443" s="116">
        <v>831.85</v>
      </c>
      <c r="N1443" s="116">
        <v>865</v>
      </c>
      <c r="O1443" s="116">
        <v>822.25</v>
      </c>
      <c r="P1443" s="116">
        <v>851.35</v>
      </c>
      <c r="Q1443" s="116">
        <v>831.85</v>
      </c>
      <c r="R1443">
        <v>123186</v>
      </c>
    </row>
    <row r="1444" spans="1:18" x14ac:dyDescent="0.25">
      <c r="A1444" s="169">
        <v>44131</v>
      </c>
      <c r="B1444" s="116">
        <v>853</v>
      </c>
      <c r="C1444" s="116">
        <v>845.15</v>
      </c>
      <c r="D1444" s="116">
        <v>822.85</v>
      </c>
      <c r="E1444" s="116">
        <v>833.5</v>
      </c>
      <c r="F1444" s="116">
        <v>845.15</v>
      </c>
      <c r="G1444">
        <v>4043</v>
      </c>
      <c r="H1444" s="116"/>
      <c r="I1444" s="116"/>
      <c r="L1444" s="169">
        <v>44131</v>
      </c>
      <c r="M1444" s="116">
        <v>847</v>
      </c>
      <c r="N1444" s="116">
        <v>853.3</v>
      </c>
      <c r="O1444" s="116">
        <v>821.3</v>
      </c>
      <c r="P1444" s="116">
        <v>835</v>
      </c>
      <c r="Q1444" s="116">
        <v>847</v>
      </c>
      <c r="R1444">
        <v>129786</v>
      </c>
    </row>
    <row r="1445" spans="1:18" x14ac:dyDescent="0.25">
      <c r="A1445" s="169">
        <v>44132</v>
      </c>
      <c r="B1445" s="116">
        <v>878</v>
      </c>
      <c r="C1445" s="116">
        <v>841.35</v>
      </c>
      <c r="D1445" s="116">
        <v>835.7</v>
      </c>
      <c r="E1445" s="116">
        <v>850</v>
      </c>
      <c r="F1445" s="116">
        <v>841.35</v>
      </c>
      <c r="G1445">
        <v>13531</v>
      </c>
      <c r="H1445" s="116"/>
      <c r="I1445" s="116"/>
      <c r="L1445" s="169">
        <v>44132</v>
      </c>
      <c r="M1445" s="116">
        <v>844.75</v>
      </c>
      <c r="N1445" s="116">
        <v>877.8</v>
      </c>
      <c r="O1445" s="116">
        <v>835.95</v>
      </c>
      <c r="P1445" s="116">
        <v>850.65</v>
      </c>
      <c r="Q1445" s="116">
        <v>844.75</v>
      </c>
      <c r="R1445">
        <v>212015</v>
      </c>
    </row>
    <row r="1446" spans="1:18" x14ac:dyDescent="0.25">
      <c r="A1446" s="169">
        <v>44133</v>
      </c>
      <c r="B1446" s="116">
        <v>887.7</v>
      </c>
      <c r="C1446" s="116">
        <v>861.45</v>
      </c>
      <c r="D1446" s="116">
        <v>855.65</v>
      </c>
      <c r="E1446" s="116">
        <v>870</v>
      </c>
      <c r="F1446" s="116">
        <v>861.45</v>
      </c>
      <c r="G1446">
        <v>21897</v>
      </c>
      <c r="H1446" s="116"/>
      <c r="I1446" s="116"/>
      <c r="L1446" s="169">
        <v>44133</v>
      </c>
      <c r="M1446" s="116">
        <v>862</v>
      </c>
      <c r="N1446" s="116">
        <v>887</v>
      </c>
      <c r="O1446" s="116">
        <v>855</v>
      </c>
      <c r="P1446" s="116">
        <v>870</v>
      </c>
      <c r="Q1446" s="116">
        <v>862</v>
      </c>
      <c r="R1446">
        <v>533631</v>
      </c>
    </row>
    <row r="1447" spans="1:18" x14ac:dyDescent="0.25">
      <c r="A1447" s="169">
        <v>44134</v>
      </c>
      <c r="B1447" s="116">
        <v>872.05</v>
      </c>
      <c r="C1447" s="116">
        <v>842.65</v>
      </c>
      <c r="D1447" s="116">
        <v>828</v>
      </c>
      <c r="E1447" s="116">
        <v>865</v>
      </c>
      <c r="F1447" s="116">
        <v>842.65</v>
      </c>
      <c r="G1447">
        <v>7957</v>
      </c>
      <c r="H1447" s="116"/>
      <c r="I1447" s="116"/>
      <c r="L1447" s="169">
        <v>44134</v>
      </c>
      <c r="M1447" s="116">
        <v>842.95</v>
      </c>
      <c r="N1447" s="116">
        <v>873.2</v>
      </c>
      <c r="O1447" s="116">
        <v>827.3</v>
      </c>
      <c r="P1447" s="116">
        <v>864</v>
      </c>
      <c r="Q1447" s="116">
        <v>842.95</v>
      </c>
      <c r="R1447">
        <v>133287</v>
      </c>
    </row>
    <row r="1448" spans="1:18" x14ac:dyDescent="0.25">
      <c r="A1448" s="169">
        <v>44137</v>
      </c>
      <c r="B1448" s="116">
        <v>850</v>
      </c>
      <c r="C1448" s="116">
        <v>822.6</v>
      </c>
      <c r="D1448" s="116">
        <v>815.4</v>
      </c>
      <c r="E1448" s="116">
        <v>850</v>
      </c>
      <c r="F1448" s="116">
        <v>822.6</v>
      </c>
      <c r="G1448">
        <v>4989</v>
      </c>
      <c r="H1448" s="116"/>
      <c r="I1448" s="116"/>
      <c r="L1448" s="169">
        <v>44137</v>
      </c>
      <c r="M1448" s="116">
        <v>822.85</v>
      </c>
      <c r="N1448" s="116">
        <v>839.25</v>
      </c>
      <c r="O1448" s="116">
        <v>815</v>
      </c>
      <c r="P1448" s="116">
        <v>834</v>
      </c>
      <c r="Q1448" s="116">
        <v>822.85</v>
      </c>
      <c r="R1448">
        <v>91447</v>
      </c>
    </row>
    <row r="1449" spans="1:18" x14ac:dyDescent="0.25">
      <c r="A1449" s="169">
        <v>44138</v>
      </c>
      <c r="B1449" s="116">
        <v>859.75</v>
      </c>
      <c r="C1449" s="116">
        <v>807.05</v>
      </c>
      <c r="D1449" s="116">
        <v>800.2</v>
      </c>
      <c r="E1449" s="116">
        <v>859.75</v>
      </c>
      <c r="F1449" s="116">
        <v>807.05</v>
      </c>
      <c r="G1449">
        <v>4477</v>
      </c>
      <c r="H1449" s="116"/>
      <c r="I1449" s="116"/>
      <c r="L1449" s="169">
        <v>44138</v>
      </c>
      <c r="M1449" s="116">
        <v>805.9</v>
      </c>
      <c r="N1449" s="116">
        <v>837.65</v>
      </c>
      <c r="O1449" s="116">
        <v>800</v>
      </c>
      <c r="P1449" s="116">
        <v>826.4</v>
      </c>
      <c r="Q1449" s="116">
        <v>805.9</v>
      </c>
      <c r="R1449">
        <v>125332</v>
      </c>
    </row>
    <row r="1450" spans="1:18" x14ac:dyDescent="0.25">
      <c r="A1450" s="169">
        <v>44139</v>
      </c>
      <c r="B1450" s="116">
        <v>819.25</v>
      </c>
      <c r="C1450" s="116">
        <v>810.95</v>
      </c>
      <c r="D1450" s="116">
        <v>792.2</v>
      </c>
      <c r="E1450" s="116">
        <v>810</v>
      </c>
      <c r="F1450" s="116">
        <v>810.95</v>
      </c>
      <c r="G1450">
        <v>10558</v>
      </c>
      <c r="H1450" s="116"/>
      <c r="I1450" s="116"/>
      <c r="L1450" s="169">
        <v>44139</v>
      </c>
      <c r="M1450" s="116">
        <v>810.65</v>
      </c>
      <c r="N1450" s="116">
        <v>819.5</v>
      </c>
      <c r="O1450" s="116">
        <v>801.1</v>
      </c>
      <c r="P1450" s="116">
        <v>810</v>
      </c>
      <c r="Q1450" s="116">
        <v>810.65</v>
      </c>
      <c r="R1450">
        <v>89477</v>
      </c>
    </row>
    <row r="1451" spans="1:18" x14ac:dyDescent="0.25">
      <c r="A1451" s="169">
        <v>44140</v>
      </c>
      <c r="B1451" s="116">
        <v>848</v>
      </c>
      <c r="C1451" s="116">
        <v>843.65</v>
      </c>
      <c r="D1451" s="116">
        <v>812.1</v>
      </c>
      <c r="E1451" s="116">
        <v>825</v>
      </c>
      <c r="F1451" s="116">
        <v>843.65</v>
      </c>
      <c r="G1451">
        <v>15056</v>
      </c>
      <c r="H1451" s="116"/>
      <c r="I1451" s="116"/>
      <c r="L1451" s="169">
        <v>44140</v>
      </c>
      <c r="M1451" s="116">
        <v>843.4</v>
      </c>
      <c r="N1451" s="116">
        <v>848.35</v>
      </c>
      <c r="O1451" s="116">
        <v>818.45</v>
      </c>
      <c r="P1451" s="116">
        <v>828</v>
      </c>
      <c r="Q1451" s="116">
        <v>843.4</v>
      </c>
      <c r="R1451">
        <v>190782</v>
      </c>
    </row>
    <row r="1452" spans="1:18" x14ac:dyDescent="0.25">
      <c r="A1452" s="169">
        <v>44141</v>
      </c>
      <c r="B1452" s="116">
        <v>915</v>
      </c>
      <c r="C1452" s="116">
        <v>886.55</v>
      </c>
      <c r="D1452" s="116">
        <v>840.3</v>
      </c>
      <c r="E1452" s="116">
        <v>843.5</v>
      </c>
      <c r="F1452" s="116">
        <v>886.55</v>
      </c>
      <c r="G1452">
        <v>66923</v>
      </c>
      <c r="H1452" s="116"/>
      <c r="I1452" s="116"/>
      <c r="L1452" s="169">
        <v>44141</v>
      </c>
      <c r="M1452" s="116">
        <v>886.95</v>
      </c>
      <c r="N1452" s="116">
        <v>914.9</v>
      </c>
      <c r="O1452" s="116">
        <v>841.1</v>
      </c>
      <c r="P1452" s="116">
        <v>849</v>
      </c>
      <c r="Q1452" s="116">
        <v>886.95</v>
      </c>
      <c r="R1452">
        <v>658944</v>
      </c>
    </row>
    <row r="1453" spans="1:18" x14ac:dyDescent="0.25">
      <c r="A1453" s="169">
        <v>44144</v>
      </c>
      <c r="B1453" s="116">
        <v>901.25</v>
      </c>
      <c r="C1453" s="116">
        <v>869.05</v>
      </c>
      <c r="D1453" s="116">
        <v>866</v>
      </c>
      <c r="E1453" s="116">
        <v>898.85</v>
      </c>
      <c r="F1453" s="116">
        <v>869.05</v>
      </c>
      <c r="G1453">
        <v>4251</v>
      </c>
      <c r="H1453" s="116"/>
      <c r="I1453" s="116"/>
      <c r="L1453" s="169">
        <v>44144</v>
      </c>
      <c r="M1453" s="116">
        <v>868.8</v>
      </c>
      <c r="N1453" s="116">
        <v>901.95</v>
      </c>
      <c r="O1453" s="116">
        <v>865.3</v>
      </c>
      <c r="P1453" s="116">
        <v>895</v>
      </c>
      <c r="Q1453" s="116">
        <v>868.8</v>
      </c>
      <c r="R1453">
        <v>122697</v>
      </c>
    </row>
    <row r="1454" spans="1:18" x14ac:dyDescent="0.25">
      <c r="A1454" s="169">
        <v>44145</v>
      </c>
      <c r="B1454" s="116">
        <v>909.9</v>
      </c>
      <c r="C1454" s="116">
        <v>873.05</v>
      </c>
      <c r="D1454" s="116">
        <v>846</v>
      </c>
      <c r="E1454" s="116">
        <v>870.3</v>
      </c>
      <c r="F1454" s="116">
        <v>873.05</v>
      </c>
      <c r="G1454">
        <v>29963</v>
      </c>
      <c r="H1454" s="116"/>
      <c r="I1454" s="116"/>
      <c r="L1454" s="169">
        <v>44145</v>
      </c>
      <c r="M1454" s="116">
        <v>873.85</v>
      </c>
      <c r="N1454" s="116">
        <v>911</v>
      </c>
      <c r="O1454" s="116">
        <v>846.4</v>
      </c>
      <c r="P1454" s="116">
        <v>870.1</v>
      </c>
      <c r="Q1454" s="116">
        <v>873.85</v>
      </c>
      <c r="R1454">
        <v>321718</v>
      </c>
    </row>
    <row r="1455" spans="1:18" x14ac:dyDescent="0.25">
      <c r="A1455" s="169">
        <v>44146</v>
      </c>
      <c r="B1455" s="116">
        <v>898</v>
      </c>
      <c r="C1455" s="116">
        <v>889.4</v>
      </c>
      <c r="D1455" s="116">
        <v>866</v>
      </c>
      <c r="E1455" s="116">
        <v>872</v>
      </c>
      <c r="F1455" s="116">
        <v>889.4</v>
      </c>
      <c r="G1455">
        <v>16390</v>
      </c>
      <c r="H1455" s="116"/>
      <c r="I1455" s="116"/>
      <c r="L1455" s="169">
        <v>44146</v>
      </c>
      <c r="M1455" s="116">
        <v>888.65</v>
      </c>
      <c r="N1455" s="116">
        <v>898.9</v>
      </c>
      <c r="O1455" s="116">
        <v>865.85</v>
      </c>
      <c r="P1455" s="116">
        <v>877.95</v>
      </c>
      <c r="Q1455" s="116">
        <v>888.65</v>
      </c>
      <c r="R1455">
        <v>233809</v>
      </c>
    </row>
    <row r="1456" spans="1:18" x14ac:dyDescent="0.25">
      <c r="A1456" s="169">
        <v>44147</v>
      </c>
      <c r="B1456" s="116">
        <v>963.1</v>
      </c>
      <c r="C1456" s="116">
        <v>956.7</v>
      </c>
      <c r="D1456" s="116">
        <v>880.9</v>
      </c>
      <c r="E1456" s="116">
        <v>886.15</v>
      </c>
      <c r="F1456" s="116">
        <v>956.7</v>
      </c>
      <c r="G1456">
        <v>62618</v>
      </c>
      <c r="H1456" s="116"/>
      <c r="I1456" s="116"/>
      <c r="L1456" s="169">
        <v>44147</v>
      </c>
      <c r="M1456" s="116">
        <v>956.8</v>
      </c>
      <c r="N1456" s="116">
        <v>964</v>
      </c>
      <c r="O1456" s="116">
        <v>881.6</v>
      </c>
      <c r="P1456" s="116">
        <v>887.4</v>
      </c>
      <c r="Q1456" s="116">
        <v>956.8</v>
      </c>
      <c r="R1456">
        <v>762493</v>
      </c>
    </row>
    <row r="1457" spans="1:18" x14ac:dyDescent="0.25">
      <c r="A1457" s="169">
        <v>44148</v>
      </c>
      <c r="B1457" s="116">
        <v>977.5</v>
      </c>
      <c r="C1457" s="116">
        <v>953.55</v>
      </c>
      <c r="D1457" s="116">
        <v>943.1</v>
      </c>
      <c r="E1457" s="116">
        <v>962</v>
      </c>
      <c r="F1457" s="116">
        <v>953.55</v>
      </c>
      <c r="G1457">
        <v>12821</v>
      </c>
      <c r="H1457" s="116"/>
      <c r="I1457" s="116"/>
      <c r="L1457" s="169">
        <v>44148</v>
      </c>
      <c r="M1457" s="116">
        <v>955.1</v>
      </c>
      <c r="N1457" s="116">
        <v>977.9</v>
      </c>
      <c r="O1457" s="116">
        <v>941.9</v>
      </c>
      <c r="P1457" s="116">
        <v>960</v>
      </c>
      <c r="Q1457" s="116">
        <v>955.1</v>
      </c>
      <c r="R1457">
        <v>388584</v>
      </c>
    </row>
    <row r="1458" spans="1:18" x14ac:dyDescent="0.25">
      <c r="A1458" s="169">
        <v>44149</v>
      </c>
      <c r="B1458" s="116">
        <v>962.35</v>
      </c>
      <c r="C1458" s="116">
        <v>948.2</v>
      </c>
      <c r="D1458" s="116">
        <v>943</v>
      </c>
      <c r="E1458" s="116">
        <v>961.2</v>
      </c>
      <c r="F1458" s="116">
        <v>948.2</v>
      </c>
      <c r="G1458">
        <v>2881</v>
      </c>
      <c r="H1458" s="116"/>
      <c r="I1458" s="116"/>
      <c r="L1458" s="169">
        <v>44149</v>
      </c>
      <c r="M1458" s="116">
        <v>949.6</v>
      </c>
      <c r="N1458" s="116">
        <v>962.75</v>
      </c>
      <c r="O1458" s="116">
        <v>942.6</v>
      </c>
      <c r="P1458" s="116">
        <v>961.95</v>
      </c>
      <c r="Q1458" s="116">
        <v>949.6</v>
      </c>
      <c r="R1458">
        <v>53020</v>
      </c>
    </row>
    <row r="1459" spans="1:18" x14ac:dyDescent="0.25">
      <c r="A1459" s="169">
        <v>44152</v>
      </c>
      <c r="B1459" s="116">
        <v>964</v>
      </c>
      <c r="C1459" s="116">
        <v>948.15</v>
      </c>
      <c r="D1459" s="116">
        <v>938.75</v>
      </c>
      <c r="E1459" s="116">
        <v>957.8</v>
      </c>
      <c r="F1459" s="116">
        <v>948.15</v>
      </c>
      <c r="G1459">
        <v>6318</v>
      </c>
      <c r="H1459" s="116"/>
      <c r="I1459" s="116"/>
      <c r="L1459" s="169">
        <v>44152</v>
      </c>
      <c r="M1459" s="116">
        <v>947.85</v>
      </c>
      <c r="N1459" s="116">
        <v>965.7</v>
      </c>
      <c r="O1459" s="116">
        <v>937.65</v>
      </c>
      <c r="P1459" s="116">
        <v>951</v>
      </c>
      <c r="Q1459" s="116">
        <v>947.85</v>
      </c>
      <c r="R1459">
        <v>182778</v>
      </c>
    </row>
    <row r="1460" spans="1:18" x14ac:dyDescent="0.25">
      <c r="A1460" s="169">
        <v>44153</v>
      </c>
      <c r="B1460" s="116">
        <v>965</v>
      </c>
      <c r="C1460" s="116">
        <v>953.75</v>
      </c>
      <c r="D1460" s="116">
        <v>938.75</v>
      </c>
      <c r="E1460" s="116">
        <v>945</v>
      </c>
      <c r="F1460" s="116">
        <v>953.75</v>
      </c>
      <c r="G1460">
        <v>17273</v>
      </c>
      <c r="H1460" s="116"/>
      <c r="I1460" s="116"/>
      <c r="L1460" s="169">
        <v>44153</v>
      </c>
      <c r="M1460" s="116">
        <v>953.5</v>
      </c>
      <c r="N1460" s="116">
        <v>964.5</v>
      </c>
      <c r="O1460" s="116">
        <v>940.1</v>
      </c>
      <c r="P1460" s="116">
        <v>950</v>
      </c>
      <c r="Q1460" s="116">
        <v>953.5</v>
      </c>
      <c r="R1460">
        <v>149054</v>
      </c>
    </row>
    <row r="1461" spans="1:18" x14ac:dyDescent="0.25">
      <c r="A1461" s="169">
        <v>44154</v>
      </c>
      <c r="B1461" s="116">
        <v>1017.9</v>
      </c>
      <c r="C1461" s="116">
        <v>984.9</v>
      </c>
      <c r="D1461" s="116">
        <v>945</v>
      </c>
      <c r="E1461" s="116">
        <v>949</v>
      </c>
      <c r="F1461" s="116">
        <v>984.9</v>
      </c>
      <c r="G1461">
        <v>53822</v>
      </c>
      <c r="H1461" s="116"/>
      <c r="I1461" s="116"/>
      <c r="L1461" s="169">
        <v>44154</v>
      </c>
      <c r="M1461" s="116">
        <v>985.45</v>
      </c>
      <c r="N1461" s="116">
        <v>1019</v>
      </c>
      <c r="O1461" s="116">
        <v>942.05</v>
      </c>
      <c r="P1461" s="116">
        <v>945.25</v>
      </c>
      <c r="Q1461" s="116">
        <v>985.45</v>
      </c>
      <c r="R1461">
        <v>634310</v>
      </c>
    </row>
    <row r="1462" spans="1:18" x14ac:dyDescent="0.25">
      <c r="A1462" s="169">
        <v>44155</v>
      </c>
      <c r="B1462" s="116">
        <v>999.85</v>
      </c>
      <c r="C1462" s="116">
        <v>991.85</v>
      </c>
      <c r="D1462" s="116">
        <v>964</v>
      </c>
      <c r="E1462" s="116">
        <v>985.45</v>
      </c>
      <c r="F1462" s="116">
        <v>991.85</v>
      </c>
      <c r="G1462">
        <v>12232</v>
      </c>
      <c r="H1462" s="116"/>
      <c r="I1462" s="116"/>
      <c r="L1462" s="169">
        <v>44155</v>
      </c>
      <c r="M1462" s="116">
        <v>992.05</v>
      </c>
      <c r="N1462" s="116">
        <v>999.9</v>
      </c>
      <c r="O1462" s="116">
        <v>963</v>
      </c>
      <c r="P1462" s="116">
        <v>985.85</v>
      </c>
      <c r="Q1462" s="116">
        <v>992.05</v>
      </c>
      <c r="R1462">
        <v>215682</v>
      </c>
    </row>
    <row r="1463" spans="1:18" x14ac:dyDescent="0.25">
      <c r="A1463" s="169">
        <v>44158</v>
      </c>
      <c r="B1463" s="116">
        <v>1042.95</v>
      </c>
      <c r="C1463" s="116">
        <v>1033.75</v>
      </c>
      <c r="D1463" s="116">
        <v>991.85</v>
      </c>
      <c r="E1463" s="116">
        <v>997.25</v>
      </c>
      <c r="F1463" s="116">
        <v>1033.75</v>
      </c>
      <c r="G1463">
        <v>21647</v>
      </c>
      <c r="H1463" s="116"/>
      <c r="I1463" s="116"/>
      <c r="L1463" s="169">
        <v>44158</v>
      </c>
      <c r="M1463" s="116">
        <v>1033.1500000000001</v>
      </c>
      <c r="N1463" s="116">
        <v>1044</v>
      </c>
      <c r="O1463" s="116">
        <v>997.85</v>
      </c>
      <c r="P1463" s="116">
        <v>997.85</v>
      </c>
      <c r="Q1463" s="116">
        <v>1033.1500000000001</v>
      </c>
      <c r="R1463">
        <v>423823</v>
      </c>
    </row>
    <row r="1464" spans="1:18" x14ac:dyDescent="0.25">
      <c r="A1464" s="169">
        <v>44159</v>
      </c>
      <c r="B1464" s="116">
        <v>1054</v>
      </c>
      <c r="C1464" s="116">
        <v>1010.4</v>
      </c>
      <c r="D1464" s="116">
        <v>1007.2</v>
      </c>
      <c r="E1464" s="116">
        <v>1039.95</v>
      </c>
      <c r="F1464" s="116">
        <v>1010.4</v>
      </c>
      <c r="G1464">
        <v>23026</v>
      </c>
      <c r="H1464" s="116"/>
      <c r="I1464" s="116"/>
      <c r="L1464" s="169">
        <v>44159</v>
      </c>
      <c r="M1464" s="116">
        <v>1011.7</v>
      </c>
      <c r="N1464" s="116">
        <v>1054.55</v>
      </c>
      <c r="O1464" s="116">
        <v>1005</v>
      </c>
      <c r="P1464" s="116">
        <v>1033.0999999999999</v>
      </c>
      <c r="Q1464" s="116">
        <v>1011.7</v>
      </c>
      <c r="R1464">
        <v>193767</v>
      </c>
    </row>
    <row r="1465" spans="1:18" x14ac:dyDescent="0.25">
      <c r="A1465" s="169">
        <v>44160</v>
      </c>
      <c r="B1465" s="116">
        <v>1017.5</v>
      </c>
      <c r="C1465" s="116">
        <v>972.8</v>
      </c>
      <c r="D1465" s="116">
        <v>969.85</v>
      </c>
      <c r="E1465" s="116">
        <v>1017.5</v>
      </c>
      <c r="F1465" s="116">
        <v>972.8</v>
      </c>
      <c r="G1465">
        <v>11792</v>
      </c>
      <c r="H1465" s="116"/>
      <c r="I1465" s="116"/>
      <c r="L1465" s="169">
        <v>44160</v>
      </c>
      <c r="M1465" s="116">
        <v>974.7</v>
      </c>
      <c r="N1465" s="116">
        <v>1017.95</v>
      </c>
      <c r="O1465" s="116">
        <v>970.05</v>
      </c>
      <c r="P1465" s="116">
        <v>1017.95</v>
      </c>
      <c r="Q1465" s="116">
        <v>974.7</v>
      </c>
      <c r="R1465">
        <v>180448</v>
      </c>
    </row>
    <row r="1466" spans="1:18" x14ac:dyDescent="0.25">
      <c r="A1466" s="169">
        <v>44161</v>
      </c>
      <c r="B1466" s="116">
        <v>993.7</v>
      </c>
      <c r="C1466" s="116">
        <v>970.25</v>
      </c>
      <c r="D1466" s="116">
        <v>961</v>
      </c>
      <c r="E1466" s="116">
        <v>972.5</v>
      </c>
      <c r="F1466" s="116">
        <v>970.25</v>
      </c>
      <c r="G1466">
        <v>4311</v>
      </c>
      <c r="H1466" s="116"/>
      <c r="I1466" s="116"/>
      <c r="L1466" s="169">
        <v>44161</v>
      </c>
      <c r="M1466" s="116">
        <v>970.65</v>
      </c>
      <c r="N1466" s="116">
        <v>994.85</v>
      </c>
      <c r="O1466" s="116">
        <v>960</v>
      </c>
      <c r="P1466" s="116">
        <v>977.7</v>
      </c>
      <c r="Q1466" s="116">
        <v>970.65</v>
      </c>
      <c r="R1466">
        <v>121078</v>
      </c>
    </row>
    <row r="1467" spans="1:18" x14ac:dyDescent="0.25">
      <c r="A1467" s="169">
        <v>44162</v>
      </c>
      <c r="B1467" s="116">
        <v>1010</v>
      </c>
      <c r="C1467" s="116">
        <v>1004.25</v>
      </c>
      <c r="D1467" s="116">
        <v>962.95</v>
      </c>
      <c r="E1467" s="116">
        <v>974.5</v>
      </c>
      <c r="F1467" s="116">
        <v>1004.25</v>
      </c>
      <c r="G1467">
        <v>16221</v>
      </c>
      <c r="H1467" s="116"/>
      <c r="I1467" s="116"/>
      <c r="L1467" s="169">
        <v>44162</v>
      </c>
      <c r="M1467" s="116">
        <v>1001.95</v>
      </c>
      <c r="N1467" s="116">
        <v>1010</v>
      </c>
      <c r="O1467" s="116">
        <v>963.2</v>
      </c>
      <c r="P1467" s="116">
        <v>975</v>
      </c>
      <c r="Q1467" s="116">
        <v>1001.95</v>
      </c>
      <c r="R1467">
        <v>239038</v>
      </c>
    </row>
    <row r="1468" spans="1:18" x14ac:dyDescent="0.25">
      <c r="A1468" s="169">
        <v>44166</v>
      </c>
      <c r="B1468" s="116">
        <v>1029.55</v>
      </c>
      <c r="C1468" s="116">
        <v>1007.85</v>
      </c>
      <c r="D1468" s="116">
        <v>1001.3</v>
      </c>
      <c r="E1468" s="116">
        <v>1010</v>
      </c>
      <c r="F1468" s="116">
        <v>1007.85</v>
      </c>
      <c r="G1468">
        <v>25247</v>
      </c>
      <c r="H1468" s="116"/>
      <c r="I1468" s="116"/>
      <c r="L1468" s="169">
        <v>44166</v>
      </c>
      <c r="M1468" s="116">
        <v>1005.85</v>
      </c>
      <c r="N1468" s="116">
        <v>1032</v>
      </c>
      <c r="O1468" s="116">
        <v>1001</v>
      </c>
      <c r="P1468" s="116">
        <v>1009.4</v>
      </c>
      <c r="Q1468" s="116">
        <v>1005.85</v>
      </c>
      <c r="R1468">
        <v>126165</v>
      </c>
    </row>
    <row r="1469" spans="1:18" x14ac:dyDescent="0.25">
      <c r="A1469" s="169">
        <v>44167</v>
      </c>
      <c r="B1469" s="116">
        <v>1034.4000000000001</v>
      </c>
      <c r="C1469" s="116">
        <v>1014.45</v>
      </c>
      <c r="D1469" s="116">
        <v>1006</v>
      </c>
      <c r="E1469" s="116">
        <v>1015</v>
      </c>
      <c r="F1469" s="116">
        <v>1014.45</v>
      </c>
      <c r="G1469">
        <v>27523</v>
      </c>
      <c r="H1469" s="116"/>
      <c r="I1469" s="116"/>
      <c r="L1469" s="169">
        <v>44167</v>
      </c>
      <c r="M1469" s="116">
        <v>1015.05</v>
      </c>
      <c r="N1469" s="116">
        <v>1035</v>
      </c>
      <c r="O1469" s="116">
        <v>1007.15</v>
      </c>
      <c r="P1469" s="116">
        <v>1011.6</v>
      </c>
      <c r="Q1469" s="116">
        <v>1015.05</v>
      </c>
      <c r="R1469">
        <v>160653</v>
      </c>
    </row>
    <row r="1470" spans="1:18" x14ac:dyDescent="0.25">
      <c r="A1470" s="169">
        <v>44168</v>
      </c>
      <c r="B1470" s="116">
        <v>1029.95</v>
      </c>
      <c r="C1470" s="116">
        <v>1000.6</v>
      </c>
      <c r="D1470" s="116">
        <v>996.45</v>
      </c>
      <c r="E1470" s="116">
        <v>1029.95</v>
      </c>
      <c r="F1470" s="116">
        <v>1000.6</v>
      </c>
      <c r="G1470">
        <v>8845</v>
      </c>
      <c r="H1470" s="116"/>
      <c r="I1470" s="116"/>
      <c r="L1470" s="169">
        <v>44168</v>
      </c>
      <c r="M1470" s="116">
        <v>998.75</v>
      </c>
      <c r="N1470" s="116">
        <v>1030</v>
      </c>
      <c r="O1470" s="116">
        <v>995</v>
      </c>
      <c r="P1470" s="116">
        <v>1025</v>
      </c>
      <c r="Q1470" s="116">
        <v>998.75</v>
      </c>
      <c r="R1470">
        <v>77328</v>
      </c>
    </row>
    <row r="1471" spans="1:18" x14ac:dyDescent="0.25">
      <c r="A1471" s="169">
        <v>44169</v>
      </c>
      <c r="B1471" s="116">
        <v>1009.65</v>
      </c>
      <c r="C1471" s="116">
        <v>984.35</v>
      </c>
      <c r="D1471" s="116">
        <v>975.15</v>
      </c>
      <c r="E1471" s="116">
        <v>1009.65</v>
      </c>
      <c r="F1471" s="116">
        <v>984.35</v>
      </c>
      <c r="G1471">
        <v>15777</v>
      </c>
      <c r="H1471" s="116"/>
      <c r="I1471" s="116"/>
      <c r="L1471" s="169">
        <v>44169</v>
      </c>
      <c r="M1471" s="116">
        <v>983.65</v>
      </c>
      <c r="N1471" s="116">
        <v>1005.6</v>
      </c>
      <c r="O1471" s="116">
        <v>976</v>
      </c>
      <c r="P1471" s="116">
        <v>1005.45</v>
      </c>
      <c r="Q1471" s="116">
        <v>983.65</v>
      </c>
      <c r="R1471">
        <v>81581</v>
      </c>
    </row>
    <row r="1472" spans="1:18" x14ac:dyDescent="0.25">
      <c r="A1472" s="169">
        <v>44172</v>
      </c>
      <c r="B1472" s="116">
        <v>1011.55</v>
      </c>
      <c r="C1472" s="116">
        <v>981.75</v>
      </c>
      <c r="D1472" s="116">
        <v>975.15</v>
      </c>
      <c r="E1472" s="116">
        <v>982</v>
      </c>
      <c r="F1472" s="116">
        <v>981.75</v>
      </c>
      <c r="G1472">
        <v>10821</v>
      </c>
      <c r="H1472" s="116"/>
      <c r="I1472" s="116"/>
      <c r="L1472" s="169">
        <v>44172</v>
      </c>
      <c r="M1472" s="116">
        <v>981.7</v>
      </c>
      <c r="N1472" s="116">
        <v>1013.2</v>
      </c>
      <c r="O1472" s="116">
        <v>975</v>
      </c>
      <c r="P1472" s="116">
        <v>988.9</v>
      </c>
      <c r="Q1472" s="116">
        <v>981.7</v>
      </c>
      <c r="R1472">
        <v>118458</v>
      </c>
    </row>
    <row r="1473" spans="1:18" x14ac:dyDescent="0.25">
      <c r="A1473" s="169">
        <v>44173</v>
      </c>
      <c r="B1473" s="116">
        <v>993.3</v>
      </c>
      <c r="C1473" s="116">
        <v>953.9</v>
      </c>
      <c r="D1473" s="116">
        <v>914.3</v>
      </c>
      <c r="E1473" s="116">
        <v>989.85</v>
      </c>
      <c r="F1473" s="116">
        <v>953.9</v>
      </c>
      <c r="G1473">
        <v>24259</v>
      </c>
      <c r="H1473" s="116"/>
      <c r="I1473" s="116"/>
      <c r="L1473" s="169">
        <v>44173</v>
      </c>
      <c r="M1473" s="116">
        <v>953.95</v>
      </c>
      <c r="N1473" s="116">
        <v>994.45</v>
      </c>
      <c r="O1473" s="116">
        <v>912.7</v>
      </c>
      <c r="P1473" s="116">
        <v>986</v>
      </c>
      <c r="Q1473" s="116">
        <v>953.95</v>
      </c>
      <c r="R1473">
        <v>151623</v>
      </c>
    </row>
    <row r="1474" spans="1:18" x14ac:dyDescent="0.25">
      <c r="A1474" s="169">
        <v>44174</v>
      </c>
      <c r="B1474" s="116">
        <v>974</v>
      </c>
      <c r="C1474" s="116">
        <v>941.2</v>
      </c>
      <c r="D1474" s="116">
        <v>932.4</v>
      </c>
      <c r="E1474" s="116">
        <v>959.9</v>
      </c>
      <c r="F1474" s="116">
        <v>941.2</v>
      </c>
      <c r="G1474">
        <v>7799</v>
      </c>
      <c r="H1474" s="116"/>
      <c r="I1474" s="116"/>
      <c r="L1474" s="169">
        <v>44174</v>
      </c>
      <c r="M1474" s="116">
        <v>941.1</v>
      </c>
      <c r="N1474" s="116">
        <v>974.15</v>
      </c>
      <c r="O1474" s="116">
        <v>931.8</v>
      </c>
      <c r="P1474" s="116">
        <v>959.5</v>
      </c>
      <c r="Q1474" s="116">
        <v>941.1</v>
      </c>
      <c r="R1474">
        <v>135738</v>
      </c>
    </row>
    <row r="1475" spans="1:18" x14ac:dyDescent="0.25">
      <c r="A1475" s="169">
        <v>44175</v>
      </c>
      <c r="B1475" s="116">
        <v>959.95</v>
      </c>
      <c r="C1475" s="116">
        <v>912.75</v>
      </c>
      <c r="D1475" s="116">
        <v>906.4</v>
      </c>
      <c r="E1475" s="116">
        <v>959.95</v>
      </c>
      <c r="F1475" s="116">
        <v>912.75</v>
      </c>
      <c r="G1475">
        <v>15721</v>
      </c>
      <c r="H1475" s="116"/>
      <c r="I1475" s="116"/>
      <c r="L1475" s="169">
        <v>44175</v>
      </c>
      <c r="M1475" s="116">
        <v>912.8</v>
      </c>
      <c r="N1475" s="116">
        <v>953.55</v>
      </c>
      <c r="O1475" s="116">
        <v>905.55</v>
      </c>
      <c r="P1475" s="116">
        <v>950</v>
      </c>
      <c r="Q1475" s="116">
        <v>912.8</v>
      </c>
      <c r="R1475">
        <v>156741</v>
      </c>
    </row>
    <row r="1476" spans="1:18" x14ac:dyDescent="0.25">
      <c r="A1476" s="169">
        <v>44176</v>
      </c>
      <c r="B1476" s="116">
        <v>938.7</v>
      </c>
      <c r="C1476" s="116">
        <v>925</v>
      </c>
      <c r="D1476" s="116">
        <v>914</v>
      </c>
      <c r="E1476" s="116">
        <v>914</v>
      </c>
      <c r="F1476" s="116">
        <v>925</v>
      </c>
      <c r="G1476">
        <v>6572</v>
      </c>
      <c r="H1476" s="116"/>
      <c r="I1476" s="116"/>
      <c r="L1476" s="169">
        <v>44176</v>
      </c>
      <c r="M1476" s="116">
        <v>923.45</v>
      </c>
      <c r="N1476" s="116">
        <v>939</v>
      </c>
      <c r="O1476" s="116">
        <v>917.05</v>
      </c>
      <c r="P1476" s="116">
        <v>918</v>
      </c>
      <c r="Q1476" s="116">
        <v>923.45</v>
      </c>
      <c r="R1476">
        <v>125201</v>
      </c>
    </row>
    <row r="1477" spans="1:18" x14ac:dyDescent="0.25">
      <c r="A1477" s="169">
        <v>44179</v>
      </c>
      <c r="B1477" s="116">
        <v>949.4</v>
      </c>
      <c r="C1477" s="116">
        <v>932.95</v>
      </c>
      <c r="D1477" s="116">
        <v>928</v>
      </c>
      <c r="E1477" s="116">
        <v>933</v>
      </c>
      <c r="F1477" s="116">
        <v>932.95</v>
      </c>
      <c r="G1477">
        <v>13499</v>
      </c>
      <c r="H1477" s="116"/>
      <c r="I1477" s="116"/>
      <c r="L1477" s="169">
        <v>44179</v>
      </c>
      <c r="M1477" s="116">
        <v>932.9</v>
      </c>
      <c r="N1477" s="116">
        <v>950</v>
      </c>
      <c r="O1477" s="116">
        <v>926.4</v>
      </c>
      <c r="P1477" s="116">
        <v>930.5</v>
      </c>
      <c r="Q1477" s="116">
        <v>932.9</v>
      </c>
      <c r="R1477">
        <v>115378</v>
      </c>
    </row>
    <row r="1478" spans="1:18" x14ac:dyDescent="0.25">
      <c r="A1478" s="169">
        <v>44180</v>
      </c>
      <c r="B1478" s="116">
        <v>947</v>
      </c>
      <c r="C1478" s="116">
        <v>923.15</v>
      </c>
      <c r="D1478" s="116">
        <v>913</v>
      </c>
      <c r="E1478" s="116">
        <v>947</v>
      </c>
      <c r="F1478" s="116">
        <v>923.15</v>
      </c>
      <c r="G1478">
        <v>8724</v>
      </c>
      <c r="H1478" s="116"/>
      <c r="I1478" s="116"/>
      <c r="L1478" s="169">
        <v>44180</v>
      </c>
      <c r="M1478" s="116">
        <v>922.65</v>
      </c>
      <c r="N1478" s="116">
        <v>935.4</v>
      </c>
      <c r="O1478" s="116">
        <v>913</v>
      </c>
      <c r="P1478" s="116">
        <v>932</v>
      </c>
      <c r="Q1478" s="116">
        <v>922.65</v>
      </c>
      <c r="R1478">
        <v>104307</v>
      </c>
    </row>
    <row r="1479" spans="1:18" x14ac:dyDescent="0.25">
      <c r="A1479" s="169">
        <v>44181</v>
      </c>
      <c r="B1479" s="116">
        <v>955</v>
      </c>
      <c r="C1479" s="116">
        <v>939.95</v>
      </c>
      <c r="D1479" s="116">
        <v>922.9</v>
      </c>
      <c r="E1479" s="116">
        <v>925</v>
      </c>
      <c r="F1479" s="116">
        <v>939.95</v>
      </c>
      <c r="G1479">
        <v>14469</v>
      </c>
      <c r="H1479" s="116"/>
      <c r="I1479" s="116"/>
      <c r="L1479" s="169">
        <v>44181</v>
      </c>
      <c r="M1479" s="116">
        <v>939.4</v>
      </c>
      <c r="N1479" s="116">
        <v>955.9</v>
      </c>
      <c r="O1479" s="116">
        <v>923.05</v>
      </c>
      <c r="P1479" s="116">
        <v>930</v>
      </c>
      <c r="Q1479" s="116">
        <v>939.4</v>
      </c>
      <c r="R1479">
        <v>116228</v>
      </c>
    </row>
    <row r="1480" spans="1:18" x14ac:dyDescent="0.25">
      <c r="A1480" s="169">
        <v>44182</v>
      </c>
      <c r="B1480" s="116">
        <v>943.8</v>
      </c>
      <c r="C1480" s="116">
        <v>925.55</v>
      </c>
      <c r="D1480" s="116">
        <v>923</v>
      </c>
      <c r="E1480" s="116">
        <v>940</v>
      </c>
      <c r="F1480" s="116">
        <v>925.55</v>
      </c>
      <c r="G1480">
        <v>8601</v>
      </c>
      <c r="H1480" s="116"/>
      <c r="I1480" s="116"/>
      <c r="L1480" s="169">
        <v>44182</v>
      </c>
      <c r="M1480" s="116">
        <v>925.3</v>
      </c>
      <c r="N1480" s="116">
        <v>947.7</v>
      </c>
      <c r="O1480" s="116">
        <v>921</v>
      </c>
      <c r="P1480" s="116">
        <v>939</v>
      </c>
      <c r="Q1480" s="116">
        <v>925.3</v>
      </c>
      <c r="R1480">
        <v>61792</v>
      </c>
    </row>
    <row r="1481" spans="1:18" x14ac:dyDescent="0.25">
      <c r="A1481" s="169">
        <v>44183</v>
      </c>
      <c r="B1481" s="116">
        <v>930.65</v>
      </c>
      <c r="C1481" s="116">
        <v>921.25</v>
      </c>
      <c r="D1481" s="116">
        <v>911</v>
      </c>
      <c r="E1481" s="116">
        <v>926.2</v>
      </c>
      <c r="F1481" s="116">
        <v>921.25</v>
      </c>
      <c r="G1481">
        <v>10938</v>
      </c>
      <c r="H1481" s="116"/>
      <c r="I1481" s="116"/>
      <c r="L1481" s="169">
        <v>44183</v>
      </c>
      <c r="M1481" s="116">
        <v>921.25</v>
      </c>
      <c r="N1481" s="116">
        <v>932.3</v>
      </c>
      <c r="O1481" s="116">
        <v>910.25</v>
      </c>
      <c r="P1481" s="116">
        <v>930</v>
      </c>
      <c r="Q1481" s="116">
        <v>921.25</v>
      </c>
      <c r="R1481">
        <v>61355</v>
      </c>
    </row>
    <row r="1482" spans="1:18" x14ac:dyDescent="0.25">
      <c r="A1482" s="169">
        <v>44186</v>
      </c>
      <c r="B1482" s="116">
        <v>945</v>
      </c>
      <c r="C1482" s="116">
        <v>873.95</v>
      </c>
      <c r="D1482" s="116">
        <v>850</v>
      </c>
      <c r="E1482" s="116">
        <v>912.25</v>
      </c>
      <c r="F1482" s="116">
        <v>873.95</v>
      </c>
      <c r="G1482">
        <v>33812</v>
      </c>
      <c r="H1482" s="116"/>
      <c r="I1482" s="116"/>
      <c r="L1482" s="169">
        <v>44186</v>
      </c>
      <c r="M1482" s="116">
        <v>874.95</v>
      </c>
      <c r="N1482" s="116">
        <v>945.15</v>
      </c>
      <c r="O1482" s="116">
        <v>857</v>
      </c>
      <c r="P1482" s="116">
        <v>923.5</v>
      </c>
      <c r="Q1482" s="116">
        <v>874.95</v>
      </c>
      <c r="R1482">
        <v>156908</v>
      </c>
    </row>
    <row r="1483" spans="1:18" x14ac:dyDescent="0.25">
      <c r="A1483" s="169">
        <v>44187</v>
      </c>
      <c r="B1483" s="116">
        <v>897.95</v>
      </c>
      <c r="C1483" s="116">
        <v>882.15</v>
      </c>
      <c r="D1483" s="116">
        <v>850.5</v>
      </c>
      <c r="E1483" s="116">
        <v>874</v>
      </c>
      <c r="F1483" s="116">
        <v>882.15</v>
      </c>
      <c r="G1483">
        <v>13819</v>
      </c>
      <c r="H1483" s="116"/>
      <c r="I1483" s="116"/>
      <c r="L1483" s="169">
        <v>44187</v>
      </c>
      <c r="M1483" s="116">
        <v>882.3</v>
      </c>
      <c r="N1483" s="116">
        <v>899</v>
      </c>
      <c r="O1483" s="116">
        <v>850</v>
      </c>
      <c r="P1483" s="116">
        <v>876</v>
      </c>
      <c r="Q1483" s="116">
        <v>882.3</v>
      </c>
      <c r="R1483">
        <v>141127</v>
      </c>
    </row>
    <row r="1484" spans="1:18" x14ac:dyDescent="0.25">
      <c r="A1484" s="169">
        <v>44188</v>
      </c>
      <c r="B1484" s="116">
        <v>924.6</v>
      </c>
      <c r="C1484" s="116">
        <v>903.85</v>
      </c>
      <c r="D1484" s="116">
        <v>887.35</v>
      </c>
      <c r="E1484" s="116">
        <v>898</v>
      </c>
      <c r="F1484" s="116">
        <v>903.85</v>
      </c>
      <c r="G1484">
        <v>5590</v>
      </c>
      <c r="H1484" s="116"/>
      <c r="I1484" s="116"/>
      <c r="L1484" s="169">
        <v>44188</v>
      </c>
      <c r="M1484" s="116">
        <v>903.95</v>
      </c>
      <c r="N1484" s="116">
        <v>908.05</v>
      </c>
      <c r="O1484" s="116">
        <v>886.65</v>
      </c>
      <c r="P1484" s="116">
        <v>889.7</v>
      </c>
      <c r="Q1484" s="116">
        <v>903.95</v>
      </c>
      <c r="R1484">
        <v>87383</v>
      </c>
    </row>
    <row r="1485" spans="1:18" x14ac:dyDescent="0.25">
      <c r="A1485" s="169">
        <v>44189</v>
      </c>
      <c r="B1485" s="116">
        <v>944.95</v>
      </c>
      <c r="C1485" s="116">
        <v>926.1</v>
      </c>
      <c r="D1485" s="116">
        <v>908.3</v>
      </c>
      <c r="E1485" s="116">
        <v>944.95</v>
      </c>
      <c r="F1485" s="116">
        <v>926.1</v>
      </c>
      <c r="G1485">
        <v>8509</v>
      </c>
      <c r="H1485" s="116"/>
      <c r="I1485" s="116"/>
      <c r="L1485" s="169">
        <v>44189</v>
      </c>
      <c r="M1485" s="116">
        <v>925.3</v>
      </c>
      <c r="N1485" s="116">
        <v>939</v>
      </c>
      <c r="O1485" s="116">
        <v>908.5</v>
      </c>
      <c r="P1485" s="116">
        <v>914.3</v>
      </c>
      <c r="Q1485" s="116">
        <v>925.3</v>
      </c>
      <c r="R1485">
        <v>142312</v>
      </c>
    </row>
    <row r="1486" spans="1:18" x14ac:dyDescent="0.25">
      <c r="A1486" s="169">
        <v>44193</v>
      </c>
      <c r="B1486" s="116">
        <v>938.9</v>
      </c>
      <c r="C1486" s="116">
        <v>914.95</v>
      </c>
      <c r="D1486" s="116">
        <v>911</v>
      </c>
      <c r="E1486" s="116">
        <v>938.9</v>
      </c>
      <c r="F1486" s="116">
        <v>914.95</v>
      </c>
      <c r="G1486">
        <v>7111</v>
      </c>
      <c r="H1486" s="116"/>
      <c r="I1486" s="116"/>
      <c r="L1486" s="169">
        <v>44193</v>
      </c>
      <c r="M1486" s="116">
        <v>915.55</v>
      </c>
      <c r="N1486" s="116">
        <v>932.7</v>
      </c>
      <c r="O1486" s="116">
        <v>910</v>
      </c>
      <c r="P1486" s="116">
        <v>930.6</v>
      </c>
      <c r="Q1486" s="116">
        <v>915.55</v>
      </c>
      <c r="R1486">
        <v>88803</v>
      </c>
    </row>
    <row r="1487" spans="1:18" x14ac:dyDescent="0.25">
      <c r="A1487" s="169">
        <v>44194</v>
      </c>
      <c r="B1487" s="116">
        <v>928.3</v>
      </c>
      <c r="C1487" s="116">
        <v>911.9</v>
      </c>
      <c r="D1487" s="116">
        <v>906.85</v>
      </c>
      <c r="E1487" s="116">
        <v>923.8</v>
      </c>
      <c r="F1487" s="116">
        <v>911.9</v>
      </c>
      <c r="G1487">
        <v>8599</v>
      </c>
      <c r="H1487" s="116"/>
      <c r="I1487" s="116"/>
      <c r="L1487" s="169">
        <v>44194</v>
      </c>
      <c r="M1487" s="116">
        <v>911.2</v>
      </c>
      <c r="N1487" s="116">
        <v>928.9</v>
      </c>
      <c r="O1487" s="116">
        <v>906.8</v>
      </c>
      <c r="P1487" s="116">
        <v>918</v>
      </c>
      <c r="Q1487" s="116">
        <v>911.2</v>
      </c>
      <c r="R1487">
        <v>66798</v>
      </c>
    </row>
    <row r="1488" spans="1:18" x14ac:dyDescent="0.25">
      <c r="A1488" s="169">
        <v>44195</v>
      </c>
      <c r="B1488" s="116">
        <v>948</v>
      </c>
      <c r="C1488" s="116">
        <v>935.15</v>
      </c>
      <c r="D1488" s="116">
        <v>918.5</v>
      </c>
      <c r="E1488" s="116">
        <v>919.95</v>
      </c>
      <c r="F1488" s="116">
        <v>935.15</v>
      </c>
      <c r="G1488">
        <v>32264</v>
      </c>
      <c r="H1488" s="116"/>
      <c r="I1488" s="116"/>
      <c r="L1488" s="169">
        <v>44195</v>
      </c>
      <c r="M1488" s="116">
        <v>935.15</v>
      </c>
      <c r="N1488" s="116">
        <v>948</v>
      </c>
      <c r="O1488" s="116">
        <v>916.9</v>
      </c>
      <c r="P1488" s="116">
        <v>920.7</v>
      </c>
      <c r="Q1488" s="116">
        <v>935.15</v>
      </c>
      <c r="R1488">
        <v>232084</v>
      </c>
    </row>
    <row r="1489" spans="1:18" x14ac:dyDescent="0.25">
      <c r="A1489" s="169">
        <v>44196</v>
      </c>
      <c r="B1489" s="116">
        <v>944.35</v>
      </c>
      <c r="C1489" s="116">
        <v>925.45</v>
      </c>
      <c r="D1489" s="116">
        <v>911.05</v>
      </c>
      <c r="E1489" s="116">
        <v>930</v>
      </c>
      <c r="F1489" s="116">
        <v>925.45</v>
      </c>
      <c r="G1489">
        <v>12226</v>
      </c>
      <c r="H1489" s="116"/>
      <c r="I1489" s="116"/>
      <c r="L1489" s="169">
        <v>44196</v>
      </c>
      <c r="M1489" s="116">
        <v>926.4</v>
      </c>
      <c r="N1489" s="116">
        <v>944.7</v>
      </c>
      <c r="O1489" s="116">
        <v>908</v>
      </c>
      <c r="P1489" s="116">
        <v>938</v>
      </c>
      <c r="Q1489" s="116">
        <v>926.4</v>
      </c>
      <c r="R1489">
        <v>86749</v>
      </c>
    </row>
    <row r="1490" spans="1:18" x14ac:dyDescent="0.25">
      <c r="A1490" s="169">
        <v>44197</v>
      </c>
      <c r="B1490" s="116">
        <v>944</v>
      </c>
      <c r="C1490" s="116">
        <v>937.95</v>
      </c>
      <c r="D1490" s="116">
        <v>928</v>
      </c>
      <c r="E1490" s="116">
        <v>934.9</v>
      </c>
      <c r="F1490" s="116">
        <v>937.95</v>
      </c>
      <c r="G1490">
        <v>8557</v>
      </c>
      <c r="H1490" s="116"/>
      <c r="I1490" s="116"/>
      <c r="L1490" s="169">
        <v>44197</v>
      </c>
      <c r="M1490" s="116">
        <v>939.2</v>
      </c>
      <c r="N1490" s="116">
        <v>944.5</v>
      </c>
      <c r="O1490" s="116">
        <v>927.05</v>
      </c>
      <c r="P1490" s="116">
        <v>929</v>
      </c>
      <c r="Q1490" s="116">
        <v>939.2</v>
      </c>
      <c r="R1490">
        <v>77017</v>
      </c>
    </row>
    <row r="1491" spans="1:18" x14ac:dyDescent="0.25">
      <c r="A1491" s="169">
        <v>44200</v>
      </c>
      <c r="B1491" s="116">
        <v>1008</v>
      </c>
      <c r="C1491" s="116">
        <v>998.1</v>
      </c>
      <c r="D1491" s="116">
        <v>949.15</v>
      </c>
      <c r="E1491" s="116">
        <v>955</v>
      </c>
      <c r="F1491" s="116">
        <v>998.1</v>
      </c>
      <c r="G1491">
        <v>31453</v>
      </c>
      <c r="H1491" s="116"/>
      <c r="I1491" s="116"/>
      <c r="L1491" s="169">
        <v>44200</v>
      </c>
      <c r="M1491" s="116">
        <v>1000.6</v>
      </c>
      <c r="N1491" s="116">
        <v>1009</v>
      </c>
      <c r="O1491" s="116">
        <v>945</v>
      </c>
      <c r="P1491" s="116">
        <v>945</v>
      </c>
      <c r="Q1491" s="116">
        <v>1000.6</v>
      </c>
      <c r="R1491">
        <v>554760</v>
      </c>
    </row>
    <row r="1492" spans="1:18" x14ac:dyDescent="0.25">
      <c r="A1492" s="169">
        <v>44201</v>
      </c>
      <c r="B1492" s="116">
        <v>1101.3499999999999</v>
      </c>
      <c r="C1492" s="116">
        <v>1074.8499999999999</v>
      </c>
      <c r="D1492" s="116">
        <v>995</v>
      </c>
      <c r="E1492" s="116">
        <v>1008</v>
      </c>
      <c r="F1492" s="116">
        <v>1074.8499999999999</v>
      </c>
      <c r="G1492">
        <v>64849</v>
      </c>
      <c r="H1492" s="116"/>
      <c r="I1492" s="116"/>
      <c r="L1492" s="169">
        <v>44201</v>
      </c>
      <c r="M1492" s="116">
        <v>1074.05</v>
      </c>
      <c r="N1492" s="116">
        <v>1103.25</v>
      </c>
      <c r="O1492" s="116">
        <v>997</v>
      </c>
      <c r="P1492" s="116">
        <v>1007</v>
      </c>
      <c r="Q1492" s="116">
        <v>1074.05</v>
      </c>
      <c r="R1492">
        <v>1193132</v>
      </c>
    </row>
    <row r="1493" spans="1:18" x14ac:dyDescent="0.25">
      <c r="A1493" s="169">
        <v>44202</v>
      </c>
      <c r="B1493" s="116">
        <v>1279.3499999999999</v>
      </c>
      <c r="C1493" s="116">
        <v>1221.75</v>
      </c>
      <c r="D1493" s="116">
        <v>1076</v>
      </c>
      <c r="E1493" s="116">
        <v>1079.9000000000001</v>
      </c>
      <c r="F1493" s="116">
        <v>1221.75</v>
      </c>
      <c r="G1493">
        <v>129874</v>
      </c>
      <c r="H1493" s="116"/>
      <c r="I1493" s="116"/>
      <c r="L1493" s="169">
        <v>44202</v>
      </c>
      <c r="M1493" s="116">
        <v>1221.05</v>
      </c>
      <c r="N1493" s="116">
        <v>1277.75</v>
      </c>
      <c r="O1493" s="116">
        <v>1074.05</v>
      </c>
      <c r="P1493" s="116">
        <v>1077.9000000000001</v>
      </c>
      <c r="Q1493" s="116">
        <v>1221.05</v>
      </c>
      <c r="R1493">
        <v>1258354</v>
      </c>
    </row>
    <row r="1494" spans="1:18" x14ac:dyDescent="0.25">
      <c r="A1494" s="169">
        <v>44203</v>
      </c>
      <c r="B1494" s="116">
        <v>1314.35</v>
      </c>
      <c r="C1494" s="116">
        <v>1172.25</v>
      </c>
      <c r="D1494" s="116">
        <v>1150.2</v>
      </c>
      <c r="E1494" s="116">
        <v>1260</v>
      </c>
      <c r="F1494" s="116">
        <v>1172.25</v>
      </c>
      <c r="G1494">
        <v>108988</v>
      </c>
      <c r="H1494" s="116"/>
      <c r="I1494" s="116"/>
      <c r="L1494" s="169">
        <v>44203</v>
      </c>
      <c r="M1494" s="116">
        <v>1171.2</v>
      </c>
      <c r="N1494" s="116">
        <v>1315</v>
      </c>
      <c r="O1494" s="116">
        <v>1150</v>
      </c>
      <c r="P1494" s="116">
        <v>1270</v>
      </c>
      <c r="Q1494" s="116">
        <v>1171.2</v>
      </c>
      <c r="R1494">
        <v>895635</v>
      </c>
    </row>
    <row r="1495" spans="1:18" x14ac:dyDescent="0.25">
      <c r="A1495" s="169">
        <v>44204</v>
      </c>
      <c r="B1495" s="116">
        <v>1190.0999999999999</v>
      </c>
      <c r="C1495" s="116">
        <v>1146.1500000000001</v>
      </c>
      <c r="D1495" s="116">
        <v>1135.55</v>
      </c>
      <c r="E1495" s="116">
        <v>1175</v>
      </c>
      <c r="F1495" s="116">
        <v>1146.1500000000001</v>
      </c>
      <c r="G1495">
        <v>27158</v>
      </c>
      <c r="H1495" s="116"/>
      <c r="I1495" s="116"/>
      <c r="L1495" s="169">
        <v>44204</v>
      </c>
      <c r="M1495" s="116">
        <v>1145.7</v>
      </c>
      <c r="N1495" s="116">
        <v>1190</v>
      </c>
      <c r="O1495" s="116">
        <v>1135</v>
      </c>
      <c r="P1495" s="116">
        <v>1182.8499999999999</v>
      </c>
      <c r="Q1495" s="116">
        <v>1145.7</v>
      </c>
      <c r="R1495">
        <v>274282</v>
      </c>
    </row>
    <row r="1496" spans="1:18" x14ac:dyDescent="0.25">
      <c r="A1496" s="169">
        <v>44207</v>
      </c>
      <c r="B1496" s="116">
        <v>1188</v>
      </c>
      <c r="C1496" s="116">
        <v>1163.5999999999999</v>
      </c>
      <c r="D1496" s="116">
        <v>1126</v>
      </c>
      <c r="E1496" s="116">
        <v>1126</v>
      </c>
      <c r="F1496" s="116">
        <v>1163.5999999999999</v>
      </c>
      <c r="G1496">
        <v>20435</v>
      </c>
      <c r="H1496" s="116"/>
      <c r="I1496" s="116"/>
      <c r="L1496" s="169">
        <v>44207</v>
      </c>
      <c r="M1496" s="116">
        <v>1163.3</v>
      </c>
      <c r="N1496" s="116">
        <v>1187.45</v>
      </c>
      <c r="O1496" s="116">
        <v>1132.7</v>
      </c>
      <c r="P1496" s="116">
        <v>1150.5999999999999</v>
      </c>
      <c r="Q1496" s="116">
        <v>1163.3</v>
      </c>
      <c r="R1496">
        <v>214416</v>
      </c>
    </row>
    <row r="1497" spans="1:18" x14ac:dyDescent="0.25">
      <c r="A1497" s="169">
        <v>44208</v>
      </c>
      <c r="B1497" s="116">
        <v>1228</v>
      </c>
      <c r="C1497" s="116">
        <v>1192.8499999999999</v>
      </c>
      <c r="D1497" s="116">
        <v>1145.6500000000001</v>
      </c>
      <c r="E1497" s="116">
        <v>1150</v>
      </c>
      <c r="F1497" s="116">
        <v>1192.8499999999999</v>
      </c>
      <c r="G1497">
        <v>36099</v>
      </c>
      <c r="H1497" s="116"/>
      <c r="I1497" s="116"/>
      <c r="L1497" s="169">
        <v>44208</v>
      </c>
      <c r="M1497" s="116">
        <v>1196.7</v>
      </c>
      <c r="N1497" s="116">
        <v>1228.5999999999999</v>
      </c>
      <c r="O1497" s="116">
        <v>1140.25</v>
      </c>
      <c r="P1497" s="116">
        <v>1150</v>
      </c>
      <c r="Q1497" s="116">
        <v>1196.7</v>
      </c>
      <c r="R1497">
        <v>453045</v>
      </c>
    </row>
    <row r="1498" spans="1:18" x14ac:dyDescent="0.25">
      <c r="A1498" s="169">
        <v>44209</v>
      </c>
      <c r="B1498" s="116">
        <v>1204</v>
      </c>
      <c r="C1498" s="116">
        <v>1158.8</v>
      </c>
      <c r="D1498" s="116">
        <v>1151</v>
      </c>
      <c r="E1498" s="116">
        <v>1201.95</v>
      </c>
      <c r="F1498" s="116">
        <v>1158.8</v>
      </c>
      <c r="G1498">
        <v>6310</v>
      </c>
      <c r="H1498" s="116"/>
      <c r="I1498" s="116"/>
      <c r="L1498" s="169">
        <v>44209</v>
      </c>
      <c r="M1498" s="116">
        <v>1158.45</v>
      </c>
      <c r="N1498" s="116">
        <v>1204.3499999999999</v>
      </c>
      <c r="O1498" s="116">
        <v>1150</v>
      </c>
      <c r="P1498" s="116">
        <v>1201.5</v>
      </c>
      <c r="Q1498" s="116">
        <v>1158.45</v>
      </c>
      <c r="R1498">
        <v>129315</v>
      </c>
    </row>
    <row r="1499" spans="1:18" x14ac:dyDescent="0.25">
      <c r="A1499" s="169">
        <v>44210</v>
      </c>
      <c r="B1499" s="116">
        <v>1183.95</v>
      </c>
      <c r="C1499" s="116">
        <v>1151.45</v>
      </c>
      <c r="D1499" s="116">
        <v>1130.45</v>
      </c>
      <c r="E1499" s="116">
        <v>1168</v>
      </c>
      <c r="F1499" s="116">
        <v>1151.45</v>
      </c>
      <c r="G1499">
        <v>14575</v>
      </c>
      <c r="H1499" s="116"/>
      <c r="I1499" s="116"/>
      <c r="L1499" s="169">
        <v>44210</v>
      </c>
      <c r="M1499" s="116">
        <v>1152.9000000000001</v>
      </c>
      <c r="N1499" s="116">
        <v>1184</v>
      </c>
      <c r="O1499" s="116">
        <v>1130.8</v>
      </c>
      <c r="P1499" s="116">
        <v>1160</v>
      </c>
      <c r="Q1499" s="116">
        <v>1152.9000000000001</v>
      </c>
      <c r="R1499">
        <v>145627</v>
      </c>
    </row>
    <row r="1500" spans="1:18" x14ac:dyDescent="0.25">
      <c r="A1500" s="169">
        <v>44211</v>
      </c>
      <c r="B1500" s="116">
        <v>1172.95</v>
      </c>
      <c r="C1500" s="116">
        <v>1151.55</v>
      </c>
      <c r="D1500" s="116">
        <v>1132</v>
      </c>
      <c r="E1500" s="116">
        <v>1151.3</v>
      </c>
      <c r="F1500" s="116">
        <v>1151.55</v>
      </c>
      <c r="G1500">
        <v>4199</v>
      </c>
      <c r="H1500" s="116"/>
      <c r="I1500" s="116"/>
      <c r="L1500" s="169">
        <v>44211</v>
      </c>
      <c r="M1500" s="116">
        <v>1151.4000000000001</v>
      </c>
      <c r="N1500" s="116">
        <v>1175</v>
      </c>
      <c r="O1500" s="116">
        <v>1131.95</v>
      </c>
      <c r="P1500" s="116">
        <v>1152.1500000000001</v>
      </c>
      <c r="Q1500" s="116">
        <v>1151.4000000000001</v>
      </c>
      <c r="R1500">
        <v>107321</v>
      </c>
    </row>
    <row r="1501" spans="1:18" x14ac:dyDescent="0.25">
      <c r="A1501" s="169">
        <v>44214</v>
      </c>
      <c r="B1501" s="116">
        <v>1160</v>
      </c>
      <c r="C1501" s="116">
        <v>1100.75</v>
      </c>
      <c r="D1501" s="116">
        <v>1080.05</v>
      </c>
      <c r="E1501" s="116">
        <v>1160</v>
      </c>
      <c r="F1501" s="116">
        <v>1100.75</v>
      </c>
      <c r="G1501">
        <v>15925</v>
      </c>
      <c r="H1501" s="116"/>
      <c r="I1501" s="116"/>
      <c r="L1501" s="169">
        <v>44214</v>
      </c>
      <c r="M1501" s="116">
        <v>1099.8</v>
      </c>
      <c r="N1501" s="116">
        <v>1147.8499999999999</v>
      </c>
      <c r="O1501" s="116">
        <v>1080.0999999999999</v>
      </c>
      <c r="P1501" s="116">
        <v>1135</v>
      </c>
      <c r="Q1501" s="116">
        <v>1099.8</v>
      </c>
      <c r="R1501">
        <v>133412</v>
      </c>
    </row>
    <row r="1502" spans="1:18" x14ac:dyDescent="0.25">
      <c r="A1502" s="169">
        <v>44215</v>
      </c>
      <c r="B1502" s="116">
        <v>1151</v>
      </c>
      <c r="C1502" s="116">
        <v>1130.75</v>
      </c>
      <c r="D1502" s="116">
        <v>1112</v>
      </c>
      <c r="E1502" s="116">
        <v>1112</v>
      </c>
      <c r="F1502" s="116">
        <v>1130.75</v>
      </c>
      <c r="G1502">
        <v>7569</v>
      </c>
      <c r="H1502" s="116"/>
      <c r="I1502" s="116"/>
      <c r="L1502" s="169">
        <v>44215</v>
      </c>
      <c r="M1502" s="116">
        <v>1132.1500000000001</v>
      </c>
      <c r="N1502" s="116">
        <v>1151.0999999999999</v>
      </c>
      <c r="O1502" s="116">
        <v>1115</v>
      </c>
      <c r="P1502" s="116">
        <v>1121.9000000000001</v>
      </c>
      <c r="Q1502" s="116">
        <v>1132.1500000000001</v>
      </c>
      <c r="R1502">
        <v>107506</v>
      </c>
    </row>
    <row r="1503" spans="1:18" x14ac:dyDescent="0.25">
      <c r="A1503" s="169">
        <v>44216</v>
      </c>
      <c r="B1503" s="116">
        <v>1192</v>
      </c>
      <c r="C1503" s="116">
        <v>1157</v>
      </c>
      <c r="D1503" s="116">
        <v>1132.5</v>
      </c>
      <c r="E1503" s="116">
        <v>1145.2</v>
      </c>
      <c r="F1503" s="116">
        <v>1157</v>
      </c>
      <c r="G1503">
        <v>12656</v>
      </c>
      <c r="H1503" s="116"/>
      <c r="I1503" s="116"/>
      <c r="L1503" s="169">
        <v>44216</v>
      </c>
      <c r="M1503" s="116">
        <v>1154.3499999999999</v>
      </c>
      <c r="N1503" s="116">
        <v>1192.7</v>
      </c>
      <c r="O1503" s="116">
        <v>1132.45</v>
      </c>
      <c r="P1503" s="116">
        <v>1136.5</v>
      </c>
      <c r="Q1503" s="116">
        <v>1154.3499999999999</v>
      </c>
      <c r="R1503">
        <v>253888</v>
      </c>
    </row>
    <row r="1504" spans="1:18" x14ac:dyDescent="0.25">
      <c r="A1504" s="169">
        <v>44217</v>
      </c>
      <c r="B1504" s="116">
        <v>1178</v>
      </c>
      <c r="C1504" s="116">
        <v>1118.5999999999999</v>
      </c>
      <c r="D1504" s="116">
        <v>1105</v>
      </c>
      <c r="E1504" s="116">
        <v>1157</v>
      </c>
      <c r="F1504" s="116">
        <v>1118.5999999999999</v>
      </c>
      <c r="G1504">
        <v>13604</v>
      </c>
      <c r="H1504" s="116"/>
      <c r="I1504" s="116"/>
      <c r="L1504" s="169">
        <v>44217</v>
      </c>
      <c r="M1504" s="116">
        <v>1119.55</v>
      </c>
      <c r="N1504" s="116">
        <v>1177.95</v>
      </c>
      <c r="O1504" s="116">
        <v>1105.5</v>
      </c>
      <c r="P1504" s="116">
        <v>1161.9000000000001</v>
      </c>
      <c r="Q1504" s="116">
        <v>1119.55</v>
      </c>
      <c r="R1504">
        <v>115664</v>
      </c>
    </row>
    <row r="1505" spans="1:18" x14ac:dyDescent="0.25">
      <c r="A1505" s="169">
        <v>44218</v>
      </c>
      <c r="B1505" s="116">
        <v>1127.8</v>
      </c>
      <c r="C1505" s="116">
        <v>1105.9000000000001</v>
      </c>
      <c r="D1505" s="116">
        <v>1095</v>
      </c>
      <c r="E1505" s="116">
        <v>1122.1500000000001</v>
      </c>
      <c r="F1505" s="116">
        <v>1105.9000000000001</v>
      </c>
      <c r="G1505">
        <v>9070</v>
      </c>
      <c r="H1505" s="116"/>
      <c r="I1505" s="116"/>
      <c r="L1505" s="169">
        <v>44218</v>
      </c>
      <c r="M1505" s="116">
        <v>1105.7</v>
      </c>
      <c r="N1505" s="116">
        <v>1128.05</v>
      </c>
      <c r="O1505" s="116">
        <v>1096.95</v>
      </c>
      <c r="P1505" s="116">
        <v>1127.7</v>
      </c>
      <c r="Q1505" s="116">
        <v>1105.7</v>
      </c>
      <c r="R1505">
        <v>69196</v>
      </c>
    </row>
    <row r="1506" spans="1:18" x14ac:dyDescent="0.25">
      <c r="A1506" s="169">
        <v>44221</v>
      </c>
      <c r="B1506" s="116">
        <v>1139.8499999999999</v>
      </c>
      <c r="C1506" s="116">
        <v>1106.45</v>
      </c>
      <c r="D1506" s="116">
        <v>1065</v>
      </c>
      <c r="E1506" s="116">
        <v>1116.9000000000001</v>
      </c>
      <c r="F1506" s="116">
        <v>1106.45</v>
      </c>
      <c r="G1506">
        <v>9052</v>
      </c>
      <c r="H1506" s="116"/>
      <c r="I1506" s="116"/>
      <c r="L1506" s="169">
        <v>44221</v>
      </c>
      <c r="M1506" s="116">
        <v>1106.55</v>
      </c>
      <c r="N1506" s="116">
        <v>1135.75</v>
      </c>
      <c r="O1506" s="116">
        <v>1065.3499999999999</v>
      </c>
      <c r="P1506" s="116">
        <v>1116.7</v>
      </c>
      <c r="Q1506" s="116">
        <v>1106.55</v>
      </c>
      <c r="R1506">
        <v>72319</v>
      </c>
    </row>
    <row r="1507" spans="1:18" x14ac:dyDescent="0.25">
      <c r="A1507" s="169">
        <v>44223</v>
      </c>
      <c r="B1507" s="116">
        <v>1168.45</v>
      </c>
      <c r="C1507" s="116">
        <v>1155</v>
      </c>
      <c r="D1507" s="116">
        <v>1095.3499999999999</v>
      </c>
      <c r="E1507" s="116">
        <v>1110.4000000000001</v>
      </c>
      <c r="F1507" s="116">
        <v>1155</v>
      </c>
      <c r="G1507">
        <v>7295</v>
      </c>
      <c r="H1507" s="116"/>
      <c r="I1507" s="116"/>
      <c r="L1507" s="169">
        <v>44223</v>
      </c>
      <c r="M1507" s="116">
        <v>1154.7</v>
      </c>
      <c r="N1507" s="116">
        <v>1169</v>
      </c>
      <c r="O1507" s="116">
        <v>1096.1500000000001</v>
      </c>
      <c r="P1507" s="116">
        <v>1115</v>
      </c>
      <c r="Q1507" s="116">
        <v>1154.7</v>
      </c>
      <c r="R1507">
        <v>132043</v>
      </c>
    </row>
    <row r="1508" spans="1:18" x14ac:dyDescent="0.25">
      <c r="A1508" s="169">
        <v>44224</v>
      </c>
      <c r="B1508" s="116">
        <v>1161.95</v>
      </c>
      <c r="C1508" s="116">
        <v>1129.8</v>
      </c>
      <c r="D1508" s="116">
        <v>1120</v>
      </c>
      <c r="E1508" s="116">
        <v>1120</v>
      </c>
      <c r="F1508" s="116">
        <v>1129.8</v>
      </c>
      <c r="G1508">
        <v>9409</v>
      </c>
      <c r="H1508" s="116"/>
      <c r="I1508" s="116"/>
      <c r="L1508" s="169">
        <v>44224</v>
      </c>
      <c r="M1508" s="116">
        <v>1130.5999999999999</v>
      </c>
      <c r="N1508" s="116">
        <v>1162.3</v>
      </c>
      <c r="O1508" s="116">
        <v>1115</v>
      </c>
      <c r="P1508" s="116">
        <v>1125.25</v>
      </c>
      <c r="Q1508" s="116">
        <v>1130.5999999999999</v>
      </c>
      <c r="R1508">
        <v>86659</v>
      </c>
    </row>
    <row r="1509" spans="1:18" x14ac:dyDescent="0.25">
      <c r="A1509" s="169">
        <v>44225</v>
      </c>
      <c r="B1509" s="116">
        <v>1151</v>
      </c>
      <c r="C1509" s="116">
        <v>1124.8499999999999</v>
      </c>
      <c r="D1509" s="116">
        <v>1119.8</v>
      </c>
      <c r="E1509" s="116">
        <v>1144.6500000000001</v>
      </c>
      <c r="F1509" s="116">
        <v>1124.8499999999999</v>
      </c>
      <c r="G1509">
        <v>2085</v>
      </c>
      <c r="H1509" s="116"/>
      <c r="I1509" s="116"/>
      <c r="L1509" s="169">
        <v>44225</v>
      </c>
      <c r="M1509" s="116">
        <v>1124.4000000000001</v>
      </c>
      <c r="N1509" s="116">
        <v>1153.05</v>
      </c>
      <c r="O1509" s="116">
        <v>1118.3499999999999</v>
      </c>
      <c r="P1509" s="116">
        <v>1139.5</v>
      </c>
      <c r="Q1509" s="116">
        <v>1124.4000000000001</v>
      </c>
      <c r="R1509">
        <v>58161</v>
      </c>
    </row>
    <row r="1510" spans="1:18" x14ac:dyDescent="0.25">
      <c r="A1510" s="169">
        <v>44228</v>
      </c>
      <c r="B1510" s="116">
        <v>1180</v>
      </c>
      <c r="C1510" s="116">
        <v>1169.8499999999999</v>
      </c>
      <c r="D1510" s="116">
        <v>1115.05</v>
      </c>
      <c r="E1510" s="116">
        <v>1115.05</v>
      </c>
      <c r="F1510" s="116">
        <v>1169.8499999999999</v>
      </c>
      <c r="G1510">
        <v>14425</v>
      </c>
      <c r="H1510" s="116"/>
      <c r="I1510" s="116"/>
      <c r="L1510" s="169">
        <v>44228</v>
      </c>
      <c r="M1510" s="116">
        <v>1169.75</v>
      </c>
      <c r="N1510" s="116">
        <v>1179.95</v>
      </c>
      <c r="O1510" s="116">
        <v>1122.05</v>
      </c>
      <c r="P1510" s="116">
        <v>1125</v>
      </c>
      <c r="Q1510" s="116">
        <v>1169.75</v>
      </c>
      <c r="R1510">
        <v>97770</v>
      </c>
    </row>
    <row r="1511" spans="1:18" x14ac:dyDescent="0.25">
      <c r="A1511" s="169">
        <v>44229</v>
      </c>
      <c r="B1511" s="116">
        <v>1197.7</v>
      </c>
      <c r="C1511" s="116">
        <v>1151.75</v>
      </c>
      <c r="D1511" s="116">
        <v>1143.5</v>
      </c>
      <c r="E1511" s="116">
        <v>1181</v>
      </c>
      <c r="F1511" s="116">
        <v>1151.75</v>
      </c>
      <c r="G1511">
        <v>14927</v>
      </c>
      <c r="H1511" s="116"/>
      <c r="I1511" s="116"/>
      <c r="L1511" s="169">
        <v>44229</v>
      </c>
      <c r="M1511" s="116">
        <v>1149.95</v>
      </c>
      <c r="N1511" s="116">
        <v>1199</v>
      </c>
      <c r="O1511" s="116">
        <v>1143.1500000000001</v>
      </c>
      <c r="P1511" s="116">
        <v>1179.3499999999999</v>
      </c>
      <c r="Q1511" s="116">
        <v>1149.95</v>
      </c>
      <c r="R1511">
        <v>130709</v>
      </c>
    </row>
    <row r="1512" spans="1:18" x14ac:dyDescent="0.25">
      <c r="A1512" s="169">
        <v>44230</v>
      </c>
      <c r="B1512" s="116">
        <v>1203.2</v>
      </c>
      <c r="C1512" s="116">
        <v>1187.8</v>
      </c>
      <c r="D1512" s="116">
        <v>1150</v>
      </c>
      <c r="E1512" s="116">
        <v>1158.95</v>
      </c>
      <c r="F1512" s="116">
        <v>1187.8</v>
      </c>
      <c r="G1512">
        <v>19725</v>
      </c>
      <c r="H1512" s="116"/>
      <c r="I1512" s="116"/>
      <c r="L1512" s="169">
        <v>44230</v>
      </c>
      <c r="M1512" s="116">
        <v>1187.95</v>
      </c>
      <c r="N1512" s="116">
        <v>1205</v>
      </c>
      <c r="O1512" s="116">
        <v>1153</v>
      </c>
      <c r="P1512" s="116">
        <v>1159</v>
      </c>
      <c r="Q1512" s="116">
        <v>1187.95</v>
      </c>
      <c r="R1512">
        <v>141228</v>
      </c>
    </row>
    <row r="1513" spans="1:18" x14ac:dyDescent="0.25">
      <c r="A1513" s="169">
        <v>44231</v>
      </c>
      <c r="B1513" s="116">
        <v>1240</v>
      </c>
      <c r="C1513" s="116">
        <v>1222.1500000000001</v>
      </c>
      <c r="D1513" s="116">
        <v>1188</v>
      </c>
      <c r="E1513" s="116">
        <v>1188</v>
      </c>
      <c r="F1513" s="116">
        <v>1222.1500000000001</v>
      </c>
      <c r="G1513">
        <v>11867</v>
      </c>
      <c r="H1513" s="116"/>
      <c r="I1513" s="116"/>
      <c r="L1513" s="169">
        <v>44231</v>
      </c>
      <c r="M1513" s="116">
        <v>1220</v>
      </c>
      <c r="N1513" s="116">
        <v>1243.95</v>
      </c>
      <c r="O1513" s="116">
        <v>1188.3</v>
      </c>
      <c r="P1513" s="116">
        <v>1193.8</v>
      </c>
      <c r="Q1513" s="116">
        <v>1220</v>
      </c>
      <c r="R1513">
        <v>174960</v>
      </c>
    </row>
    <row r="1514" spans="1:18" x14ac:dyDescent="0.25">
      <c r="A1514" s="169">
        <v>44232</v>
      </c>
      <c r="B1514" s="116">
        <v>1244.0999999999999</v>
      </c>
      <c r="C1514" s="116">
        <v>1209.8499999999999</v>
      </c>
      <c r="D1514" s="116">
        <v>1189.55</v>
      </c>
      <c r="E1514" s="116">
        <v>1221.0999999999999</v>
      </c>
      <c r="F1514" s="116">
        <v>1209.8499999999999</v>
      </c>
      <c r="G1514">
        <v>15619</v>
      </c>
      <c r="H1514" s="116"/>
      <c r="I1514" s="116"/>
      <c r="L1514" s="169">
        <v>44232</v>
      </c>
      <c r="M1514" s="116">
        <v>1211.3</v>
      </c>
      <c r="N1514" s="116">
        <v>1245.8</v>
      </c>
      <c r="O1514" s="116">
        <v>1189</v>
      </c>
      <c r="P1514" s="116">
        <v>1229.5999999999999</v>
      </c>
      <c r="Q1514" s="116">
        <v>1211.3</v>
      </c>
      <c r="R1514">
        <v>104917</v>
      </c>
    </row>
    <row r="1515" spans="1:18" x14ac:dyDescent="0.25">
      <c r="A1515" s="169">
        <v>44235</v>
      </c>
      <c r="B1515" s="116">
        <v>1280</v>
      </c>
      <c r="C1515" s="116">
        <v>1265.25</v>
      </c>
      <c r="D1515" s="116">
        <v>1217.8</v>
      </c>
      <c r="E1515" s="116">
        <v>1225</v>
      </c>
      <c r="F1515" s="116">
        <v>1265.25</v>
      </c>
      <c r="G1515">
        <v>15880</v>
      </c>
      <c r="H1515" s="116"/>
      <c r="I1515" s="116"/>
      <c r="L1515" s="169">
        <v>44235</v>
      </c>
      <c r="M1515" s="116">
        <v>1265.5999999999999</v>
      </c>
      <c r="N1515" s="116">
        <v>1285</v>
      </c>
      <c r="O1515" s="116">
        <v>1217.05</v>
      </c>
      <c r="P1515" s="116">
        <v>1222.2</v>
      </c>
      <c r="Q1515" s="116">
        <v>1265.5999999999999</v>
      </c>
      <c r="R1515">
        <v>244438</v>
      </c>
    </row>
    <row r="1516" spans="1:18" x14ac:dyDescent="0.25">
      <c r="A1516" s="169">
        <v>44236</v>
      </c>
      <c r="B1516" s="116">
        <v>1514</v>
      </c>
      <c r="C1516" s="116">
        <v>1443.25</v>
      </c>
      <c r="D1516" s="116">
        <v>1393.45</v>
      </c>
      <c r="E1516" s="116">
        <v>1435.3</v>
      </c>
      <c r="F1516" s="116">
        <v>1443.25</v>
      </c>
      <c r="G1516">
        <v>74713</v>
      </c>
      <c r="H1516" s="116"/>
      <c r="I1516" s="116"/>
      <c r="L1516" s="169">
        <v>44236</v>
      </c>
      <c r="M1516" s="116">
        <v>1440.05</v>
      </c>
      <c r="N1516" s="116">
        <v>1514.7</v>
      </c>
      <c r="O1516" s="116">
        <v>1392.3</v>
      </c>
      <c r="P1516" s="116">
        <v>1457</v>
      </c>
      <c r="Q1516" s="116">
        <v>1440.05</v>
      </c>
      <c r="R1516">
        <v>1528679</v>
      </c>
    </row>
    <row r="1517" spans="1:18" x14ac:dyDescent="0.25">
      <c r="A1517" s="169">
        <v>44237</v>
      </c>
      <c r="B1517" s="116">
        <v>1485</v>
      </c>
      <c r="C1517" s="116">
        <v>1465.45</v>
      </c>
      <c r="D1517" s="116">
        <v>1410.8</v>
      </c>
      <c r="E1517" s="116">
        <v>1460</v>
      </c>
      <c r="F1517" s="116">
        <v>1465.45</v>
      </c>
      <c r="G1517">
        <v>44577</v>
      </c>
      <c r="H1517" s="116"/>
      <c r="I1517" s="116"/>
      <c r="L1517" s="169">
        <v>44237</v>
      </c>
      <c r="M1517" s="116">
        <v>1465.3</v>
      </c>
      <c r="N1517" s="116">
        <v>1485.5</v>
      </c>
      <c r="O1517" s="116">
        <v>1410</v>
      </c>
      <c r="P1517" s="116">
        <v>1459</v>
      </c>
      <c r="Q1517" s="116">
        <v>1465.3</v>
      </c>
      <c r="R1517">
        <v>476247</v>
      </c>
    </row>
    <row r="1518" spans="1:18" x14ac:dyDescent="0.25">
      <c r="A1518" s="169">
        <v>44238</v>
      </c>
      <c r="B1518" s="116">
        <v>1700</v>
      </c>
      <c r="C1518" s="116">
        <v>1640.8</v>
      </c>
      <c r="D1518" s="116">
        <v>1441</v>
      </c>
      <c r="E1518" s="116">
        <v>1474.85</v>
      </c>
      <c r="F1518" s="116">
        <v>1640.8</v>
      </c>
      <c r="G1518">
        <v>123061</v>
      </c>
      <c r="H1518" s="116"/>
      <c r="I1518" s="116"/>
      <c r="L1518" s="169">
        <v>44238</v>
      </c>
      <c r="M1518" s="116">
        <v>1639.45</v>
      </c>
      <c r="N1518" s="116">
        <v>1699</v>
      </c>
      <c r="O1518" s="116">
        <v>1440.65</v>
      </c>
      <c r="P1518" s="116">
        <v>1468</v>
      </c>
      <c r="Q1518" s="116">
        <v>1639.45</v>
      </c>
      <c r="R1518">
        <v>1087138</v>
      </c>
    </row>
    <row r="1519" spans="1:18" x14ac:dyDescent="0.25">
      <c r="A1519" s="169">
        <v>44239</v>
      </c>
      <c r="B1519" s="116">
        <v>1756</v>
      </c>
      <c r="C1519" s="116">
        <v>1641.05</v>
      </c>
      <c r="D1519" s="116">
        <v>1610</v>
      </c>
      <c r="E1519" s="116">
        <v>1667</v>
      </c>
      <c r="F1519" s="116">
        <v>1641.05</v>
      </c>
      <c r="G1519">
        <v>74165</v>
      </c>
      <c r="H1519" s="116"/>
      <c r="I1519" s="116"/>
      <c r="L1519" s="169">
        <v>44239</v>
      </c>
      <c r="M1519" s="116">
        <v>1643.7</v>
      </c>
      <c r="N1519" s="116">
        <v>1754</v>
      </c>
      <c r="O1519" s="116">
        <v>1606.6</v>
      </c>
      <c r="P1519" s="116">
        <v>1679</v>
      </c>
      <c r="Q1519" s="116">
        <v>1643.7</v>
      </c>
      <c r="R1519">
        <v>1039244</v>
      </c>
    </row>
    <row r="1520" spans="1:18" x14ac:dyDescent="0.25">
      <c r="A1520" s="169">
        <v>44242</v>
      </c>
      <c r="B1520" s="116">
        <v>1678.1</v>
      </c>
      <c r="C1520" s="116">
        <v>1604.6</v>
      </c>
      <c r="D1520" s="116">
        <v>1590</v>
      </c>
      <c r="E1520" s="116">
        <v>1638</v>
      </c>
      <c r="F1520" s="116">
        <v>1604.6</v>
      </c>
      <c r="G1520">
        <v>18652</v>
      </c>
      <c r="H1520" s="116"/>
      <c r="I1520" s="116"/>
      <c r="L1520" s="169">
        <v>44242</v>
      </c>
      <c r="M1520" s="116">
        <v>1606.9</v>
      </c>
      <c r="N1520" s="116">
        <v>1677.65</v>
      </c>
      <c r="O1520" s="116">
        <v>1582</v>
      </c>
      <c r="P1520" s="116">
        <v>1639.2</v>
      </c>
      <c r="Q1520" s="116">
        <v>1606.9</v>
      </c>
      <c r="R1520">
        <v>287208</v>
      </c>
    </row>
    <row r="1521" spans="1:18" x14ac:dyDescent="0.25">
      <c r="A1521" s="169">
        <v>44243</v>
      </c>
      <c r="B1521" s="116">
        <v>1616.2</v>
      </c>
      <c r="C1521" s="116">
        <v>1562.35</v>
      </c>
      <c r="D1521" s="116">
        <v>1542.9</v>
      </c>
      <c r="E1521" s="116">
        <v>1605</v>
      </c>
      <c r="F1521" s="116">
        <v>1562.35</v>
      </c>
      <c r="G1521">
        <v>7385</v>
      </c>
      <c r="H1521" s="116"/>
      <c r="I1521" s="116"/>
      <c r="L1521" s="169">
        <v>44243</v>
      </c>
      <c r="M1521" s="116">
        <v>1562.05</v>
      </c>
      <c r="N1521" s="116">
        <v>1616.1</v>
      </c>
      <c r="O1521" s="116">
        <v>1544</v>
      </c>
      <c r="P1521" s="116">
        <v>1600</v>
      </c>
      <c r="Q1521" s="116">
        <v>1562.05</v>
      </c>
      <c r="R1521">
        <v>144081</v>
      </c>
    </row>
    <row r="1522" spans="1:18" x14ac:dyDescent="0.25">
      <c r="A1522" s="169">
        <v>44244</v>
      </c>
      <c r="B1522" s="116">
        <v>1594</v>
      </c>
      <c r="C1522" s="116">
        <v>1519.95</v>
      </c>
      <c r="D1522" s="116">
        <v>1511.95</v>
      </c>
      <c r="E1522" s="116">
        <v>1594</v>
      </c>
      <c r="F1522" s="116">
        <v>1519.95</v>
      </c>
      <c r="G1522">
        <v>11581</v>
      </c>
      <c r="H1522" s="116"/>
      <c r="I1522" s="116"/>
      <c r="L1522" s="169">
        <v>44244</v>
      </c>
      <c r="M1522" s="116">
        <v>1519.35</v>
      </c>
      <c r="N1522" s="116">
        <v>1572.3</v>
      </c>
      <c r="O1522" s="116">
        <v>1512.1</v>
      </c>
      <c r="P1522" s="116">
        <v>1572</v>
      </c>
      <c r="Q1522" s="116">
        <v>1519.35</v>
      </c>
      <c r="R1522">
        <v>146432</v>
      </c>
    </row>
    <row r="1523" spans="1:18" x14ac:dyDescent="0.25">
      <c r="A1523" s="169">
        <v>44245</v>
      </c>
      <c r="B1523" s="116">
        <v>1684.2</v>
      </c>
      <c r="C1523" s="116">
        <v>1646.2</v>
      </c>
      <c r="D1523" s="116">
        <v>1528.5</v>
      </c>
      <c r="E1523" s="116">
        <v>1530</v>
      </c>
      <c r="F1523" s="116">
        <v>1646.2</v>
      </c>
      <c r="G1523">
        <v>36096</v>
      </c>
      <c r="H1523" s="116"/>
      <c r="I1523" s="116"/>
      <c r="L1523" s="169">
        <v>44245</v>
      </c>
      <c r="M1523" s="116">
        <v>1647.1</v>
      </c>
      <c r="N1523" s="116">
        <v>1685.4</v>
      </c>
      <c r="O1523" s="116">
        <v>1527.3</v>
      </c>
      <c r="P1523" s="116">
        <v>1527.3</v>
      </c>
      <c r="Q1523" s="116">
        <v>1647.1</v>
      </c>
      <c r="R1523">
        <v>464344</v>
      </c>
    </row>
    <row r="1524" spans="1:18" x14ac:dyDescent="0.25">
      <c r="A1524" s="169">
        <v>44246</v>
      </c>
      <c r="B1524" s="116">
        <v>1679</v>
      </c>
      <c r="C1524" s="116">
        <v>1606.6</v>
      </c>
      <c r="D1524" s="116">
        <v>1560.1</v>
      </c>
      <c r="E1524" s="116">
        <v>1658.6</v>
      </c>
      <c r="F1524" s="116">
        <v>1606.6</v>
      </c>
      <c r="G1524">
        <v>13176</v>
      </c>
      <c r="H1524" s="116"/>
      <c r="I1524" s="116"/>
      <c r="L1524" s="169">
        <v>44246</v>
      </c>
      <c r="M1524" s="116">
        <v>1606.1</v>
      </c>
      <c r="N1524" s="116">
        <v>1680</v>
      </c>
      <c r="O1524" s="116">
        <v>1560.05</v>
      </c>
      <c r="P1524" s="116">
        <v>1644</v>
      </c>
      <c r="Q1524" s="116">
        <v>1606.1</v>
      </c>
      <c r="R1524">
        <v>183945</v>
      </c>
    </row>
    <row r="1525" spans="1:18" x14ac:dyDescent="0.25">
      <c r="A1525" s="169">
        <v>44249</v>
      </c>
      <c r="B1525" s="116">
        <v>1640.45</v>
      </c>
      <c r="C1525" s="116">
        <v>1601</v>
      </c>
      <c r="D1525" s="116">
        <v>1578</v>
      </c>
      <c r="E1525" s="116">
        <v>1578</v>
      </c>
      <c r="F1525" s="116">
        <v>1601</v>
      </c>
      <c r="G1525">
        <v>14331</v>
      </c>
      <c r="H1525" s="116"/>
      <c r="I1525" s="116"/>
      <c r="L1525" s="169">
        <v>44249</v>
      </c>
      <c r="M1525" s="116">
        <v>1602.15</v>
      </c>
      <c r="N1525" s="116">
        <v>1640</v>
      </c>
      <c r="O1525" s="116">
        <v>1580</v>
      </c>
      <c r="P1525" s="116">
        <v>1636.45</v>
      </c>
      <c r="Q1525" s="116">
        <v>1602.15</v>
      </c>
      <c r="R1525">
        <v>100892</v>
      </c>
    </row>
    <row r="1526" spans="1:18" x14ac:dyDescent="0.25">
      <c r="A1526" s="169">
        <v>44250</v>
      </c>
      <c r="B1526" s="116">
        <v>1688.5</v>
      </c>
      <c r="C1526" s="116">
        <v>1648.8</v>
      </c>
      <c r="D1526" s="116">
        <v>1593.85</v>
      </c>
      <c r="E1526" s="116">
        <v>1607</v>
      </c>
      <c r="F1526" s="116">
        <v>1648.8</v>
      </c>
      <c r="G1526">
        <v>10532</v>
      </c>
      <c r="H1526" s="116"/>
      <c r="I1526" s="116"/>
      <c r="L1526" s="169">
        <v>44250</v>
      </c>
      <c r="M1526" s="116">
        <v>1646.45</v>
      </c>
      <c r="N1526" s="116">
        <v>1690</v>
      </c>
      <c r="O1526" s="116">
        <v>1591.9</v>
      </c>
      <c r="P1526" s="116">
        <v>1605.05</v>
      </c>
      <c r="Q1526" s="116">
        <v>1646.45</v>
      </c>
      <c r="R1526">
        <v>227522</v>
      </c>
    </row>
    <row r="1527" spans="1:18" x14ac:dyDescent="0.25">
      <c r="A1527" s="169">
        <v>44251</v>
      </c>
      <c r="B1527" s="116">
        <v>1690</v>
      </c>
      <c r="C1527" s="116">
        <v>1664.8</v>
      </c>
      <c r="D1527" s="116">
        <v>1590</v>
      </c>
      <c r="E1527" s="116">
        <v>1649.85</v>
      </c>
      <c r="F1527" s="116">
        <v>1664.8</v>
      </c>
      <c r="G1527">
        <v>27174</v>
      </c>
      <c r="H1527" s="116"/>
      <c r="I1527" s="116"/>
      <c r="L1527" s="169">
        <v>44251</v>
      </c>
      <c r="M1527" s="116">
        <v>1665.3</v>
      </c>
      <c r="N1527" s="116">
        <v>1685</v>
      </c>
      <c r="O1527" s="116">
        <v>1602</v>
      </c>
      <c r="P1527" s="116">
        <v>1657.95</v>
      </c>
      <c r="Q1527" s="116">
        <v>1665.3</v>
      </c>
      <c r="R1527">
        <v>107535</v>
      </c>
    </row>
    <row r="1528" spans="1:18" x14ac:dyDescent="0.25">
      <c r="A1528" s="169">
        <v>44252</v>
      </c>
      <c r="B1528" s="116">
        <v>1726.95</v>
      </c>
      <c r="C1528" s="116">
        <v>1684.95</v>
      </c>
      <c r="D1528" s="116">
        <v>1655</v>
      </c>
      <c r="E1528" s="116">
        <v>1669.95</v>
      </c>
      <c r="F1528" s="116">
        <v>1684.95</v>
      </c>
      <c r="G1528">
        <v>8657</v>
      </c>
      <c r="H1528" s="116"/>
      <c r="I1528" s="116"/>
      <c r="L1528" s="169">
        <v>44252</v>
      </c>
      <c r="M1528" s="116">
        <v>1686.4</v>
      </c>
      <c r="N1528" s="116">
        <v>1730</v>
      </c>
      <c r="O1528" s="116">
        <v>1654.7</v>
      </c>
      <c r="P1528" s="116">
        <v>1678</v>
      </c>
      <c r="Q1528" s="116">
        <v>1686.4</v>
      </c>
      <c r="R1528">
        <v>202115</v>
      </c>
    </row>
    <row r="1529" spans="1:18" x14ac:dyDescent="0.25">
      <c r="A1529" s="169">
        <v>44253</v>
      </c>
      <c r="B1529" s="116">
        <v>1684.35</v>
      </c>
      <c r="C1529" s="116">
        <v>1629.6</v>
      </c>
      <c r="D1529" s="116">
        <v>1622.9</v>
      </c>
      <c r="E1529" s="116">
        <v>1656</v>
      </c>
      <c r="F1529" s="116">
        <v>1629.6</v>
      </c>
      <c r="G1529">
        <v>7317</v>
      </c>
      <c r="H1529" s="116"/>
      <c r="I1529" s="116"/>
      <c r="L1529" s="169">
        <v>44253</v>
      </c>
      <c r="M1529" s="116">
        <v>1629.15</v>
      </c>
      <c r="N1529" s="116">
        <v>1683.2</v>
      </c>
      <c r="O1529" s="116">
        <v>1620.05</v>
      </c>
      <c r="P1529" s="116">
        <v>1630</v>
      </c>
      <c r="Q1529" s="116">
        <v>1629.15</v>
      </c>
      <c r="R1529">
        <v>107020</v>
      </c>
    </row>
    <row r="1530" spans="1:18" x14ac:dyDescent="0.25">
      <c r="A1530" s="169">
        <v>44256</v>
      </c>
      <c r="B1530" s="116">
        <v>1694.95</v>
      </c>
      <c r="C1530" s="116">
        <v>1684.4</v>
      </c>
      <c r="D1530" s="116">
        <v>1634</v>
      </c>
      <c r="E1530" s="116">
        <v>1660</v>
      </c>
      <c r="F1530" s="116">
        <v>1684.4</v>
      </c>
      <c r="G1530">
        <v>12009</v>
      </c>
      <c r="H1530" s="116"/>
      <c r="I1530" s="116"/>
      <c r="L1530" s="169">
        <v>44256</v>
      </c>
      <c r="M1530" s="116">
        <v>1685.3</v>
      </c>
      <c r="N1530" s="116">
        <v>1695</v>
      </c>
      <c r="O1530" s="116">
        <v>1635</v>
      </c>
      <c r="P1530" s="116">
        <v>1648.65</v>
      </c>
      <c r="Q1530" s="116">
        <v>1685.3</v>
      </c>
      <c r="R1530">
        <v>138038</v>
      </c>
    </row>
    <row r="1531" spans="1:18" x14ac:dyDescent="0.25">
      <c r="A1531" s="169">
        <v>44257</v>
      </c>
      <c r="B1531" s="116">
        <v>1905.7</v>
      </c>
      <c r="C1531" s="116">
        <v>1866.4</v>
      </c>
      <c r="D1531" s="116">
        <v>1700</v>
      </c>
      <c r="E1531" s="116">
        <v>1700</v>
      </c>
      <c r="F1531" s="116">
        <v>1866.4</v>
      </c>
      <c r="G1531">
        <v>45368</v>
      </c>
      <c r="H1531" s="116"/>
      <c r="I1531" s="116"/>
      <c r="L1531" s="169">
        <v>44257</v>
      </c>
      <c r="M1531" s="116">
        <v>1867.3</v>
      </c>
      <c r="N1531" s="116">
        <v>1905.55</v>
      </c>
      <c r="O1531" s="116">
        <v>1696.95</v>
      </c>
      <c r="P1531" s="116">
        <v>1696.95</v>
      </c>
      <c r="Q1531" s="116">
        <v>1867.3</v>
      </c>
      <c r="R1531">
        <v>689744</v>
      </c>
    </row>
    <row r="1532" spans="1:18" x14ac:dyDescent="0.25">
      <c r="A1532" s="169">
        <v>44258</v>
      </c>
      <c r="B1532" s="116">
        <v>1899.95</v>
      </c>
      <c r="C1532" s="116">
        <v>1841.85</v>
      </c>
      <c r="D1532" s="116">
        <v>1813.5</v>
      </c>
      <c r="E1532" s="116">
        <v>1874</v>
      </c>
      <c r="F1532" s="116">
        <v>1841.85</v>
      </c>
      <c r="G1532">
        <v>9177</v>
      </c>
      <c r="H1532" s="116"/>
      <c r="I1532" s="116"/>
      <c r="L1532" s="169">
        <v>44258</v>
      </c>
      <c r="M1532" s="116">
        <v>1843.05</v>
      </c>
      <c r="N1532" s="116">
        <v>1899</v>
      </c>
      <c r="O1532" s="116">
        <v>1812.3</v>
      </c>
      <c r="P1532" s="116">
        <v>1869.8</v>
      </c>
      <c r="Q1532" s="116">
        <v>1843.05</v>
      </c>
      <c r="R1532">
        <v>154427</v>
      </c>
    </row>
    <row r="1533" spans="1:18" x14ac:dyDescent="0.25">
      <c r="A1533" s="169">
        <v>44259</v>
      </c>
      <c r="B1533" s="116">
        <v>1874</v>
      </c>
      <c r="C1533" s="116">
        <v>1760.6</v>
      </c>
      <c r="D1533" s="116">
        <v>1742.4</v>
      </c>
      <c r="E1533" s="116">
        <v>1838.95</v>
      </c>
      <c r="F1533" s="116">
        <v>1760.6</v>
      </c>
      <c r="G1533">
        <v>13073</v>
      </c>
      <c r="H1533" s="116"/>
      <c r="I1533" s="116"/>
      <c r="L1533" s="169">
        <v>44259</v>
      </c>
      <c r="M1533" s="116">
        <v>1759.25</v>
      </c>
      <c r="N1533" s="116">
        <v>1877.35</v>
      </c>
      <c r="O1533" s="116">
        <v>1741</v>
      </c>
      <c r="P1533" s="116">
        <v>1824.65</v>
      </c>
      <c r="Q1533" s="116">
        <v>1759.25</v>
      </c>
      <c r="R1533">
        <v>251755</v>
      </c>
    </row>
    <row r="1534" spans="1:18" x14ac:dyDescent="0.25">
      <c r="A1534" s="169">
        <v>44260</v>
      </c>
      <c r="B1534" s="116">
        <v>1849.15</v>
      </c>
      <c r="C1534" s="116">
        <v>1794.25</v>
      </c>
      <c r="D1534" s="116">
        <v>1760.1</v>
      </c>
      <c r="E1534" s="116">
        <v>1760.1</v>
      </c>
      <c r="F1534" s="116">
        <v>1794.25</v>
      </c>
      <c r="G1534">
        <v>20212</v>
      </c>
      <c r="H1534" s="116"/>
      <c r="I1534" s="116"/>
      <c r="L1534" s="169">
        <v>44260</v>
      </c>
      <c r="M1534" s="116">
        <v>1793.6</v>
      </c>
      <c r="N1534" s="116">
        <v>1849</v>
      </c>
      <c r="O1534" s="116">
        <v>1760.15</v>
      </c>
      <c r="P1534" s="116">
        <v>1775.9</v>
      </c>
      <c r="Q1534" s="116">
        <v>1793.6</v>
      </c>
      <c r="R1534">
        <v>194553</v>
      </c>
    </row>
    <row r="1535" spans="1:18" x14ac:dyDescent="0.25">
      <c r="A1535" s="169">
        <v>44263</v>
      </c>
      <c r="B1535" s="116">
        <v>1878</v>
      </c>
      <c r="C1535" s="116">
        <v>1785.9</v>
      </c>
      <c r="D1535" s="116">
        <v>1773.6</v>
      </c>
      <c r="E1535" s="116">
        <v>1831.55</v>
      </c>
      <c r="F1535" s="116">
        <v>1785.9</v>
      </c>
      <c r="G1535">
        <v>9324</v>
      </c>
      <c r="H1535" s="116"/>
      <c r="I1535" s="116"/>
      <c r="L1535" s="169">
        <v>44263</v>
      </c>
      <c r="M1535" s="116">
        <v>1786.65</v>
      </c>
      <c r="N1535" s="116">
        <v>1899</v>
      </c>
      <c r="O1535" s="116">
        <v>1773.45</v>
      </c>
      <c r="P1535" s="116">
        <v>1820</v>
      </c>
      <c r="Q1535" s="116">
        <v>1786.65</v>
      </c>
      <c r="R1535">
        <v>91224</v>
      </c>
    </row>
    <row r="1536" spans="1:18" x14ac:dyDescent="0.25">
      <c r="A1536" s="169">
        <v>44264</v>
      </c>
      <c r="B1536" s="116">
        <v>1807.6</v>
      </c>
      <c r="C1536" s="116">
        <v>1738.95</v>
      </c>
      <c r="D1536" s="116">
        <v>1715.5</v>
      </c>
      <c r="E1536" s="116">
        <v>1787.05</v>
      </c>
      <c r="F1536" s="116">
        <v>1738.95</v>
      </c>
      <c r="G1536">
        <v>5013</v>
      </c>
      <c r="H1536" s="116"/>
      <c r="I1536" s="116"/>
      <c r="L1536" s="169">
        <v>44264</v>
      </c>
      <c r="M1536" s="116">
        <v>1738.95</v>
      </c>
      <c r="N1536" s="116">
        <v>1807.05</v>
      </c>
      <c r="O1536" s="116">
        <v>1715</v>
      </c>
      <c r="P1536" s="116">
        <v>1799.9</v>
      </c>
      <c r="Q1536" s="116">
        <v>1738.95</v>
      </c>
      <c r="R1536">
        <v>98696</v>
      </c>
    </row>
    <row r="1537" spans="1:18" x14ac:dyDescent="0.25">
      <c r="A1537" s="169">
        <v>44265</v>
      </c>
      <c r="B1537" s="116">
        <v>1785</v>
      </c>
      <c r="C1537" s="116">
        <v>1751.75</v>
      </c>
      <c r="D1537" s="116">
        <v>1738.65</v>
      </c>
      <c r="E1537" s="116">
        <v>1752.75</v>
      </c>
      <c r="F1537" s="116">
        <v>1751.75</v>
      </c>
      <c r="G1537">
        <v>6006</v>
      </c>
      <c r="H1537" s="116"/>
      <c r="I1537" s="116"/>
      <c r="L1537" s="169">
        <v>44265</v>
      </c>
      <c r="M1537" s="116">
        <v>1749.9</v>
      </c>
      <c r="N1537" s="116">
        <v>1786.9</v>
      </c>
      <c r="O1537" s="116">
        <v>1740</v>
      </c>
      <c r="P1537" s="116">
        <v>1754.6</v>
      </c>
      <c r="Q1537" s="116">
        <v>1749.9</v>
      </c>
      <c r="R1537">
        <v>66717</v>
      </c>
    </row>
    <row r="1538" spans="1:18" x14ac:dyDescent="0.25">
      <c r="A1538" s="169">
        <v>44267</v>
      </c>
      <c r="B1538" s="116">
        <v>1820</v>
      </c>
      <c r="C1538" s="116">
        <v>1776.45</v>
      </c>
      <c r="D1538" s="116">
        <v>1742</v>
      </c>
      <c r="E1538" s="116">
        <v>1742</v>
      </c>
      <c r="F1538" s="116">
        <v>1776.45</v>
      </c>
      <c r="G1538">
        <v>15501</v>
      </c>
      <c r="H1538" s="116"/>
      <c r="I1538" s="116"/>
      <c r="L1538" s="169">
        <v>44267</v>
      </c>
      <c r="M1538" s="116">
        <v>1772.7</v>
      </c>
      <c r="N1538" s="116">
        <v>1819</v>
      </c>
      <c r="O1538" s="116">
        <v>1752</v>
      </c>
      <c r="P1538" s="116">
        <v>1763.9</v>
      </c>
      <c r="Q1538" s="116">
        <v>1772.7</v>
      </c>
      <c r="R1538">
        <v>109518</v>
      </c>
    </row>
    <row r="1539" spans="1:18" x14ac:dyDescent="0.25">
      <c r="A1539" s="169">
        <v>44270</v>
      </c>
      <c r="B1539" s="116">
        <v>1780.95</v>
      </c>
      <c r="C1539" s="116">
        <v>1754.45</v>
      </c>
      <c r="D1539" s="116">
        <v>1736.25</v>
      </c>
      <c r="E1539" s="116">
        <v>1773</v>
      </c>
      <c r="F1539" s="116">
        <v>1754.45</v>
      </c>
      <c r="G1539">
        <v>7065</v>
      </c>
      <c r="H1539" s="116"/>
      <c r="I1539" s="116"/>
      <c r="L1539" s="169">
        <v>44270</v>
      </c>
      <c r="M1539" s="116">
        <v>1751.6</v>
      </c>
      <c r="N1539" s="116">
        <v>1786</v>
      </c>
      <c r="O1539" s="116">
        <v>1736.75</v>
      </c>
      <c r="P1539" s="116">
        <v>1786</v>
      </c>
      <c r="Q1539" s="116">
        <v>1751.6</v>
      </c>
      <c r="R1539">
        <v>57903</v>
      </c>
    </row>
    <row r="1540" spans="1:18" x14ac:dyDescent="0.25">
      <c r="A1540" s="169">
        <v>44271</v>
      </c>
      <c r="B1540" s="116">
        <v>1761.35</v>
      </c>
      <c r="C1540" s="116">
        <v>1717.35</v>
      </c>
      <c r="D1540" s="116">
        <v>1686.5</v>
      </c>
      <c r="E1540" s="116">
        <v>1751.8</v>
      </c>
      <c r="F1540" s="116">
        <v>1717.35</v>
      </c>
      <c r="G1540">
        <v>9740</v>
      </c>
      <c r="H1540" s="116"/>
      <c r="I1540" s="116"/>
      <c r="L1540" s="169">
        <v>44271</v>
      </c>
      <c r="M1540" s="116">
        <v>1716.4</v>
      </c>
      <c r="N1540" s="116">
        <v>1760</v>
      </c>
      <c r="O1540" s="116">
        <v>1710</v>
      </c>
      <c r="P1540" s="116">
        <v>1755</v>
      </c>
      <c r="Q1540" s="116">
        <v>1716.4</v>
      </c>
      <c r="R1540">
        <v>56516</v>
      </c>
    </row>
    <row r="1541" spans="1:18" x14ac:dyDescent="0.25">
      <c r="A1541" s="169">
        <v>44272</v>
      </c>
      <c r="B1541" s="116">
        <v>1805</v>
      </c>
      <c r="C1541" s="116">
        <v>1716.45</v>
      </c>
      <c r="D1541" s="116">
        <v>1695</v>
      </c>
      <c r="E1541" s="116">
        <v>1695</v>
      </c>
      <c r="F1541" s="116">
        <v>1716.45</v>
      </c>
      <c r="G1541">
        <v>21669</v>
      </c>
      <c r="H1541" s="116"/>
      <c r="I1541" s="116"/>
      <c r="L1541" s="169">
        <v>44272</v>
      </c>
      <c r="M1541" s="116">
        <v>1716.8</v>
      </c>
      <c r="N1541" s="116">
        <v>1807</v>
      </c>
      <c r="O1541" s="116">
        <v>1712</v>
      </c>
      <c r="P1541" s="116">
        <v>1717</v>
      </c>
      <c r="Q1541" s="116">
        <v>1716.8</v>
      </c>
      <c r="R1541">
        <v>180774</v>
      </c>
    </row>
    <row r="1542" spans="1:18" x14ac:dyDescent="0.25">
      <c r="A1542" s="169">
        <v>44273</v>
      </c>
      <c r="B1542" s="116">
        <v>1760</v>
      </c>
      <c r="C1542" s="116">
        <v>1637.9</v>
      </c>
      <c r="D1542" s="116">
        <v>1615</v>
      </c>
      <c r="E1542" s="116">
        <v>1740</v>
      </c>
      <c r="F1542" s="116">
        <v>1637.9</v>
      </c>
      <c r="G1542">
        <v>11134</v>
      </c>
      <c r="H1542" s="116"/>
      <c r="I1542" s="116"/>
      <c r="L1542" s="169">
        <v>44273</v>
      </c>
      <c r="M1542" s="116">
        <v>1639.9</v>
      </c>
      <c r="N1542" s="116">
        <v>1764.65</v>
      </c>
      <c r="O1542" s="116">
        <v>1610</v>
      </c>
      <c r="P1542" s="116">
        <v>1734</v>
      </c>
      <c r="Q1542" s="116">
        <v>1639.9</v>
      </c>
      <c r="R1542">
        <v>138913</v>
      </c>
    </row>
    <row r="1543" spans="1:18" x14ac:dyDescent="0.25">
      <c r="A1543" s="169">
        <v>44274</v>
      </c>
      <c r="B1543" s="116">
        <v>1722</v>
      </c>
      <c r="C1543" s="116">
        <v>1690.75</v>
      </c>
      <c r="D1543" s="116">
        <v>1553.85</v>
      </c>
      <c r="E1543" s="116">
        <v>1636.45</v>
      </c>
      <c r="F1543" s="116">
        <v>1690.75</v>
      </c>
      <c r="G1543">
        <v>18383</v>
      </c>
      <c r="H1543" s="116"/>
      <c r="I1543" s="116"/>
      <c r="L1543" s="169">
        <v>44274</v>
      </c>
      <c r="M1543" s="116">
        <v>1688.65</v>
      </c>
      <c r="N1543" s="116">
        <v>1724.85</v>
      </c>
      <c r="O1543" s="116">
        <v>1555</v>
      </c>
      <c r="P1543" s="116">
        <v>1635</v>
      </c>
      <c r="Q1543" s="116">
        <v>1688.65</v>
      </c>
      <c r="R1543">
        <v>184779</v>
      </c>
    </row>
    <row r="1544" spans="1:18" x14ac:dyDescent="0.25">
      <c r="A1544" s="169">
        <v>44277</v>
      </c>
      <c r="B1544" s="116">
        <v>1720</v>
      </c>
      <c r="C1544" s="116">
        <v>1693.5</v>
      </c>
      <c r="D1544" s="116">
        <v>1665.35</v>
      </c>
      <c r="E1544" s="116">
        <v>1720</v>
      </c>
      <c r="F1544" s="116">
        <v>1693.5</v>
      </c>
      <c r="G1544">
        <v>9865</v>
      </c>
      <c r="H1544" s="116"/>
      <c r="I1544" s="116"/>
      <c r="L1544" s="169">
        <v>44277</v>
      </c>
      <c r="M1544" s="116">
        <v>1691.8</v>
      </c>
      <c r="N1544" s="116">
        <v>1719</v>
      </c>
      <c r="O1544" s="116">
        <v>1673.35</v>
      </c>
      <c r="P1544" s="116">
        <v>1719</v>
      </c>
      <c r="Q1544" s="116">
        <v>1691.8</v>
      </c>
      <c r="R1544">
        <v>70348</v>
      </c>
    </row>
    <row r="1545" spans="1:18" x14ac:dyDescent="0.25">
      <c r="A1545" s="169">
        <v>44278</v>
      </c>
      <c r="B1545" s="116">
        <v>1813.45</v>
      </c>
      <c r="C1545" s="116">
        <v>1774.3</v>
      </c>
      <c r="D1545" s="116">
        <v>1696.6</v>
      </c>
      <c r="E1545" s="116">
        <v>1720</v>
      </c>
      <c r="F1545" s="116">
        <v>1774.3</v>
      </c>
      <c r="G1545">
        <v>30437</v>
      </c>
      <c r="H1545" s="116"/>
      <c r="I1545" s="116"/>
      <c r="L1545" s="169">
        <v>44278</v>
      </c>
      <c r="M1545" s="116">
        <v>1772.7</v>
      </c>
      <c r="N1545" s="116">
        <v>1815</v>
      </c>
      <c r="O1545" s="116">
        <v>1699</v>
      </c>
      <c r="P1545" s="116">
        <v>1754.4</v>
      </c>
      <c r="Q1545" s="116">
        <v>1772.7</v>
      </c>
      <c r="R1545">
        <v>394546</v>
      </c>
    </row>
    <row r="1546" spans="1:18" x14ac:dyDescent="0.25">
      <c r="A1546" s="169">
        <v>44279</v>
      </c>
      <c r="B1546" s="116">
        <v>1776.5</v>
      </c>
      <c r="C1546" s="116">
        <v>1715.7</v>
      </c>
      <c r="D1546" s="116">
        <v>1710</v>
      </c>
      <c r="E1546" s="116">
        <v>1776</v>
      </c>
      <c r="F1546" s="116">
        <v>1715.7</v>
      </c>
      <c r="G1546">
        <v>15208</v>
      </c>
      <c r="H1546" s="116"/>
      <c r="I1546" s="116"/>
      <c r="L1546" s="169">
        <v>44279</v>
      </c>
      <c r="M1546" s="116">
        <v>1717.85</v>
      </c>
      <c r="N1546" s="116">
        <v>1777.6</v>
      </c>
      <c r="O1546" s="116">
        <v>1711.2</v>
      </c>
      <c r="P1546" s="116">
        <v>1762</v>
      </c>
      <c r="Q1546" s="116">
        <v>1717.85</v>
      </c>
      <c r="R1546">
        <v>88898</v>
      </c>
    </row>
    <row r="1547" spans="1:18" x14ac:dyDescent="0.25">
      <c r="A1547" s="169">
        <v>44280</v>
      </c>
      <c r="B1547" s="116">
        <v>1726</v>
      </c>
      <c r="C1547" s="116">
        <v>1663.8</v>
      </c>
      <c r="D1547" s="116">
        <v>1652.35</v>
      </c>
      <c r="E1547" s="116">
        <v>1726</v>
      </c>
      <c r="F1547" s="116">
        <v>1663.8</v>
      </c>
      <c r="G1547">
        <v>65207</v>
      </c>
      <c r="H1547" s="116"/>
      <c r="I1547" s="116"/>
      <c r="L1547" s="169">
        <v>44280</v>
      </c>
      <c r="M1547" s="116">
        <v>1664.25</v>
      </c>
      <c r="N1547" s="116">
        <v>1730</v>
      </c>
      <c r="O1547" s="116">
        <v>1652.1</v>
      </c>
      <c r="P1547" s="116">
        <v>1730</v>
      </c>
      <c r="Q1547" s="116">
        <v>1664.25</v>
      </c>
      <c r="R1547">
        <v>143631</v>
      </c>
    </row>
    <row r="1548" spans="1:18" x14ac:dyDescent="0.25">
      <c r="A1548" s="169">
        <v>44281</v>
      </c>
      <c r="B1548" s="116">
        <v>1743.55</v>
      </c>
      <c r="C1548" s="116">
        <v>1692.4</v>
      </c>
      <c r="D1548" s="116">
        <v>1671.15</v>
      </c>
      <c r="E1548" s="116">
        <v>1710</v>
      </c>
      <c r="F1548" s="116">
        <v>1692.4</v>
      </c>
      <c r="G1548">
        <v>61319</v>
      </c>
      <c r="H1548" s="116"/>
      <c r="I1548" s="116"/>
      <c r="L1548" s="169">
        <v>44281</v>
      </c>
      <c r="M1548" s="116">
        <v>1695.4</v>
      </c>
      <c r="N1548" s="116">
        <v>1746.2</v>
      </c>
      <c r="O1548" s="116">
        <v>1670</v>
      </c>
      <c r="P1548" s="116">
        <v>1681.1</v>
      </c>
      <c r="Q1548" s="116">
        <v>1695.4</v>
      </c>
      <c r="R1548">
        <v>133680</v>
      </c>
    </row>
    <row r="1549" spans="1:18" x14ac:dyDescent="0.25">
      <c r="A1549" s="169">
        <v>44285</v>
      </c>
      <c r="B1549" s="116">
        <v>1761</v>
      </c>
      <c r="C1549" s="116">
        <v>1737.35</v>
      </c>
      <c r="D1549" s="116">
        <v>1704.15</v>
      </c>
      <c r="E1549" s="116">
        <v>1727.2</v>
      </c>
      <c r="F1549" s="116">
        <v>1737.35</v>
      </c>
      <c r="G1549">
        <v>8650</v>
      </c>
      <c r="H1549" s="116"/>
      <c r="I1549" s="116"/>
      <c r="L1549" s="169">
        <v>44285</v>
      </c>
      <c r="M1549" s="116">
        <v>1740.9</v>
      </c>
      <c r="N1549" s="116">
        <v>1760</v>
      </c>
      <c r="O1549" s="116">
        <v>1697.15</v>
      </c>
      <c r="P1549" s="116">
        <v>1714</v>
      </c>
      <c r="Q1549" s="116">
        <v>1740.9</v>
      </c>
      <c r="R1549">
        <v>119009</v>
      </c>
    </row>
    <row r="1550" spans="1:18" x14ac:dyDescent="0.25">
      <c r="A1550" s="169">
        <v>44286</v>
      </c>
      <c r="B1550" s="116">
        <v>1815.6</v>
      </c>
      <c r="C1550" s="116">
        <v>1762.85</v>
      </c>
      <c r="D1550" s="116">
        <v>1735.2</v>
      </c>
      <c r="E1550" s="116">
        <v>1753</v>
      </c>
      <c r="F1550" s="116">
        <v>1762.85</v>
      </c>
      <c r="G1550">
        <v>11124</v>
      </c>
      <c r="H1550" s="116"/>
      <c r="I1550" s="116"/>
      <c r="L1550" s="169">
        <v>44286</v>
      </c>
      <c r="M1550" s="116">
        <v>1759.3</v>
      </c>
      <c r="N1550" s="116">
        <v>1812</v>
      </c>
      <c r="O1550" s="116">
        <v>1735.55</v>
      </c>
      <c r="P1550" s="116">
        <v>1750</v>
      </c>
      <c r="Q1550" s="116">
        <v>1759.3</v>
      </c>
      <c r="R1550">
        <v>147125</v>
      </c>
    </row>
    <row r="1551" spans="1:18" x14ac:dyDescent="0.25">
      <c r="A1551" s="169">
        <v>44287</v>
      </c>
      <c r="B1551" s="116">
        <v>1818</v>
      </c>
      <c r="C1551" s="116">
        <v>1787.4</v>
      </c>
      <c r="D1551" s="116">
        <v>1730.05</v>
      </c>
      <c r="E1551" s="116">
        <v>1730.05</v>
      </c>
      <c r="F1551" s="116">
        <v>1787.4</v>
      </c>
      <c r="G1551">
        <v>15445</v>
      </c>
      <c r="H1551" s="116"/>
      <c r="I1551" s="116"/>
      <c r="L1551" s="169">
        <v>44287</v>
      </c>
      <c r="M1551" s="116">
        <v>1787.15</v>
      </c>
      <c r="N1551" s="116">
        <v>1820</v>
      </c>
      <c r="O1551" s="116">
        <v>1770.1</v>
      </c>
      <c r="P1551" s="116">
        <v>1779</v>
      </c>
      <c r="Q1551" s="116">
        <v>1787.15</v>
      </c>
      <c r="R1551">
        <v>134658</v>
      </c>
    </row>
    <row r="1552" spans="1:18" x14ac:dyDescent="0.25">
      <c r="A1552" s="169">
        <v>44291</v>
      </c>
      <c r="B1552" s="116">
        <v>1800.75</v>
      </c>
      <c r="C1552" s="116">
        <v>1750.05</v>
      </c>
      <c r="D1552" s="116">
        <v>1723.95</v>
      </c>
      <c r="E1552" s="116">
        <v>1800</v>
      </c>
      <c r="F1552" s="116">
        <v>1750.05</v>
      </c>
      <c r="G1552">
        <v>13105</v>
      </c>
      <c r="H1552" s="116"/>
      <c r="I1552" s="116"/>
      <c r="L1552" s="169">
        <v>44291</v>
      </c>
      <c r="M1552" s="116">
        <v>1751.85</v>
      </c>
      <c r="N1552" s="116">
        <v>1800</v>
      </c>
      <c r="O1552" s="116">
        <v>1725.05</v>
      </c>
      <c r="P1552" s="116">
        <v>1800</v>
      </c>
      <c r="Q1552" s="116">
        <v>1751.85</v>
      </c>
      <c r="R1552">
        <v>79874</v>
      </c>
    </row>
    <row r="1553" spans="1:18" x14ac:dyDescent="0.25">
      <c r="A1553" s="169">
        <v>44292</v>
      </c>
      <c r="B1553" s="116">
        <v>1832.3</v>
      </c>
      <c r="C1553" s="116">
        <v>1798.3</v>
      </c>
      <c r="D1553" s="116">
        <v>1738.85</v>
      </c>
      <c r="E1553" s="116">
        <v>1774.15</v>
      </c>
      <c r="F1553" s="116">
        <v>1798.3</v>
      </c>
      <c r="G1553">
        <v>7762</v>
      </c>
      <c r="H1553" s="116"/>
      <c r="I1553" s="116"/>
      <c r="L1553" s="169">
        <v>44292</v>
      </c>
      <c r="M1553" s="116">
        <v>1797.6</v>
      </c>
      <c r="N1553" s="116">
        <v>1832.95</v>
      </c>
      <c r="O1553" s="116">
        <v>1736.75</v>
      </c>
      <c r="P1553" s="116">
        <v>1770</v>
      </c>
      <c r="Q1553" s="116">
        <v>1797.6</v>
      </c>
      <c r="R1553">
        <v>255292</v>
      </c>
    </row>
    <row r="1554" spans="1:18" x14ac:dyDescent="0.25">
      <c r="A1554" s="169">
        <v>44293</v>
      </c>
      <c r="B1554" s="116">
        <v>1973.3</v>
      </c>
      <c r="C1554" s="116">
        <v>1923.4</v>
      </c>
      <c r="D1554" s="116">
        <v>1799.8</v>
      </c>
      <c r="E1554" s="116">
        <v>1816</v>
      </c>
      <c r="F1554" s="116">
        <v>1923.4</v>
      </c>
      <c r="G1554">
        <v>42318</v>
      </c>
      <c r="H1554" s="116"/>
      <c r="I1554" s="116"/>
      <c r="L1554" s="169">
        <v>44293</v>
      </c>
      <c r="M1554" s="116">
        <v>1925.4</v>
      </c>
      <c r="N1554" s="116">
        <v>1974.8</v>
      </c>
      <c r="O1554" s="116">
        <v>1801.05</v>
      </c>
      <c r="P1554" s="116">
        <v>1808.5</v>
      </c>
      <c r="Q1554" s="116">
        <v>1925.4</v>
      </c>
      <c r="R1554">
        <v>567787</v>
      </c>
    </row>
    <row r="1555" spans="1:18" x14ac:dyDescent="0.25">
      <c r="A1555" s="169">
        <v>44294</v>
      </c>
      <c r="B1555" s="116">
        <v>2048</v>
      </c>
      <c r="C1555" s="116">
        <v>1976.55</v>
      </c>
      <c r="D1555" s="116">
        <v>1930</v>
      </c>
      <c r="E1555" s="116">
        <v>1958</v>
      </c>
      <c r="F1555" s="116">
        <v>1976.55</v>
      </c>
      <c r="G1555">
        <v>25184</v>
      </c>
      <c r="H1555" s="116"/>
      <c r="I1555" s="116"/>
      <c r="L1555" s="169">
        <v>44294</v>
      </c>
      <c r="M1555" s="116">
        <v>1970.3</v>
      </c>
      <c r="N1555" s="116">
        <v>2047.9</v>
      </c>
      <c r="O1555" s="116">
        <v>1945.1</v>
      </c>
      <c r="P1555" s="116">
        <v>1955</v>
      </c>
      <c r="Q1555" s="116">
        <v>1970.3</v>
      </c>
      <c r="R1555">
        <v>474652</v>
      </c>
    </row>
    <row r="1556" spans="1:18" x14ac:dyDescent="0.25">
      <c r="A1556" s="169">
        <v>44295</v>
      </c>
      <c r="B1556" s="116">
        <v>2036</v>
      </c>
      <c r="C1556" s="116">
        <v>1997.65</v>
      </c>
      <c r="D1556" s="116">
        <v>1941.35</v>
      </c>
      <c r="E1556" s="116">
        <v>1986.85</v>
      </c>
      <c r="F1556" s="116">
        <v>1997.65</v>
      </c>
      <c r="G1556">
        <v>23589</v>
      </c>
      <c r="H1556" s="116"/>
      <c r="I1556" s="116"/>
      <c r="L1556" s="169">
        <v>44295</v>
      </c>
      <c r="M1556" s="116">
        <v>1998.05</v>
      </c>
      <c r="N1556" s="116">
        <v>2037</v>
      </c>
      <c r="O1556" s="116">
        <v>1942.35</v>
      </c>
      <c r="P1556" s="116">
        <v>1979.9</v>
      </c>
      <c r="Q1556" s="116">
        <v>1998.05</v>
      </c>
      <c r="R1556">
        <v>219713</v>
      </c>
    </row>
    <row r="1557" spans="1:18" x14ac:dyDescent="0.25">
      <c r="A1557" s="169">
        <v>44298</v>
      </c>
      <c r="B1557" s="116">
        <v>1980</v>
      </c>
      <c r="C1557" s="116">
        <v>1853.4</v>
      </c>
      <c r="D1557" s="116">
        <v>1830</v>
      </c>
      <c r="E1557" s="116">
        <v>1980</v>
      </c>
      <c r="F1557" s="116">
        <v>1853.4</v>
      </c>
      <c r="G1557">
        <v>13653</v>
      </c>
      <c r="H1557" s="116"/>
      <c r="I1557" s="116"/>
      <c r="L1557" s="169">
        <v>44298</v>
      </c>
      <c r="M1557" s="116">
        <v>1854</v>
      </c>
      <c r="N1557" s="116">
        <v>1931.25</v>
      </c>
      <c r="O1557" s="116">
        <v>1830.5</v>
      </c>
      <c r="P1557" s="116">
        <v>1930</v>
      </c>
      <c r="Q1557" s="116">
        <v>1854</v>
      </c>
      <c r="R1557">
        <v>206054</v>
      </c>
    </row>
    <row r="1558" spans="1:18" x14ac:dyDescent="0.25">
      <c r="A1558" s="169">
        <v>44299</v>
      </c>
      <c r="B1558" s="116">
        <v>1907.45</v>
      </c>
      <c r="C1558" s="116">
        <v>1866.3</v>
      </c>
      <c r="D1558" s="116">
        <v>1824.35</v>
      </c>
      <c r="E1558" s="116">
        <v>1888.85</v>
      </c>
      <c r="F1558" s="116">
        <v>1866.3</v>
      </c>
      <c r="G1558">
        <v>13990</v>
      </c>
      <c r="H1558" s="116"/>
      <c r="I1558" s="116"/>
      <c r="L1558" s="169">
        <v>44299</v>
      </c>
      <c r="M1558" s="116">
        <v>1867.95</v>
      </c>
      <c r="N1558" s="116">
        <v>1909.9</v>
      </c>
      <c r="O1558" s="116">
        <v>1823.9</v>
      </c>
      <c r="P1558" s="116">
        <v>1887</v>
      </c>
      <c r="Q1558" s="116">
        <v>1867.95</v>
      </c>
      <c r="R1558">
        <v>133105</v>
      </c>
    </row>
    <row r="1559" spans="1:18" x14ac:dyDescent="0.25">
      <c r="A1559" s="169">
        <v>44301</v>
      </c>
      <c r="B1559" s="116">
        <v>1889.9</v>
      </c>
      <c r="C1559" s="116">
        <v>1863.45</v>
      </c>
      <c r="D1559" s="116">
        <v>1846.45</v>
      </c>
      <c r="E1559" s="116">
        <v>1847.9</v>
      </c>
      <c r="F1559" s="116">
        <v>1863.45</v>
      </c>
      <c r="G1559">
        <v>5253</v>
      </c>
      <c r="H1559" s="116"/>
      <c r="I1559" s="116"/>
      <c r="L1559" s="169">
        <v>44301</v>
      </c>
      <c r="M1559" s="116">
        <v>1861.4</v>
      </c>
      <c r="N1559" s="116">
        <v>1895.55</v>
      </c>
      <c r="O1559" s="116">
        <v>1820</v>
      </c>
      <c r="P1559" s="116">
        <v>1820</v>
      </c>
      <c r="Q1559" s="116">
        <v>1861.4</v>
      </c>
      <c r="R1559">
        <v>78599</v>
      </c>
    </row>
    <row r="1560" spans="1:18" x14ac:dyDescent="0.25">
      <c r="A1560" s="169">
        <v>44302</v>
      </c>
      <c r="B1560" s="116">
        <v>1894.15</v>
      </c>
      <c r="C1560" s="116">
        <v>1842.85</v>
      </c>
      <c r="D1560" s="116">
        <v>1831.5</v>
      </c>
      <c r="E1560" s="116">
        <v>1890</v>
      </c>
      <c r="F1560" s="116">
        <v>1842.85</v>
      </c>
      <c r="G1560">
        <v>18941</v>
      </c>
      <c r="H1560" s="116"/>
      <c r="I1560" s="116"/>
      <c r="L1560" s="169">
        <v>44302</v>
      </c>
      <c r="M1560" s="116">
        <v>1842.95</v>
      </c>
      <c r="N1560" s="116">
        <v>1893.2</v>
      </c>
      <c r="O1560" s="116">
        <v>1831</v>
      </c>
      <c r="P1560" s="116">
        <v>1879.9</v>
      </c>
      <c r="Q1560" s="116">
        <v>1842.95</v>
      </c>
      <c r="R1560">
        <v>80096</v>
      </c>
    </row>
    <row r="1561" spans="1:18" x14ac:dyDescent="0.25">
      <c r="A1561" s="169">
        <v>44305</v>
      </c>
      <c r="B1561" s="116">
        <v>1898</v>
      </c>
      <c r="C1561" s="116">
        <v>1858.5</v>
      </c>
      <c r="D1561" s="116">
        <v>1763</v>
      </c>
      <c r="E1561" s="116">
        <v>1825</v>
      </c>
      <c r="F1561" s="116">
        <v>1858.5</v>
      </c>
      <c r="G1561">
        <v>16367</v>
      </c>
      <c r="H1561" s="116"/>
      <c r="I1561" s="116"/>
      <c r="L1561" s="169">
        <v>44305</v>
      </c>
      <c r="M1561" s="116">
        <v>1858.7</v>
      </c>
      <c r="N1561" s="116">
        <v>1899</v>
      </c>
      <c r="O1561" s="116">
        <v>1761.15</v>
      </c>
      <c r="P1561" s="116">
        <v>1817.85</v>
      </c>
      <c r="Q1561" s="116">
        <v>1858.7</v>
      </c>
      <c r="R1561">
        <v>206025</v>
      </c>
    </row>
    <row r="1562" spans="1:18" x14ac:dyDescent="0.25">
      <c r="A1562" s="169">
        <v>44306</v>
      </c>
      <c r="B1562" s="116">
        <v>1920</v>
      </c>
      <c r="C1562" s="116">
        <v>1849.75</v>
      </c>
      <c r="D1562" s="116">
        <v>1829.85</v>
      </c>
      <c r="E1562" s="116">
        <v>1900</v>
      </c>
      <c r="F1562" s="116">
        <v>1849.75</v>
      </c>
      <c r="G1562">
        <v>31817</v>
      </c>
      <c r="H1562" s="116"/>
      <c r="I1562" s="116"/>
      <c r="L1562" s="169">
        <v>44306</v>
      </c>
      <c r="M1562" s="116">
        <v>1848.65</v>
      </c>
      <c r="N1562" s="116">
        <v>1918</v>
      </c>
      <c r="O1562" s="116">
        <v>1825.05</v>
      </c>
      <c r="P1562" s="116">
        <v>1881</v>
      </c>
      <c r="Q1562" s="116">
        <v>1848.65</v>
      </c>
      <c r="R1562">
        <v>103876</v>
      </c>
    </row>
    <row r="1563" spans="1:18" x14ac:dyDescent="0.25">
      <c r="A1563" s="169">
        <v>44308</v>
      </c>
      <c r="B1563" s="116">
        <v>1903.2</v>
      </c>
      <c r="C1563" s="116">
        <v>1881.35</v>
      </c>
      <c r="D1563" s="116">
        <v>1840.2</v>
      </c>
      <c r="E1563" s="116">
        <v>1840.2</v>
      </c>
      <c r="F1563" s="116">
        <v>1881.35</v>
      </c>
      <c r="G1563">
        <v>20554</v>
      </c>
      <c r="H1563" s="116"/>
      <c r="I1563" s="116"/>
      <c r="L1563" s="169">
        <v>44308</v>
      </c>
      <c r="M1563" s="116">
        <v>1883.4</v>
      </c>
      <c r="N1563" s="116">
        <v>1904.5</v>
      </c>
      <c r="O1563" s="116">
        <v>1840</v>
      </c>
      <c r="P1563" s="116">
        <v>1857.9</v>
      </c>
      <c r="Q1563" s="116">
        <v>1883.4</v>
      </c>
      <c r="R1563">
        <v>117191</v>
      </c>
    </row>
    <row r="1564" spans="1:18" x14ac:dyDescent="0.25">
      <c r="A1564" s="169">
        <v>44309</v>
      </c>
      <c r="B1564" s="116">
        <v>1988.75</v>
      </c>
      <c r="C1564" s="116">
        <v>1941.2</v>
      </c>
      <c r="D1564" s="116">
        <v>1895</v>
      </c>
      <c r="E1564" s="116">
        <v>1899</v>
      </c>
      <c r="F1564" s="116">
        <v>1941.2</v>
      </c>
      <c r="G1564">
        <v>18804</v>
      </c>
      <c r="H1564" s="116"/>
      <c r="I1564" s="116"/>
      <c r="L1564" s="169">
        <v>44309</v>
      </c>
      <c r="M1564" s="116">
        <v>1939.4</v>
      </c>
      <c r="N1564" s="116">
        <v>1989.7</v>
      </c>
      <c r="O1564" s="116">
        <v>1888.05</v>
      </c>
      <c r="P1564" s="116">
        <v>1898</v>
      </c>
      <c r="Q1564" s="116">
        <v>1939.4</v>
      </c>
      <c r="R1564">
        <v>298505</v>
      </c>
    </row>
    <row r="1565" spans="1:18" x14ac:dyDescent="0.25">
      <c r="A1565" s="169">
        <v>44312</v>
      </c>
      <c r="B1565" s="116">
        <v>2095</v>
      </c>
      <c r="C1565" s="116">
        <v>2076.6</v>
      </c>
      <c r="D1565" s="116">
        <v>1965.45</v>
      </c>
      <c r="E1565" s="116">
        <v>1977</v>
      </c>
      <c r="F1565" s="116">
        <v>2076.6</v>
      </c>
      <c r="G1565">
        <v>54367</v>
      </c>
      <c r="H1565" s="116"/>
      <c r="I1565" s="116"/>
      <c r="L1565" s="169">
        <v>44312</v>
      </c>
      <c r="M1565" s="116">
        <v>2076.6</v>
      </c>
      <c r="N1565" s="116">
        <v>2093.8000000000002</v>
      </c>
      <c r="O1565" s="116">
        <v>1964</v>
      </c>
      <c r="P1565" s="116">
        <v>1970.7</v>
      </c>
      <c r="Q1565" s="116">
        <v>2076.6</v>
      </c>
      <c r="R1565">
        <v>466149</v>
      </c>
    </row>
    <row r="1566" spans="1:18" x14ac:dyDescent="0.25">
      <c r="A1566" s="169">
        <v>44313</v>
      </c>
      <c r="B1566" s="116">
        <v>2491.9</v>
      </c>
      <c r="C1566" s="116">
        <v>2480.8000000000002</v>
      </c>
      <c r="D1566" s="116">
        <v>2090.6</v>
      </c>
      <c r="E1566" s="116">
        <v>2108</v>
      </c>
      <c r="F1566" s="116">
        <v>2480.8000000000002</v>
      </c>
      <c r="G1566">
        <v>125632</v>
      </c>
      <c r="H1566" s="116"/>
      <c r="I1566" s="116"/>
      <c r="L1566" s="169">
        <v>44313</v>
      </c>
      <c r="M1566" s="116">
        <v>2479.1</v>
      </c>
      <c r="N1566" s="116">
        <v>2491.9</v>
      </c>
      <c r="O1566" s="116">
        <v>2092.0500000000002</v>
      </c>
      <c r="P1566" s="116">
        <v>2099</v>
      </c>
      <c r="Q1566" s="116">
        <v>2479.1</v>
      </c>
      <c r="R1566">
        <v>2278063</v>
      </c>
    </row>
    <row r="1567" spans="1:18" x14ac:dyDescent="0.25">
      <c r="A1567" s="169">
        <v>44314</v>
      </c>
      <c r="B1567" s="116">
        <v>2674.25</v>
      </c>
      <c r="C1567" s="116">
        <v>2422.9499999999998</v>
      </c>
      <c r="D1567" s="116">
        <v>2362.0500000000002</v>
      </c>
      <c r="E1567" s="116">
        <v>2588</v>
      </c>
      <c r="F1567" s="116">
        <v>2422.9499999999998</v>
      </c>
      <c r="G1567">
        <v>140877</v>
      </c>
      <c r="H1567" s="116"/>
      <c r="I1567" s="116"/>
      <c r="L1567" s="169">
        <v>44314</v>
      </c>
      <c r="M1567" s="116">
        <v>2424.1</v>
      </c>
      <c r="N1567" s="116">
        <v>2673.7</v>
      </c>
      <c r="O1567" s="116">
        <v>2364.35</v>
      </c>
      <c r="P1567" s="116">
        <v>2570</v>
      </c>
      <c r="Q1567" s="116">
        <v>2424.1</v>
      </c>
      <c r="R1567">
        <v>1563219</v>
      </c>
    </row>
    <row r="1568" spans="1:18" x14ac:dyDescent="0.25">
      <c r="A1568" s="169">
        <v>44315</v>
      </c>
      <c r="B1568" s="116">
        <v>2589.6999999999998</v>
      </c>
      <c r="C1568" s="116">
        <v>2532.6999999999998</v>
      </c>
      <c r="D1568" s="116">
        <v>2322.1</v>
      </c>
      <c r="E1568" s="116">
        <v>2444</v>
      </c>
      <c r="F1568" s="116">
        <v>2532.6999999999998</v>
      </c>
      <c r="G1568">
        <v>42543</v>
      </c>
      <c r="H1568" s="116"/>
      <c r="I1568" s="116"/>
      <c r="L1568" s="169">
        <v>44315</v>
      </c>
      <c r="M1568" s="116">
        <v>2536</v>
      </c>
      <c r="N1568" s="116">
        <v>2589.6999999999998</v>
      </c>
      <c r="O1568" s="116">
        <v>2322.6</v>
      </c>
      <c r="P1568" s="116">
        <v>2424.1</v>
      </c>
      <c r="Q1568" s="116">
        <v>2536</v>
      </c>
      <c r="R1568">
        <v>749534</v>
      </c>
    </row>
    <row r="1569" spans="1:18" x14ac:dyDescent="0.25">
      <c r="A1569" s="169">
        <v>44316</v>
      </c>
      <c r="B1569" s="116">
        <v>2664</v>
      </c>
      <c r="C1569" s="116">
        <v>2591.4</v>
      </c>
      <c r="D1569" s="116">
        <v>2462.6999999999998</v>
      </c>
      <c r="E1569" s="116">
        <v>2525</v>
      </c>
      <c r="F1569" s="116">
        <v>2591.4</v>
      </c>
      <c r="G1569">
        <v>35226</v>
      </c>
      <c r="H1569" s="116"/>
      <c r="I1569" s="116"/>
      <c r="L1569" s="169">
        <v>44316</v>
      </c>
      <c r="M1569" s="116">
        <v>2590.0500000000002</v>
      </c>
      <c r="N1569" s="116">
        <v>2664.8</v>
      </c>
      <c r="O1569" s="116">
        <v>2462.85</v>
      </c>
      <c r="P1569" s="116">
        <v>2525</v>
      </c>
      <c r="Q1569" s="116">
        <v>2590.0500000000002</v>
      </c>
      <c r="R1569">
        <v>558300</v>
      </c>
    </row>
    <row r="1570" spans="1:18" x14ac:dyDescent="0.25">
      <c r="A1570" s="169">
        <v>44319</v>
      </c>
      <c r="B1570" s="116">
        <v>2655</v>
      </c>
      <c r="C1570" s="116">
        <v>2596.5500000000002</v>
      </c>
      <c r="D1570" s="116">
        <v>2554</v>
      </c>
      <c r="E1570" s="116">
        <v>2600</v>
      </c>
      <c r="F1570" s="116">
        <v>2596.5500000000002</v>
      </c>
      <c r="G1570">
        <v>24022</v>
      </c>
      <c r="H1570" s="116"/>
      <c r="I1570" s="116"/>
      <c r="L1570" s="169">
        <v>44319</v>
      </c>
      <c r="M1570" s="116">
        <v>2600.8000000000002</v>
      </c>
      <c r="N1570" s="116">
        <v>2655</v>
      </c>
      <c r="O1570" s="116">
        <v>2556.15</v>
      </c>
      <c r="P1570" s="116">
        <v>2595</v>
      </c>
      <c r="Q1570" s="116">
        <v>2600.8000000000002</v>
      </c>
      <c r="R1570">
        <v>241548</v>
      </c>
    </row>
    <row r="1571" spans="1:18" x14ac:dyDescent="0.25">
      <c r="A1571" s="169">
        <v>44320</v>
      </c>
      <c r="B1571" s="116">
        <v>2635.2</v>
      </c>
      <c r="C1571" s="116">
        <v>2500.35</v>
      </c>
      <c r="D1571" s="116">
        <v>2467.5</v>
      </c>
      <c r="E1571" s="116">
        <v>2621.4</v>
      </c>
      <c r="F1571" s="116">
        <v>2500.35</v>
      </c>
      <c r="G1571">
        <v>10256</v>
      </c>
      <c r="H1571" s="116"/>
      <c r="I1571" s="116"/>
      <c r="L1571" s="169">
        <v>44320</v>
      </c>
      <c r="M1571" s="116">
        <v>2499.35</v>
      </c>
      <c r="N1571" s="116">
        <v>2637.85</v>
      </c>
      <c r="O1571" s="116">
        <v>2465.1999999999998</v>
      </c>
      <c r="P1571" s="116">
        <v>2625.25</v>
      </c>
      <c r="Q1571" s="116">
        <v>2499.35</v>
      </c>
      <c r="R1571">
        <v>160426</v>
      </c>
    </row>
    <row r="1572" spans="1:18" x14ac:dyDescent="0.25">
      <c r="A1572" s="169">
        <v>44321</v>
      </c>
      <c r="B1572" s="116">
        <v>2526.35</v>
      </c>
      <c r="C1572" s="116">
        <v>2398.0500000000002</v>
      </c>
      <c r="D1572" s="116">
        <v>2380.75</v>
      </c>
      <c r="E1572" s="116">
        <v>2500.1</v>
      </c>
      <c r="F1572" s="116">
        <v>2398.0500000000002</v>
      </c>
      <c r="G1572">
        <v>22881</v>
      </c>
      <c r="H1572" s="116"/>
      <c r="I1572" s="116"/>
      <c r="L1572" s="169">
        <v>44321</v>
      </c>
      <c r="M1572" s="116">
        <v>2398.6</v>
      </c>
      <c r="N1572" s="116">
        <v>2520</v>
      </c>
      <c r="O1572" s="116">
        <v>2381</v>
      </c>
      <c r="P1572" s="116">
        <v>2520</v>
      </c>
      <c r="Q1572" s="116">
        <v>2398.6</v>
      </c>
      <c r="R1572">
        <v>187365</v>
      </c>
    </row>
    <row r="1573" spans="1:18" x14ac:dyDescent="0.25">
      <c r="A1573" s="169">
        <v>44322</v>
      </c>
      <c r="B1573" s="116">
        <v>2510.15</v>
      </c>
      <c r="C1573" s="116">
        <v>2485.8000000000002</v>
      </c>
      <c r="D1573" s="116">
        <v>2385.0500000000002</v>
      </c>
      <c r="E1573" s="116">
        <v>2419.9</v>
      </c>
      <c r="F1573" s="116">
        <v>2485.8000000000002</v>
      </c>
      <c r="G1573">
        <v>8635</v>
      </c>
      <c r="H1573" s="116"/>
      <c r="I1573" s="116"/>
      <c r="L1573" s="169">
        <v>44322</v>
      </c>
      <c r="M1573" s="116">
        <v>2474.9499999999998</v>
      </c>
      <c r="N1573" s="116">
        <v>2498</v>
      </c>
      <c r="O1573" s="116">
        <v>2382.85</v>
      </c>
      <c r="P1573" s="116">
        <v>2399</v>
      </c>
      <c r="Q1573" s="116">
        <v>2474.9499999999998</v>
      </c>
      <c r="R1573">
        <v>141590</v>
      </c>
    </row>
    <row r="1574" spans="1:18" x14ac:dyDescent="0.25">
      <c r="A1574" s="169">
        <v>44323</v>
      </c>
      <c r="B1574" s="116">
        <v>2505.75</v>
      </c>
      <c r="C1574" s="116">
        <v>2402.4499999999998</v>
      </c>
      <c r="D1574" s="116">
        <v>2396.0500000000002</v>
      </c>
      <c r="E1574" s="116">
        <v>2495</v>
      </c>
      <c r="F1574" s="116">
        <v>2402.4499999999998</v>
      </c>
      <c r="G1574">
        <v>15290</v>
      </c>
      <c r="H1574" s="116"/>
      <c r="I1574" s="116"/>
      <c r="L1574" s="169">
        <v>44323</v>
      </c>
      <c r="M1574" s="116">
        <v>2403.4499999999998</v>
      </c>
      <c r="N1574" s="116">
        <v>2504.8000000000002</v>
      </c>
      <c r="O1574" s="116">
        <v>2397</v>
      </c>
      <c r="P1574" s="116">
        <v>2475</v>
      </c>
      <c r="Q1574" s="116">
        <v>2403.4499999999998</v>
      </c>
      <c r="R1574">
        <v>116929</v>
      </c>
    </row>
    <row r="1575" spans="1:18" x14ac:dyDescent="0.25">
      <c r="A1575" s="169">
        <v>44326</v>
      </c>
      <c r="B1575" s="116">
        <v>2434</v>
      </c>
      <c r="C1575" s="116">
        <v>2338.5500000000002</v>
      </c>
      <c r="D1575" s="116">
        <v>2330.0500000000002</v>
      </c>
      <c r="E1575" s="116">
        <v>2434</v>
      </c>
      <c r="F1575" s="116">
        <v>2338.5500000000002</v>
      </c>
      <c r="G1575">
        <v>10086</v>
      </c>
      <c r="H1575" s="116"/>
      <c r="I1575" s="116"/>
      <c r="L1575" s="169">
        <v>44326</v>
      </c>
      <c r="M1575" s="116">
        <v>2337.8000000000002</v>
      </c>
      <c r="N1575" s="116">
        <v>2426.6999999999998</v>
      </c>
      <c r="O1575" s="116">
        <v>2330</v>
      </c>
      <c r="P1575" s="116">
        <v>2403</v>
      </c>
      <c r="Q1575" s="116">
        <v>2337.8000000000002</v>
      </c>
      <c r="R1575">
        <v>148682</v>
      </c>
    </row>
    <row r="1576" spans="1:18" x14ac:dyDescent="0.25">
      <c r="A1576" s="169">
        <v>44327</v>
      </c>
      <c r="B1576" s="116">
        <v>2444</v>
      </c>
      <c r="C1576" s="116">
        <v>2376.4</v>
      </c>
      <c r="D1576" s="116">
        <v>2316.1</v>
      </c>
      <c r="E1576" s="116">
        <v>2330</v>
      </c>
      <c r="F1576" s="116">
        <v>2376.4</v>
      </c>
      <c r="G1576">
        <v>25505</v>
      </c>
      <c r="H1576" s="116"/>
      <c r="I1576" s="116"/>
      <c r="L1576" s="169">
        <v>44327</v>
      </c>
      <c r="M1576" s="116">
        <v>2375.5</v>
      </c>
      <c r="N1576" s="116">
        <v>2449</v>
      </c>
      <c r="O1576" s="116">
        <v>2307.1</v>
      </c>
      <c r="P1576" s="116">
        <v>2330</v>
      </c>
      <c r="Q1576" s="116">
        <v>2375.5</v>
      </c>
      <c r="R1576">
        <v>169441</v>
      </c>
    </row>
    <row r="1577" spans="1:18" x14ac:dyDescent="0.25">
      <c r="A1577" s="169">
        <v>44328</v>
      </c>
      <c r="B1577" s="116">
        <v>2519.3000000000002</v>
      </c>
      <c r="C1577" s="116">
        <v>2448.1</v>
      </c>
      <c r="D1577" s="116">
        <v>2397.5</v>
      </c>
      <c r="E1577" s="116">
        <v>2421.9499999999998</v>
      </c>
      <c r="F1577" s="116">
        <v>2448.1</v>
      </c>
      <c r="G1577">
        <v>29764</v>
      </c>
      <c r="H1577" s="116"/>
      <c r="I1577" s="116"/>
      <c r="L1577" s="169">
        <v>44328</v>
      </c>
      <c r="M1577" s="116">
        <v>2446.4</v>
      </c>
      <c r="N1577" s="116">
        <v>2519</v>
      </c>
      <c r="O1577" s="116">
        <v>2390.0500000000002</v>
      </c>
      <c r="P1577" s="116">
        <v>2400</v>
      </c>
      <c r="Q1577" s="116">
        <v>2446.4</v>
      </c>
      <c r="R1577">
        <v>203116</v>
      </c>
    </row>
    <row r="1578" spans="1:18" x14ac:dyDescent="0.25">
      <c r="A1578" s="169">
        <v>44330</v>
      </c>
      <c r="B1578" s="116">
        <v>2499</v>
      </c>
      <c r="C1578" s="116">
        <v>2404.15</v>
      </c>
      <c r="D1578" s="116">
        <v>2361.3000000000002</v>
      </c>
      <c r="E1578" s="116">
        <v>2465.9</v>
      </c>
      <c r="F1578" s="116">
        <v>2404.15</v>
      </c>
      <c r="G1578">
        <v>13214</v>
      </c>
      <c r="H1578" s="116"/>
      <c r="I1578" s="116"/>
      <c r="L1578" s="169">
        <v>44330</v>
      </c>
      <c r="M1578" s="116">
        <v>2406.25</v>
      </c>
      <c r="N1578" s="116">
        <v>2473.25</v>
      </c>
      <c r="O1578" s="116">
        <v>2360.1999999999998</v>
      </c>
      <c r="P1578" s="116">
        <v>2467</v>
      </c>
      <c r="Q1578" s="116">
        <v>2406.25</v>
      </c>
      <c r="R1578">
        <v>95562</v>
      </c>
    </row>
    <row r="1579" spans="1:18" x14ac:dyDescent="0.25">
      <c r="A1579" s="169">
        <v>44333</v>
      </c>
      <c r="B1579" s="116">
        <v>2494.9499999999998</v>
      </c>
      <c r="C1579" s="116">
        <v>2482.6</v>
      </c>
      <c r="D1579" s="116">
        <v>2417.5500000000002</v>
      </c>
      <c r="E1579" s="116">
        <v>2429.9499999999998</v>
      </c>
      <c r="F1579" s="116">
        <v>2482.6</v>
      </c>
      <c r="G1579">
        <v>6729</v>
      </c>
      <c r="H1579" s="116"/>
      <c r="I1579" s="116"/>
      <c r="L1579" s="169">
        <v>44333</v>
      </c>
      <c r="M1579" s="116">
        <v>2472.25</v>
      </c>
      <c r="N1579" s="116">
        <v>2491</v>
      </c>
      <c r="O1579" s="116">
        <v>2419.4</v>
      </c>
      <c r="P1579" s="116">
        <v>2419.4</v>
      </c>
      <c r="Q1579" s="116">
        <v>2472.25</v>
      </c>
      <c r="R1579">
        <v>76838</v>
      </c>
    </row>
    <row r="1580" spans="1:18" x14ac:dyDescent="0.25">
      <c r="A1580" s="169">
        <v>44334</v>
      </c>
      <c r="B1580" s="116">
        <v>2648</v>
      </c>
      <c r="C1580" s="116">
        <v>2628</v>
      </c>
      <c r="D1580" s="116">
        <v>2499.15</v>
      </c>
      <c r="E1580" s="116">
        <v>2517</v>
      </c>
      <c r="F1580" s="116">
        <v>2628</v>
      </c>
      <c r="G1580">
        <v>37278</v>
      </c>
      <c r="H1580" s="116"/>
      <c r="I1580" s="116"/>
      <c r="L1580" s="169">
        <v>44334</v>
      </c>
      <c r="M1580" s="116">
        <v>2628.35</v>
      </c>
      <c r="N1580" s="116">
        <v>2649</v>
      </c>
      <c r="O1580" s="116">
        <v>2500</v>
      </c>
      <c r="P1580" s="116">
        <v>2509</v>
      </c>
      <c r="Q1580" s="116">
        <v>2628.35</v>
      </c>
      <c r="R1580">
        <v>279796</v>
      </c>
    </row>
    <row r="1581" spans="1:18" x14ac:dyDescent="0.25">
      <c r="A1581" s="169">
        <v>44335</v>
      </c>
      <c r="B1581" s="116">
        <v>2738</v>
      </c>
      <c r="C1581" s="116">
        <v>2715.7</v>
      </c>
      <c r="D1581" s="116">
        <v>2640</v>
      </c>
      <c r="E1581" s="116">
        <v>2650</v>
      </c>
      <c r="F1581" s="116">
        <v>2715.7</v>
      </c>
      <c r="G1581">
        <v>15339</v>
      </c>
      <c r="H1581" s="116"/>
      <c r="I1581" s="116"/>
      <c r="L1581" s="169">
        <v>44335</v>
      </c>
      <c r="M1581" s="116">
        <v>2713.7</v>
      </c>
      <c r="N1581" s="116">
        <v>2739.9</v>
      </c>
      <c r="O1581" s="116">
        <v>2630</v>
      </c>
      <c r="P1581" s="116">
        <v>2639</v>
      </c>
      <c r="Q1581" s="116">
        <v>2713.7</v>
      </c>
      <c r="R1581">
        <v>258008</v>
      </c>
    </row>
    <row r="1582" spans="1:18" x14ac:dyDescent="0.25">
      <c r="A1582" s="169">
        <v>44336</v>
      </c>
      <c r="B1582" s="116">
        <v>2760</v>
      </c>
      <c r="C1582" s="116">
        <v>2674.8</v>
      </c>
      <c r="D1582" s="116">
        <v>2638</v>
      </c>
      <c r="E1582" s="116">
        <v>2707</v>
      </c>
      <c r="F1582" s="116">
        <v>2674.8</v>
      </c>
      <c r="G1582">
        <v>23611</v>
      </c>
      <c r="H1582" s="116"/>
      <c r="I1582" s="116"/>
      <c r="L1582" s="169">
        <v>44336</v>
      </c>
      <c r="M1582" s="116">
        <v>2676.75</v>
      </c>
      <c r="N1582" s="116">
        <v>2764.95</v>
      </c>
      <c r="O1582" s="116">
        <v>2642</v>
      </c>
      <c r="P1582" s="116">
        <v>2730.8</v>
      </c>
      <c r="Q1582" s="116">
        <v>2676.75</v>
      </c>
      <c r="R1582">
        <v>120072</v>
      </c>
    </row>
    <row r="1583" spans="1:18" x14ac:dyDescent="0.25">
      <c r="A1583" s="169">
        <v>44337</v>
      </c>
      <c r="B1583" s="116">
        <v>2925</v>
      </c>
      <c r="C1583" s="116">
        <v>2806.7</v>
      </c>
      <c r="D1583" s="116">
        <v>2668.55</v>
      </c>
      <c r="E1583" s="116">
        <v>2700</v>
      </c>
      <c r="F1583" s="116">
        <v>2806.7</v>
      </c>
      <c r="G1583">
        <v>39884</v>
      </c>
      <c r="H1583" s="116"/>
      <c r="I1583" s="116"/>
      <c r="L1583" s="169">
        <v>44337</v>
      </c>
      <c r="M1583" s="116">
        <v>2803</v>
      </c>
      <c r="N1583" s="116">
        <v>2926.4</v>
      </c>
      <c r="O1583" s="116">
        <v>2663.45</v>
      </c>
      <c r="P1583" s="116">
        <v>2704.75</v>
      </c>
      <c r="Q1583" s="116">
        <v>2803</v>
      </c>
      <c r="R1583">
        <v>433744</v>
      </c>
    </row>
    <row r="1584" spans="1:18" x14ac:dyDescent="0.25">
      <c r="A1584" s="169">
        <v>44340</v>
      </c>
      <c r="B1584" s="116">
        <v>2942.75</v>
      </c>
      <c r="C1584" s="116">
        <v>2893.45</v>
      </c>
      <c r="D1584" s="116">
        <v>2835.5</v>
      </c>
      <c r="E1584" s="116">
        <v>2859.9</v>
      </c>
      <c r="F1584" s="116">
        <v>2893.45</v>
      </c>
      <c r="G1584">
        <v>34018</v>
      </c>
      <c r="H1584" s="116"/>
      <c r="I1584" s="116"/>
      <c r="L1584" s="169">
        <v>44340</v>
      </c>
      <c r="M1584" s="116">
        <v>2893.9</v>
      </c>
      <c r="N1584" s="116">
        <v>2944</v>
      </c>
      <c r="O1584" s="116">
        <v>2834</v>
      </c>
      <c r="P1584" s="116">
        <v>2834</v>
      </c>
      <c r="Q1584" s="116">
        <v>2893.9</v>
      </c>
      <c r="R1584">
        <v>235502</v>
      </c>
    </row>
    <row r="1585" spans="1:18" x14ac:dyDescent="0.25">
      <c r="A1585" s="169">
        <v>44341</v>
      </c>
      <c r="B1585" s="116">
        <v>2959.95</v>
      </c>
      <c r="C1585" s="116">
        <v>2796.65</v>
      </c>
      <c r="D1585" s="116">
        <v>2714</v>
      </c>
      <c r="E1585" s="116">
        <v>2809.95</v>
      </c>
      <c r="F1585" s="116">
        <v>2796.65</v>
      </c>
      <c r="G1585">
        <v>28164</v>
      </c>
      <c r="H1585" s="116"/>
      <c r="I1585" s="116"/>
      <c r="L1585" s="169">
        <v>44341</v>
      </c>
      <c r="M1585" s="116">
        <v>2794.7</v>
      </c>
      <c r="N1585" s="116">
        <v>2957.8</v>
      </c>
      <c r="O1585" s="116">
        <v>2711</v>
      </c>
      <c r="P1585" s="116">
        <v>2790</v>
      </c>
      <c r="Q1585" s="116">
        <v>2794.7</v>
      </c>
      <c r="R1585">
        <v>481158</v>
      </c>
    </row>
    <row r="1586" spans="1:18" x14ac:dyDescent="0.25">
      <c r="A1586" s="169">
        <v>44342</v>
      </c>
      <c r="B1586" s="116">
        <v>2863</v>
      </c>
      <c r="C1586" s="116">
        <v>2778.35</v>
      </c>
      <c r="D1586" s="116">
        <v>2761</v>
      </c>
      <c r="E1586" s="116">
        <v>2825</v>
      </c>
      <c r="F1586" s="116">
        <v>2778.35</v>
      </c>
      <c r="G1586">
        <v>18245</v>
      </c>
      <c r="H1586" s="116"/>
      <c r="I1586" s="116"/>
      <c r="L1586" s="169">
        <v>44342</v>
      </c>
      <c r="M1586" s="116">
        <v>2777.8</v>
      </c>
      <c r="N1586" s="116">
        <v>2863.25</v>
      </c>
      <c r="O1586" s="116">
        <v>2761.1</v>
      </c>
      <c r="P1586" s="116">
        <v>2847.8</v>
      </c>
      <c r="Q1586" s="116">
        <v>2777.8</v>
      </c>
      <c r="R1586">
        <v>113396</v>
      </c>
    </row>
    <row r="1587" spans="1:18" x14ac:dyDescent="0.25">
      <c r="A1587" s="169">
        <v>44343</v>
      </c>
      <c r="B1587" s="116">
        <v>2920</v>
      </c>
      <c r="C1587" s="116">
        <v>2899.1</v>
      </c>
      <c r="D1587" s="116">
        <v>2776.85</v>
      </c>
      <c r="E1587" s="116">
        <v>2800</v>
      </c>
      <c r="F1587" s="116">
        <v>2899.1</v>
      </c>
      <c r="G1587">
        <v>30101</v>
      </c>
      <c r="H1587" s="116"/>
      <c r="I1587" s="116"/>
      <c r="L1587" s="169">
        <v>44343</v>
      </c>
      <c r="M1587" s="116">
        <v>2896.05</v>
      </c>
      <c r="N1587" s="116">
        <v>2920</v>
      </c>
      <c r="O1587" s="116">
        <v>2780</v>
      </c>
      <c r="P1587" s="116">
        <v>2800</v>
      </c>
      <c r="Q1587" s="116">
        <v>2896.05</v>
      </c>
      <c r="R1587">
        <v>323498</v>
      </c>
    </row>
    <row r="1588" spans="1:18" x14ac:dyDescent="0.25">
      <c r="A1588" s="169">
        <v>44344</v>
      </c>
      <c r="B1588" s="116">
        <v>2937.4</v>
      </c>
      <c r="C1588" s="116">
        <v>2848.6</v>
      </c>
      <c r="D1588" s="116">
        <v>2832</v>
      </c>
      <c r="E1588" s="116">
        <v>2919.8</v>
      </c>
      <c r="F1588" s="116">
        <v>2848.6</v>
      </c>
      <c r="G1588">
        <v>23001</v>
      </c>
      <c r="H1588" s="116"/>
      <c r="I1588" s="116"/>
      <c r="L1588" s="169">
        <v>44344</v>
      </c>
      <c r="M1588" s="116">
        <v>2846.55</v>
      </c>
      <c r="N1588" s="116">
        <v>2934.85</v>
      </c>
      <c r="O1588" s="116">
        <v>2835</v>
      </c>
      <c r="P1588" s="116">
        <v>2916.95</v>
      </c>
      <c r="Q1588" s="116">
        <v>2846.55</v>
      </c>
      <c r="R1588">
        <v>96027</v>
      </c>
    </row>
    <row r="1589" spans="1:18" x14ac:dyDescent="0.25">
      <c r="A1589" s="169">
        <v>44347</v>
      </c>
      <c r="B1589" s="116">
        <v>2879.95</v>
      </c>
      <c r="C1589" s="116">
        <v>2804.2</v>
      </c>
      <c r="D1589" s="116">
        <v>2785</v>
      </c>
      <c r="E1589" s="116">
        <v>2848.55</v>
      </c>
      <c r="F1589" s="116">
        <v>2804.2</v>
      </c>
      <c r="G1589">
        <v>15657</v>
      </c>
      <c r="H1589" s="116"/>
      <c r="I1589" s="116"/>
      <c r="L1589" s="169">
        <v>44347</v>
      </c>
      <c r="M1589" s="116">
        <v>2807.65</v>
      </c>
      <c r="N1589" s="116">
        <v>2879.4</v>
      </c>
      <c r="O1589" s="116">
        <v>2800</v>
      </c>
      <c r="P1589" s="116">
        <v>2849.8</v>
      </c>
      <c r="Q1589" s="116">
        <v>2807.65</v>
      </c>
      <c r="R1589">
        <v>76243</v>
      </c>
    </row>
    <row r="1590" spans="1:18" x14ac:dyDescent="0.25">
      <c r="A1590" s="169">
        <v>44348</v>
      </c>
      <c r="B1590" s="116">
        <v>2828.2</v>
      </c>
      <c r="C1590" s="116">
        <v>2737.2</v>
      </c>
      <c r="D1590" s="116">
        <v>2720</v>
      </c>
      <c r="E1590" s="116">
        <v>2815</v>
      </c>
      <c r="F1590" s="116">
        <v>2737.2</v>
      </c>
      <c r="G1590">
        <v>8721</v>
      </c>
      <c r="H1590" s="116"/>
      <c r="I1590" s="116"/>
      <c r="L1590" s="169">
        <v>44348</v>
      </c>
      <c r="M1590" s="116">
        <v>2736.8</v>
      </c>
      <c r="N1590" s="116">
        <v>2828.2</v>
      </c>
      <c r="O1590" s="116">
        <v>2718.25</v>
      </c>
      <c r="P1590" s="116">
        <v>2814.05</v>
      </c>
      <c r="Q1590" s="116">
        <v>2736.8</v>
      </c>
      <c r="R1590">
        <v>91895</v>
      </c>
    </row>
    <row r="1591" spans="1:18" x14ac:dyDescent="0.25">
      <c r="A1591" s="169">
        <v>44349</v>
      </c>
      <c r="B1591" s="116">
        <v>2752</v>
      </c>
      <c r="C1591" s="116">
        <v>2663.55</v>
      </c>
      <c r="D1591" s="116">
        <v>2647.75</v>
      </c>
      <c r="E1591" s="116">
        <v>2723.05</v>
      </c>
      <c r="F1591" s="116">
        <v>2663.55</v>
      </c>
      <c r="G1591">
        <v>21730</v>
      </c>
      <c r="H1591" s="116"/>
      <c r="I1591" s="116"/>
      <c r="L1591" s="169">
        <v>44349</v>
      </c>
      <c r="M1591" s="116">
        <v>2662.6</v>
      </c>
      <c r="N1591" s="116">
        <v>2749.9</v>
      </c>
      <c r="O1591" s="116">
        <v>2645</v>
      </c>
      <c r="P1591" s="116">
        <v>2705</v>
      </c>
      <c r="Q1591" s="116">
        <v>2662.6</v>
      </c>
      <c r="R1591">
        <v>143779</v>
      </c>
    </row>
    <row r="1592" spans="1:18" x14ac:dyDescent="0.25">
      <c r="A1592" s="169">
        <v>44350</v>
      </c>
      <c r="B1592" s="116">
        <v>2735</v>
      </c>
      <c r="C1592" s="116">
        <v>2700.55</v>
      </c>
      <c r="D1592" s="116">
        <v>2668.35</v>
      </c>
      <c r="E1592" s="116">
        <v>2675</v>
      </c>
      <c r="F1592" s="116">
        <v>2700.55</v>
      </c>
      <c r="G1592">
        <v>11955</v>
      </c>
      <c r="H1592" s="116"/>
      <c r="I1592" s="116"/>
      <c r="L1592" s="169">
        <v>44350</v>
      </c>
      <c r="M1592" s="116">
        <v>2700.6</v>
      </c>
      <c r="N1592" s="116">
        <v>2738</v>
      </c>
      <c r="O1592" s="116">
        <v>2668</v>
      </c>
      <c r="P1592" s="116">
        <v>2686</v>
      </c>
      <c r="Q1592" s="116">
        <v>2700.6</v>
      </c>
      <c r="R1592">
        <v>75708</v>
      </c>
    </row>
    <row r="1593" spans="1:18" x14ac:dyDescent="0.25">
      <c r="A1593" s="169">
        <v>44351</v>
      </c>
      <c r="B1593" s="116">
        <v>2738.4</v>
      </c>
      <c r="C1593" s="116">
        <v>2698.3</v>
      </c>
      <c r="D1593" s="116">
        <v>2681.75</v>
      </c>
      <c r="E1593" s="116">
        <v>2705</v>
      </c>
      <c r="F1593" s="116">
        <v>2698.3</v>
      </c>
      <c r="G1593">
        <v>2693</v>
      </c>
      <c r="H1593" s="116"/>
      <c r="I1593" s="116"/>
      <c r="L1593" s="169">
        <v>44351</v>
      </c>
      <c r="M1593" s="116">
        <v>2701.15</v>
      </c>
      <c r="N1593" s="116">
        <v>2738</v>
      </c>
      <c r="O1593" s="116">
        <v>2683</v>
      </c>
      <c r="P1593" s="116">
        <v>2714</v>
      </c>
      <c r="Q1593" s="116">
        <v>2701.15</v>
      </c>
      <c r="R1593">
        <v>58827</v>
      </c>
    </row>
    <row r="1594" spans="1:18" x14ac:dyDescent="0.25">
      <c r="A1594" s="169">
        <v>44354</v>
      </c>
      <c r="B1594" s="116">
        <v>2721.95</v>
      </c>
      <c r="C1594" s="116">
        <v>2661.55</v>
      </c>
      <c r="D1594" s="116">
        <v>2655.6</v>
      </c>
      <c r="E1594" s="116">
        <v>2720</v>
      </c>
      <c r="F1594" s="116">
        <v>2661.55</v>
      </c>
      <c r="G1594">
        <v>6022</v>
      </c>
      <c r="H1594" s="116"/>
      <c r="I1594" s="116"/>
      <c r="L1594" s="169">
        <v>44354</v>
      </c>
      <c r="M1594" s="116">
        <v>2662.4</v>
      </c>
      <c r="N1594" s="116">
        <v>2721.7</v>
      </c>
      <c r="O1594" s="116">
        <v>2657.95</v>
      </c>
      <c r="P1594" s="116">
        <v>2720</v>
      </c>
      <c r="Q1594" s="116">
        <v>2662.4</v>
      </c>
      <c r="R1594">
        <v>71647</v>
      </c>
    </row>
    <row r="1595" spans="1:18" x14ac:dyDescent="0.25">
      <c r="A1595" s="169">
        <v>44355</v>
      </c>
      <c r="B1595" s="116">
        <v>2744.55</v>
      </c>
      <c r="C1595" s="116">
        <v>2719.5</v>
      </c>
      <c r="D1595" s="116">
        <v>2668.5</v>
      </c>
      <c r="E1595" s="116">
        <v>2668.55</v>
      </c>
      <c r="F1595" s="116">
        <v>2719.5</v>
      </c>
      <c r="G1595">
        <v>7554</v>
      </c>
      <c r="H1595" s="116"/>
      <c r="I1595" s="116"/>
      <c r="L1595" s="169">
        <v>44355</v>
      </c>
      <c r="M1595" s="116">
        <v>2720.2</v>
      </c>
      <c r="N1595" s="116">
        <v>2743.95</v>
      </c>
      <c r="O1595" s="116">
        <v>2665</v>
      </c>
      <c r="P1595" s="116">
        <v>2665</v>
      </c>
      <c r="Q1595" s="116">
        <v>2720.2</v>
      </c>
      <c r="R1595">
        <v>123604</v>
      </c>
    </row>
    <row r="1596" spans="1:18" x14ac:dyDescent="0.25">
      <c r="A1596" s="169">
        <v>44356</v>
      </c>
      <c r="B1596" s="116">
        <v>2803.35</v>
      </c>
      <c r="C1596" s="116">
        <v>2684.65</v>
      </c>
      <c r="D1596" s="116">
        <v>2670</v>
      </c>
      <c r="E1596" s="116">
        <v>2720</v>
      </c>
      <c r="F1596" s="116">
        <v>2684.65</v>
      </c>
      <c r="G1596">
        <v>8714</v>
      </c>
      <c r="H1596" s="116"/>
      <c r="I1596" s="116"/>
      <c r="L1596" s="169">
        <v>44356</v>
      </c>
      <c r="M1596" s="116">
        <v>2685.65</v>
      </c>
      <c r="N1596" s="116">
        <v>2806</v>
      </c>
      <c r="O1596" s="116">
        <v>2667</v>
      </c>
      <c r="P1596" s="116">
        <v>2738</v>
      </c>
      <c r="Q1596" s="116">
        <v>2685.65</v>
      </c>
      <c r="R1596">
        <v>148451</v>
      </c>
    </row>
    <row r="1597" spans="1:18" x14ac:dyDescent="0.25">
      <c r="A1597" s="169">
        <v>44357</v>
      </c>
      <c r="B1597" s="116">
        <v>2732.6</v>
      </c>
      <c r="C1597" s="116">
        <v>2698.2</v>
      </c>
      <c r="D1597" s="116">
        <v>2694.05</v>
      </c>
      <c r="E1597" s="116">
        <v>2709.4</v>
      </c>
      <c r="F1597" s="116">
        <v>2698.2</v>
      </c>
      <c r="G1597">
        <v>2352</v>
      </c>
      <c r="H1597" s="116"/>
      <c r="I1597" s="116"/>
      <c r="L1597" s="169">
        <v>44357</v>
      </c>
      <c r="M1597" s="116">
        <v>2699</v>
      </c>
      <c r="N1597" s="116">
        <v>2732.25</v>
      </c>
      <c r="O1597" s="116">
        <v>2690.9</v>
      </c>
      <c r="P1597" s="116">
        <v>2690.9</v>
      </c>
      <c r="Q1597" s="116">
        <v>2699</v>
      </c>
      <c r="R1597">
        <v>34288</v>
      </c>
    </row>
    <row r="1598" spans="1:18" x14ac:dyDescent="0.25">
      <c r="A1598" s="169">
        <v>44358</v>
      </c>
      <c r="B1598" s="116">
        <v>2745.25</v>
      </c>
      <c r="C1598" s="116">
        <v>2700</v>
      </c>
      <c r="D1598" s="116">
        <v>2685</v>
      </c>
      <c r="E1598" s="116">
        <v>2725.3</v>
      </c>
      <c r="F1598" s="116">
        <v>2700</v>
      </c>
      <c r="G1598">
        <v>3739</v>
      </c>
      <c r="H1598" s="116"/>
      <c r="I1598" s="116"/>
      <c r="L1598" s="169">
        <v>44358</v>
      </c>
      <c r="M1598" s="116">
        <v>2700.6</v>
      </c>
      <c r="N1598" s="116">
        <v>2746.85</v>
      </c>
      <c r="O1598" s="116">
        <v>2683</v>
      </c>
      <c r="P1598" s="116">
        <v>2723.9</v>
      </c>
      <c r="Q1598" s="116">
        <v>2700.6</v>
      </c>
      <c r="R1598">
        <v>42862</v>
      </c>
    </row>
    <row r="1599" spans="1:18" x14ac:dyDescent="0.25">
      <c r="A1599" s="169">
        <v>44361</v>
      </c>
      <c r="B1599" s="116">
        <v>2718.75</v>
      </c>
      <c r="C1599" s="116">
        <v>2664.2</v>
      </c>
      <c r="D1599" s="116">
        <v>2610.0500000000002</v>
      </c>
      <c r="E1599" s="116">
        <v>2703</v>
      </c>
      <c r="F1599" s="116">
        <v>2664.2</v>
      </c>
      <c r="G1599">
        <v>5881</v>
      </c>
      <c r="H1599" s="116"/>
      <c r="I1599" s="116"/>
      <c r="L1599" s="169">
        <v>44361</v>
      </c>
      <c r="M1599" s="116">
        <v>2664.2</v>
      </c>
      <c r="N1599" s="116">
        <v>2719</v>
      </c>
      <c r="O1599" s="116">
        <v>2608.4</v>
      </c>
      <c r="P1599" s="116">
        <v>2690</v>
      </c>
      <c r="Q1599" s="116">
        <v>2664.2</v>
      </c>
      <c r="R1599">
        <v>70389</v>
      </c>
    </row>
    <row r="1600" spans="1:18" x14ac:dyDescent="0.25">
      <c r="A1600" s="169">
        <v>44362</v>
      </c>
      <c r="B1600" s="116">
        <v>2731.75</v>
      </c>
      <c r="C1600" s="116">
        <v>2677</v>
      </c>
      <c r="D1600" s="116">
        <v>2658.6</v>
      </c>
      <c r="E1600" s="116">
        <v>2678.95</v>
      </c>
      <c r="F1600" s="116">
        <v>2677</v>
      </c>
      <c r="G1600">
        <v>11075</v>
      </c>
      <c r="H1600" s="116"/>
      <c r="I1600" s="116"/>
      <c r="L1600" s="169">
        <v>44362</v>
      </c>
      <c r="M1600" s="116">
        <v>2671.05</v>
      </c>
      <c r="N1600" s="116">
        <v>2730</v>
      </c>
      <c r="O1600" s="116">
        <v>2648.7</v>
      </c>
      <c r="P1600" s="116">
        <v>2679.2</v>
      </c>
      <c r="Q1600" s="116">
        <v>2671.05</v>
      </c>
      <c r="R1600">
        <v>60292</v>
      </c>
    </row>
    <row r="1601" spans="1:18" x14ac:dyDescent="0.25">
      <c r="A1601" s="169">
        <v>44363</v>
      </c>
      <c r="B1601" s="116">
        <v>2715</v>
      </c>
      <c r="C1601" s="116">
        <v>2652.35</v>
      </c>
      <c r="D1601" s="116">
        <v>2640.05</v>
      </c>
      <c r="E1601" s="116">
        <v>2660.05</v>
      </c>
      <c r="F1601" s="116">
        <v>2652.35</v>
      </c>
      <c r="G1601">
        <v>6783</v>
      </c>
      <c r="H1601" s="116"/>
      <c r="I1601" s="116"/>
      <c r="L1601" s="169">
        <v>44363</v>
      </c>
      <c r="M1601" s="116">
        <v>2650.95</v>
      </c>
      <c r="N1601" s="116">
        <v>2717</v>
      </c>
      <c r="O1601" s="116">
        <v>2642</v>
      </c>
      <c r="P1601" s="116">
        <v>2675</v>
      </c>
      <c r="Q1601" s="116">
        <v>2650.95</v>
      </c>
      <c r="R1601">
        <v>41794</v>
      </c>
    </row>
    <row r="1602" spans="1:18" x14ac:dyDescent="0.25">
      <c r="A1602" s="169">
        <v>44364</v>
      </c>
      <c r="B1602" s="116">
        <v>2676.9</v>
      </c>
      <c r="C1602" s="116">
        <v>2620.15</v>
      </c>
      <c r="D1602" s="116">
        <v>2615</v>
      </c>
      <c r="E1602" s="116">
        <v>2615</v>
      </c>
      <c r="F1602" s="116">
        <v>2620.15</v>
      </c>
      <c r="G1602">
        <v>12433</v>
      </c>
      <c r="H1602" s="116"/>
      <c r="I1602" s="116"/>
      <c r="L1602" s="169">
        <v>44364</v>
      </c>
      <c r="M1602" s="116">
        <v>2621.55</v>
      </c>
      <c r="N1602" s="116">
        <v>2680</v>
      </c>
      <c r="O1602" s="116">
        <v>2616.65</v>
      </c>
      <c r="P1602" s="116">
        <v>2638</v>
      </c>
      <c r="Q1602" s="116">
        <v>2621.55</v>
      </c>
      <c r="R1602">
        <v>37680</v>
      </c>
    </row>
    <row r="1603" spans="1:18" x14ac:dyDescent="0.25">
      <c r="A1603" s="169">
        <v>44365</v>
      </c>
      <c r="B1603" s="116">
        <v>2670</v>
      </c>
      <c r="C1603" s="116">
        <v>2576.0500000000002</v>
      </c>
      <c r="D1603" s="116">
        <v>2451.35</v>
      </c>
      <c r="E1603" s="116">
        <v>2670</v>
      </c>
      <c r="F1603" s="116">
        <v>2576.0500000000002</v>
      </c>
      <c r="G1603">
        <v>9977</v>
      </c>
      <c r="H1603" s="116"/>
      <c r="I1603" s="116"/>
      <c r="L1603" s="169">
        <v>44365</v>
      </c>
      <c r="M1603" s="116">
        <v>2575.65</v>
      </c>
      <c r="N1603" s="116">
        <v>2653.3</v>
      </c>
      <c r="O1603" s="116">
        <v>2451.6999999999998</v>
      </c>
      <c r="P1603" s="116">
        <v>2634.8</v>
      </c>
      <c r="Q1603" s="116">
        <v>2575.65</v>
      </c>
      <c r="R1603">
        <v>92218</v>
      </c>
    </row>
    <row r="1604" spans="1:18" x14ac:dyDescent="0.25">
      <c r="A1604" s="169">
        <v>44368</v>
      </c>
      <c r="B1604" s="116">
        <v>2566.85</v>
      </c>
      <c r="C1604" s="116">
        <v>2527.4</v>
      </c>
      <c r="D1604" s="116">
        <v>2494.85</v>
      </c>
      <c r="E1604" s="116">
        <v>2527.65</v>
      </c>
      <c r="F1604" s="116">
        <v>2527.4</v>
      </c>
      <c r="G1604">
        <v>10411</v>
      </c>
      <c r="H1604" s="116"/>
      <c r="I1604" s="116"/>
      <c r="L1604" s="169">
        <v>44368</v>
      </c>
      <c r="M1604" s="116">
        <v>2525.4</v>
      </c>
      <c r="N1604" s="116">
        <v>2568</v>
      </c>
      <c r="O1604" s="116">
        <v>2495</v>
      </c>
      <c r="P1604" s="116">
        <v>2550</v>
      </c>
      <c r="Q1604" s="116">
        <v>2525.4</v>
      </c>
      <c r="R1604">
        <v>68149</v>
      </c>
    </row>
    <row r="1605" spans="1:18" x14ac:dyDescent="0.25">
      <c r="A1605" s="169">
        <v>44369</v>
      </c>
      <c r="B1605" s="116">
        <v>2632.25</v>
      </c>
      <c r="C1605" s="116">
        <v>2582.75</v>
      </c>
      <c r="D1605" s="116">
        <v>2540.6</v>
      </c>
      <c r="E1605" s="116">
        <v>2549.8000000000002</v>
      </c>
      <c r="F1605" s="116">
        <v>2582.75</v>
      </c>
      <c r="G1605">
        <v>8439</v>
      </c>
      <c r="H1605" s="116"/>
      <c r="I1605" s="116"/>
      <c r="L1605" s="169">
        <v>44369</v>
      </c>
      <c r="M1605" s="116">
        <v>2585.8000000000002</v>
      </c>
      <c r="N1605" s="116">
        <v>2632.65</v>
      </c>
      <c r="O1605" s="116">
        <v>2540</v>
      </c>
      <c r="P1605" s="116">
        <v>2544</v>
      </c>
      <c r="Q1605" s="116">
        <v>2585.8000000000002</v>
      </c>
      <c r="R1605">
        <v>48470</v>
      </c>
    </row>
    <row r="1606" spans="1:18" x14ac:dyDescent="0.25">
      <c r="A1606" s="169">
        <v>44370</v>
      </c>
      <c r="B1606" s="116">
        <v>2629.95</v>
      </c>
      <c r="C1606" s="116">
        <v>2574.75</v>
      </c>
      <c r="D1606" s="116">
        <v>2543.1999999999998</v>
      </c>
      <c r="E1606" s="116">
        <v>2615</v>
      </c>
      <c r="F1606" s="116">
        <v>2574.75</v>
      </c>
      <c r="G1606">
        <v>4740</v>
      </c>
      <c r="H1606" s="116"/>
      <c r="I1606" s="116"/>
      <c r="L1606" s="169">
        <v>44370</v>
      </c>
      <c r="M1606" s="116">
        <v>2578.0500000000002</v>
      </c>
      <c r="N1606" s="116">
        <v>2630</v>
      </c>
      <c r="O1606" s="116">
        <v>2541.5</v>
      </c>
      <c r="P1606" s="116">
        <v>2599.9</v>
      </c>
      <c r="Q1606" s="116">
        <v>2578.0500000000002</v>
      </c>
      <c r="R1606">
        <v>49447</v>
      </c>
    </row>
    <row r="1607" spans="1:18" x14ac:dyDescent="0.25">
      <c r="A1607" s="169">
        <v>44371</v>
      </c>
      <c r="B1607" s="116">
        <v>2600</v>
      </c>
      <c r="C1607" s="116">
        <v>2544.4499999999998</v>
      </c>
      <c r="D1607" s="116">
        <v>2534</v>
      </c>
      <c r="E1607" s="116">
        <v>2598</v>
      </c>
      <c r="F1607" s="116">
        <v>2544.4499999999998</v>
      </c>
      <c r="G1607">
        <v>4892</v>
      </c>
      <c r="H1607" s="116"/>
      <c r="I1607" s="116"/>
      <c r="L1607" s="169">
        <v>44371</v>
      </c>
      <c r="M1607" s="116">
        <v>2543.5</v>
      </c>
      <c r="N1607" s="116">
        <v>2604.85</v>
      </c>
      <c r="O1607" s="116">
        <v>2538.1999999999998</v>
      </c>
      <c r="P1607" s="116">
        <v>2595</v>
      </c>
      <c r="Q1607" s="116">
        <v>2543.5</v>
      </c>
      <c r="R1607">
        <v>35251</v>
      </c>
    </row>
    <row r="1608" spans="1:18" x14ac:dyDescent="0.25">
      <c r="A1608" s="169">
        <v>44372</v>
      </c>
      <c r="B1608" s="116">
        <v>2765.25</v>
      </c>
      <c r="C1608" s="116">
        <v>2691.15</v>
      </c>
      <c r="D1608" s="116">
        <v>2550</v>
      </c>
      <c r="E1608" s="116">
        <v>2553.6999999999998</v>
      </c>
      <c r="F1608" s="116">
        <v>2691.15</v>
      </c>
      <c r="G1608">
        <v>26123</v>
      </c>
      <c r="H1608" s="116"/>
      <c r="I1608" s="116"/>
      <c r="L1608" s="169">
        <v>44372</v>
      </c>
      <c r="M1608" s="116">
        <v>2691.6</v>
      </c>
      <c r="N1608" s="116">
        <v>2766</v>
      </c>
      <c r="O1608" s="116">
        <v>2545.4499999999998</v>
      </c>
      <c r="P1608" s="116">
        <v>2547.8000000000002</v>
      </c>
      <c r="Q1608" s="116">
        <v>2691.6</v>
      </c>
      <c r="R1608">
        <v>137730</v>
      </c>
    </row>
    <row r="1609" spans="1:18" x14ac:dyDescent="0.25">
      <c r="A1609" s="169">
        <v>44375</v>
      </c>
      <c r="B1609" s="116">
        <v>2754.15</v>
      </c>
      <c r="C1609" s="116">
        <v>2700.35</v>
      </c>
      <c r="D1609" s="116">
        <v>2662.2</v>
      </c>
      <c r="E1609" s="116">
        <v>2719</v>
      </c>
      <c r="F1609" s="116">
        <v>2700.35</v>
      </c>
      <c r="G1609">
        <v>7362</v>
      </c>
      <c r="H1609" s="116"/>
      <c r="I1609" s="116"/>
      <c r="L1609" s="169">
        <v>44375</v>
      </c>
      <c r="M1609" s="116">
        <v>2701.25</v>
      </c>
      <c r="N1609" s="116">
        <v>2757.75</v>
      </c>
      <c r="O1609" s="116">
        <v>2661.8</v>
      </c>
      <c r="P1609" s="116">
        <v>2708</v>
      </c>
      <c r="Q1609" s="116">
        <v>2701.25</v>
      </c>
      <c r="R1609">
        <v>90779</v>
      </c>
    </row>
    <row r="1610" spans="1:18" x14ac:dyDescent="0.25">
      <c r="A1610" s="169">
        <v>44376</v>
      </c>
      <c r="B1610" s="116">
        <v>2736</v>
      </c>
      <c r="C1610" s="116">
        <v>2673.35</v>
      </c>
      <c r="D1610" s="116">
        <v>2642.05</v>
      </c>
      <c r="E1610" s="116">
        <v>2702</v>
      </c>
      <c r="F1610" s="116">
        <v>2673.35</v>
      </c>
      <c r="G1610">
        <v>4661</v>
      </c>
      <c r="H1610" s="116"/>
      <c r="I1610" s="116"/>
      <c r="L1610" s="169">
        <v>44376</v>
      </c>
      <c r="M1610" s="116">
        <v>2670.25</v>
      </c>
      <c r="N1610" s="116">
        <v>2737.25</v>
      </c>
      <c r="O1610" s="116">
        <v>2642</v>
      </c>
      <c r="P1610" s="116">
        <v>2706</v>
      </c>
      <c r="Q1610" s="116">
        <v>2670.25</v>
      </c>
      <c r="R1610">
        <v>59273</v>
      </c>
    </row>
    <row r="1611" spans="1:18" x14ac:dyDescent="0.25">
      <c r="A1611" s="169">
        <v>44377</v>
      </c>
      <c r="B1611" s="116">
        <v>2700.6</v>
      </c>
      <c r="C1611" s="116">
        <v>2666.85</v>
      </c>
      <c r="D1611" s="116">
        <v>2641</v>
      </c>
      <c r="E1611" s="116">
        <v>2666.1</v>
      </c>
      <c r="F1611" s="116">
        <v>2666.85</v>
      </c>
      <c r="G1611">
        <v>10289</v>
      </c>
      <c r="H1611" s="116"/>
      <c r="I1611" s="116"/>
      <c r="L1611" s="169">
        <v>44377</v>
      </c>
      <c r="M1611" s="116">
        <v>2673.8</v>
      </c>
      <c r="N1611" s="116">
        <v>2701.1</v>
      </c>
      <c r="O1611" s="116">
        <v>2651</v>
      </c>
      <c r="P1611" s="116">
        <v>2678.9</v>
      </c>
      <c r="Q1611" s="116">
        <v>2673.8</v>
      </c>
      <c r="R1611">
        <v>45189</v>
      </c>
    </row>
    <row r="1612" spans="1:18" x14ac:dyDescent="0.25">
      <c r="A1612" s="169">
        <v>44378</v>
      </c>
      <c r="B1612" s="116">
        <v>2826.95</v>
      </c>
      <c r="C1612" s="116">
        <v>2800.4</v>
      </c>
      <c r="D1612" s="116">
        <v>2672.6</v>
      </c>
      <c r="E1612" s="116">
        <v>2720</v>
      </c>
      <c r="F1612" s="116">
        <v>2800.4</v>
      </c>
      <c r="G1612">
        <v>14481</v>
      </c>
      <c r="H1612" s="116"/>
      <c r="I1612" s="116"/>
      <c r="L1612" s="169">
        <v>44378</v>
      </c>
      <c r="M1612" s="116">
        <v>2804.4</v>
      </c>
      <c r="N1612" s="116">
        <v>2829</v>
      </c>
      <c r="O1612" s="116">
        <v>2670</v>
      </c>
      <c r="P1612" s="116">
        <v>2695</v>
      </c>
      <c r="Q1612" s="116">
        <v>2804.4</v>
      </c>
      <c r="R1612">
        <v>235637</v>
      </c>
    </row>
    <row r="1613" spans="1:18" x14ac:dyDescent="0.25">
      <c r="A1613" s="169">
        <v>44379</v>
      </c>
      <c r="B1613" s="116">
        <v>2854.9</v>
      </c>
      <c r="C1613" s="116">
        <v>2792.75</v>
      </c>
      <c r="D1613" s="116">
        <v>2762.1</v>
      </c>
      <c r="E1613" s="116">
        <v>2815</v>
      </c>
      <c r="F1613" s="116">
        <v>2792.75</v>
      </c>
      <c r="G1613">
        <v>6614</v>
      </c>
      <c r="H1613" s="116"/>
      <c r="I1613" s="116"/>
      <c r="L1613" s="169">
        <v>44379</v>
      </c>
      <c r="M1613" s="116">
        <v>2785.15</v>
      </c>
      <c r="N1613" s="116">
        <v>2855</v>
      </c>
      <c r="O1613" s="116">
        <v>2760.15</v>
      </c>
      <c r="P1613" s="116">
        <v>2821</v>
      </c>
      <c r="Q1613" s="116">
        <v>2785.15</v>
      </c>
      <c r="R1613">
        <v>106232</v>
      </c>
    </row>
    <row r="1614" spans="1:18" x14ac:dyDescent="0.25">
      <c r="A1614" s="169">
        <v>44382</v>
      </c>
      <c r="B1614" s="116">
        <v>2854.1</v>
      </c>
      <c r="C1614" s="116">
        <v>2816.8</v>
      </c>
      <c r="D1614" s="116">
        <v>2798.1</v>
      </c>
      <c r="E1614" s="116">
        <v>2800</v>
      </c>
      <c r="F1614" s="116">
        <v>2816.8</v>
      </c>
      <c r="G1614">
        <v>8519</v>
      </c>
      <c r="H1614" s="116"/>
      <c r="I1614" s="116"/>
      <c r="L1614" s="169">
        <v>44382</v>
      </c>
      <c r="M1614" s="116">
        <v>2818</v>
      </c>
      <c r="N1614" s="116">
        <v>2855.05</v>
      </c>
      <c r="O1614" s="116">
        <v>2796</v>
      </c>
      <c r="P1614" s="116">
        <v>2808.5</v>
      </c>
      <c r="Q1614" s="116">
        <v>2818</v>
      </c>
      <c r="R1614">
        <v>61822</v>
      </c>
    </row>
    <row r="1615" spans="1:18" x14ac:dyDescent="0.25">
      <c r="A1615" s="169">
        <v>44383</v>
      </c>
      <c r="B1615" s="116">
        <v>2834.05</v>
      </c>
      <c r="C1615" s="116">
        <v>2778.15</v>
      </c>
      <c r="D1615" s="116">
        <v>2767.1</v>
      </c>
      <c r="E1615" s="116">
        <v>2818</v>
      </c>
      <c r="F1615" s="116">
        <v>2778.15</v>
      </c>
      <c r="G1615">
        <v>4728</v>
      </c>
      <c r="H1615" s="116"/>
      <c r="I1615" s="116"/>
      <c r="L1615" s="169">
        <v>44383</v>
      </c>
      <c r="M1615" s="116">
        <v>2776.1</v>
      </c>
      <c r="N1615" s="116">
        <v>2835</v>
      </c>
      <c r="O1615" s="116">
        <v>2765</v>
      </c>
      <c r="P1615" s="116">
        <v>2827</v>
      </c>
      <c r="Q1615" s="116">
        <v>2776.1</v>
      </c>
      <c r="R1615">
        <v>48503</v>
      </c>
    </row>
    <row r="1616" spans="1:18" x14ac:dyDescent="0.25">
      <c r="A1616" s="169">
        <v>44384</v>
      </c>
      <c r="B1616" s="116">
        <v>2820.8</v>
      </c>
      <c r="C1616" s="116">
        <v>2757</v>
      </c>
      <c r="D1616" s="116">
        <v>2745</v>
      </c>
      <c r="E1616" s="116">
        <v>2750.05</v>
      </c>
      <c r="F1616" s="116">
        <v>2757</v>
      </c>
      <c r="G1616">
        <v>9820</v>
      </c>
      <c r="H1616" s="116"/>
      <c r="I1616" s="116"/>
      <c r="L1616" s="169">
        <v>44384</v>
      </c>
      <c r="M1616" s="116">
        <v>2759.3</v>
      </c>
      <c r="N1616" s="116">
        <v>2795</v>
      </c>
      <c r="O1616" s="116">
        <v>2746.05</v>
      </c>
      <c r="P1616" s="116">
        <v>2751.9</v>
      </c>
      <c r="Q1616" s="116">
        <v>2759.3</v>
      </c>
      <c r="R1616">
        <v>31435</v>
      </c>
    </row>
    <row r="1617" spans="1:18" x14ac:dyDescent="0.25">
      <c r="A1617" s="169">
        <v>44385</v>
      </c>
      <c r="B1617" s="116">
        <v>2847.65</v>
      </c>
      <c r="C1617" s="116">
        <v>2798.8</v>
      </c>
      <c r="D1617" s="116">
        <v>2765.4</v>
      </c>
      <c r="E1617" s="116">
        <v>2793.95</v>
      </c>
      <c r="F1617" s="116">
        <v>2798.8</v>
      </c>
      <c r="G1617">
        <v>4068</v>
      </c>
      <c r="H1617" s="116"/>
      <c r="I1617" s="116"/>
      <c r="L1617" s="169">
        <v>44385</v>
      </c>
      <c r="M1617" s="116">
        <v>2795.25</v>
      </c>
      <c r="N1617" s="116">
        <v>2848</v>
      </c>
      <c r="O1617" s="116">
        <v>2764</v>
      </c>
      <c r="P1617" s="116">
        <v>2778</v>
      </c>
      <c r="Q1617" s="116">
        <v>2795.25</v>
      </c>
      <c r="R1617">
        <v>64515</v>
      </c>
    </row>
    <row r="1618" spans="1:18" x14ac:dyDescent="0.25">
      <c r="A1618" s="169">
        <v>44386</v>
      </c>
      <c r="B1618" s="116">
        <v>2817.15</v>
      </c>
      <c r="C1618" s="116">
        <v>2797.2</v>
      </c>
      <c r="D1618" s="116">
        <v>2755</v>
      </c>
      <c r="E1618" s="116">
        <v>2755</v>
      </c>
      <c r="F1618" s="116">
        <v>2797.2</v>
      </c>
      <c r="G1618">
        <v>5754</v>
      </c>
      <c r="H1618" s="116"/>
      <c r="I1618" s="116"/>
      <c r="L1618" s="169">
        <v>44386</v>
      </c>
      <c r="M1618" s="116">
        <v>2797.5</v>
      </c>
      <c r="N1618" s="116">
        <v>2817.7</v>
      </c>
      <c r="O1618" s="116">
        <v>2755.05</v>
      </c>
      <c r="P1618" s="116">
        <v>2790</v>
      </c>
      <c r="Q1618" s="116">
        <v>2797.5</v>
      </c>
      <c r="R1618">
        <v>29649</v>
      </c>
    </row>
    <row r="1619" spans="1:18" x14ac:dyDescent="0.25">
      <c r="A1619" s="169">
        <v>44389</v>
      </c>
      <c r="B1619" s="116">
        <v>2970.7</v>
      </c>
      <c r="C1619" s="116">
        <v>2907.6</v>
      </c>
      <c r="D1619" s="116">
        <v>2795</v>
      </c>
      <c r="E1619" s="116">
        <v>2795</v>
      </c>
      <c r="F1619" s="116">
        <v>2907.6</v>
      </c>
      <c r="G1619">
        <v>11078</v>
      </c>
      <c r="H1619" s="116"/>
      <c r="I1619" s="116"/>
      <c r="L1619" s="169">
        <v>44389</v>
      </c>
      <c r="M1619" s="116">
        <v>2904.8</v>
      </c>
      <c r="N1619" s="116">
        <v>2970</v>
      </c>
      <c r="O1619" s="116">
        <v>2790</v>
      </c>
      <c r="P1619" s="116">
        <v>2790</v>
      </c>
      <c r="Q1619" s="116">
        <v>2904.8</v>
      </c>
      <c r="R1619">
        <v>161785</v>
      </c>
    </row>
    <row r="1620" spans="1:18" x14ac:dyDescent="0.25">
      <c r="A1620" s="169">
        <v>44390</v>
      </c>
      <c r="B1620" s="116">
        <v>3034.05</v>
      </c>
      <c r="C1620" s="116">
        <v>2960.9</v>
      </c>
      <c r="D1620" s="116">
        <v>2925</v>
      </c>
      <c r="E1620" s="116">
        <v>2925</v>
      </c>
      <c r="F1620" s="116">
        <v>2960.9</v>
      </c>
      <c r="G1620">
        <v>23120</v>
      </c>
      <c r="H1620" s="116"/>
      <c r="I1620" s="116"/>
      <c r="L1620" s="169">
        <v>44390</v>
      </c>
      <c r="M1620" s="116">
        <v>2963.5</v>
      </c>
      <c r="N1620" s="116">
        <v>3034.35</v>
      </c>
      <c r="O1620" s="116">
        <v>2935</v>
      </c>
      <c r="P1620" s="116">
        <v>2935</v>
      </c>
      <c r="Q1620" s="116">
        <v>2963.5</v>
      </c>
      <c r="R1620">
        <v>136181</v>
      </c>
    </row>
    <row r="1621" spans="1:18" x14ac:dyDescent="0.25">
      <c r="A1621" s="169">
        <v>44391</v>
      </c>
      <c r="B1621" s="116">
        <v>3013.35</v>
      </c>
      <c r="C1621" s="116">
        <v>2887.65</v>
      </c>
      <c r="D1621" s="116">
        <v>2875</v>
      </c>
      <c r="E1621" s="116">
        <v>2982</v>
      </c>
      <c r="F1621" s="116">
        <v>2887.65</v>
      </c>
      <c r="G1621">
        <v>7639</v>
      </c>
      <c r="H1621" s="116"/>
      <c r="I1621" s="116"/>
      <c r="L1621" s="169">
        <v>44391</v>
      </c>
      <c r="M1621" s="116">
        <v>2887.2</v>
      </c>
      <c r="N1621" s="116">
        <v>3013</v>
      </c>
      <c r="O1621" s="116">
        <v>2880.1</v>
      </c>
      <c r="P1621" s="116">
        <v>2980</v>
      </c>
      <c r="Q1621" s="116">
        <v>2887.2</v>
      </c>
      <c r="R1621">
        <v>80401</v>
      </c>
    </row>
    <row r="1622" spans="1:18" x14ac:dyDescent="0.25">
      <c r="A1622" s="169">
        <v>44392</v>
      </c>
      <c r="B1622" s="116">
        <v>2959.95</v>
      </c>
      <c r="C1622" s="116">
        <v>2874.25</v>
      </c>
      <c r="D1622" s="116">
        <v>2840.2</v>
      </c>
      <c r="E1622" s="116">
        <v>2959.95</v>
      </c>
      <c r="F1622" s="116">
        <v>2874.25</v>
      </c>
      <c r="G1622">
        <v>10897</v>
      </c>
      <c r="H1622" s="116"/>
      <c r="I1622" s="116"/>
      <c r="L1622" s="169">
        <v>44392</v>
      </c>
      <c r="M1622" s="116">
        <v>2875.4</v>
      </c>
      <c r="N1622" s="116">
        <v>2923</v>
      </c>
      <c r="O1622" s="116">
        <v>2842</v>
      </c>
      <c r="P1622" s="116">
        <v>2911.95</v>
      </c>
      <c r="Q1622" s="116">
        <v>2875.4</v>
      </c>
      <c r="R1622">
        <v>54218</v>
      </c>
    </row>
    <row r="1623" spans="1:18" x14ac:dyDescent="0.25">
      <c r="A1623" s="169">
        <v>44393</v>
      </c>
      <c r="B1623" s="116">
        <v>2994.5</v>
      </c>
      <c r="C1623" s="116">
        <v>2905.15</v>
      </c>
      <c r="D1623" s="116">
        <v>2890</v>
      </c>
      <c r="E1623" s="116">
        <v>2890</v>
      </c>
      <c r="F1623" s="116">
        <v>2905.15</v>
      </c>
      <c r="G1623">
        <v>7199</v>
      </c>
      <c r="H1623" s="116"/>
      <c r="I1623" s="116"/>
      <c r="L1623" s="169">
        <v>44393</v>
      </c>
      <c r="M1623" s="116">
        <v>2910.05</v>
      </c>
      <c r="N1623" s="116">
        <v>3180</v>
      </c>
      <c r="O1623" s="116">
        <v>2870</v>
      </c>
      <c r="P1623" s="116">
        <v>2888.6</v>
      </c>
      <c r="Q1623" s="116">
        <v>2910.05</v>
      </c>
      <c r="R1623">
        <v>65376</v>
      </c>
    </row>
    <row r="1624" spans="1:18" x14ac:dyDescent="0.25">
      <c r="A1624" s="169">
        <v>44396</v>
      </c>
      <c r="B1624" s="116">
        <v>2934.55</v>
      </c>
      <c r="C1624" s="116">
        <v>2837.7</v>
      </c>
      <c r="D1624" s="116">
        <v>2816.6</v>
      </c>
      <c r="E1624" s="116">
        <v>2905</v>
      </c>
      <c r="F1624" s="116">
        <v>2837.7</v>
      </c>
      <c r="G1624">
        <v>6750</v>
      </c>
      <c r="H1624" s="116"/>
      <c r="I1624" s="116"/>
      <c r="L1624" s="169">
        <v>44396</v>
      </c>
      <c r="M1624" s="116">
        <v>2832.6</v>
      </c>
      <c r="N1624" s="116">
        <v>2940.75</v>
      </c>
      <c r="O1624" s="116">
        <v>2817.4</v>
      </c>
      <c r="P1624" s="116">
        <v>2880</v>
      </c>
      <c r="Q1624" s="116">
        <v>2832.6</v>
      </c>
      <c r="R1624">
        <v>62537</v>
      </c>
    </row>
    <row r="1625" spans="1:18" x14ac:dyDescent="0.25">
      <c r="A1625" s="169">
        <v>44397</v>
      </c>
      <c r="B1625" s="116">
        <v>2888.9</v>
      </c>
      <c r="C1625" s="116">
        <v>2810.25</v>
      </c>
      <c r="D1625" s="116">
        <v>2754.55</v>
      </c>
      <c r="E1625" s="116">
        <v>2840</v>
      </c>
      <c r="F1625" s="116">
        <v>2810.25</v>
      </c>
      <c r="G1625">
        <v>26011</v>
      </c>
      <c r="H1625" s="116"/>
      <c r="I1625" s="116"/>
      <c r="L1625" s="169">
        <v>44397</v>
      </c>
      <c r="M1625" s="116">
        <v>2820.45</v>
      </c>
      <c r="N1625" s="116">
        <v>2893.7</v>
      </c>
      <c r="O1625" s="116">
        <v>2765</v>
      </c>
      <c r="P1625" s="116">
        <v>2893.7</v>
      </c>
      <c r="Q1625" s="116">
        <v>2820.45</v>
      </c>
      <c r="R1625">
        <v>94017</v>
      </c>
    </row>
    <row r="1626" spans="1:18" x14ac:dyDescent="0.25">
      <c r="A1626" s="169">
        <v>44399</v>
      </c>
      <c r="B1626" s="116">
        <v>2985.95</v>
      </c>
      <c r="C1626" s="116">
        <v>2936.85</v>
      </c>
      <c r="D1626" s="116">
        <v>2802.25</v>
      </c>
      <c r="E1626" s="116">
        <v>2811</v>
      </c>
      <c r="F1626" s="116">
        <v>2936.85</v>
      </c>
      <c r="G1626">
        <v>11322</v>
      </c>
      <c r="H1626" s="116"/>
      <c r="I1626" s="116"/>
      <c r="L1626" s="169">
        <v>44399</v>
      </c>
      <c r="M1626" s="116">
        <v>2941.45</v>
      </c>
      <c r="N1626" s="116">
        <v>2984.55</v>
      </c>
      <c r="O1626" s="116">
        <v>2790</v>
      </c>
      <c r="P1626" s="116">
        <v>2830</v>
      </c>
      <c r="Q1626" s="116">
        <v>2941.45</v>
      </c>
      <c r="R1626">
        <v>153596</v>
      </c>
    </row>
    <row r="1627" spans="1:18" x14ac:dyDescent="0.25">
      <c r="A1627" s="169">
        <v>44400</v>
      </c>
      <c r="B1627" s="116">
        <v>3119.95</v>
      </c>
      <c r="C1627" s="116">
        <v>3044.3</v>
      </c>
      <c r="D1627" s="116">
        <v>2959.95</v>
      </c>
      <c r="E1627" s="116">
        <v>2972</v>
      </c>
      <c r="F1627" s="116">
        <v>3044.3</v>
      </c>
      <c r="G1627">
        <v>18758</v>
      </c>
      <c r="H1627" s="116"/>
      <c r="I1627" s="116"/>
      <c r="L1627" s="169">
        <v>44400</v>
      </c>
      <c r="M1627" s="116">
        <v>3045.9</v>
      </c>
      <c r="N1627" s="116">
        <v>3120</v>
      </c>
      <c r="O1627" s="116">
        <v>2960.15</v>
      </c>
      <c r="P1627" s="116">
        <v>2963</v>
      </c>
      <c r="Q1627" s="116">
        <v>3045.9</v>
      </c>
      <c r="R1627">
        <v>196346</v>
      </c>
    </row>
    <row r="1628" spans="1:18" x14ac:dyDescent="0.25">
      <c r="A1628" s="169">
        <v>44403</v>
      </c>
      <c r="B1628" s="116">
        <v>3396.75</v>
      </c>
      <c r="C1628" s="116">
        <v>3265.55</v>
      </c>
      <c r="D1628" s="116">
        <v>3077.8</v>
      </c>
      <c r="E1628" s="116">
        <v>3080</v>
      </c>
      <c r="F1628" s="116">
        <v>3265.55</v>
      </c>
      <c r="G1628">
        <v>23627</v>
      </c>
      <c r="H1628" s="116"/>
      <c r="I1628" s="116"/>
      <c r="L1628" s="169">
        <v>44403</v>
      </c>
      <c r="M1628" s="116">
        <v>3254.05</v>
      </c>
      <c r="N1628" s="116">
        <v>3397</v>
      </c>
      <c r="O1628" s="116">
        <v>3080.05</v>
      </c>
      <c r="P1628" s="116">
        <v>3085</v>
      </c>
      <c r="Q1628" s="116">
        <v>3254.05</v>
      </c>
      <c r="R1628">
        <v>433907</v>
      </c>
    </row>
    <row r="1629" spans="1:18" x14ac:dyDescent="0.25">
      <c r="A1629" s="169">
        <v>44404</v>
      </c>
      <c r="B1629" s="116">
        <v>3438.7</v>
      </c>
      <c r="C1629" s="116">
        <v>3390.55</v>
      </c>
      <c r="D1629" s="116">
        <v>3280</v>
      </c>
      <c r="E1629" s="116">
        <v>3329</v>
      </c>
      <c r="F1629" s="116">
        <v>3390.55</v>
      </c>
      <c r="G1629">
        <v>28825</v>
      </c>
      <c r="H1629" s="116"/>
      <c r="I1629" s="116"/>
      <c r="L1629" s="169">
        <v>44404</v>
      </c>
      <c r="M1629" s="116">
        <v>3390.75</v>
      </c>
      <c r="N1629" s="116">
        <v>3441</v>
      </c>
      <c r="O1629" s="116">
        <v>3282.15</v>
      </c>
      <c r="P1629" s="116">
        <v>3323.9</v>
      </c>
      <c r="Q1629" s="116">
        <v>3390.75</v>
      </c>
      <c r="R1629">
        <v>240859</v>
      </c>
    </row>
    <row r="1630" spans="1:18" x14ac:dyDescent="0.25">
      <c r="A1630" s="169">
        <v>44405</v>
      </c>
      <c r="B1630" s="116">
        <v>3445</v>
      </c>
      <c r="C1630" s="116">
        <v>3349.95</v>
      </c>
      <c r="D1630" s="116">
        <v>3206.55</v>
      </c>
      <c r="E1630" s="116">
        <v>3445</v>
      </c>
      <c r="F1630" s="116">
        <v>3349.95</v>
      </c>
      <c r="G1630">
        <v>9307</v>
      </c>
      <c r="H1630" s="116"/>
      <c r="I1630" s="116"/>
      <c r="L1630" s="169">
        <v>44405</v>
      </c>
      <c r="M1630" s="116">
        <v>3351.2</v>
      </c>
      <c r="N1630" s="116">
        <v>3410</v>
      </c>
      <c r="O1630" s="116">
        <v>3201</v>
      </c>
      <c r="P1630" s="116">
        <v>3408.6</v>
      </c>
      <c r="Q1630" s="116">
        <v>3351.2</v>
      </c>
      <c r="R1630">
        <v>158832</v>
      </c>
    </row>
    <row r="1631" spans="1:18" x14ac:dyDescent="0.25">
      <c r="A1631" s="169">
        <v>44406</v>
      </c>
      <c r="B1631" s="116">
        <v>3383.65</v>
      </c>
      <c r="C1631" s="116">
        <v>3199.7</v>
      </c>
      <c r="D1631" s="116">
        <v>3188</v>
      </c>
      <c r="E1631" s="116">
        <v>3370</v>
      </c>
      <c r="F1631" s="116">
        <v>3199.7</v>
      </c>
      <c r="G1631">
        <v>6600</v>
      </c>
      <c r="H1631" s="116"/>
      <c r="I1631" s="116"/>
      <c r="L1631" s="169">
        <v>44406</v>
      </c>
      <c r="M1631" s="116">
        <v>3198.3</v>
      </c>
      <c r="N1631" s="116">
        <v>3385</v>
      </c>
      <c r="O1631" s="116">
        <v>3187</v>
      </c>
      <c r="P1631" s="116">
        <v>3360.2</v>
      </c>
      <c r="Q1631" s="116">
        <v>3198.3</v>
      </c>
      <c r="R1631">
        <v>128257</v>
      </c>
    </row>
    <row r="1632" spans="1:18" x14ac:dyDescent="0.25">
      <c r="A1632" s="169">
        <v>44407</v>
      </c>
      <c r="B1632" s="116">
        <v>3300</v>
      </c>
      <c r="C1632" s="116">
        <v>3263.85</v>
      </c>
      <c r="D1632" s="116">
        <v>3181</v>
      </c>
      <c r="E1632" s="116">
        <v>3210</v>
      </c>
      <c r="F1632" s="116">
        <v>3263.85</v>
      </c>
      <c r="G1632">
        <v>13367</v>
      </c>
      <c r="H1632" s="116"/>
      <c r="I1632" s="116"/>
      <c r="L1632" s="169">
        <v>44407</v>
      </c>
      <c r="M1632" s="116">
        <v>3266.75</v>
      </c>
      <c r="N1632" s="116">
        <v>3299.95</v>
      </c>
      <c r="O1632" s="116">
        <v>3184</v>
      </c>
      <c r="P1632" s="116">
        <v>3198.3</v>
      </c>
      <c r="Q1632" s="116">
        <v>3266.75</v>
      </c>
      <c r="R1632">
        <v>121439</v>
      </c>
    </row>
    <row r="1633" spans="1:18" x14ac:dyDescent="0.25">
      <c r="A1633" s="169">
        <v>44410</v>
      </c>
      <c r="B1633" s="116">
        <v>3344</v>
      </c>
      <c r="C1633" s="116">
        <v>3314.2</v>
      </c>
      <c r="D1633" s="116">
        <v>3241.05</v>
      </c>
      <c r="E1633" s="116">
        <v>3320</v>
      </c>
      <c r="F1633" s="116">
        <v>3314.2</v>
      </c>
      <c r="G1633">
        <v>8706</v>
      </c>
      <c r="H1633" s="116"/>
      <c r="I1633" s="116"/>
      <c r="L1633" s="169">
        <v>44410</v>
      </c>
      <c r="M1633" s="116">
        <v>3318.25</v>
      </c>
      <c r="N1633" s="116">
        <v>3341</v>
      </c>
      <c r="O1633" s="116">
        <v>3233</v>
      </c>
      <c r="P1633" s="116">
        <v>3292.6</v>
      </c>
      <c r="Q1633" s="116">
        <v>3318.25</v>
      </c>
      <c r="R1633">
        <v>109334</v>
      </c>
    </row>
    <row r="1634" spans="1:18" x14ac:dyDescent="0.25">
      <c r="A1634" s="169">
        <v>44411</v>
      </c>
      <c r="B1634" s="116">
        <v>3977</v>
      </c>
      <c r="C1634" s="116">
        <v>3406.4</v>
      </c>
      <c r="D1634" s="116">
        <v>3385.1</v>
      </c>
      <c r="E1634" s="116">
        <v>3482</v>
      </c>
      <c r="F1634" s="116">
        <v>3406.4</v>
      </c>
      <c r="G1634">
        <v>21427</v>
      </c>
      <c r="H1634" s="116"/>
      <c r="I1634" s="116"/>
      <c r="L1634" s="169">
        <v>44411</v>
      </c>
      <c r="M1634" s="116">
        <v>3409.55</v>
      </c>
      <c r="N1634" s="116">
        <v>3619</v>
      </c>
      <c r="O1634" s="116">
        <v>3398</v>
      </c>
      <c r="P1634" s="116">
        <v>3500</v>
      </c>
      <c r="Q1634" s="116">
        <v>3409.55</v>
      </c>
      <c r="R1634">
        <v>350985</v>
      </c>
    </row>
    <row r="1635" spans="1:18" x14ac:dyDescent="0.25">
      <c r="A1635" s="169">
        <v>44412</v>
      </c>
      <c r="B1635" s="116">
        <v>3475</v>
      </c>
      <c r="C1635" s="116">
        <v>3403.7</v>
      </c>
      <c r="D1635" s="116">
        <v>3326.7</v>
      </c>
      <c r="E1635" s="116">
        <v>3419.8</v>
      </c>
      <c r="F1635" s="116">
        <v>3403.7</v>
      </c>
      <c r="G1635">
        <v>8361</v>
      </c>
      <c r="H1635" s="116"/>
      <c r="I1635" s="116"/>
      <c r="L1635" s="169">
        <v>44412</v>
      </c>
      <c r="M1635" s="116">
        <v>3414.1</v>
      </c>
      <c r="N1635" s="116">
        <v>3476</v>
      </c>
      <c r="O1635" s="116">
        <v>3325</v>
      </c>
      <c r="P1635" s="116">
        <v>3447.95</v>
      </c>
      <c r="Q1635" s="116">
        <v>3414.1</v>
      </c>
      <c r="R1635">
        <v>128413</v>
      </c>
    </row>
    <row r="1636" spans="1:18" x14ac:dyDescent="0.25">
      <c r="A1636" s="169">
        <v>44413</v>
      </c>
      <c r="B1636" s="116">
        <v>3450</v>
      </c>
      <c r="C1636" s="116">
        <v>3418.7</v>
      </c>
      <c r="D1636" s="116">
        <v>3332.65</v>
      </c>
      <c r="E1636" s="116">
        <v>3450</v>
      </c>
      <c r="F1636" s="116">
        <v>3418.7</v>
      </c>
      <c r="G1636">
        <v>6886</v>
      </c>
      <c r="H1636" s="116"/>
      <c r="I1636" s="116"/>
      <c r="L1636" s="169">
        <v>44413</v>
      </c>
      <c r="M1636" s="116">
        <v>3412.35</v>
      </c>
      <c r="N1636" s="116">
        <v>3448</v>
      </c>
      <c r="O1636" s="116">
        <v>3325</v>
      </c>
      <c r="P1636" s="116">
        <v>3448</v>
      </c>
      <c r="Q1636" s="116">
        <v>3412.35</v>
      </c>
      <c r="R1636">
        <v>70495</v>
      </c>
    </row>
    <row r="1637" spans="1:18" x14ac:dyDescent="0.25">
      <c r="A1637" s="169">
        <v>44414</v>
      </c>
      <c r="B1637" s="116">
        <v>3465.45</v>
      </c>
      <c r="C1637" s="116">
        <v>3437.25</v>
      </c>
      <c r="D1637" s="116">
        <v>3400.2</v>
      </c>
      <c r="E1637" s="116">
        <v>3439</v>
      </c>
      <c r="F1637" s="116">
        <v>3437.25</v>
      </c>
      <c r="G1637">
        <v>11042</v>
      </c>
      <c r="H1637" s="116"/>
      <c r="I1637" s="116"/>
      <c r="L1637" s="169">
        <v>44414</v>
      </c>
      <c r="M1637" s="116">
        <v>3440.2</v>
      </c>
      <c r="N1637" s="116">
        <v>3468.3</v>
      </c>
      <c r="O1637" s="116">
        <v>3412</v>
      </c>
      <c r="P1637" s="116">
        <v>3415</v>
      </c>
      <c r="Q1637" s="116">
        <v>3440.2</v>
      </c>
      <c r="R1637">
        <v>55065</v>
      </c>
    </row>
    <row r="1638" spans="1:18" x14ac:dyDescent="0.25">
      <c r="A1638" s="169">
        <v>44417</v>
      </c>
      <c r="B1638" s="116">
        <v>3466.7</v>
      </c>
      <c r="C1638" s="116">
        <v>3443.75</v>
      </c>
      <c r="D1638" s="116">
        <v>3419.9</v>
      </c>
      <c r="E1638" s="116">
        <v>3438</v>
      </c>
      <c r="F1638" s="116">
        <v>3443.75</v>
      </c>
      <c r="G1638">
        <v>3623</v>
      </c>
      <c r="H1638" s="116"/>
      <c r="I1638" s="116"/>
      <c r="L1638" s="169">
        <v>44417</v>
      </c>
      <c r="M1638" s="116">
        <v>3445</v>
      </c>
      <c r="N1638" s="116">
        <v>3468</v>
      </c>
      <c r="O1638" s="116">
        <v>3408.05</v>
      </c>
      <c r="P1638" s="116">
        <v>3448</v>
      </c>
      <c r="Q1638" s="116">
        <v>3445</v>
      </c>
      <c r="R1638">
        <v>53311</v>
      </c>
    </row>
    <row r="1639" spans="1:18" x14ac:dyDescent="0.25">
      <c r="A1639" s="169">
        <v>44418</v>
      </c>
      <c r="B1639" s="116">
        <v>3548</v>
      </c>
      <c r="C1639" s="116">
        <v>3344.6</v>
      </c>
      <c r="D1639" s="116">
        <v>3181.5</v>
      </c>
      <c r="E1639" s="116">
        <v>3457.5</v>
      </c>
      <c r="F1639" s="116">
        <v>3344.6</v>
      </c>
      <c r="G1639">
        <v>17587</v>
      </c>
      <c r="H1639" s="116"/>
      <c r="I1639" s="116"/>
      <c r="L1639" s="169">
        <v>44418</v>
      </c>
      <c r="M1639" s="116">
        <v>3343.95</v>
      </c>
      <c r="N1639" s="116">
        <v>3548.9</v>
      </c>
      <c r="O1639" s="116">
        <v>3169.7</v>
      </c>
      <c r="P1639" s="116">
        <v>3452.3</v>
      </c>
      <c r="Q1639" s="116">
        <v>3343.95</v>
      </c>
      <c r="R1639">
        <v>162269</v>
      </c>
    </row>
    <row r="1640" spans="1:18" x14ac:dyDescent="0.25">
      <c r="A1640" s="169">
        <v>44419</v>
      </c>
      <c r="B1640" s="116">
        <v>3344.6</v>
      </c>
      <c r="C1640" s="116">
        <v>3319.05</v>
      </c>
      <c r="D1640" s="116">
        <v>3178</v>
      </c>
      <c r="E1640" s="116">
        <v>3344.6</v>
      </c>
      <c r="F1640" s="116">
        <v>3319.05</v>
      </c>
      <c r="G1640">
        <v>27855</v>
      </c>
      <c r="H1640" s="116"/>
      <c r="I1640" s="116"/>
      <c r="L1640" s="169">
        <v>44419</v>
      </c>
      <c r="M1640" s="116">
        <v>3318.55</v>
      </c>
      <c r="N1640" s="116">
        <v>3343.95</v>
      </c>
      <c r="O1640" s="116">
        <v>3190</v>
      </c>
      <c r="P1640" s="116">
        <v>3340</v>
      </c>
      <c r="Q1640" s="116">
        <v>3318.55</v>
      </c>
      <c r="R1640">
        <v>120345</v>
      </c>
    </row>
    <row r="1641" spans="1:18" x14ac:dyDescent="0.25">
      <c r="A1641" s="169">
        <v>44420</v>
      </c>
      <c r="B1641" s="116">
        <v>3448.75</v>
      </c>
      <c r="C1641" s="116">
        <v>3437.1</v>
      </c>
      <c r="D1641" s="116">
        <v>3325</v>
      </c>
      <c r="E1641" s="116">
        <v>3380</v>
      </c>
      <c r="F1641" s="116">
        <v>3437.1</v>
      </c>
      <c r="G1641">
        <v>12683</v>
      </c>
      <c r="H1641" s="116"/>
      <c r="I1641" s="116"/>
      <c r="L1641" s="169">
        <v>44420</v>
      </c>
      <c r="M1641" s="116">
        <v>3439.55</v>
      </c>
      <c r="N1641" s="116">
        <v>3450</v>
      </c>
      <c r="O1641" s="116">
        <v>3326.55</v>
      </c>
      <c r="P1641" s="116">
        <v>3326.6</v>
      </c>
      <c r="Q1641" s="116">
        <v>3439.55</v>
      </c>
      <c r="R1641">
        <v>63242</v>
      </c>
    </row>
    <row r="1642" spans="1:18" x14ac:dyDescent="0.25">
      <c r="A1642" s="169">
        <v>44421</v>
      </c>
      <c r="B1642" s="116">
        <v>3468.1</v>
      </c>
      <c r="C1642" s="116">
        <v>3426.75</v>
      </c>
      <c r="D1642" s="116">
        <v>3390.05</v>
      </c>
      <c r="E1642" s="116">
        <v>3450</v>
      </c>
      <c r="F1642" s="116">
        <v>3426.75</v>
      </c>
      <c r="G1642">
        <v>2851</v>
      </c>
      <c r="H1642" s="116"/>
      <c r="I1642" s="116"/>
      <c r="L1642" s="169">
        <v>44421</v>
      </c>
      <c r="M1642" s="116">
        <v>3426.6</v>
      </c>
      <c r="N1642" s="116">
        <v>3473.8</v>
      </c>
      <c r="O1642" s="116">
        <v>3390</v>
      </c>
      <c r="P1642" s="116">
        <v>3450</v>
      </c>
      <c r="Q1642" s="116">
        <v>3426.6</v>
      </c>
      <c r="R1642">
        <v>42777</v>
      </c>
    </row>
    <row r="1643" spans="1:18" x14ac:dyDescent="0.25">
      <c r="A1643" s="169">
        <v>44424</v>
      </c>
      <c r="B1643" s="116">
        <v>3490</v>
      </c>
      <c r="C1643" s="116">
        <v>3425.6</v>
      </c>
      <c r="D1643" s="116">
        <v>3406</v>
      </c>
      <c r="E1643" s="116">
        <v>3490</v>
      </c>
      <c r="F1643" s="116">
        <v>3425.6</v>
      </c>
      <c r="G1643">
        <v>5213</v>
      </c>
      <c r="H1643" s="116"/>
      <c r="I1643" s="116"/>
      <c r="L1643" s="169">
        <v>44424</v>
      </c>
      <c r="M1643" s="116">
        <v>3427.8</v>
      </c>
      <c r="N1643" s="116">
        <v>3464.8</v>
      </c>
      <c r="O1643" s="116">
        <v>3410</v>
      </c>
      <c r="P1643" s="116">
        <v>3439.95</v>
      </c>
      <c r="Q1643" s="116">
        <v>3427.8</v>
      </c>
      <c r="R1643">
        <v>33215</v>
      </c>
    </row>
    <row r="1644" spans="1:18" x14ac:dyDescent="0.25">
      <c r="A1644" s="169">
        <v>44425</v>
      </c>
      <c r="B1644" s="116">
        <v>3450</v>
      </c>
      <c r="C1644" s="116">
        <v>3416.1</v>
      </c>
      <c r="D1644" s="116">
        <v>3387.15</v>
      </c>
      <c r="E1644" s="116">
        <v>3450</v>
      </c>
      <c r="F1644" s="116">
        <v>3416.1</v>
      </c>
      <c r="G1644">
        <v>2498</v>
      </c>
      <c r="H1644" s="116"/>
      <c r="I1644" s="116"/>
      <c r="L1644" s="169">
        <v>44425</v>
      </c>
      <c r="M1644" s="116">
        <v>3420.05</v>
      </c>
      <c r="N1644" s="116">
        <v>3447.3</v>
      </c>
      <c r="O1644" s="116">
        <v>3385.35</v>
      </c>
      <c r="P1644" s="116">
        <v>3436</v>
      </c>
      <c r="Q1644" s="116">
        <v>3420.05</v>
      </c>
      <c r="R1644">
        <v>33695</v>
      </c>
    </row>
    <row r="1645" spans="1:18" x14ac:dyDescent="0.25">
      <c r="A1645" s="169">
        <v>44426</v>
      </c>
      <c r="B1645" s="116">
        <v>3430.05</v>
      </c>
      <c r="C1645" s="116">
        <v>3401</v>
      </c>
      <c r="D1645" s="116">
        <v>3375.45</v>
      </c>
      <c r="E1645" s="116">
        <v>3419</v>
      </c>
      <c r="F1645" s="116">
        <v>3401</v>
      </c>
      <c r="G1645">
        <v>2066</v>
      </c>
      <c r="H1645" s="116"/>
      <c r="I1645" s="116"/>
      <c r="L1645" s="169">
        <v>44426</v>
      </c>
      <c r="M1645" s="116">
        <v>3402.15</v>
      </c>
      <c r="N1645" s="116">
        <v>3432.7</v>
      </c>
      <c r="O1645" s="116">
        <v>3375</v>
      </c>
      <c r="P1645" s="116">
        <v>3422</v>
      </c>
      <c r="Q1645" s="116">
        <v>3402.15</v>
      </c>
      <c r="R1645">
        <v>33079</v>
      </c>
    </row>
    <row r="1646" spans="1:18" x14ac:dyDescent="0.25">
      <c r="A1646" s="169">
        <v>44428</v>
      </c>
      <c r="B1646" s="116">
        <v>3425.9</v>
      </c>
      <c r="C1646" s="116">
        <v>3322.8</v>
      </c>
      <c r="D1646" s="116">
        <v>3305.55</v>
      </c>
      <c r="E1646" s="116">
        <v>3315</v>
      </c>
      <c r="F1646" s="116">
        <v>3322.8</v>
      </c>
      <c r="G1646">
        <v>4828</v>
      </c>
      <c r="H1646" s="116"/>
      <c r="I1646" s="116"/>
      <c r="L1646" s="169">
        <v>44428</v>
      </c>
      <c r="M1646" s="116">
        <v>3319</v>
      </c>
      <c r="N1646" s="116">
        <v>3426</v>
      </c>
      <c r="O1646" s="116">
        <v>3305.05</v>
      </c>
      <c r="P1646" s="116">
        <v>3345</v>
      </c>
      <c r="Q1646" s="116">
        <v>3319</v>
      </c>
      <c r="R1646">
        <v>42020</v>
      </c>
    </row>
    <row r="1647" spans="1:18" x14ac:dyDescent="0.25">
      <c r="A1647" s="169">
        <v>44431</v>
      </c>
      <c r="B1647" s="116">
        <v>3356.05</v>
      </c>
      <c r="C1647" s="116">
        <v>3258.2</v>
      </c>
      <c r="D1647" s="116">
        <v>3185</v>
      </c>
      <c r="E1647" s="116">
        <v>3330</v>
      </c>
      <c r="F1647" s="116">
        <v>3258.2</v>
      </c>
      <c r="G1647">
        <v>16928</v>
      </c>
      <c r="H1647" s="116"/>
      <c r="I1647" s="116"/>
      <c r="L1647" s="169">
        <v>44431</v>
      </c>
      <c r="M1647" s="116">
        <v>3269</v>
      </c>
      <c r="N1647" s="116">
        <v>3358.3</v>
      </c>
      <c r="O1647" s="116">
        <v>3180</v>
      </c>
      <c r="P1647" s="116">
        <v>3353.95</v>
      </c>
      <c r="Q1647" s="116">
        <v>3269</v>
      </c>
      <c r="R1647">
        <v>88454</v>
      </c>
    </row>
    <row r="1648" spans="1:18" x14ac:dyDescent="0.25">
      <c r="A1648" s="169">
        <v>44432</v>
      </c>
      <c r="B1648" s="116">
        <v>3347.5</v>
      </c>
      <c r="C1648" s="116">
        <v>3327.2</v>
      </c>
      <c r="D1648" s="116">
        <v>3254.45</v>
      </c>
      <c r="E1648" s="116">
        <v>3260</v>
      </c>
      <c r="F1648" s="116">
        <v>3327.2</v>
      </c>
      <c r="G1648">
        <v>5880</v>
      </c>
      <c r="H1648" s="116"/>
      <c r="I1648" s="116"/>
      <c r="L1648" s="169">
        <v>44432</v>
      </c>
      <c r="M1648" s="116">
        <v>3324.6</v>
      </c>
      <c r="N1648" s="116">
        <v>3348</v>
      </c>
      <c r="O1648" s="116">
        <v>3250.1</v>
      </c>
      <c r="P1648" s="116">
        <v>3264</v>
      </c>
      <c r="Q1648" s="116">
        <v>3324.6</v>
      </c>
      <c r="R1648">
        <v>70026</v>
      </c>
    </row>
    <row r="1649" spans="1:18" x14ac:dyDescent="0.25">
      <c r="A1649" s="169">
        <v>44433</v>
      </c>
      <c r="B1649" s="116">
        <v>3492.3</v>
      </c>
      <c r="C1649" s="116">
        <v>3460.05</v>
      </c>
      <c r="D1649" s="116">
        <v>3330</v>
      </c>
      <c r="E1649" s="116">
        <v>3330</v>
      </c>
      <c r="F1649" s="116">
        <v>3460.05</v>
      </c>
      <c r="G1649">
        <v>17791</v>
      </c>
      <c r="H1649" s="116"/>
      <c r="I1649" s="116"/>
      <c r="L1649" s="169">
        <v>44433</v>
      </c>
      <c r="M1649" s="116">
        <v>3459.15</v>
      </c>
      <c r="N1649" s="116">
        <v>3495</v>
      </c>
      <c r="O1649" s="116">
        <v>3323.3</v>
      </c>
      <c r="P1649" s="116">
        <v>3324.6</v>
      </c>
      <c r="Q1649" s="116">
        <v>3459.15</v>
      </c>
      <c r="R1649">
        <v>108562</v>
      </c>
    </row>
    <row r="1650" spans="1:18" x14ac:dyDescent="0.25">
      <c r="A1650" s="169">
        <v>44434</v>
      </c>
      <c r="B1650" s="116">
        <v>3782.95</v>
      </c>
      <c r="C1650" s="116">
        <v>3740.85</v>
      </c>
      <c r="D1650" s="116">
        <v>3460.05</v>
      </c>
      <c r="E1650" s="116">
        <v>3460.05</v>
      </c>
      <c r="F1650" s="116">
        <v>3740.85</v>
      </c>
      <c r="G1650">
        <v>65660</v>
      </c>
      <c r="H1650" s="116"/>
      <c r="I1650" s="116"/>
      <c r="L1650" s="169">
        <v>44434</v>
      </c>
      <c r="M1650" s="116">
        <v>3740.7</v>
      </c>
      <c r="N1650" s="116">
        <v>3784.7</v>
      </c>
      <c r="O1650" s="116">
        <v>3475.1</v>
      </c>
      <c r="P1650" s="116">
        <v>3488</v>
      </c>
      <c r="Q1650" s="116">
        <v>3740.7</v>
      </c>
      <c r="R1650">
        <v>495369</v>
      </c>
    </row>
    <row r="1651" spans="1:18" x14ac:dyDescent="0.25">
      <c r="A1651" s="169">
        <v>44435</v>
      </c>
      <c r="B1651" s="116">
        <v>3829.9</v>
      </c>
      <c r="C1651" s="116">
        <v>3784.55</v>
      </c>
      <c r="D1651" s="116">
        <v>3652.1</v>
      </c>
      <c r="E1651" s="116">
        <v>3750</v>
      </c>
      <c r="F1651" s="116">
        <v>3784.55</v>
      </c>
      <c r="G1651">
        <v>21837</v>
      </c>
      <c r="H1651" s="116"/>
      <c r="I1651" s="116"/>
      <c r="L1651" s="169">
        <v>44435</v>
      </c>
      <c r="M1651" s="116">
        <v>3788.7</v>
      </c>
      <c r="N1651" s="116">
        <v>3830</v>
      </c>
      <c r="O1651" s="116">
        <v>3654</v>
      </c>
      <c r="P1651" s="116">
        <v>3744</v>
      </c>
      <c r="Q1651" s="116">
        <v>3788.7</v>
      </c>
      <c r="R1651">
        <v>181128</v>
      </c>
    </row>
    <row r="1652" spans="1:18" x14ac:dyDescent="0.25">
      <c r="A1652" s="169">
        <v>44438</v>
      </c>
      <c r="B1652" s="116">
        <v>4070</v>
      </c>
      <c r="C1652" s="116">
        <v>3989.5</v>
      </c>
      <c r="D1652" s="116">
        <v>3789.5</v>
      </c>
      <c r="E1652" s="116">
        <v>3803</v>
      </c>
      <c r="F1652" s="116">
        <v>3989.5</v>
      </c>
      <c r="G1652">
        <v>15408</v>
      </c>
      <c r="H1652" s="116"/>
      <c r="I1652" s="116"/>
      <c r="L1652" s="169">
        <v>44438</v>
      </c>
      <c r="M1652" s="116">
        <v>3987.5</v>
      </c>
      <c r="N1652" s="116">
        <v>4069.95</v>
      </c>
      <c r="O1652" s="116">
        <v>3788.7</v>
      </c>
      <c r="P1652" s="116">
        <v>3818</v>
      </c>
      <c r="Q1652" s="116">
        <v>3987.5</v>
      </c>
      <c r="R1652">
        <v>230941</v>
      </c>
    </row>
    <row r="1653" spans="1:18" x14ac:dyDescent="0.25">
      <c r="A1653" s="169">
        <v>44439</v>
      </c>
      <c r="B1653" s="116">
        <v>4095.45</v>
      </c>
      <c r="C1653" s="116">
        <v>4046.4</v>
      </c>
      <c r="D1653" s="116">
        <v>3870</v>
      </c>
      <c r="E1653" s="116">
        <v>3995</v>
      </c>
      <c r="F1653" s="116">
        <v>4046.4</v>
      </c>
      <c r="G1653">
        <v>18639</v>
      </c>
      <c r="H1653" s="116"/>
      <c r="I1653" s="116"/>
      <c r="L1653" s="169">
        <v>44439</v>
      </c>
      <c r="M1653" s="116">
        <v>4040.15</v>
      </c>
      <c r="N1653" s="116">
        <v>4094.8</v>
      </c>
      <c r="O1653" s="116">
        <v>3869.95</v>
      </c>
      <c r="P1653" s="116">
        <v>4008.45</v>
      </c>
      <c r="Q1653" s="116">
        <v>4040.15</v>
      </c>
      <c r="R1653">
        <v>106898</v>
      </c>
    </row>
    <row r="1654" spans="1:18" x14ac:dyDescent="0.25">
      <c r="A1654" s="169">
        <v>44440</v>
      </c>
      <c r="B1654" s="116">
        <v>4264.2</v>
      </c>
      <c r="C1654" s="116">
        <v>4165.8</v>
      </c>
      <c r="D1654" s="116">
        <v>4060</v>
      </c>
      <c r="E1654" s="116">
        <v>4085</v>
      </c>
      <c r="F1654" s="116">
        <v>4165.8</v>
      </c>
      <c r="G1654">
        <v>19808</v>
      </c>
      <c r="H1654" s="116"/>
      <c r="I1654" s="116"/>
      <c r="L1654" s="169">
        <v>44440</v>
      </c>
      <c r="M1654" s="116">
        <v>4169.3500000000004</v>
      </c>
      <c r="N1654" s="116">
        <v>4264.8999999999996</v>
      </c>
      <c r="O1654" s="116">
        <v>4058</v>
      </c>
      <c r="P1654" s="116">
        <v>4066</v>
      </c>
      <c r="Q1654" s="116">
        <v>4169.3500000000004</v>
      </c>
      <c r="R1654">
        <v>186085</v>
      </c>
    </row>
    <row r="1655" spans="1:18" x14ac:dyDescent="0.25">
      <c r="A1655" s="169">
        <v>44441</v>
      </c>
      <c r="B1655" s="116">
        <v>4215</v>
      </c>
      <c r="C1655" s="116">
        <v>4102.95</v>
      </c>
      <c r="D1655" s="116">
        <v>4032</v>
      </c>
      <c r="E1655" s="116">
        <v>4215</v>
      </c>
      <c r="F1655" s="116">
        <v>4102.95</v>
      </c>
      <c r="G1655">
        <v>6904</v>
      </c>
      <c r="H1655" s="116"/>
      <c r="I1655" s="116"/>
      <c r="L1655" s="169">
        <v>44441</v>
      </c>
      <c r="M1655" s="116">
        <v>4097.45</v>
      </c>
      <c r="N1655" s="116">
        <v>4197.2</v>
      </c>
      <c r="O1655" s="116">
        <v>4034</v>
      </c>
      <c r="P1655" s="116">
        <v>4182.6499999999996</v>
      </c>
      <c r="Q1655" s="116">
        <v>4097.45</v>
      </c>
      <c r="R1655">
        <v>111771</v>
      </c>
    </row>
    <row r="1656" spans="1:18" x14ac:dyDescent="0.25">
      <c r="A1656" s="169">
        <v>44442</v>
      </c>
      <c r="B1656" s="116">
        <v>4147</v>
      </c>
      <c r="C1656" s="116">
        <v>4044.8</v>
      </c>
      <c r="D1656" s="116">
        <v>4000.55</v>
      </c>
      <c r="E1656" s="116">
        <v>4147</v>
      </c>
      <c r="F1656" s="116">
        <v>4044.8</v>
      </c>
      <c r="G1656">
        <v>9906</v>
      </c>
      <c r="H1656" s="116"/>
      <c r="I1656" s="116"/>
      <c r="L1656" s="169">
        <v>44442</v>
      </c>
      <c r="M1656" s="116">
        <v>4050.55</v>
      </c>
      <c r="N1656" s="116">
        <v>4123.3999999999996</v>
      </c>
      <c r="O1656" s="116">
        <v>4005</v>
      </c>
      <c r="P1656" s="116">
        <v>4097.45</v>
      </c>
      <c r="Q1656" s="116">
        <v>4050.55</v>
      </c>
      <c r="R1656">
        <v>91374</v>
      </c>
    </row>
    <row r="1657" spans="1:18" x14ac:dyDescent="0.25">
      <c r="A1657" s="169">
        <v>44445</v>
      </c>
      <c r="B1657" s="116">
        <v>4123.75</v>
      </c>
      <c r="C1657" s="116">
        <v>4037.75</v>
      </c>
      <c r="D1657" s="116">
        <v>4005.05</v>
      </c>
      <c r="E1657" s="116">
        <v>4084</v>
      </c>
      <c r="F1657" s="116">
        <v>4037.75</v>
      </c>
      <c r="G1657">
        <v>4585</v>
      </c>
      <c r="H1657" s="116"/>
      <c r="I1657" s="116"/>
      <c r="L1657" s="169">
        <v>44445</v>
      </c>
      <c r="M1657" s="116">
        <v>4035.65</v>
      </c>
      <c r="N1657" s="116">
        <v>4124.95</v>
      </c>
      <c r="O1657" s="116">
        <v>4001.3</v>
      </c>
      <c r="P1657" s="116">
        <v>4065</v>
      </c>
      <c r="Q1657" s="116">
        <v>4035.65</v>
      </c>
      <c r="R1657">
        <v>86357</v>
      </c>
    </row>
    <row r="1658" spans="1:18" x14ac:dyDescent="0.25">
      <c r="A1658" s="169">
        <v>44446</v>
      </c>
      <c r="B1658" s="116">
        <v>4294</v>
      </c>
      <c r="C1658" s="116">
        <v>4229.3500000000004</v>
      </c>
      <c r="D1658" s="116">
        <v>4009.3</v>
      </c>
      <c r="E1658" s="116">
        <v>4064.95</v>
      </c>
      <c r="F1658" s="116">
        <v>4229.3500000000004</v>
      </c>
      <c r="G1658">
        <v>18500</v>
      </c>
      <c r="H1658" s="116"/>
      <c r="I1658" s="116"/>
      <c r="L1658" s="169">
        <v>44446</v>
      </c>
      <c r="M1658" s="116">
        <v>4225.45</v>
      </c>
      <c r="N1658" s="116">
        <v>4294.7</v>
      </c>
      <c r="O1658" s="116">
        <v>4015.45</v>
      </c>
      <c r="P1658" s="116">
        <v>4035.65</v>
      </c>
      <c r="Q1658" s="116">
        <v>4225.45</v>
      </c>
      <c r="R1658">
        <v>147631</v>
      </c>
    </row>
    <row r="1659" spans="1:18" x14ac:dyDescent="0.25">
      <c r="A1659" s="169">
        <v>44447</v>
      </c>
      <c r="B1659" s="116">
        <v>4444.8999999999996</v>
      </c>
      <c r="C1659" s="116">
        <v>4240.3500000000004</v>
      </c>
      <c r="D1659" s="116">
        <v>4206.8</v>
      </c>
      <c r="E1659" s="116">
        <v>4279.8999999999996</v>
      </c>
      <c r="F1659" s="116">
        <v>4240.3500000000004</v>
      </c>
      <c r="G1659">
        <v>23622</v>
      </c>
      <c r="H1659" s="116"/>
      <c r="I1659" s="116"/>
      <c r="L1659" s="169">
        <v>44447</v>
      </c>
      <c r="M1659" s="116">
        <v>4242.3</v>
      </c>
      <c r="N1659" s="116">
        <v>4410</v>
      </c>
      <c r="O1659" s="116">
        <v>4209.25</v>
      </c>
      <c r="P1659" s="116">
        <v>4256.8999999999996</v>
      </c>
      <c r="Q1659" s="116">
        <v>4242.3</v>
      </c>
      <c r="R1659">
        <v>187939</v>
      </c>
    </row>
    <row r="1660" spans="1:18" x14ac:dyDescent="0.25">
      <c r="A1660" s="169">
        <v>44448</v>
      </c>
      <c r="B1660" s="116">
        <v>4374.45</v>
      </c>
      <c r="C1660" s="116">
        <v>4313.8</v>
      </c>
      <c r="D1660" s="116">
        <v>4215</v>
      </c>
      <c r="E1660" s="116">
        <v>4240.3500000000004</v>
      </c>
      <c r="F1660" s="116">
        <v>4313.8</v>
      </c>
      <c r="G1660">
        <v>5337</v>
      </c>
      <c r="H1660" s="116"/>
      <c r="I1660" s="116"/>
      <c r="L1660" s="169">
        <v>44448</v>
      </c>
      <c r="M1660" s="116">
        <v>4319.6499999999996</v>
      </c>
      <c r="N1660" s="116">
        <v>4374.3999999999996</v>
      </c>
      <c r="O1660" s="116">
        <v>4250.1499999999996</v>
      </c>
      <c r="P1660" s="116">
        <v>4257</v>
      </c>
      <c r="Q1660" s="116">
        <v>4319.6499999999996</v>
      </c>
      <c r="R1660">
        <v>110552</v>
      </c>
    </row>
    <row r="1661" spans="1:18" x14ac:dyDescent="0.25">
      <c r="A1661" s="169">
        <v>44452</v>
      </c>
      <c r="B1661" s="116">
        <v>4719</v>
      </c>
      <c r="C1661" s="116">
        <v>4641.8500000000004</v>
      </c>
      <c r="D1661" s="116">
        <v>4346.1000000000004</v>
      </c>
      <c r="E1661" s="116">
        <v>4359</v>
      </c>
      <c r="F1661" s="116">
        <v>4641.8500000000004</v>
      </c>
      <c r="G1661">
        <v>14713</v>
      </c>
      <c r="H1661" s="116"/>
      <c r="I1661" s="116"/>
      <c r="L1661" s="169">
        <v>44452</v>
      </c>
      <c r="M1661" s="116">
        <v>4645.3500000000004</v>
      </c>
      <c r="N1661" s="116">
        <v>4724</v>
      </c>
      <c r="O1661" s="116">
        <v>4345</v>
      </c>
      <c r="P1661" s="116">
        <v>4345.8</v>
      </c>
      <c r="Q1661" s="116">
        <v>4645.3500000000004</v>
      </c>
      <c r="R1661">
        <v>238085</v>
      </c>
    </row>
    <row r="1662" spans="1:18" x14ac:dyDescent="0.25">
      <c r="A1662" s="169">
        <v>44453</v>
      </c>
      <c r="B1662" s="116">
        <v>5017.8500000000004</v>
      </c>
      <c r="C1662" s="116">
        <v>4988.3</v>
      </c>
      <c r="D1662" s="116">
        <v>4650</v>
      </c>
      <c r="E1662" s="116">
        <v>4721</v>
      </c>
      <c r="F1662" s="116">
        <v>4988.3</v>
      </c>
      <c r="G1662">
        <v>19944</v>
      </c>
      <c r="H1662" s="116"/>
      <c r="I1662" s="116"/>
      <c r="L1662" s="169">
        <v>44453</v>
      </c>
      <c r="M1662" s="116">
        <v>4974.8</v>
      </c>
      <c r="N1662" s="116">
        <v>5005</v>
      </c>
      <c r="O1662" s="116">
        <v>4675</v>
      </c>
      <c r="P1662" s="116">
        <v>4735</v>
      </c>
      <c r="Q1662" s="116">
        <v>4974.8</v>
      </c>
      <c r="R1662">
        <v>329741</v>
      </c>
    </row>
    <row r="1663" spans="1:18" x14ac:dyDescent="0.25">
      <c r="A1663" s="169">
        <v>44454</v>
      </c>
      <c r="B1663" s="116">
        <v>5220</v>
      </c>
      <c r="C1663" s="116">
        <v>4953.8</v>
      </c>
      <c r="D1663" s="116">
        <v>4831.6000000000004</v>
      </c>
      <c r="E1663" s="116">
        <v>5029.8</v>
      </c>
      <c r="F1663" s="116">
        <v>4953.8</v>
      </c>
      <c r="G1663">
        <v>37796</v>
      </c>
      <c r="H1663" s="116"/>
      <c r="I1663" s="116"/>
      <c r="L1663" s="169">
        <v>44454</v>
      </c>
      <c r="M1663" s="116">
        <v>4946.45</v>
      </c>
      <c r="N1663" s="116">
        <v>5223.55</v>
      </c>
      <c r="O1663" s="116">
        <v>4835</v>
      </c>
      <c r="P1663" s="116">
        <v>5000</v>
      </c>
      <c r="Q1663" s="116">
        <v>4946.45</v>
      </c>
      <c r="R1663">
        <v>300802</v>
      </c>
    </row>
    <row r="1664" spans="1:18" x14ac:dyDescent="0.25">
      <c r="A1664" s="169">
        <v>44455</v>
      </c>
      <c r="B1664" s="116">
        <v>5074.95</v>
      </c>
      <c r="C1664" s="116">
        <v>4915.7</v>
      </c>
      <c r="D1664" s="116">
        <v>4652.3500000000004</v>
      </c>
      <c r="E1664" s="116">
        <v>4970</v>
      </c>
      <c r="F1664" s="116">
        <v>4915.7</v>
      </c>
      <c r="G1664">
        <v>60360</v>
      </c>
      <c r="H1664" s="116"/>
      <c r="I1664" s="116"/>
      <c r="L1664" s="169">
        <v>44455</v>
      </c>
      <c r="M1664" s="116">
        <v>4918.3</v>
      </c>
      <c r="N1664" s="116">
        <v>5073.75</v>
      </c>
      <c r="O1664" s="116">
        <v>4700</v>
      </c>
      <c r="P1664" s="116">
        <v>4971.2</v>
      </c>
      <c r="Q1664" s="116">
        <v>4918.3</v>
      </c>
      <c r="R1664">
        <v>204259</v>
      </c>
    </row>
    <row r="1665" spans="1:18" x14ac:dyDescent="0.25">
      <c r="A1665" s="169">
        <v>44456</v>
      </c>
      <c r="B1665" s="116">
        <v>4909</v>
      </c>
      <c r="C1665" s="116">
        <v>4761.25</v>
      </c>
      <c r="D1665" s="116">
        <v>4706</v>
      </c>
      <c r="E1665" s="116">
        <v>4909</v>
      </c>
      <c r="F1665" s="116">
        <v>4761.25</v>
      </c>
      <c r="G1665">
        <v>7322</v>
      </c>
      <c r="H1665" s="116"/>
      <c r="I1665" s="116"/>
      <c r="L1665" s="169">
        <v>44456</v>
      </c>
      <c r="M1665" s="116">
        <v>4780.95</v>
      </c>
      <c r="N1665" s="116">
        <v>4900</v>
      </c>
      <c r="O1665" s="116">
        <v>4705</v>
      </c>
      <c r="P1665" s="116">
        <v>4900</v>
      </c>
      <c r="Q1665" s="116">
        <v>4780.95</v>
      </c>
      <c r="R1665">
        <v>529578</v>
      </c>
    </row>
    <row r="1666" spans="1:18" x14ac:dyDescent="0.25">
      <c r="A1666" s="169">
        <v>44459</v>
      </c>
      <c r="B1666" s="116">
        <v>4740</v>
      </c>
      <c r="C1666" s="116">
        <v>4590.1499999999996</v>
      </c>
      <c r="D1666" s="116">
        <v>4577.8999999999996</v>
      </c>
      <c r="E1666" s="116">
        <v>4740</v>
      </c>
      <c r="F1666" s="116">
        <v>4590.1499999999996</v>
      </c>
      <c r="G1666">
        <v>8653</v>
      </c>
      <c r="H1666" s="116"/>
      <c r="I1666" s="116"/>
      <c r="L1666" s="169">
        <v>44459</v>
      </c>
      <c r="M1666" s="116">
        <v>4594.3</v>
      </c>
      <c r="N1666" s="116">
        <v>4698.75</v>
      </c>
      <c r="O1666" s="116">
        <v>4575</v>
      </c>
      <c r="P1666" s="116">
        <v>4698.75</v>
      </c>
      <c r="Q1666" s="116">
        <v>4594.3</v>
      </c>
      <c r="R1666">
        <v>145532</v>
      </c>
    </row>
    <row r="1667" spans="1:18" x14ac:dyDescent="0.25">
      <c r="A1667" s="169">
        <v>44460</v>
      </c>
      <c r="B1667" s="116">
        <v>4680.55</v>
      </c>
      <c r="C1667" s="116">
        <v>4654.45</v>
      </c>
      <c r="D1667" s="116">
        <v>4357.5</v>
      </c>
      <c r="E1667" s="116">
        <v>4590.1499999999996</v>
      </c>
      <c r="F1667" s="116">
        <v>4654.45</v>
      </c>
      <c r="G1667">
        <v>12069</v>
      </c>
      <c r="H1667" s="116"/>
      <c r="I1667" s="116"/>
      <c r="L1667" s="169">
        <v>44460</v>
      </c>
      <c r="M1667" s="116">
        <v>4652.1499999999996</v>
      </c>
      <c r="N1667" s="116">
        <v>4684.7</v>
      </c>
      <c r="O1667" s="116">
        <v>4352</v>
      </c>
      <c r="P1667" s="116">
        <v>4550</v>
      </c>
      <c r="Q1667" s="116">
        <v>4652.1499999999996</v>
      </c>
      <c r="R1667">
        <v>179390</v>
      </c>
    </row>
    <row r="1668" spans="1:18" x14ac:dyDescent="0.25">
      <c r="A1668" s="169">
        <v>44461</v>
      </c>
      <c r="B1668" s="116">
        <v>4749.95</v>
      </c>
      <c r="C1668" s="116">
        <v>4648.1000000000004</v>
      </c>
      <c r="D1668" s="116">
        <v>4620</v>
      </c>
      <c r="E1668" s="116">
        <v>4694</v>
      </c>
      <c r="F1668" s="116">
        <v>4648.1000000000004</v>
      </c>
      <c r="G1668">
        <v>9827</v>
      </c>
      <c r="H1668" s="116"/>
      <c r="I1668" s="116"/>
      <c r="L1668" s="169">
        <v>44461</v>
      </c>
      <c r="M1668" s="116">
        <v>4650.3</v>
      </c>
      <c r="N1668" s="116">
        <v>4748</v>
      </c>
      <c r="O1668" s="116">
        <v>4635.5</v>
      </c>
      <c r="P1668" s="116">
        <v>4680</v>
      </c>
      <c r="Q1668" s="116">
        <v>4650.3</v>
      </c>
      <c r="R1668">
        <v>64668</v>
      </c>
    </row>
    <row r="1669" spans="1:18" x14ac:dyDescent="0.25">
      <c r="A1669" s="169">
        <v>44462</v>
      </c>
      <c r="B1669" s="116">
        <v>4712.3500000000004</v>
      </c>
      <c r="C1669" s="116">
        <v>4674.6000000000004</v>
      </c>
      <c r="D1669" s="116">
        <v>4601</v>
      </c>
      <c r="E1669" s="116">
        <v>4601</v>
      </c>
      <c r="F1669" s="116">
        <v>4674.6000000000004</v>
      </c>
      <c r="G1669">
        <v>1887</v>
      </c>
      <c r="H1669" s="116"/>
      <c r="I1669" s="116"/>
      <c r="L1669" s="169">
        <v>44462</v>
      </c>
      <c r="M1669" s="116">
        <v>4673.95</v>
      </c>
      <c r="N1669" s="116">
        <v>4715</v>
      </c>
      <c r="O1669" s="116">
        <v>4651.1499999999996</v>
      </c>
      <c r="P1669" s="116">
        <v>4667.8</v>
      </c>
      <c r="Q1669" s="116">
        <v>4673.95</v>
      </c>
      <c r="R1669">
        <v>50848</v>
      </c>
    </row>
    <row r="1670" spans="1:18" x14ac:dyDescent="0.25">
      <c r="A1670" s="169">
        <v>44463</v>
      </c>
      <c r="B1670" s="116">
        <v>4705.3</v>
      </c>
      <c r="C1670" s="116">
        <v>4614.5</v>
      </c>
      <c r="D1670" s="116">
        <v>4485</v>
      </c>
      <c r="E1670" s="116">
        <v>4485</v>
      </c>
      <c r="F1670" s="116">
        <v>4614.5</v>
      </c>
      <c r="G1670">
        <v>9325</v>
      </c>
      <c r="H1670" s="116"/>
      <c r="I1670" s="116"/>
      <c r="L1670" s="169">
        <v>44463</v>
      </c>
      <c r="M1670" s="116">
        <v>4616</v>
      </c>
      <c r="N1670" s="116">
        <v>4697.3500000000004</v>
      </c>
      <c r="O1670" s="116">
        <v>4550</v>
      </c>
      <c r="P1670" s="116">
        <v>4697.3500000000004</v>
      </c>
      <c r="Q1670" s="116">
        <v>4616</v>
      </c>
      <c r="R1670">
        <v>46866</v>
      </c>
    </row>
    <row r="1671" spans="1:18" x14ac:dyDescent="0.25">
      <c r="A1671" s="169">
        <v>44466</v>
      </c>
      <c r="B1671" s="116">
        <v>4680</v>
      </c>
      <c r="C1671" s="116">
        <v>4590.75</v>
      </c>
      <c r="D1671" s="116">
        <v>4560.05</v>
      </c>
      <c r="E1671" s="116">
        <v>4680</v>
      </c>
      <c r="F1671" s="116">
        <v>4590.75</v>
      </c>
      <c r="G1671">
        <v>2178</v>
      </c>
      <c r="H1671" s="116"/>
      <c r="I1671" s="116"/>
      <c r="L1671" s="169">
        <v>44466</v>
      </c>
      <c r="M1671" s="116">
        <v>4587.55</v>
      </c>
      <c r="N1671" s="116">
        <v>4684.7</v>
      </c>
      <c r="O1671" s="116">
        <v>4560</v>
      </c>
      <c r="P1671" s="116">
        <v>4660</v>
      </c>
      <c r="Q1671" s="116">
        <v>4587.55</v>
      </c>
      <c r="R1671">
        <v>34441</v>
      </c>
    </row>
    <row r="1672" spans="1:18" x14ac:dyDescent="0.25">
      <c r="A1672" s="169">
        <v>44467</v>
      </c>
      <c r="B1672" s="116">
        <v>4624</v>
      </c>
      <c r="C1672" s="116">
        <v>4518.2</v>
      </c>
      <c r="D1672" s="116">
        <v>4443.05</v>
      </c>
      <c r="E1672" s="116">
        <v>4624</v>
      </c>
      <c r="F1672" s="116">
        <v>4518.2</v>
      </c>
      <c r="G1672">
        <v>8996</v>
      </c>
      <c r="H1672" s="116"/>
      <c r="I1672" s="116"/>
      <c r="L1672" s="169">
        <v>44467</v>
      </c>
      <c r="M1672" s="116">
        <v>4517.6000000000004</v>
      </c>
      <c r="N1672" s="116">
        <v>4604.6000000000004</v>
      </c>
      <c r="O1672" s="116">
        <v>4444</v>
      </c>
      <c r="P1672" s="116">
        <v>4600</v>
      </c>
      <c r="Q1672" s="116">
        <v>4517.6000000000004</v>
      </c>
      <c r="R1672">
        <v>54980</v>
      </c>
    </row>
    <row r="1673" spans="1:18" x14ac:dyDescent="0.25">
      <c r="A1673" s="169">
        <v>44468</v>
      </c>
      <c r="B1673" s="116">
        <v>4674</v>
      </c>
      <c r="C1673" s="116">
        <v>4603.5</v>
      </c>
      <c r="D1673" s="116">
        <v>4431</v>
      </c>
      <c r="E1673" s="116">
        <v>4431</v>
      </c>
      <c r="F1673" s="116">
        <v>4603.5</v>
      </c>
      <c r="G1673">
        <v>8730</v>
      </c>
      <c r="H1673" s="116"/>
      <c r="I1673" s="116"/>
      <c r="L1673" s="169">
        <v>44468</v>
      </c>
      <c r="M1673" s="116">
        <v>4602.6000000000004</v>
      </c>
      <c r="N1673" s="116">
        <v>4675</v>
      </c>
      <c r="O1673" s="116">
        <v>4451.7</v>
      </c>
      <c r="P1673" s="116">
        <v>4480</v>
      </c>
      <c r="Q1673" s="116">
        <v>4602.6000000000004</v>
      </c>
      <c r="R1673">
        <v>61462</v>
      </c>
    </row>
    <row r="1674" spans="1:18" x14ac:dyDescent="0.25">
      <c r="A1674" s="169">
        <v>44469</v>
      </c>
      <c r="B1674" s="116">
        <v>4675</v>
      </c>
      <c r="C1674" s="116">
        <v>4516.1000000000004</v>
      </c>
      <c r="D1674" s="116">
        <v>4501</v>
      </c>
      <c r="E1674" s="116">
        <v>4675</v>
      </c>
      <c r="F1674" s="116">
        <v>4516.1000000000004</v>
      </c>
      <c r="G1674">
        <v>6139</v>
      </c>
      <c r="H1674" s="116"/>
      <c r="I1674" s="116"/>
      <c r="L1674" s="169">
        <v>44469</v>
      </c>
      <c r="M1674" s="116">
        <v>4517.3999999999996</v>
      </c>
      <c r="N1674" s="116">
        <v>4635.05</v>
      </c>
      <c r="O1674" s="116">
        <v>4509</v>
      </c>
      <c r="P1674" s="116">
        <v>4615</v>
      </c>
      <c r="Q1674" s="116">
        <v>4517.3999999999996</v>
      </c>
      <c r="R1674">
        <v>36026</v>
      </c>
    </row>
    <row r="1675" spans="1:18" x14ac:dyDescent="0.25">
      <c r="A1675" s="169">
        <v>44470</v>
      </c>
      <c r="B1675" s="116">
        <v>4577</v>
      </c>
      <c r="C1675" s="116">
        <v>4550.05</v>
      </c>
      <c r="D1675" s="116">
        <v>4460.05</v>
      </c>
      <c r="E1675" s="116">
        <v>4550</v>
      </c>
      <c r="F1675" s="116">
        <v>4550.05</v>
      </c>
      <c r="G1675">
        <v>3187</v>
      </c>
      <c r="H1675" s="116"/>
      <c r="I1675" s="116"/>
      <c r="L1675" s="169">
        <v>44470</v>
      </c>
      <c r="M1675" s="116">
        <v>4549.8500000000004</v>
      </c>
      <c r="N1675" s="116">
        <v>4581.6499999999996</v>
      </c>
      <c r="O1675" s="116">
        <v>4452</v>
      </c>
      <c r="P1675" s="116">
        <v>4500</v>
      </c>
      <c r="Q1675" s="116">
        <v>4549.8500000000004</v>
      </c>
      <c r="R1675">
        <v>46519</v>
      </c>
    </row>
    <row r="1676" spans="1:18" x14ac:dyDescent="0.25">
      <c r="A1676" s="169">
        <v>44473</v>
      </c>
      <c r="B1676" s="116">
        <v>4740.3999999999996</v>
      </c>
      <c r="C1676" s="116">
        <v>4695.8500000000004</v>
      </c>
      <c r="D1676" s="116">
        <v>4540.8999999999996</v>
      </c>
      <c r="E1676" s="116">
        <v>4562</v>
      </c>
      <c r="F1676" s="116">
        <v>4695.8500000000004</v>
      </c>
      <c r="G1676">
        <v>12405</v>
      </c>
      <c r="H1676" s="116"/>
      <c r="I1676" s="116"/>
      <c r="L1676" s="169">
        <v>44473</v>
      </c>
      <c r="M1676" s="116">
        <v>4695.8500000000004</v>
      </c>
      <c r="N1676" s="116">
        <v>4743</v>
      </c>
      <c r="O1676" s="116">
        <v>4545</v>
      </c>
      <c r="P1676" s="116">
        <v>4575</v>
      </c>
      <c r="Q1676" s="116">
        <v>4695.8500000000004</v>
      </c>
      <c r="R1676">
        <v>77837</v>
      </c>
    </row>
    <row r="1677" spans="1:18" x14ac:dyDescent="0.25">
      <c r="A1677" s="169">
        <v>44474</v>
      </c>
      <c r="B1677" s="116">
        <v>4799</v>
      </c>
      <c r="C1677" s="116">
        <v>4683.7</v>
      </c>
      <c r="D1677" s="116">
        <v>4650.3500000000004</v>
      </c>
      <c r="E1677" s="116">
        <v>4705</v>
      </c>
      <c r="F1677" s="116">
        <v>4683.7</v>
      </c>
      <c r="G1677">
        <v>16158</v>
      </c>
      <c r="H1677" s="116"/>
      <c r="I1677" s="116"/>
      <c r="L1677" s="169">
        <v>44474</v>
      </c>
      <c r="M1677" s="116">
        <v>4687.5</v>
      </c>
      <c r="N1677" s="116">
        <v>4805</v>
      </c>
      <c r="O1677" s="116">
        <v>4625</v>
      </c>
      <c r="P1677" s="116">
        <v>4725</v>
      </c>
      <c r="Q1677" s="116">
        <v>4687.5</v>
      </c>
      <c r="R1677">
        <v>110261</v>
      </c>
    </row>
    <row r="1678" spans="1:18" x14ac:dyDescent="0.25">
      <c r="A1678" s="169">
        <v>44475</v>
      </c>
      <c r="B1678" s="116">
        <v>4729.6000000000004</v>
      </c>
      <c r="C1678" s="116">
        <v>4640.75</v>
      </c>
      <c r="D1678" s="116">
        <v>4622.3500000000004</v>
      </c>
      <c r="E1678" s="116">
        <v>4684</v>
      </c>
      <c r="F1678" s="116">
        <v>4640.75</v>
      </c>
      <c r="G1678">
        <v>2270</v>
      </c>
      <c r="H1678" s="116"/>
      <c r="I1678" s="116"/>
      <c r="L1678" s="169">
        <v>44475</v>
      </c>
      <c r="M1678" s="116">
        <v>4632.5</v>
      </c>
      <c r="N1678" s="116">
        <v>4722.5</v>
      </c>
      <c r="O1678" s="116">
        <v>4621.25</v>
      </c>
      <c r="P1678" s="116">
        <v>4695</v>
      </c>
      <c r="Q1678" s="116">
        <v>4632.5</v>
      </c>
      <c r="R1678">
        <v>72039</v>
      </c>
    </row>
    <row r="1679" spans="1:18" x14ac:dyDescent="0.25">
      <c r="A1679" s="169">
        <v>44476</v>
      </c>
      <c r="B1679" s="116">
        <v>4687.95</v>
      </c>
      <c r="C1679" s="116">
        <v>4565.75</v>
      </c>
      <c r="D1679" s="116">
        <v>4554.05</v>
      </c>
      <c r="E1679" s="116">
        <v>4583</v>
      </c>
      <c r="F1679" s="116">
        <v>4565.75</v>
      </c>
      <c r="G1679">
        <v>10721</v>
      </c>
      <c r="H1679" s="116"/>
      <c r="I1679" s="116"/>
      <c r="L1679" s="169">
        <v>44476</v>
      </c>
      <c r="M1679" s="116">
        <v>4568.3999999999996</v>
      </c>
      <c r="N1679" s="116">
        <v>4656</v>
      </c>
      <c r="O1679" s="116">
        <v>4552.55</v>
      </c>
      <c r="P1679" s="116">
        <v>4656</v>
      </c>
      <c r="Q1679" s="116">
        <v>4568.3999999999996</v>
      </c>
      <c r="R1679">
        <v>88326</v>
      </c>
    </row>
    <row r="1680" spans="1:18" x14ac:dyDescent="0.25">
      <c r="A1680" s="169">
        <v>44477</v>
      </c>
      <c r="B1680" s="116">
        <v>4577.2</v>
      </c>
      <c r="C1680" s="116">
        <v>4517.3</v>
      </c>
      <c r="D1680" s="116">
        <v>4501.05</v>
      </c>
      <c r="E1680" s="116">
        <v>4546.6000000000004</v>
      </c>
      <c r="F1680" s="116">
        <v>4517.3</v>
      </c>
      <c r="G1680">
        <v>2654</v>
      </c>
      <c r="H1680" s="116"/>
      <c r="I1680" s="116"/>
      <c r="L1680" s="169">
        <v>44477</v>
      </c>
      <c r="M1680" s="116">
        <v>4519.6499999999996</v>
      </c>
      <c r="N1680" s="116">
        <v>4580.3500000000004</v>
      </c>
      <c r="O1680" s="116">
        <v>4500.8500000000004</v>
      </c>
      <c r="P1680" s="116">
        <v>4568</v>
      </c>
      <c r="Q1680" s="116">
        <v>4519.6499999999996</v>
      </c>
      <c r="R1680">
        <v>46023</v>
      </c>
    </row>
    <row r="1681" spans="1:18" x14ac:dyDescent="0.25">
      <c r="A1681" s="169">
        <v>44480</v>
      </c>
      <c r="B1681" s="116">
        <v>4644.3500000000004</v>
      </c>
      <c r="C1681" s="116">
        <v>4507.95</v>
      </c>
      <c r="D1681" s="116">
        <v>4471.1000000000004</v>
      </c>
      <c r="E1681" s="116">
        <v>4563</v>
      </c>
      <c r="F1681" s="116">
        <v>4507.95</v>
      </c>
      <c r="G1681">
        <v>3230</v>
      </c>
      <c r="H1681" s="116"/>
      <c r="I1681" s="116"/>
      <c r="L1681" s="169">
        <v>44480</v>
      </c>
      <c r="M1681" s="116">
        <v>4506.95</v>
      </c>
      <c r="N1681" s="116">
        <v>4645</v>
      </c>
      <c r="O1681" s="116">
        <v>4472.6000000000004</v>
      </c>
      <c r="P1681" s="116">
        <v>4525</v>
      </c>
      <c r="Q1681" s="116">
        <v>4506.95</v>
      </c>
      <c r="R1681">
        <v>45019</v>
      </c>
    </row>
    <row r="1682" spans="1:18" x14ac:dyDescent="0.25">
      <c r="A1682" s="169">
        <v>44481</v>
      </c>
      <c r="B1682" s="116">
        <v>4545.1000000000004</v>
      </c>
      <c r="C1682" s="116">
        <v>4482.75</v>
      </c>
      <c r="D1682" s="116">
        <v>4468.5</v>
      </c>
      <c r="E1682" s="116">
        <v>4525</v>
      </c>
      <c r="F1682" s="116">
        <v>4482.75</v>
      </c>
      <c r="G1682">
        <v>5560</v>
      </c>
      <c r="H1682" s="116"/>
      <c r="I1682" s="116"/>
      <c r="L1682" s="169">
        <v>44481</v>
      </c>
      <c r="M1682" s="116">
        <v>4488.1000000000004</v>
      </c>
      <c r="N1682" s="116">
        <v>4544.2</v>
      </c>
      <c r="O1682" s="116">
        <v>4471.95</v>
      </c>
      <c r="P1682" s="116">
        <v>4520</v>
      </c>
      <c r="Q1682" s="116">
        <v>4488.1000000000004</v>
      </c>
      <c r="R1682">
        <v>28886</v>
      </c>
    </row>
    <row r="1683" spans="1:18" x14ac:dyDescent="0.25">
      <c r="A1683" s="169">
        <v>44482</v>
      </c>
      <c r="B1683" s="116">
        <v>4562</v>
      </c>
      <c r="C1683" s="116">
        <v>4478.45</v>
      </c>
      <c r="D1683" s="116">
        <v>4450</v>
      </c>
      <c r="E1683" s="116">
        <v>4530</v>
      </c>
      <c r="F1683" s="116">
        <v>4478.45</v>
      </c>
      <c r="G1683">
        <v>2262</v>
      </c>
      <c r="H1683" s="116"/>
      <c r="I1683" s="116"/>
      <c r="L1683" s="169">
        <v>44482</v>
      </c>
      <c r="M1683" s="116">
        <v>4472.95</v>
      </c>
      <c r="N1683" s="116">
        <v>4563.05</v>
      </c>
      <c r="O1683" s="116">
        <v>4455</v>
      </c>
      <c r="P1683" s="116">
        <v>4490.25</v>
      </c>
      <c r="Q1683" s="116">
        <v>4472.95</v>
      </c>
      <c r="R1683">
        <v>36149</v>
      </c>
    </row>
    <row r="1684" spans="1:18" x14ac:dyDescent="0.25">
      <c r="A1684" s="169">
        <v>44483</v>
      </c>
      <c r="B1684" s="116">
        <v>4555.8999999999996</v>
      </c>
      <c r="C1684" s="116">
        <v>4463.6499999999996</v>
      </c>
      <c r="D1684" s="116">
        <v>4444.8999999999996</v>
      </c>
      <c r="E1684" s="116">
        <v>4450</v>
      </c>
      <c r="F1684" s="116">
        <v>4463.6499999999996</v>
      </c>
      <c r="G1684">
        <v>6998</v>
      </c>
      <c r="H1684" s="116"/>
      <c r="I1684" s="116"/>
      <c r="L1684" s="169">
        <v>44483</v>
      </c>
      <c r="M1684" s="116">
        <v>4464.7</v>
      </c>
      <c r="N1684" s="116">
        <v>4560</v>
      </c>
      <c r="O1684" s="116">
        <v>4445</v>
      </c>
      <c r="P1684" s="116">
        <v>4489.8</v>
      </c>
      <c r="Q1684" s="116">
        <v>4464.7</v>
      </c>
      <c r="R1684">
        <v>41004</v>
      </c>
    </row>
    <row r="1685" spans="1:18" x14ac:dyDescent="0.25">
      <c r="A1685" s="169">
        <v>44487</v>
      </c>
      <c r="B1685" s="116">
        <v>4519</v>
      </c>
      <c r="C1685" s="116">
        <v>4485.5</v>
      </c>
      <c r="D1685" s="116">
        <v>4444</v>
      </c>
      <c r="E1685" s="116">
        <v>4444</v>
      </c>
      <c r="F1685" s="116">
        <v>4485.5</v>
      </c>
      <c r="G1685">
        <v>2133</v>
      </c>
      <c r="H1685" s="116"/>
      <c r="I1685" s="116"/>
      <c r="L1685" s="169">
        <v>44487</v>
      </c>
      <c r="M1685" s="116">
        <v>4485.1000000000004</v>
      </c>
      <c r="N1685" s="116">
        <v>4520</v>
      </c>
      <c r="O1685" s="116">
        <v>4465.25</v>
      </c>
      <c r="P1685" s="116">
        <v>4465.25</v>
      </c>
      <c r="Q1685" s="116">
        <v>4485.1000000000004</v>
      </c>
      <c r="R1685">
        <v>29600</v>
      </c>
    </row>
    <row r="1686" spans="1:18" x14ac:dyDescent="0.25">
      <c r="A1686" s="169">
        <v>44488</v>
      </c>
      <c r="B1686" s="116">
        <v>4588</v>
      </c>
      <c r="C1686" s="116">
        <v>4471.8999999999996</v>
      </c>
      <c r="D1686" s="116">
        <v>4443.3</v>
      </c>
      <c r="E1686" s="116">
        <v>4519</v>
      </c>
      <c r="F1686" s="116">
        <v>4471.8999999999996</v>
      </c>
      <c r="G1686">
        <v>8321</v>
      </c>
      <c r="H1686" s="116"/>
      <c r="I1686" s="116"/>
      <c r="L1686" s="169">
        <v>44488</v>
      </c>
      <c r="M1686" s="116">
        <v>4480.75</v>
      </c>
      <c r="N1686" s="116">
        <v>4588.8</v>
      </c>
      <c r="O1686" s="116">
        <v>4447</v>
      </c>
      <c r="P1686" s="116">
        <v>4490</v>
      </c>
      <c r="Q1686" s="116">
        <v>4480.75</v>
      </c>
      <c r="R1686">
        <v>42951</v>
      </c>
    </row>
    <row r="1687" spans="1:18" x14ac:dyDescent="0.25">
      <c r="A1687" s="169">
        <v>44489</v>
      </c>
      <c r="B1687" s="116">
        <v>4483</v>
      </c>
      <c r="C1687" s="116">
        <v>4136.5</v>
      </c>
      <c r="D1687" s="116">
        <v>4075.05</v>
      </c>
      <c r="E1687" s="116">
        <v>4483</v>
      </c>
      <c r="F1687" s="116">
        <v>4136.5</v>
      </c>
      <c r="G1687">
        <v>9460</v>
      </c>
      <c r="H1687" s="116"/>
      <c r="I1687" s="116"/>
      <c r="L1687" s="169">
        <v>44489</v>
      </c>
      <c r="M1687" s="116">
        <v>4145.95</v>
      </c>
      <c r="N1687" s="116">
        <v>4476</v>
      </c>
      <c r="O1687" s="116">
        <v>4075.55</v>
      </c>
      <c r="P1687" s="116">
        <v>4476</v>
      </c>
      <c r="Q1687" s="116">
        <v>4145.95</v>
      </c>
      <c r="R1687">
        <v>113704</v>
      </c>
    </row>
    <row r="1688" spans="1:18" x14ac:dyDescent="0.25">
      <c r="A1688" s="169">
        <v>44490</v>
      </c>
      <c r="B1688" s="116">
        <v>4288</v>
      </c>
      <c r="C1688" s="116">
        <v>3831.85</v>
      </c>
      <c r="D1688" s="116">
        <v>3806</v>
      </c>
      <c r="E1688" s="116">
        <v>4288</v>
      </c>
      <c r="F1688" s="116">
        <v>3831.85</v>
      </c>
      <c r="G1688">
        <v>11823</v>
      </c>
      <c r="H1688" s="116"/>
      <c r="I1688" s="116"/>
      <c r="L1688" s="169">
        <v>44490</v>
      </c>
      <c r="M1688" s="116">
        <v>3822.5</v>
      </c>
      <c r="N1688" s="116">
        <v>4247.8500000000004</v>
      </c>
      <c r="O1688" s="116">
        <v>3800</v>
      </c>
      <c r="P1688" s="116">
        <v>4190</v>
      </c>
      <c r="Q1688" s="116">
        <v>3822.5</v>
      </c>
      <c r="R1688">
        <v>176492</v>
      </c>
    </row>
    <row r="1689" spans="1:18" x14ac:dyDescent="0.25">
      <c r="A1689" s="169">
        <v>44491</v>
      </c>
      <c r="B1689" s="116">
        <v>3820.75</v>
      </c>
      <c r="C1689" s="116">
        <v>3548.8</v>
      </c>
      <c r="D1689" s="116">
        <v>3502.8</v>
      </c>
      <c r="E1689" s="116">
        <v>3770</v>
      </c>
      <c r="F1689" s="116">
        <v>3548.8</v>
      </c>
      <c r="G1689">
        <v>44779</v>
      </c>
      <c r="H1689" s="116"/>
      <c r="I1689" s="116"/>
      <c r="L1689" s="169">
        <v>44491</v>
      </c>
      <c r="M1689" s="116">
        <v>3547</v>
      </c>
      <c r="N1689" s="116">
        <v>3816.65</v>
      </c>
      <c r="O1689" s="116">
        <v>3502.1</v>
      </c>
      <c r="P1689" s="116">
        <v>3752.25</v>
      </c>
      <c r="Q1689" s="116">
        <v>3547</v>
      </c>
      <c r="R1689">
        <v>232685</v>
      </c>
    </row>
    <row r="1690" spans="1:18" x14ac:dyDescent="0.25">
      <c r="A1690" s="169">
        <v>44494</v>
      </c>
      <c r="B1690" s="116">
        <v>3941.55</v>
      </c>
      <c r="C1690" s="116">
        <v>3820.8</v>
      </c>
      <c r="D1690" s="116">
        <v>3505.35</v>
      </c>
      <c r="E1690" s="116">
        <v>3539</v>
      </c>
      <c r="F1690" s="116">
        <v>3820.8</v>
      </c>
      <c r="G1690">
        <v>41652</v>
      </c>
      <c r="H1690" s="116"/>
      <c r="I1690" s="116"/>
      <c r="L1690" s="169">
        <v>44494</v>
      </c>
      <c r="M1690" s="116">
        <v>3824.5</v>
      </c>
      <c r="N1690" s="116">
        <v>3935.2</v>
      </c>
      <c r="O1690" s="116">
        <v>3511</v>
      </c>
      <c r="P1690" s="116">
        <v>3550</v>
      </c>
      <c r="Q1690" s="116">
        <v>3824.5</v>
      </c>
      <c r="R1690">
        <v>245196</v>
      </c>
    </row>
    <row r="1691" spans="1:18" x14ac:dyDescent="0.25">
      <c r="A1691" s="169">
        <v>44495</v>
      </c>
      <c r="B1691" s="116">
        <v>4047.25</v>
      </c>
      <c r="C1691" s="116">
        <v>3970.45</v>
      </c>
      <c r="D1691" s="116">
        <v>3825</v>
      </c>
      <c r="E1691" s="116">
        <v>3825</v>
      </c>
      <c r="F1691" s="116">
        <v>3970.45</v>
      </c>
      <c r="G1691">
        <v>6601</v>
      </c>
      <c r="H1691" s="116"/>
      <c r="I1691" s="116"/>
      <c r="L1691" s="169">
        <v>44495</v>
      </c>
      <c r="M1691" s="116">
        <v>3965.8</v>
      </c>
      <c r="N1691" s="116">
        <v>4048.8</v>
      </c>
      <c r="O1691" s="116">
        <v>3825</v>
      </c>
      <c r="P1691" s="116">
        <v>3838</v>
      </c>
      <c r="Q1691" s="116">
        <v>3965.8</v>
      </c>
      <c r="R1691">
        <v>118649</v>
      </c>
    </row>
    <row r="1692" spans="1:18" x14ac:dyDescent="0.25">
      <c r="A1692" s="169">
        <v>44496</v>
      </c>
      <c r="B1692" s="116">
        <v>4050</v>
      </c>
      <c r="C1692" s="116">
        <v>3819.15</v>
      </c>
      <c r="D1692" s="116">
        <v>3735.05</v>
      </c>
      <c r="E1692" s="116">
        <v>4000</v>
      </c>
      <c r="F1692" s="116">
        <v>3819.15</v>
      </c>
      <c r="G1692">
        <v>10904</v>
      </c>
      <c r="H1692" s="116"/>
      <c r="I1692" s="116"/>
      <c r="L1692" s="169">
        <v>44496</v>
      </c>
      <c r="M1692" s="116">
        <v>3836.15</v>
      </c>
      <c r="N1692" s="116">
        <v>4048.95</v>
      </c>
      <c r="O1692" s="116">
        <v>3825.05</v>
      </c>
      <c r="P1692" s="116">
        <v>4010</v>
      </c>
      <c r="Q1692" s="116">
        <v>3836.15</v>
      </c>
      <c r="R1692">
        <v>63738</v>
      </c>
    </row>
    <row r="1693" spans="1:18" x14ac:dyDescent="0.25">
      <c r="A1693" s="169">
        <v>44497</v>
      </c>
      <c r="B1693" s="116">
        <v>3706.8</v>
      </c>
      <c r="C1693" s="116">
        <v>3560.55</v>
      </c>
      <c r="D1693" s="116">
        <v>3520</v>
      </c>
      <c r="E1693" s="116">
        <v>3706.8</v>
      </c>
      <c r="F1693" s="116">
        <v>3560.55</v>
      </c>
      <c r="G1693">
        <v>9490</v>
      </c>
      <c r="H1693" s="116"/>
      <c r="I1693" s="116"/>
      <c r="L1693" s="169">
        <v>44497</v>
      </c>
      <c r="M1693" s="116">
        <v>3558.95</v>
      </c>
      <c r="N1693" s="116">
        <v>3737</v>
      </c>
      <c r="O1693" s="116">
        <v>3520</v>
      </c>
      <c r="P1693" s="116">
        <v>3737</v>
      </c>
      <c r="Q1693" s="116">
        <v>3558.95</v>
      </c>
      <c r="R1693">
        <v>175488</v>
      </c>
    </row>
    <row r="1694" spans="1:18" x14ac:dyDescent="0.25">
      <c r="A1694" s="169">
        <v>44498</v>
      </c>
      <c r="B1694" s="116">
        <v>3620.35</v>
      </c>
      <c r="C1694" s="116">
        <v>3460.6</v>
      </c>
      <c r="D1694" s="116">
        <v>3386.6</v>
      </c>
      <c r="E1694" s="116">
        <v>3520</v>
      </c>
      <c r="F1694" s="116">
        <v>3460.6</v>
      </c>
      <c r="G1694">
        <v>15184</v>
      </c>
      <c r="H1694" s="116"/>
      <c r="I1694" s="116"/>
      <c r="L1694" s="169">
        <v>44498</v>
      </c>
      <c r="M1694" s="116">
        <v>3459.9</v>
      </c>
      <c r="N1694" s="116">
        <v>3620</v>
      </c>
      <c r="O1694" s="116">
        <v>3399</v>
      </c>
      <c r="P1694" s="116">
        <v>3564</v>
      </c>
      <c r="Q1694" s="116">
        <v>3459.9</v>
      </c>
      <c r="R1694">
        <v>91891</v>
      </c>
    </row>
    <row r="1695" spans="1:18" x14ac:dyDescent="0.25">
      <c r="A1695" s="169">
        <v>44501</v>
      </c>
      <c r="B1695" s="116">
        <v>3469.95</v>
      </c>
      <c r="C1695" s="116">
        <v>3290.95</v>
      </c>
      <c r="D1695" s="116">
        <v>3279.95</v>
      </c>
      <c r="E1695" s="116">
        <v>3383</v>
      </c>
      <c r="F1695" s="116">
        <v>3290.95</v>
      </c>
      <c r="G1695">
        <v>22793</v>
      </c>
      <c r="H1695" s="116"/>
      <c r="I1695" s="116"/>
      <c r="L1695" s="169">
        <v>44501</v>
      </c>
      <c r="M1695" s="116">
        <v>3289.3</v>
      </c>
      <c r="N1695" s="116">
        <v>3467.25</v>
      </c>
      <c r="O1695" s="116">
        <v>3280</v>
      </c>
      <c r="P1695" s="116">
        <v>3390</v>
      </c>
      <c r="Q1695" s="116">
        <v>3289.3</v>
      </c>
      <c r="R1695">
        <v>151160</v>
      </c>
    </row>
    <row r="1696" spans="1:18" x14ac:dyDescent="0.25">
      <c r="A1696" s="169">
        <v>44502</v>
      </c>
      <c r="B1696" s="116">
        <v>3424.75</v>
      </c>
      <c r="C1696" s="116">
        <v>3356.6</v>
      </c>
      <c r="D1696" s="116">
        <v>3025.7</v>
      </c>
      <c r="E1696" s="116">
        <v>3374</v>
      </c>
      <c r="F1696" s="116">
        <v>3356.6</v>
      </c>
      <c r="G1696">
        <v>64659</v>
      </c>
      <c r="H1696" s="116"/>
      <c r="I1696" s="116"/>
      <c r="L1696" s="169">
        <v>44502</v>
      </c>
      <c r="M1696" s="116">
        <v>3353.05</v>
      </c>
      <c r="N1696" s="116">
        <v>3425</v>
      </c>
      <c r="O1696" s="116">
        <v>3025.2</v>
      </c>
      <c r="P1696" s="116">
        <v>3344</v>
      </c>
      <c r="Q1696" s="116">
        <v>3353.05</v>
      </c>
      <c r="R1696">
        <v>177435</v>
      </c>
    </row>
    <row r="1697" spans="1:18" x14ac:dyDescent="0.25">
      <c r="A1697" s="169">
        <v>44503</v>
      </c>
      <c r="B1697" s="116">
        <v>3496.4</v>
      </c>
      <c r="C1697" s="116">
        <v>3394.35</v>
      </c>
      <c r="D1697" s="116">
        <v>3357.1</v>
      </c>
      <c r="E1697" s="116">
        <v>3357.1</v>
      </c>
      <c r="F1697" s="116">
        <v>3394.35</v>
      </c>
      <c r="G1697">
        <v>12843</v>
      </c>
      <c r="H1697" s="116"/>
      <c r="I1697" s="116"/>
      <c r="L1697" s="169">
        <v>44503</v>
      </c>
      <c r="M1697" s="116">
        <v>3394.25</v>
      </c>
      <c r="N1697" s="116">
        <v>3498</v>
      </c>
      <c r="O1697" s="116">
        <v>3360</v>
      </c>
      <c r="P1697" s="116">
        <v>3365</v>
      </c>
      <c r="Q1697" s="116">
        <v>3394.25</v>
      </c>
      <c r="R1697">
        <v>91813</v>
      </c>
    </row>
    <row r="1698" spans="1:18" x14ac:dyDescent="0.25">
      <c r="A1698" s="169">
        <v>44504</v>
      </c>
      <c r="B1698" s="116">
        <v>3465</v>
      </c>
      <c r="C1698" s="116">
        <v>3452.2</v>
      </c>
      <c r="D1698" s="116">
        <v>3395.65</v>
      </c>
      <c r="E1698" s="116">
        <v>3396.4</v>
      </c>
      <c r="F1698" s="116">
        <v>3452.2</v>
      </c>
      <c r="G1698">
        <v>4540</v>
      </c>
      <c r="H1698" s="116"/>
      <c r="I1698" s="116"/>
      <c r="L1698" s="169">
        <v>44504</v>
      </c>
      <c r="M1698" s="116">
        <v>3453</v>
      </c>
      <c r="N1698" s="116">
        <v>3476</v>
      </c>
      <c r="O1698" s="116">
        <v>3395.05</v>
      </c>
      <c r="P1698" s="116">
        <v>3431</v>
      </c>
      <c r="Q1698" s="116">
        <v>3453</v>
      </c>
      <c r="R1698">
        <v>24037</v>
      </c>
    </row>
    <row r="1699" spans="1:18" x14ac:dyDescent="0.25">
      <c r="A1699" s="169">
        <v>44508</v>
      </c>
      <c r="B1699" s="116">
        <v>3499.95</v>
      </c>
      <c r="C1699" s="116">
        <v>3292.85</v>
      </c>
      <c r="D1699" s="116">
        <v>3280.15</v>
      </c>
      <c r="E1699" s="116">
        <v>3475</v>
      </c>
      <c r="F1699" s="116">
        <v>3292.85</v>
      </c>
      <c r="G1699">
        <v>7309</v>
      </c>
      <c r="H1699" s="116"/>
      <c r="I1699" s="116"/>
      <c r="L1699" s="169">
        <v>44508</v>
      </c>
      <c r="M1699" s="116">
        <v>3294.5</v>
      </c>
      <c r="N1699" s="116">
        <v>3500</v>
      </c>
      <c r="O1699" s="116">
        <v>3289.15</v>
      </c>
      <c r="P1699" s="116">
        <v>3492.9</v>
      </c>
      <c r="Q1699" s="116">
        <v>3294.5</v>
      </c>
      <c r="R1699">
        <v>129898</v>
      </c>
    </row>
    <row r="1700" spans="1:18" x14ac:dyDescent="0.25">
      <c r="A1700" s="169">
        <v>44509</v>
      </c>
      <c r="B1700" s="116">
        <v>3334.5</v>
      </c>
      <c r="C1700" s="116">
        <v>3271.9</v>
      </c>
      <c r="D1700" s="116">
        <v>3266</v>
      </c>
      <c r="E1700" s="116">
        <v>3334.5</v>
      </c>
      <c r="F1700" s="116">
        <v>3271.9</v>
      </c>
      <c r="G1700">
        <v>4334</v>
      </c>
      <c r="H1700" s="116"/>
      <c r="I1700" s="116"/>
      <c r="L1700" s="169">
        <v>44509</v>
      </c>
      <c r="M1700" s="116">
        <v>3270.85</v>
      </c>
      <c r="N1700" s="116">
        <v>3340</v>
      </c>
      <c r="O1700" s="116">
        <v>3265</v>
      </c>
      <c r="P1700" s="116">
        <v>3326.7</v>
      </c>
      <c r="Q1700" s="116">
        <v>3270.85</v>
      </c>
      <c r="R1700">
        <v>77696</v>
      </c>
    </row>
    <row r="1701" spans="1:18" x14ac:dyDescent="0.25">
      <c r="A1701" s="169">
        <v>44510</v>
      </c>
      <c r="B1701" s="116">
        <v>3300</v>
      </c>
      <c r="C1701" s="116">
        <v>3211.8</v>
      </c>
      <c r="D1701" s="116">
        <v>3201</v>
      </c>
      <c r="E1701" s="116">
        <v>3300</v>
      </c>
      <c r="F1701" s="116">
        <v>3211.8</v>
      </c>
      <c r="G1701">
        <v>15283</v>
      </c>
      <c r="H1701" s="116"/>
      <c r="I1701" s="116"/>
      <c r="L1701" s="169">
        <v>44510</v>
      </c>
      <c r="M1701" s="116">
        <v>3207.75</v>
      </c>
      <c r="N1701" s="116">
        <v>3294.7</v>
      </c>
      <c r="O1701" s="116">
        <v>3200.15</v>
      </c>
      <c r="P1701" s="116">
        <v>3294.7</v>
      </c>
      <c r="Q1701" s="116">
        <v>3207.75</v>
      </c>
      <c r="R1701">
        <v>78283</v>
      </c>
    </row>
    <row r="1702" spans="1:18" x14ac:dyDescent="0.25">
      <c r="A1702" s="169">
        <v>44511</v>
      </c>
      <c r="B1702" s="116">
        <v>3267.05</v>
      </c>
      <c r="C1702" s="116">
        <v>3129.45</v>
      </c>
      <c r="D1702" s="116">
        <v>3118</v>
      </c>
      <c r="E1702" s="116">
        <v>3211.8</v>
      </c>
      <c r="F1702" s="116">
        <v>3129.45</v>
      </c>
      <c r="G1702">
        <v>16393</v>
      </c>
      <c r="H1702" s="116"/>
      <c r="I1702" s="116"/>
      <c r="L1702" s="169">
        <v>44511</v>
      </c>
      <c r="M1702" s="116">
        <v>3131.35</v>
      </c>
      <c r="N1702" s="116">
        <v>3266.9</v>
      </c>
      <c r="O1702" s="116">
        <v>3117.1</v>
      </c>
      <c r="P1702" s="116">
        <v>3230</v>
      </c>
      <c r="Q1702" s="116">
        <v>3131.35</v>
      </c>
      <c r="R1702">
        <v>101534</v>
      </c>
    </row>
    <row r="1703" spans="1:18" x14ac:dyDescent="0.25">
      <c r="A1703" s="169">
        <v>44512</v>
      </c>
      <c r="B1703" s="116">
        <v>3170</v>
      </c>
      <c r="C1703" s="116">
        <v>2981.3</v>
      </c>
      <c r="D1703" s="116">
        <v>2962.05</v>
      </c>
      <c r="E1703" s="116">
        <v>3150</v>
      </c>
      <c r="F1703" s="116">
        <v>2981.3</v>
      </c>
      <c r="G1703">
        <v>12855</v>
      </c>
      <c r="H1703" s="116"/>
      <c r="I1703" s="116"/>
      <c r="L1703" s="169">
        <v>44512</v>
      </c>
      <c r="M1703" s="116">
        <v>2978.25</v>
      </c>
      <c r="N1703" s="116">
        <v>3169.95</v>
      </c>
      <c r="O1703" s="116">
        <v>2960</v>
      </c>
      <c r="P1703" s="116">
        <v>3169.9</v>
      </c>
      <c r="Q1703" s="116">
        <v>2978.25</v>
      </c>
      <c r="R1703">
        <v>236427</v>
      </c>
    </row>
    <row r="1704" spans="1:18" x14ac:dyDescent="0.25">
      <c r="A1704" s="169">
        <v>44515</v>
      </c>
      <c r="B1704" s="116">
        <v>3164.45</v>
      </c>
      <c r="C1704" s="116">
        <v>3141</v>
      </c>
      <c r="D1704" s="116">
        <v>2880</v>
      </c>
      <c r="E1704" s="116">
        <v>2905.55</v>
      </c>
      <c r="F1704" s="116">
        <v>3141</v>
      </c>
      <c r="G1704">
        <v>42366</v>
      </c>
      <c r="H1704" s="116"/>
      <c r="I1704" s="116"/>
      <c r="L1704" s="169">
        <v>44515</v>
      </c>
      <c r="M1704" s="116">
        <v>3136.85</v>
      </c>
      <c r="N1704" s="116">
        <v>3160</v>
      </c>
      <c r="O1704" s="116">
        <v>2885.2</v>
      </c>
      <c r="P1704" s="116">
        <v>2980.65</v>
      </c>
      <c r="Q1704" s="116">
        <v>3136.85</v>
      </c>
      <c r="R1704">
        <v>270662</v>
      </c>
    </row>
    <row r="1705" spans="1:18" x14ac:dyDescent="0.25">
      <c r="A1705" s="169">
        <v>44516</v>
      </c>
      <c r="B1705" s="116">
        <v>3368.95</v>
      </c>
      <c r="C1705" s="116">
        <v>3336</v>
      </c>
      <c r="D1705" s="116">
        <v>3142</v>
      </c>
      <c r="E1705" s="116">
        <v>3159</v>
      </c>
      <c r="F1705" s="116">
        <v>3336</v>
      </c>
      <c r="G1705">
        <v>44944</v>
      </c>
      <c r="H1705" s="116"/>
      <c r="I1705" s="116"/>
      <c r="L1705" s="169">
        <v>44516</v>
      </c>
      <c r="M1705" s="116">
        <v>3337.3</v>
      </c>
      <c r="N1705" s="116">
        <v>3372</v>
      </c>
      <c r="O1705" s="116">
        <v>3137.15</v>
      </c>
      <c r="P1705" s="116">
        <v>3140</v>
      </c>
      <c r="Q1705" s="116">
        <v>3337.3</v>
      </c>
      <c r="R1705">
        <v>225659</v>
      </c>
    </row>
    <row r="1706" spans="1:18" x14ac:dyDescent="0.25">
      <c r="A1706" s="169">
        <v>44517</v>
      </c>
      <c r="B1706" s="116">
        <v>3385</v>
      </c>
      <c r="C1706" s="116">
        <v>3271.5</v>
      </c>
      <c r="D1706" s="116">
        <v>3221.75</v>
      </c>
      <c r="E1706" s="116">
        <v>3368</v>
      </c>
      <c r="F1706" s="116">
        <v>3271.5</v>
      </c>
      <c r="G1706">
        <v>7186</v>
      </c>
      <c r="H1706" s="116"/>
      <c r="I1706" s="116"/>
      <c r="L1706" s="169">
        <v>44517</v>
      </c>
      <c r="M1706" s="116">
        <v>3273.35</v>
      </c>
      <c r="N1706" s="116">
        <v>3380.4</v>
      </c>
      <c r="O1706" s="116">
        <v>3221</v>
      </c>
      <c r="P1706" s="116">
        <v>3350</v>
      </c>
      <c r="Q1706" s="116">
        <v>3273.35</v>
      </c>
      <c r="R1706">
        <v>109939</v>
      </c>
    </row>
    <row r="1707" spans="1:18" x14ac:dyDescent="0.25">
      <c r="A1707" s="169">
        <v>44518</v>
      </c>
      <c r="B1707" s="116">
        <v>3271</v>
      </c>
      <c r="C1707" s="116">
        <v>3160.75</v>
      </c>
      <c r="D1707" s="116">
        <v>3127.4</v>
      </c>
      <c r="E1707" s="116">
        <v>3271</v>
      </c>
      <c r="F1707" s="116">
        <v>3160.75</v>
      </c>
      <c r="G1707">
        <v>4368</v>
      </c>
      <c r="H1707" s="116"/>
      <c r="I1707" s="116"/>
      <c r="L1707" s="169">
        <v>44518</v>
      </c>
      <c r="M1707" s="116">
        <v>3158.9</v>
      </c>
      <c r="N1707" s="116">
        <v>3289.9</v>
      </c>
      <c r="O1707" s="116">
        <v>3125</v>
      </c>
      <c r="P1707" s="116">
        <v>3289.9</v>
      </c>
      <c r="Q1707" s="116">
        <v>3158.9</v>
      </c>
      <c r="R1707">
        <v>77185</v>
      </c>
    </row>
    <row r="1708" spans="1:18" x14ac:dyDescent="0.25">
      <c r="A1708" s="169">
        <v>44522</v>
      </c>
      <c r="B1708" s="116">
        <v>3177.05</v>
      </c>
      <c r="C1708" s="116">
        <v>3025.65</v>
      </c>
      <c r="D1708" s="116">
        <v>3000</v>
      </c>
      <c r="E1708" s="116">
        <v>3160</v>
      </c>
      <c r="F1708" s="116">
        <v>3025.65</v>
      </c>
      <c r="G1708">
        <v>20875</v>
      </c>
      <c r="H1708" s="116"/>
      <c r="I1708" s="116"/>
      <c r="L1708" s="169">
        <v>44522</v>
      </c>
      <c r="M1708" s="116">
        <v>3026.05</v>
      </c>
      <c r="N1708" s="116">
        <v>3174.9</v>
      </c>
      <c r="O1708" s="116">
        <v>3001</v>
      </c>
      <c r="P1708" s="116">
        <v>3165</v>
      </c>
      <c r="Q1708" s="116">
        <v>3026.05</v>
      </c>
      <c r="R1708">
        <v>68292</v>
      </c>
    </row>
    <row r="1709" spans="1:18" x14ac:dyDescent="0.25">
      <c r="A1709" s="169">
        <v>44523</v>
      </c>
      <c r="B1709" s="116">
        <v>3172.7</v>
      </c>
      <c r="C1709" s="116">
        <v>3162.15</v>
      </c>
      <c r="D1709" s="116">
        <v>2952.25</v>
      </c>
      <c r="E1709" s="116">
        <v>2963</v>
      </c>
      <c r="F1709" s="116">
        <v>3162.15</v>
      </c>
      <c r="G1709">
        <v>6790</v>
      </c>
      <c r="H1709" s="116"/>
      <c r="I1709" s="116"/>
      <c r="L1709" s="169">
        <v>44523</v>
      </c>
      <c r="M1709" s="116">
        <v>3155.7</v>
      </c>
      <c r="N1709" s="116">
        <v>3175</v>
      </c>
      <c r="O1709" s="116">
        <v>2950.6</v>
      </c>
      <c r="P1709" s="116">
        <v>3000</v>
      </c>
      <c r="Q1709" s="116">
        <v>3155.7</v>
      </c>
      <c r="R1709">
        <v>69683</v>
      </c>
    </row>
    <row r="1710" spans="1:18" x14ac:dyDescent="0.25">
      <c r="A1710" s="169">
        <v>44524</v>
      </c>
      <c r="B1710" s="116">
        <v>3320</v>
      </c>
      <c r="C1710" s="116">
        <v>3181.5</v>
      </c>
      <c r="D1710" s="116">
        <v>3164.9</v>
      </c>
      <c r="E1710" s="116">
        <v>3241</v>
      </c>
      <c r="F1710" s="116">
        <v>3181.5</v>
      </c>
      <c r="G1710">
        <v>18589</v>
      </c>
      <c r="H1710" s="116"/>
      <c r="I1710" s="116"/>
      <c r="L1710" s="169">
        <v>44524</v>
      </c>
      <c r="M1710" s="116">
        <v>3186.75</v>
      </c>
      <c r="N1710" s="116">
        <v>3325</v>
      </c>
      <c r="O1710" s="116">
        <v>3163.15</v>
      </c>
      <c r="P1710" s="116">
        <v>3250</v>
      </c>
      <c r="Q1710" s="116">
        <v>3186.75</v>
      </c>
      <c r="R1710">
        <v>104769</v>
      </c>
    </row>
    <row r="1711" spans="1:18" x14ac:dyDescent="0.25">
      <c r="A1711" s="169">
        <v>44525</v>
      </c>
      <c r="B1711" s="116">
        <v>3206.25</v>
      </c>
      <c r="C1711" s="116">
        <v>3118.25</v>
      </c>
      <c r="D1711" s="116">
        <v>3070</v>
      </c>
      <c r="E1711" s="116">
        <v>3200</v>
      </c>
      <c r="F1711" s="116">
        <v>3118.25</v>
      </c>
      <c r="G1711">
        <v>3709</v>
      </c>
      <c r="H1711" s="116"/>
      <c r="I1711" s="116"/>
      <c r="L1711" s="169">
        <v>44525</v>
      </c>
      <c r="M1711" s="116">
        <v>3114.95</v>
      </c>
      <c r="N1711" s="116">
        <v>3208.8</v>
      </c>
      <c r="O1711" s="116">
        <v>3065</v>
      </c>
      <c r="P1711" s="116">
        <v>3208.8</v>
      </c>
      <c r="Q1711" s="116">
        <v>3114.95</v>
      </c>
      <c r="R1711">
        <v>68037</v>
      </c>
    </row>
    <row r="1712" spans="1:18" x14ac:dyDescent="0.25">
      <c r="A1712" s="169">
        <v>44526</v>
      </c>
      <c r="B1712" s="116">
        <v>3194.35</v>
      </c>
      <c r="C1712" s="116">
        <v>3082.9</v>
      </c>
      <c r="D1712" s="116">
        <v>3050</v>
      </c>
      <c r="E1712" s="116">
        <v>3050</v>
      </c>
      <c r="F1712" s="116">
        <v>3082.9</v>
      </c>
      <c r="G1712">
        <v>15814</v>
      </c>
      <c r="H1712" s="116"/>
      <c r="I1712" s="116"/>
      <c r="L1712" s="169">
        <v>44526</v>
      </c>
      <c r="M1712" s="116">
        <v>3085.45</v>
      </c>
      <c r="N1712" s="116">
        <v>3195.05</v>
      </c>
      <c r="O1712" s="116">
        <v>3060</v>
      </c>
      <c r="P1712" s="116">
        <v>3071</v>
      </c>
      <c r="Q1712" s="116">
        <v>3085.45</v>
      </c>
      <c r="R1712">
        <v>91383</v>
      </c>
    </row>
    <row r="1713" spans="1:18" x14ac:dyDescent="0.25">
      <c r="A1713" s="169">
        <v>44529</v>
      </c>
      <c r="B1713" s="116">
        <v>3034.2</v>
      </c>
      <c r="C1713" s="116">
        <v>2969.55</v>
      </c>
      <c r="D1713" s="116">
        <v>2910</v>
      </c>
      <c r="E1713" s="116">
        <v>3001.2</v>
      </c>
      <c r="F1713" s="116">
        <v>2969.55</v>
      </c>
      <c r="G1713">
        <v>8344</v>
      </c>
      <c r="H1713" s="116"/>
      <c r="I1713" s="116"/>
      <c r="L1713" s="169">
        <v>44529</v>
      </c>
      <c r="M1713" s="116">
        <v>2966.55</v>
      </c>
      <c r="N1713" s="116">
        <v>3040</v>
      </c>
      <c r="O1713" s="116">
        <v>2902</v>
      </c>
      <c r="P1713" s="116">
        <v>2995</v>
      </c>
      <c r="Q1713" s="116">
        <v>2966.55</v>
      </c>
      <c r="R1713">
        <v>86122</v>
      </c>
    </row>
    <row r="1714" spans="1:18" x14ac:dyDescent="0.25">
      <c r="A1714" s="169">
        <v>44530</v>
      </c>
      <c r="B1714" s="116">
        <v>3047</v>
      </c>
      <c r="C1714" s="116">
        <v>2995.1</v>
      </c>
      <c r="D1714" s="116">
        <v>2905</v>
      </c>
      <c r="E1714" s="116">
        <v>2905</v>
      </c>
      <c r="F1714" s="116">
        <v>2995.1</v>
      </c>
      <c r="G1714">
        <v>8899</v>
      </c>
      <c r="H1714" s="116"/>
      <c r="I1714" s="116"/>
      <c r="L1714" s="169">
        <v>44530</v>
      </c>
      <c r="M1714" s="116">
        <v>2997.25</v>
      </c>
      <c r="N1714" s="116">
        <v>3048</v>
      </c>
      <c r="O1714" s="116">
        <v>2952.25</v>
      </c>
      <c r="P1714" s="116">
        <v>2952.25</v>
      </c>
      <c r="Q1714" s="116">
        <v>2997.25</v>
      </c>
      <c r="R1714">
        <v>50228</v>
      </c>
    </row>
    <row r="1715" spans="1:18" x14ac:dyDescent="0.25">
      <c r="A1715" s="169">
        <v>44531</v>
      </c>
      <c r="B1715" s="116">
        <v>3031.3</v>
      </c>
      <c r="C1715" s="116">
        <v>2952.9</v>
      </c>
      <c r="D1715" s="116">
        <v>2934.85</v>
      </c>
      <c r="E1715" s="116">
        <v>3000</v>
      </c>
      <c r="F1715" s="116">
        <v>2952.9</v>
      </c>
      <c r="G1715">
        <v>5934</v>
      </c>
      <c r="H1715" s="116"/>
      <c r="I1715" s="116"/>
      <c r="L1715" s="169">
        <v>44531</v>
      </c>
      <c r="M1715" s="116">
        <v>2952.15</v>
      </c>
      <c r="N1715" s="116">
        <v>3030</v>
      </c>
      <c r="O1715" s="116">
        <v>2936</v>
      </c>
      <c r="P1715" s="116">
        <v>3010</v>
      </c>
      <c r="Q1715" s="116">
        <v>2952.15</v>
      </c>
      <c r="R1715">
        <v>54845</v>
      </c>
    </row>
    <row r="1716" spans="1:18" x14ac:dyDescent="0.25">
      <c r="A1716" s="169">
        <v>44532</v>
      </c>
      <c r="B1716" s="116">
        <v>3089.65</v>
      </c>
      <c r="C1716" s="116">
        <v>3039.7</v>
      </c>
      <c r="D1716" s="116">
        <v>2970</v>
      </c>
      <c r="E1716" s="116">
        <v>2980</v>
      </c>
      <c r="F1716" s="116">
        <v>3039.7</v>
      </c>
      <c r="G1716">
        <v>10814</v>
      </c>
      <c r="H1716" s="116"/>
      <c r="I1716" s="116"/>
      <c r="L1716" s="169">
        <v>44532</v>
      </c>
      <c r="M1716" s="116">
        <v>3035.6</v>
      </c>
      <c r="N1716" s="116">
        <v>3088.85</v>
      </c>
      <c r="O1716" s="116">
        <v>2968.5</v>
      </c>
      <c r="P1716" s="116">
        <v>3000</v>
      </c>
      <c r="Q1716" s="116">
        <v>3035.6</v>
      </c>
      <c r="R1716">
        <v>89158</v>
      </c>
    </row>
    <row r="1717" spans="1:18" x14ac:dyDescent="0.25">
      <c r="A1717" s="169">
        <v>44533</v>
      </c>
      <c r="B1717" s="116">
        <v>3200</v>
      </c>
      <c r="C1717" s="116">
        <v>3078.65</v>
      </c>
      <c r="D1717" s="116">
        <v>3024.75</v>
      </c>
      <c r="E1717" s="116">
        <v>3044</v>
      </c>
      <c r="F1717" s="116">
        <v>3078.65</v>
      </c>
      <c r="G1717">
        <v>20115</v>
      </c>
      <c r="H1717" s="116"/>
      <c r="I1717" s="116"/>
      <c r="L1717" s="169">
        <v>44533</v>
      </c>
      <c r="M1717" s="116">
        <v>3078.05</v>
      </c>
      <c r="N1717" s="116">
        <v>3200</v>
      </c>
      <c r="O1717" s="116">
        <v>3023.15</v>
      </c>
      <c r="P1717" s="116">
        <v>3048</v>
      </c>
      <c r="Q1717" s="116">
        <v>3078.05</v>
      </c>
      <c r="R1717">
        <v>110979</v>
      </c>
    </row>
    <row r="1718" spans="1:18" x14ac:dyDescent="0.25">
      <c r="A1718" s="169">
        <v>44536</v>
      </c>
      <c r="B1718" s="116">
        <v>3106.45</v>
      </c>
      <c r="C1718" s="116">
        <v>3005.65</v>
      </c>
      <c r="D1718" s="116">
        <v>3000</v>
      </c>
      <c r="E1718" s="116">
        <v>3078</v>
      </c>
      <c r="F1718" s="116">
        <v>3005.65</v>
      </c>
      <c r="G1718">
        <v>9741</v>
      </c>
      <c r="H1718" s="116"/>
      <c r="I1718" s="116"/>
      <c r="L1718" s="169">
        <v>44536</v>
      </c>
      <c r="M1718" s="116">
        <v>3004.7</v>
      </c>
      <c r="N1718" s="116">
        <v>3118</v>
      </c>
      <c r="O1718" s="116">
        <v>3000</v>
      </c>
      <c r="P1718" s="116">
        <v>3118</v>
      </c>
      <c r="Q1718" s="116">
        <v>3004.7</v>
      </c>
      <c r="R1718">
        <v>41218</v>
      </c>
    </row>
    <row r="1719" spans="1:18" x14ac:dyDescent="0.25">
      <c r="A1719" s="169">
        <v>44537</v>
      </c>
      <c r="B1719" s="116">
        <v>3090.05</v>
      </c>
      <c r="C1719" s="116">
        <v>3073.7</v>
      </c>
      <c r="D1719" s="116">
        <v>3003.4</v>
      </c>
      <c r="E1719" s="116">
        <v>3048</v>
      </c>
      <c r="F1719" s="116">
        <v>3073.7</v>
      </c>
      <c r="G1719">
        <v>7699</v>
      </c>
      <c r="H1719" s="116"/>
      <c r="I1719" s="116"/>
      <c r="L1719" s="169">
        <v>44537</v>
      </c>
      <c r="M1719" s="116">
        <v>3065.55</v>
      </c>
      <c r="N1719" s="116">
        <v>3084</v>
      </c>
      <c r="O1719" s="116">
        <v>3004</v>
      </c>
      <c r="P1719" s="116">
        <v>3029</v>
      </c>
      <c r="Q1719" s="116">
        <v>3065.55</v>
      </c>
      <c r="R1719">
        <v>36605</v>
      </c>
    </row>
    <row r="1720" spans="1:18" x14ac:dyDescent="0.25">
      <c r="A1720" s="169">
        <v>44538</v>
      </c>
      <c r="B1720" s="116">
        <v>3309.65</v>
      </c>
      <c r="C1720" s="116">
        <v>3279.55</v>
      </c>
      <c r="D1720" s="116">
        <v>3099.95</v>
      </c>
      <c r="E1720" s="116">
        <v>3125</v>
      </c>
      <c r="F1720" s="116">
        <v>3279.55</v>
      </c>
      <c r="G1720">
        <v>30435</v>
      </c>
      <c r="H1720" s="116"/>
      <c r="I1720" s="116"/>
      <c r="L1720" s="169">
        <v>44538</v>
      </c>
      <c r="M1720" s="116">
        <v>3277.55</v>
      </c>
      <c r="N1720" s="116">
        <v>3309</v>
      </c>
      <c r="O1720" s="116">
        <v>3081.3</v>
      </c>
      <c r="P1720" s="116">
        <v>3088.9</v>
      </c>
      <c r="Q1720" s="116">
        <v>3277.55</v>
      </c>
      <c r="R1720">
        <v>167891</v>
      </c>
    </row>
    <row r="1721" spans="1:18" x14ac:dyDescent="0.25">
      <c r="A1721" s="169">
        <v>44539</v>
      </c>
      <c r="B1721" s="116">
        <v>3359.95</v>
      </c>
      <c r="C1721" s="116">
        <v>3317.4</v>
      </c>
      <c r="D1721" s="116">
        <v>3264.15</v>
      </c>
      <c r="E1721" s="116">
        <v>3320</v>
      </c>
      <c r="F1721" s="116">
        <v>3317.4</v>
      </c>
      <c r="G1721">
        <v>18778</v>
      </c>
      <c r="H1721" s="116"/>
      <c r="I1721" s="116"/>
      <c r="L1721" s="169">
        <v>44539</v>
      </c>
      <c r="M1721" s="116">
        <v>3317.35</v>
      </c>
      <c r="N1721" s="116">
        <v>3356</v>
      </c>
      <c r="O1721" s="116">
        <v>3270</v>
      </c>
      <c r="P1721" s="116">
        <v>3320.25</v>
      </c>
      <c r="Q1721" s="116">
        <v>3317.35</v>
      </c>
      <c r="R1721">
        <v>114951</v>
      </c>
    </row>
    <row r="1722" spans="1:18" x14ac:dyDescent="0.25">
      <c r="A1722" s="169">
        <v>44540</v>
      </c>
      <c r="B1722" s="116">
        <v>3336.3</v>
      </c>
      <c r="C1722" s="116">
        <v>3294.85</v>
      </c>
      <c r="D1722" s="116">
        <v>3273.55</v>
      </c>
      <c r="E1722" s="116">
        <v>3315</v>
      </c>
      <c r="F1722" s="116">
        <v>3294.85</v>
      </c>
      <c r="G1722">
        <v>12916</v>
      </c>
      <c r="H1722" s="116"/>
      <c r="I1722" s="116"/>
      <c r="L1722" s="169">
        <v>44540</v>
      </c>
      <c r="M1722" s="116">
        <v>3294.4</v>
      </c>
      <c r="N1722" s="116">
        <v>3339</v>
      </c>
      <c r="O1722" s="116">
        <v>3277</v>
      </c>
      <c r="P1722" s="116">
        <v>3317.35</v>
      </c>
      <c r="Q1722" s="116">
        <v>3294.4</v>
      </c>
      <c r="R1722">
        <v>39055</v>
      </c>
    </row>
    <row r="1723" spans="1:18" x14ac:dyDescent="0.25">
      <c r="A1723" s="169">
        <v>44543</v>
      </c>
      <c r="B1723" s="116">
        <v>3338.65</v>
      </c>
      <c r="C1723" s="116">
        <v>3220.6</v>
      </c>
      <c r="D1723" s="116">
        <v>3205.05</v>
      </c>
      <c r="E1723" s="116">
        <v>3305</v>
      </c>
      <c r="F1723" s="116">
        <v>3220.6</v>
      </c>
      <c r="G1723">
        <v>9754</v>
      </c>
      <c r="H1723" s="116"/>
      <c r="I1723" s="116"/>
      <c r="L1723" s="169">
        <v>44543</v>
      </c>
      <c r="M1723" s="116">
        <v>3220.5</v>
      </c>
      <c r="N1723" s="116">
        <v>3335</v>
      </c>
      <c r="O1723" s="116">
        <v>3205.2</v>
      </c>
      <c r="P1723" s="116">
        <v>3325</v>
      </c>
      <c r="Q1723" s="116">
        <v>3220.5</v>
      </c>
      <c r="R1723">
        <v>40600</v>
      </c>
    </row>
    <row r="1724" spans="1:18" x14ac:dyDescent="0.25">
      <c r="A1724" s="169">
        <v>44544</v>
      </c>
      <c r="B1724" s="116">
        <v>3239.45</v>
      </c>
      <c r="C1724" s="116">
        <v>3175.95</v>
      </c>
      <c r="D1724" s="116">
        <v>3141.35</v>
      </c>
      <c r="E1724" s="116">
        <v>3210</v>
      </c>
      <c r="F1724" s="116">
        <v>3175.95</v>
      </c>
      <c r="G1724">
        <v>6732</v>
      </c>
      <c r="H1724" s="116"/>
      <c r="I1724" s="116"/>
      <c r="L1724" s="169">
        <v>44544</v>
      </c>
      <c r="M1724" s="116">
        <v>3176.25</v>
      </c>
      <c r="N1724" s="116">
        <v>3239.05</v>
      </c>
      <c r="O1724" s="116">
        <v>3141</v>
      </c>
      <c r="P1724" s="116">
        <v>3200</v>
      </c>
      <c r="Q1724" s="116">
        <v>3176.25</v>
      </c>
      <c r="R1724">
        <v>33871</v>
      </c>
    </row>
    <row r="1725" spans="1:18" x14ac:dyDescent="0.25">
      <c r="A1725" s="169">
        <v>44545</v>
      </c>
      <c r="B1725" s="116">
        <v>3265.9</v>
      </c>
      <c r="C1725" s="116">
        <v>3191.4</v>
      </c>
      <c r="D1725" s="116">
        <v>3138</v>
      </c>
      <c r="E1725" s="116">
        <v>3153.05</v>
      </c>
      <c r="F1725" s="116">
        <v>3191.4</v>
      </c>
      <c r="G1725">
        <v>6536</v>
      </c>
      <c r="H1725" s="116"/>
      <c r="I1725" s="116"/>
      <c r="L1725" s="169">
        <v>44545</v>
      </c>
      <c r="M1725" s="116">
        <v>3193.7</v>
      </c>
      <c r="N1725" s="116">
        <v>3267.9</v>
      </c>
      <c r="O1725" s="116">
        <v>3140</v>
      </c>
      <c r="P1725" s="116">
        <v>3159</v>
      </c>
      <c r="Q1725" s="116">
        <v>3193.7</v>
      </c>
      <c r="R1725">
        <v>47160</v>
      </c>
    </row>
    <row r="1726" spans="1:18" x14ac:dyDescent="0.25">
      <c r="A1726" s="169">
        <v>44546</v>
      </c>
      <c r="B1726" s="116">
        <v>3241.95</v>
      </c>
      <c r="C1726" s="116">
        <v>3180.4</v>
      </c>
      <c r="D1726" s="116">
        <v>3161.45</v>
      </c>
      <c r="E1726" s="116">
        <v>3240</v>
      </c>
      <c r="F1726" s="116">
        <v>3180.4</v>
      </c>
      <c r="G1726">
        <v>1578</v>
      </c>
      <c r="H1726" s="116"/>
      <c r="I1726" s="116"/>
      <c r="L1726" s="169">
        <v>44546</v>
      </c>
      <c r="M1726" s="116">
        <v>3177.4</v>
      </c>
      <c r="N1726" s="116">
        <v>3247.9</v>
      </c>
      <c r="O1726" s="116">
        <v>3160</v>
      </c>
      <c r="P1726" s="116">
        <v>3224</v>
      </c>
      <c r="Q1726" s="116">
        <v>3177.4</v>
      </c>
      <c r="R1726">
        <v>27524</v>
      </c>
    </row>
    <row r="1727" spans="1:18" x14ac:dyDescent="0.25">
      <c r="A1727" s="169">
        <v>44547</v>
      </c>
      <c r="B1727" s="116">
        <v>3210</v>
      </c>
      <c r="C1727" s="116">
        <v>3124.15</v>
      </c>
      <c r="D1727" s="116">
        <v>3074.55</v>
      </c>
      <c r="E1727" s="116">
        <v>3123.5</v>
      </c>
      <c r="F1727" s="116">
        <v>3124.15</v>
      </c>
      <c r="G1727">
        <v>9259</v>
      </c>
      <c r="H1727" s="116"/>
      <c r="I1727" s="116"/>
      <c r="L1727" s="169">
        <v>44547</v>
      </c>
      <c r="M1727" s="116">
        <v>3126.55</v>
      </c>
      <c r="N1727" s="116">
        <v>3211</v>
      </c>
      <c r="O1727" s="116">
        <v>3075</v>
      </c>
      <c r="P1727" s="116">
        <v>3211</v>
      </c>
      <c r="Q1727" s="116">
        <v>3126.55</v>
      </c>
      <c r="R1727">
        <v>55188</v>
      </c>
    </row>
    <row r="1728" spans="1:18" x14ac:dyDescent="0.25">
      <c r="A1728" s="169">
        <v>44550</v>
      </c>
      <c r="B1728" s="116">
        <v>3067.6</v>
      </c>
      <c r="C1728" s="116">
        <v>2981.15</v>
      </c>
      <c r="D1728" s="116">
        <v>2951.1</v>
      </c>
      <c r="E1728" s="116">
        <v>3067.6</v>
      </c>
      <c r="F1728" s="116">
        <v>2981.15</v>
      </c>
      <c r="G1728">
        <v>7121</v>
      </c>
      <c r="H1728" s="116"/>
      <c r="I1728" s="116"/>
      <c r="L1728" s="169">
        <v>44550</v>
      </c>
      <c r="M1728" s="116">
        <v>2981.3</v>
      </c>
      <c r="N1728" s="116">
        <v>3075</v>
      </c>
      <c r="O1728" s="116">
        <v>2950.45</v>
      </c>
      <c r="P1728" s="116">
        <v>3060</v>
      </c>
      <c r="Q1728" s="116">
        <v>2981.3</v>
      </c>
      <c r="R1728">
        <v>83505</v>
      </c>
    </row>
    <row r="1729" spans="1:18" x14ac:dyDescent="0.25">
      <c r="A1729" s="169">
        <v>44551</v>
      </c>
      <c r="B1729" s="116">
        <v>3062.35</v>
      </c>
      <c r="C1729" s="116">
        <v>2998.7</v>
      </c>
      <c r="D1729" s="116">
        <v>2973.5</v>
      </c>
      <c r="E1729" s="116">
        <v>3029</v>
      </c>
      <c r="F1729" s="116">
        <v>2998.7</v>
      </c>
      <c r="G1729">
        <v>2376</v>
      </c>
      <c r="H1729" s="116"/>
      <c r="I1729" s="116"/>
      <c r="L1729" s="169">
        <v>44551</v>
      </c>
      <c r="M1729" s="116">
        <v>3000</v>
      </c>
      <c r="N1729" s="116">
        <v>3075</v>
      </c>
      <c r="O1729" s="116">
        <v>2972.65</v>
      </c>
      <c r="P1729" s="116">
        <v>3000.5</v>
      </c>
      <c r="Q1729" s="116">
        <v>3000</v>
      </c>
      <c r="R1729">
        <v>44606</v>
      </c>
    </row>
    <row r="1730" spans="1:18" x14ac:dyDescent="0.25">
      <c r="A1730" s="169">
        <v>44552</v>
      </c>
      <c r="B1730" s="116">
        <v>3164.95</v>
      </c>
      <c r="C1730" s="116">
        <v>3130.5</v>
      </c>
      <c r="D1730" s="116">
        <v>3000</v>
      </c>
      <c r="E1730" s="116">
        <v>3000</v>
      </c>
      <c r="F1730" s="116">
        <v>3130.5</v>
      </c>
      <c r="G1730">
        <v>2798</v>
      </c>
      <c r="H1730" s="116"/>
      <c r="I1730" s="116"/>
      <c r="L1730" s="169">
        <v>44552</v>
      </c>
      <c r="M1730" s="116">
        <v>3134.6</v>
      </c>
      <c r="N1730" s="116">
        <v>3164</v>
      </c>
      <c r="O1730" s="116">
        <v>3030.05</v>
      </c>
      <c r="P1730" s="116">
        <v>3048</v>
      </c>
      <c r="Q1730" s="116">
        <v>3134.6</v>
      </c>
      <c r="R1730">
        <v>42078</v>
      </c>
    </row>
    <row r="1731" spans="1:18" x14ac:dyDescent="0.25">
      <c r="A1731" s="169">
        <v>44553</v>
      </c>
      <c r="B1731" s="116">
        <v>3249.4</v>
      </c>
      <c r="C1731" s="116">
        <v>3185.95</v>
      </c>
      <c r="D1731" s="116">
        <v>3175</v>
      </c>
      <c r="E1731" s="116">
        <v>3219.95</v>
      </c>
      <c r="F1731" s="116">
        <v>3185.95</v>
      </c>
      <c r="G1731">
        <v>5350</v>
      </c>
      <c r="H1731" s="116"/>
      <c r="I1731" s="116"/>
      <c r="L1731" s="169">
        <v>44553</v>
      </c>
      <c r="M1731" s="116">
        <v>3186.95</v>
      </c>
      <c r="N1731" s="116">
        <v>3250</v>
      </c>
      <c r="O1731" s="116">
        <v>3155</v>
      </c>
      <c r="P1731" s="116">
        <v>3155</v>
      </c>
      <c r="Q1731" s="116">
        <v>3186.95</v>
      </c>
      <c r="R1731">
        <v>54854</v>
      </c>
    </row>
    <row r="1732" spans="1:18" x14ac:dyDescent="0.25">
      <c r="A1732" s="169">
        <v>44554</v>
      </c>
      <c r="B1732" s="116">
        <v>3223</v>
      </c>
      <c r="C1732" s="116">
        <v>3127.7</v>
      </c>
      <c r="D1732" s="116">
        <v>3118.6</v>
      </c>
      <c r="E1732" s="116">
        <v>3223</v>
      </c>
      <c r="F1732" s="116">
        <v>3127.7</v>
      </c>
      <c r="G1732">
        <v>1589</v>
      </c>
      <c r="H1732" s="116"/>
      <c r="I1732" s="116"/>
      <c r="L1732" s="169">
        <v>44554</v>
      </c>
      <c r="M1732" s="116">
        <v>3127.15</v>
      </c>
      <c r="N1732" s="116">
        <v>3229.5</v>
      </c>
      <c r="O1732" s="116">
        <v>3115</v>
      </c>
      <c r="P1732" s="116">
        <v>3204.2</v>
      </c>
      <c r="Q1732" s="116">
        <v>3127.15</v>
      </c>
      <c r="R1732">
        <v>23855</v>
      </c>
    </row>
    <row r="1733" spans="1:18" x14ac:dyDescent="0.25">
      <c r="A1733" s="169">
        <v>44557</v>
      </c>
      <c r="B1733" s="116">
        <v>3218.4</v>
      </c>
      <c r="C1733" s="116">
        <v>3185.75</v>
      </c>
      <c r="D1733" s="116">
        <v>3075.6</v>
      </c>
      <c r="E1733" s="116">
        <v>3075.6</v>
      </c>
      <c r="F1733" s="116">
        <v>3185.75</v>
      </c>
      <c r="G1733">
        <v>7505</v>
      </c>
      <c r="H1733" s="116"/>
      <c r="I1733" s="116"/>
      <c r="L1733" s="169">
        <v>44557</v>
      </c>
      <c r="M1733" s="116">
        <v>3182.95</v>
      </c>
      <c r="N1733" s="116">
        <v>3220</v>
      </c>
      <c r="O1733" s="116">
        <v>3082.25</v>
      </c>
      <c r="P1733" s="116">
        <v>3148</v>
      </c>
      <c r="Q1733" s="116">
        <v>3182.95</v>
      </c>
      <c r="R1733">
        <v>37563</v>
      </c>
    </row>
    <row r="1734" spans="1:18" x14ac:dyDescent="0.25">
      <c r="A1734" s="169">
        <v>44558</v>
      </c>
      <c r="B1734" s="116">
        <v>3308</v>
      </c>
      <c r="C1734" s="116">
        <v>3255.05</v>
      </c>
      <c r="D1734" s="116">
        <v>3202.8</v>
      </c>
      <c r="E1734" s="116">
        <v>3214.7</v>
      </c>
      <c r="F1734" s="116">
        <v>3255.05</v>
      </c>
      <c r="G1734">
        <v>15283</v>
      </c>
      <c r="H1734" s="116"/>
      <c r="I1734" s="116"/>
      <c r="L1734" s="169">
        <v>44558</v>
      </c>
      <c r="M1734" s="116">
        <v>3254.7</v>
      </c>
      <c r="N1734" s="116">
        <v>3308</v>
      </c>
      <c r="O1734" s="116">
        <v>3201</v>
      </c>
      <c r="P1734" s="116">
        <v>3205.9</v>
      </c>
      <c r="Q1734" s="116">
        <v>3254.7</v>
      </c>
      <c r="R1734">
        <v>94362</v>
      </c>
    </row>
    <row r="1735" spans="1:18" x14ac:dyDescent="0.25">
      <c r="A1735" s="169">
        <v>44559</v>
      </c>
      <c r="B1735" s="116">
        <v>3289.95</v>
      </c>
      <c r="C1735" s="116">
        <v>3201.85</v>
      </c>
      <c r="D1735" s="116">
        <v>3150</v>
      </c>
      <c r="E1735" s="116">
        <v>3260</v>
      </c>
      <c r="F1735" s="116">
        <v>3201.85</v>
      </c>
      <c r="G1735">
        <v>8704</v>
      </c>
      <c r="H1735" s="116"/>
      <c r="I1735" s="116"/>
      <c r="L1735" s="169">
        <v>44559</v>
      </c>
      <c r="M1735" s="116">
        <v>3203.75</v>
      </c>
      <c r="N1735" s="116">
        <v>3292</v>
      </c>
      <c r="O1735" s="116">
        <v>3120.3</v>
      </c>
      <c r="P1735" s="116">
        <v>3260</v>
      </c>
      <c r="Q1735" s="116">
        <v>3203.75</v>
      </c>
      <c r="R1735">
        <v>43781</v>
      </c>
    </row>
    <row r="1736" spans="1:18" x14ac:dyDescent="0.25">
      <c r="A1736" s="169">
        <v>44560</v>
      </c>
      <c r="B1736" s="116">
        <v>3230</v>
      </c>
      <c r="C1736" s="116">
        <v>3165.55</v>
      </c>
      <c r="D1736" s="116">
        <v>3161</v>
      </c>
      <c r="E1736" s="116">
        <v>3230</v>
      </c>
      <c r="F1736" s="116">
        <v>3165.55</v>
      </c>
      <c r="G1736">
        <v>2504</v>
      </c>
      <c r="H1736" s="116"/>
      <c r="I1736" s="116"/>
      <c r="L1736" s="169">
        <v>44560</v>
      </c>
      <c r="M1736" s="116">
        <v>3166</v>
      </c>
      <c r="N1736" s="116">
        <v>3226.05</v>
      </c>
      <c r="O1736" s="116">
        <v>3160.1</v>
      </c>
      <c r="P1736" s="116">
        <v>3225</v>
      </c>
      <c r="Q1736" s="116">
        <v>3166</v>
      </c>
      <c r="R1736">
        <v>35312</v>
      </c>
    </row>
    <row r="1737" spans="1:18" x14ac:dyDescent="0.25">
      <c r="A1737" s="169">
        <v>44561</v>
      </c>
      <c r="B1737" s="116">
        <v>3432.35</v>
      </c>
      <c r="C1737" s="116">
        <v>3419.2</v>
      </c>
      <c r="D1737" s="116">
        <v>3176.55</v>
      </c>
      <c r="E1737" s="116">
        <v>3187.05</v>
      </c>
      <c r="F1737" s="116">
        <v>3419.2</v>
      </c>
      <c r="G1737">
        <v>17848</v>
      </c>
      <c r="H1737" s="116"/>
      <c r="I1737" s="116"/>
      <c r="L1737" s="169">
        <v>44561</v>
      </c>
      <c r="M1737" s="116">
        <v>3409.8</v>
      </c>
      <c r="N1737" s="116">
        <v>3435</v>
      </c>
      <c r="O1737" s="116">
        <v>3171.4</v>
      </c>
      <c r="P1737" s="116">
        <v>3180</v>
      </c>
      <c r="Q1737" s="116">
        <v>3409.8</v>
      </c>
      <c r="R1737">
        <v>287172</v>
      </c>
    </row>
    <row r="1738" spans="1:18" x14ac:dyDescent="0.25">
      <c r="A1738" s="169">
        <v>44564</v>
      </c>
      <c r="B1738" s="116">
        <v>3750</v>
      </c>
      <c r="C1738" s="116">
        <v>3726.05</v>
      </c>
      <c r="D1738" s="116">
        <v>3450.1</v>
      </c>
      <c r="E1738" s="116">
        <v>3474</v>
      </c>
      <c r="F1738" s="116">
        <v>3726.05</v>
      </c>
      <c r="G1738">
        <v>54338</v>
      </c>
      <c r="H1738" s="116"/>
      <c r="I1738" s="116"/>
      <c r="L1738" s="169">
        <v>44564</v>
      </c>
      <c r="M1738" s="116">
        <v>3720.25</v>
      </c>
      <c r="N1738" s="116">
        <v>3750</v>
      </c>
      <c r="O1738" s="116">
        <v>3465.25</v>
      </c>
      <c r="P1738" s="116">
        <v>3479.7</v>
      </c>
      <c r="Q1738" s="116">
        <v>3720.25</v>
      </c>
      <c r="R1738">
        <v>370464</v>
      </c>
    </row>
    <row r="1739" spans="1:18" x14ac:dyDescent="0.25">
      <c r="A1739" s="169">
        <v>44565</v>
      </c>
      <c r="B1739" s="116">
        <v>3936.95</v>
      </c>
      <c r="C1739" s="116">
        <v>3781.7</v>
      </c>
      <c r="D1739" s="116">
        <v>3745.2</v>
      </c>
      <c r="E1739" s="116">
        <v>3780</v>
      </c>
      <c r="F1739" s="116">
        <v>3781.7</v>
      </c>
      <c r="G1739">
        <v>40324</v>
      </c>
      <c r="H1739" s="116"/>
      <c r="I1739" s="116"/>
      <c r="L1739" s="169">
        <v>44565</v>
      </c>
      <c r="M1739" s="116">
        <v>3783.9</v>
      </c>
      <c r="N1739" s="116">
        <v>3935</v>
      </c>
      <c r="O1739" s="116">
        <v>3750.55</v>
      </c>
      <c r="P1739" s="116">
        <v>3778</v>
      </c>
      <c r="Q1739" s="116">
        <v>3783.9</v>
      </c>
      <c r="R1739">
        <v>269195</v>
      </c>
    </row>
    <row r="1740" spans="1:18" x14ac:dyDescent="0.25">
      <c r="A1740" s="169">
        <v>44566</v>
      </c>
      <c r="B1740" s="116">
        <v>3799.9</v>
      </c>
      <c r="C1740" s="116">
        <v>3685.05</v>
      </c>
      <c r="D1740" s="116">
        <v>3624.3</v>
      </c>
      <c r="E1740" s="116">
        <v>3799.9</v>
      </c>
      <c r="F1740" s="116">
        <v>3685.05</v>
      </c>
      <c r="G1740">
        <v>6616</v>
      </c>
      <c r="H1740" s="116"/>
      <c r="I1740" s="116"/>
      <c r="L1740" s="169">
        <v>44566</v>
      </c>
      <c r="M1740" s="116">
        <v>3685.15</v>
      </c>
      <c r="N1740" s="116">
        <v>3793.2</v>
      </c>
      <c r="O1740" s="116">
        <v>3622</v>
      </c>
      <c r="P1740" s="116">
        <v>3783</v>
      </c>
      <c r="Q1740" s="116">
        <v>3685.15</v>
      </c>
      <c r="R1740">
        <v>119873</v>
      </c>
    </row>
    <row r="1741" spans="1:18" x14ac:dyDescent="0.25">
      <c r="A1741" s="169">
        <v>44567</v>
      </c>
      <c r="B1741" s="116">
        <v>3791</v>
      </c>
      <c r="C1741" s="116">
        <v>3721.9</v>
      </c>
      <c r="D1741" s="116">
        <v>3580.35</v>
      </c>
      <c r="E1741" s="116">
        <v>3700</v>
      </c>
      <c r="F1741" s="116">
        <v>3721.9</v>
      </c>
      <c r="G1741">
        <v>8485</v>
      </c>
      <c r="H1741" s="116"/>
      <c r="I1741" s="116"/>
      <c r="L1741" s="169">
        <v>44567</v>
      </c>
      <c r="M1741" s="116">
        <v>3724.75</v>
      </c>
      <c r="N1741" s="116">
        <v>3790</v>
      </c>
      <c r="O1741" s="116">
        <v>3580</v>
      </c>
      <c r="P1741" s="116">
        <v>3625</v>
      </c>
      <c r="Q1741" s="116">
        <v>3724.75</v>
      </c>
      <c r="R1741">
        <v>135869</v>
      </c>
    </row>
    <row r="1742" spans="1:18" x14ac:dyDescent="0.25">
      <c r="A1742" s="169">
        <v>44568</v>
      </c>
      <c r="B1742" s="116">
        <v>3759.95</v>
      </c>
      <c r="C1742" s="116">
        <v>3629.1</v>
      </c>
      <c r="D1742" s="116">
        <v>3620</v>
      </c>
      <c r="E1742" s="116">
        <v>3751</v>
      </c>
      <c r="F1742" s="116">
        <v>3629.1</v>
      </c>
      <c r="G1742">
        <v>5305</v>
      </c>
      <c r="H1742" s="116"/>
      <c r="I1742" s="116"/>
      <c r="L1742" s="169">
        <v>44568</v>
      </c>
      <c r="M1742" s="116">
        <v>3632.3</v>
      </c>
      <c r="N1742" s="116">
        <v>3760</v>
      </c>
      <c r="O1742" s="116">
        <v>3617.45</v>
      </c>
      <c r="P1742" s="116">
        <v>3754</v>
      </c>
      <c r="Q1742" s="116">
        <v>3632.3</v>
      </c>
      <c r="R1742">
        <v>81972</v>
      </c>
    </row>
    <row r="1743" spans="1:18" x14ac:dyDescent="0.25">
      <c r="A1743" s="169">
        <v>44571</v>
      </c>
      <c r="B1743" s="116">
        <v>3700</v>
      </c>
      <c r="C1743" s="116">
        <v>3675.45</v>
      </c>
      <c r="D1743" s="116">
        <v>3582.75</v>
      </c>
      <c r="E1743" s="116">
        <v>3699.95</v>
      </c>
      <c r="F1743" s="116">
        <v>3675.45</v>
      </c>
      <c r="G1743">
        <v>4850</v>
      </c>
      <c r="H1743" s="116"/>
      <c r="I1743" s="116"/>
      <c r="L1743" s="169">
        <v>44571</v>
      </c>
      <c r="M1743" s="116">
        <v>3673.45</v>
      </c>
      <c r="N1743" s="116">
        <v>3689</v>
      </c>
      <c r="O1743" s="116">
        <v>3580.55</v>
      </c>
      <c r="P1743" s="116">
        <v>3665.4</v>
      </c>
      <c r="Q1743" s="116">
        <v>3673.45</v>
      </c>
      <c r="R1743">
        <v>57658</v>
      </c>
    </row>
    <row r="1744" spans="1:18" x14ac:dyDescent="0.25">
      <c r="A1744" s="169">
        <v>44572</v>
      </c>
      <c r="B1744" s="116">
        <v>3712.5</v>
      </c>
      <c r="C1744" s="116">
        <v>3682.7</v>
      </c>
      <c r="D1744" s="116">
        <v>3610</v>
      </c>
      <c r="E1744" s="116">
        <v>3676</v>
      </c>
      <c r="F1744" s="116">
        <v>3682.7</v>
      </c>
      <c r="G1744">
        <v>9735</v>
      </c>
      <c r="H1744" s="116"/>
      <c r="I1744" s="116"/>
      <c r="L1744" s="169">
        <v>44572</v>
      </c>
      <c r="M1744" s="116">
        <v>3685.55</v>
      </c>
      <c r="N1744" s="116">
        <v>3709</v>
      </c>
      <c r="O1744" s="116">
        <v>3617.55</v>
      </c>
      <c r="P1744" s="116">
        <v>3665</v>
      </c>
      <c r="Q1744" s="116">
        <v>3685.55</v>
      </c>
      <c r="R1744">
        <v>64463</v>
      </c>
    </row>
    <row r="1745" spans="1:18" x14ac:dyDescent="0.25">
      <c r="A1745" s="169">
        <v>44573</v>
      </c>
      <c r="B1745" s="116">
        <v>3759</v>
      </c>
      <c r="C1745" s="116">
        <v>3685.15</v>
      </c>
      <c r="D1745" s="116">
        <v>3675.05</v>
      </c>
      <c r="E1745" s="116">
        <v>3690</v>
      </c>
      <c r="F1745" s="116">
        <v>3685.15</v>
      </c>
      <c r="G1745">
        <v>3896</v>
      </c>
      <c r="H1745" s="116"/>
      <c r="I1745" s="116"/>
      <c r="L1745" s="169">
        <v>44573</v>
      </c>
      <c r="M1745" s="116">
        <v>3685</v>
      </c>
      <c r="N1745" s="116">
        <v>3758.95</v>
      </c>
      <c r="O1745" s="116">
        <v>3675.05</v>
      </c>
      <c r="P1745" s="116">
        <v>3732.1</v>
      </c>
      <c r="Q1745" s="116">
        <v>3685</v>
      </c>
      <c r="R1745">
        <v>67361</v>
      </c>
    </row>
    <row r="1746" spans="1:18" x14ac:dyDescent="0.25">
      <c r="A1746" s="169">
        <v>44574</v>
      </c>
      <c r="B1746" s="116">
        <v>3733.75</v>
      </c>
      <c r="C1746" s="116">
        <v>3682.3</v>
      </c>
      <c r="D1746" s="116">
        <v>3655.9</v>
      </c>
      <c r="E1746" s="116">
        <v>3692</v>
      </c>
      <c r="F1746" s="116">
        <v>3682.3</v>
      </c>
      <c r="G1746">
        <v>9209</v>
      </c>
      <c r="H1746" s="116"/>
      <c r="I1746" s="116"/>
      <c r="L1746" s="169">
        <v>44574</v>
      </c>
      <c r="M1746" s="116">
        <v>3686.7</v>
      </c>
      <c r="N1746" s="116">
        <v>3735</v>
      </c>
      <c r="O1746" s="116">
        <v>3656.85</v>
      </c>
      <c r="P1746" s="116">
        <v>3707</v>
      </c>
      <c r="Q1746" s="116">
        <v>3686.7</v>
      </c>
      <c r="R1746">
        <v>42135</v>
      </c>
    </row>
    <row r="1747" spans="1:18" x14ac:dyDescent="0.25">
      <c r="A1747" s="169">
        <v>44575</v>
      </c>
      <c r="B1747" s="116">
        <v>3725.35</v>
      </c>
      <c r="C1747" s="116">
        <v>3639.45</v>
      </c>
      <c r="D1747" s="116">
        <v>3630</v>
      </c>
      <c r="E1747" s="116">
        <v>3663</v>
      </c>
      <c r="F1747" s="116">
        <v>3639.45</v>
      </c>
      <c r="G1747">
        <v>2100</v>
      </c>
      <c r="H1747" s="116"/>
      <c r="I1747" s="116"/>
      <c r="L1747" s="169">
        <v>44575</v>
      </c>
      <c r="M1747" s="116">
        <v>3643.05</v>
      </c>
      <c r="N1747" s="116">
        <v>3725</v>
      </c>
      <c r="O1747" s="116">
        <v>3622.6</v>
      </c>
      <c r="P1747" s="116">
        <v>3670.25</v>
      </c>
      <c r="Q1747" s="116">
        <v>3643.05</v>
      </c>
      <c r="R1747">
        <v>30744</v>
      </c>
    </row>
    <row r="1748" spans="1:18" x14ac:dyDescent="0.25">
      <c r="A1748" s="169">
        <v>44578</v>
      </c>
      <c r="B1748" s="116">
        <v>3689.95</v>
      </c>
      <c r="C1748" s="116">
        <v>3657.55</v>
      </c>
      <c r="D1748" s="116">
        <v>3628.9</v>
      </c>
      <c r="E1748" s="116">
        <v>3689.95</v>
      </c>
      <c r="F1748" s="116">
        <v>3657.55</v>
      </c>
      <c r="G1748">
        <v>7450</v>
      </c>
      <c r="H1748" s="116"/>
      <c r="I1748" s="116"/>
      <c r="L1748" s="169">
        <v>44578</v>
      </c>
      <c r="M1748" s="116">
        <v>3645</v>
      </c>
      <c r="N1748" s="116">
        <v>3692.25</v>
      </c>
      <c r="O1748" s="116">
        <v>3620</v>
      </c>
      <c r="P1748" s="116">
        <v>3620</v>
      </c>
      <c r="Q1748" s="116">
        <v>3645</v>
      </c>
      <c r="R1748">
        <v>35387</v>
      </c>
    </row>
    <row r="1749" spans="1:18" x14ac:dyDescent="0.25">
      <c r="A1749" s="169">
        <v>44579</v>
      </c>
      <c r="B1749" s="116">
        <v>3723.95</v>
      </c>
      <c r="C1749" s="116">
        <v>3598.6</v>
      </c>
      <c r="D1749" s="116">
        <v>3561.05</v>
      </c>
      <c r="E1749" s="116">
        <v>3658</v>
      </c>
      <c r="F1749" s="116">
        <v>3598.6</v>
      </c>
      <c r="G1749">
        <v>19860</v>
      </c>
      <c r="H1749" s="116"/>
      <c r="I1749" s="116"/>
      <c r="L1749" s="169">
        <v>44579</v>
      </c>
      <c r="M1749" s="116">
        <v>3602.15</v>
      </c>
      <c r="N1749" s="116">
        <v>3725</v>
      </c>
      <c r="O1749" s="116">
        <v>3567</v>
      </c>
      <c r="P1749" s="116">
        <v>3650</v>
      </c>
      <c r="Q1749" s="116">
        <v>3602.15</v>
      </c>
      <c r="R1749">
        <v>67856</v>
      </c>
    </row>
    <row r="1750" spans="1:18" x14ac:dyDescent="0.25">
      <c r="A1750" s="169">
        <v>44580</v>
      </c>
      <c r="B1750" s="116">
        <v>3603.6</v>
      </c>
      <c r="C1750" s="116">
        <v>3517.2</v>
      </c>
      <c r="D1750" s="116">
        <v>3497.3</v>
      </c>
      <c r="E1750" s="116">
        <v>3598.6</v>
      </c>
      <c r="F1750" s="116">
        <v>3517.2</v>
      </c>
      <c r="G1750">
        <v>4296</v>
      </c>
      <c r="H1750" s="116"/>
      <c r="I1750" s="116"/>
      <c r="L1750" s="169">
        <v>44580</v>
      </c>
      <c r="M1750" s="116">
        <v>3512.35</v>
      </c>
      <c r="N1750" s="116">
        <v>3609.95</v>
      </c>
      <c r="O1750" s="116">
        <v>3500</v>
      </c>
      <c r="P1750" s="116">
        <v>3580</v>
      </c>
      <c r="Q1750" s="116">
        <v>3512.35</v>
      </c>
      <c r="R1750">
        <v>63353</v>
      </c>
    </row>
    <row r="1751" spans="1:18" x14ac:dyDescent="0.25">
      <c r="A1751" s="169">
        <v>44581</v>
      </c>
      <c r="B1751" s="116">
        <v>3550</v>
      </c>
      <c r="C1751" s="116">
        <v>3463.45</v>
      </c>
      <c r="D1751" s="116">
        <v>3445</v>
      </c>
      <c r="E1751" s="116">
        <v>3550</v>
      </c>
      <c r="F1751" s="116">
        <v>3463.45</v>
      </c>
      <c r="G1751">
        <v>9066</v>
      </c>
      <c r="H1751" s="116"/>
      <c r="I1751" s="116"/>
      <c r="L1751" s="169">
        <v>44581</v>
      </c>
      <c r="M1751" s="116">
        <v>3460.65</v>
      </c>
      <c r="N1751" s="116">
        <v>3547.4</v>
      </c>
      <c r="O1751" s="116">
        <v>3449</v>
      </c>
      <c r="P1751" s="116">
        <v>3525</v>
      </c>
      <c r="Q1751" s="116">
        <v>3460.65</v>
      </c>
      <c r="R1751">
        <v>36751</v>
      </c>
    </row>
    <row r="1752" spans="1:18" x14ac:dyDescent="0.25">
      <c r="A1752" s="169">
        <v>44582</v>
      </c>
      <c r="B1752" s="116">
        <v>3432.45</v>
      </c>
      <c r="C1752" s="116">
        <v>3350.65</v>
      </c>
      <c r="D1752" s="116">
        <v>3333.25</v>
      </c>
      <c r="E1752" s="116">
        <v>3395</v>
      </c>
      <c r="F1752" s="116">
        <v>3350.65</v>
      </c>
      <c r="G1752">
        <v>14875</v>
      </c>
      <c r="H1752" s="116"/>
      <c r="I1752" s="116"/>
      <c r="L1752" s="169">
        <v>44582</v>
      </c>
      <c r="M1752" s="116">
        <v>3350.65</v>
      </c>
      <c r="N1752" s="116">
        <v>3435.75</v>
      </c>
      <c r="O1752" s="116">
        <v>3333.75</v>
      </c>
      <c r="P1752" s="116">
        <v>3420</v>
      </c>
      <c r="Q1752" s="116">
        <v>3350.65</v>
      </c>
      <c r="R1752">
        <v>62826</v>
      </c>
    </row>
    <row r="1753" spans="1:18" x14ac:dyDescent="0.25">
      <c r="A1753" s="169">
        <v>44585</v>
      </c>
      <c r="B1753" s="116">
        <v>3336.45</v>
      </c>
      <c r="C1753" s="116">
        <v>3176.55</v>
      </c>
      <c r="D1753" s="116">
        <v>3088</v>
      </c>
      <c r="E1753" s="116">
        <v>3320</v>
      </c>
      <c r="F1753" s="116">
        <v>3176.55</v>
      </c>
      <c r="G1753">
        <v>24045</v>
      </c>
      <c r="H1753" s="116"/>
      <c r="I1753" s="116"/>
      <c r="L1753" s="169">
        <v>44585</v>
      </c>
      <c r="M1753" s="116">
        <v>3177.15</v>
      </c>
      <c r="N1753" s="116">
        <v>3344.6</v>
      </c>
      <c r="O1753" s="116">
        <v>3085</v>
      </c>
      <c r="P1753" s="116">
        <v>3340</v>
      </c>
      <c r="Q1753" s="116">
        <v>3177.15</v>
      </c>
      <c r="R1753">
        <v>97558</v>
      </c>
    </row>
    <row r="1754" spans="1:18" x14ac:dyDescent="0.25">
      <c r="A1754" s="169">
        <v>44586</v>
      </c>
      <c r="B1754" s="116">
        <v>3290</v>
      </c>
      <c r="C1754" s="116">
        <v>3201.9</v>
      </c>
      <c r="D1754" s="116">
        <v>3013.25</v>
      </c>
      <c r="E1754" s="116">
        <v>3162.05</v>
      </c>
      <c r="F1754" s="116">
        <v>3201.9</v>
      </c>
      <c r="G1754">
        <v>8744</v>
      </c>
      <c r="H1754" s="116"/>
      <c r="I1754" s="116"/>
      <c r="L1754" s="169">
        <v>44586</v>
      </c>
      <c r="M1754" s="116">
        <v>3196.55</v>
      </c>
      <c r="N1754" s="116">
        <v>3295.15</v>
      </c>
      <c r="O1754" s="116">
        <v>3012.15</v>
      </c>
      <c r="P1754" s="116">
        <v>3144</v>
      </c>
      <c r="Q1754" s="116">
        <v>3196.55</v>
      </c>
      <c r="R1754">
        <v>82456</v>
      </c>
    </row>
    <row r="1755" spans="1:18" x14ac:dyDescent="0.25">
      <c r="A1755" s="169">
        <v>44588</v>
      </c>
      <c r="B1755" s="116">
        <v>3159.85</v>
      </c>
      <c r="C1755" s="116">
        <v>3088.9</v>
      </c>
      <c r="D1755" s="116">
        <v>3077</v>
      </c>
      <c r="E1755" s="116">
        <v>3110</v>
      </c>
      <c r="F1755" s="116">
        <v>3088.9</v>
      </c>
      <c r="G1755">
        <v>10237</v>
      </c>
      <c r="H1755" s="116"/>
      <c r="I1755" s="116"/>
      <c r="L1755" s="169">
        <v>44588</v>
      </c>
      <c r="M1755" s="116">
        <v>3089.55</v>
      </c>
      <c r="N1755" s="116">
        <v>3168.95</v>
      </c>
      <c r="O1755" s="116">
        <v>3081.4</v>
      </c>
      <c r="P1755" s="116">
        <v>3150</v>
      </c>
      <c r="Q1755" s="116">
        <v>3089.55</v>
      </c>
      <c r="R1755">
        <v>50822</v>
      </c>
    </row>
    <row r="1756" spans="1:18" x14ac:dyDescent="0.25">
      <c r="A1756" s="169">
        <v>44589</v>
      </c>
      <c r="B1756" s="116">
        <v>3247.2</v>
      </c>
      <c r="C1756" s="116">
        <v>3192.65</v>
      </c>
      <c r="D1756" s="116">
        <v>3091</v>
      </c>
      <c r="E1756" s="116">
        <v>3110</v>
      </c>
      <c r="F1756" s="116">
        <v>3192.65</v>
      </c>
      <c r="G1756">
        <v>3661</v>
      </c>
      <c r="H1756" s="116"/>
      <c r="I1756" s="116"/>
      <c r="L1756" s="169">
        <v>44589</v>
      </c>
      <c r="M1756" s="116">
        <v>3189</v>
      </c>
      <c r="N1756" s="116">
        <v>3245</v>
      </c>
      <c r="O1756" s="116">
        <v>3089</v>
      </c>
      <c r="P1756" s="116">
        <v>3089.55</v>
      </c>
      <c r="Q1756" s="116">
        <v>3189</v>
      </c>
      <c r="R1756">
        <v>46976</v>
      </c>
    </row>
    <row r="1757" spans="1:18" x14ac:dyDescent="0.25">
      <c r="A1757" s="169">
        <v>44592</v>
      </c>
      <c r="B1757" s="116">
        <v>3342.8</v>
      </c>
      <c r="C1757" s="116">
        <v>3251.65</v>
      </c>
      <c r="D1757" s="116">
        <v>3202.8</v>
      </c>
      <c r="E1757" s="116">
        <v>3220</v>
      </c>
      <c r="F1757" s="116">
        <v>3251.65</v>
      </c>
      <c r="G1757">
        <v>9316</v>
      </c>
      <c r="H1757" s="116"/>
      <c r="I1757" s="116"/>
      <c r="L1757" s="169">
        <v>44592</v>
      </c>
      <c r="M1757" s="116">
        <v>3255.05</v>
      </c>
      <c r="N1757" s="116">
        <v>3345</v>
      </c>
      <c r="O1757" s="116">
        <v>3201.15</v>
      </c>
      <c r="P1757" s="116">
        <v>3250</v>
      </c>
      <c r="Q1757" s="116">
        <v>3255.05</v>
      </c>
      <c r="R1757">
        <v>51030</v>
      </c>
    </row>
    <row r="1758" spans="1:18" x14ac:dyDescent="0.25">
      <c r="A1758" s="169">
        <v>44593</v>
      </c>
      <c r="B1758" s="116">
        <v>3329.95</v>
      </c>
      <c r="C1758" s="116">
        <v>3293.95</v>
      </c>
      <c r="D1758" s="116">
        <v>3235.45</v>
      </c>
      <c r="E1758" s="116">
        <v>3275</v>
      </c>
      <c r="F1758" s="116">
        <v>3293.95</v>
      </c>
      <c r="G1758">
        <v>6795</v>
      </c>
      <c r="H1758" s="116"/>
      <c r="I1758" s="116"/>
      <c r="L1758" s="169">
        <v>44593</v>
      </c>
      <c r="M1758" s="116">
        <v>3293.3</v>
      </c>
      <c r="N1758" s="116">
        <v>3333</v>
      </c>
      <c r="O1758" s="116">
        <v>3232</v>
      </c>
      <c r="P1758" s="116">
        <v>3282</v>
      </c>
      <c r="Q1758" s="116">
        <v>3293.3</v>
      </c>
      <c r="R1758">
        <v>42548</v>
      </c>
    </row>
    <row r="1759" spans="1:18" x14ac:dyDescent="0.25">
      <c r="A1759" s="169">
        <v>44594</v>
      </c>
      <c r="B1759" s="116">
        <v>3547</v>
      </c>
      <c r="C1759" s="116">
        <v>3366.1</v>
      </c>
      <c r="D1759" s="116">
        <v>3320</v>
      </c>
      <c r="E1759" s="116">
        <v>3320</v>
      </c>
      <c r="F1759" s="116">
        <v>3366.1</v>
      </c>
      <c r="G1759">
        <v>30114</v>
      </c>
      <c r="H1759" s="116"/>
      <c r="I1759" s="116"/>
      <c r="L1759" s="169">
        <v>44594</v>
      </c>
      <c r="M1759" s="116">
        <v>3374.05</v>
      </c>
      <c r="N1759" s="116">
        <v>3549</v>
      </c>
      <c r="O1759" s="116">
        <v>3320</v>
      </c>
      <c r="P1759" s="116">
        <v>3329</v>
      </c>
      <c r="Q1759" s="116">
        <v>3374.05</v>
      </c>
      <c r="R1759">
        <v>163402</v>
      </c>
    </row>
    <row r="1760" spans="1:18" x14ac:dyDescent="0.25">
      <c r="A1760" s="169">
        <v>44595</v>
      </c>
      <c r="B1760" s="116">
        <v>3711.35</v>
      </c>
      <c r="C1760" s="116">
        <v>3607.6</v>
      </c>
      <c r="D1760" s="116">
        <v>3535</v>
      </c>
      <c r="E1760" s="116">
        <v>3535</v>
      </c>
      <c r="F1760" s="116">
        <v>3607.6</v>
      </c>
      <c r="G1760">
        <v>17546</v>
      </c>
      <c r="H1760" s="116"/>
      <c r="I1760" s="116"/>
      <c r="L1760" s="169">
        <v>44595</v>
      </c>
      <c r="M1760" s="116">
        <v>3604.9</v>
      </c>
      <c r="N1760" s="116">
        <v>3714.75</v>
      </c>
      <c r="O1760" s="116">
        <v>3552</v>
      </c>
      <c r="P1760" s="116">
        <v>3636</v>
      </c>
      <c r="Q1760" s="116">
        <v>3604.9</v>
      </c>
      <c r="R1760">
        <v>270536</v>
      </c>
    </row>
    <row r="1761" spans="1:18" x14ac:dyDescent="0.25">
      <c r="A1761" s="169">
        <v>44596</v>
      </c>
      <c r="B1761" s="116">
        <v>3690</v>
      </c>
      <c r="C1761" s="116">
        <v>3509.05</v>
      </c>
      <c r="D1761" s="116">
        <v>3482</v>
      </c>
      <c r="E1761" s="116">
        <v>3638</v>
      </c>
      <c r="F1761" s="116">
        <v>3509.05</v>
      </c>
      <c r="G1761">
        <v>14914</v>
      </c>
      <c r="H1761" s="116"/>
      <c r="I1761" s="116"/>
      <c r="L1761" s="169">
        <v>44596</v>
      </c>
      <c r="M1761" s="116">
        <v>3509.1</v>
      </c>
      <c r="N1761" s="116">
        <v>3686.9</v>
      </c>
      <c r="O1761" s="116">
        <v>3457</v>
      </c>
      <c r="P1761" s="116">
        <v>3642</v>
      </c>
      <c r="Q1761" s="116">
        <v>3509.1</v>
      </c>
      <c r="R1761">
        <v>91816</v>
      </c>
    </row>
    <row r="1762" spans="1:18" x14ac:dyDescent="0.25">
      <c r="A1762" s="169">
        <v>44599</v>
      </c>
      <c r="B1762" s="116">
        <v>3570</v>
      </c>
      <c r="C1762" s="116">
        <v>3423.85</v>
      </c>
      <c r="D1762" s="116">
        <v>3404.3</v>
      </c>
      <c r="E1762" s="116">
        <v>3570</v>
      </c>
      <c r="F1762" s="116">
        <v>3423.85</v>
      </c>
      <c r="G1762">
        <v>2122</v>
      </c>
      <c r="H1762" s="116"/>
      <c r="I1762" s="116"/>
      <c r="L1762" s="169">
        <v>44599</v>
      </c>
      <c r="M1762" s="116">
        <v>3422.1</v>
      </c>
      <c r="N1762" s="116">
        <v>3546.8</v>
      </c>
      <c r="O1762" s="116">
        <v>3400.05</v>
      </c>
      <c r="P1762" s="116">
        <v>3500</v>
      </c>
      <c r="Q1762" s="116">
        <v>3422.1</v>
      </c>
      <c r="R1762">
        <v>52937</v>
      </c>
    </row>
    <row r="1763" spans="1:18" x14ac:dyDescent="0.25">
      <c r="A1763" s="169">
        <v>44600</v>
      </c>
      <c r="B1763" s="116">
        <v>3463.5</v>
      </c>
      <c r="C1763" s="116">
        <v>3223.75</v>
      </c>
      <c r="D1763" s="116">
        <v>3201</v>
      </c>
      <c r="E1763" s="116">
        <v>3423.85</v>
      </c>
      <c r="F1763" s="116">
        <v>3223.75</v>
      </c>
      <c r="G1763">
        <v>15242</v>
      </c>
      <c r="H1763" s="116"/>
      <c r="I1763" s="116"/>
      <c r="L1763" s="169">
        <v>44600</v>
      </c>
      <c r="M1763" s="116">
        <v>3222.8</v>
      </c>
      <c r="N1763" s="116">
        <v>3462.5</v>
      </c>
      <c r="O1763" s="116">
        <v>3199</v>
      </c>
      <c r="P1763" s="116">
        <v>3448</v>
      </c>
      <c r="Q1763" s="116">
        <v>3222.8</v>
      </c>
      <c r="R1763">
        <v>129036</v>
      </c>
    </row>
    <row r="1764" spans="1:18" x14ac:dyDescent="0.25">
      <c r="A1764" s="169">
        <v>44601</v>
      </c>
      <c r="B1764" s="116">
        <v>3300</v>
      </c>
      <c r="C1764" s="116">
        <v>3123</v>
      </c>
      <c r="D1764" s="116">
        <v>3091.85</v>
      </c>
      <c r="E1764" s="116">
        <v>3300</v>
      </c>
      <c r="F1764" s="116">
        <v>3123</v>
      </c>
      <c r="G1764">
        <v>15950</v>
      </c>
      <c r="H1764" s="116"/>
      <c r="I1764" s="116"/>
      <c r="L1764" s="169">
        <v>44601</v>
      </c>
      <c r="M1764" s="116">
        <v>3120.45</v>
      </c>
      <c r="N1764" s="116">
        <v>3295</v>
      </c>
      <c r="O1764" s="116">
        <v>3093.55</v>
      </c>
      <c r="P1764" s="116">
        <v>3255</v>
      </c>
      <c r="Q1764" s="116">
        <v>3120.45</v>
      </c>
      <c r="R1764">
        <v>159824</v>
      </c>
    </row>
    <row r="1765" spans="1:18" x14ac:dyDescent="0.25">
      <c r="A1765" s="169">
        <v>44602</v>
      </c>
      <c r="B1765" s="116">
        <v>3225</v>
      </c>
      <c r="C1765" s="116">
        <v>3127.95</v>
      </c>
      <c r="D1765" s="116">
        <v>3103.35</v>
      </c>
      <c r="E1765" s="116">
        <v>3135</v>
      </c>
      <c r="F1765" s="116">
        <v>3127.95</v>
      </c>
      <c r="G1765">
        <v>14116</v>
      </c>
      <c r="H1765" s="116"/>
      <c r="I1765" s="116"/>
      <c r="L1765" s="169">
        <v>44602</v>
      </c>
      <c r="M1765" s="116">
        <v>3127</v>
      </c>
      <c r="N1765" s="116">
        <v>3225</v>
      </c>
      <c r="O1765" s="116">
        <v>3105.4</v>
      </c>
      <c r="P1765" s="116">
        <v>3148</v>
      </c>
      <c r="Q1765" s="116">
        <v>3127</v>
      </c>
      <c r="R1765">
        <v>97436</v>
      </c>
    </row>
    <row r="1766" spans="1:18" x14ac:dyDescent="0.25">
      <c r="A1766" s="169">
        <v>44603</v>
      </c>
      <c r="B1766" s="116">
        <v>3159</v>
      </c>
      <c r="C1766" s="116">
        <v>2997.7</v>
      </c>
      <c r="D1766" s="116">
        <v>2977</v>
      </c>
      <c r="E1766" s="116">
        <v>3125</v>
      </c>
      <c r="F1766" s="116">
        <v>2997.7</v>
      </c>
      <c r="G1766">
        <v>21098</v>
      </c>
      <c r="H1766" s="116"/>
      <c r="I1766" s="116"/>
      <c r="L1766" s="169">
        <v>44603</v>
      </c>
      <c r="M1766" s="116">
        <v>2996.05</v>
      </c>
      <c r="N1766" s="116">
        <v>3158.85</v>
      </c>
      <c r="O1766" s="116">
        <v>2959</v>
      </c>
      <c r="P1766" s="116">
        <v>3126</v>
      </c>
      <c r="Q1766" s="116">
        <v>2996.05</v>
      </c>
      <c r="R1766">
        <v>145229</v>
      </c>
    </row>
    <row r="1767" spans="1:18" x14ac:dyDescent="0.25">
      <c r="A1767" s="169">
        <v>44606</v>
      </c>
      <c r="B1767" s="116">
        <v>2944</v>
      </c>
      <c r="C1767" s="116">
        <v>2844.85</v>
      </c>
      <c r="D1767" s="116">
        <v>2816</v>
      </c>
      <c r="E1767" s="116">
        <v>2886</v>
      </c>
      <c r="F1767" s="116">
        <v>2844.85</v>
      </c>
      <c r="G1767">
        <v>35919</v>
      </c>
      <c r="H1767" s="116"/>
      <c r="I1767" s="116"/>
      <c r="L1767" s="169">
        <v>44606</v>
      </c>
      <c r="M1767" s="116">
        <v>2843.45</v>
      </c>
      <c r="N1767" s="116">
        <v>2935</v>
      </c>
      <c r="O1767" s="116">
        <v>2810.25</v>
      </c>
      <c r="P1767" s="116">
        <v>2935</v>
      </c>
      <c r="Q1767" s="116">
        <v>2843.45</v>
      </c>
      <c r="R1767">
        <v>197465</v>
      </c>
    </row>
    <row r="1768" spans="1:18" x14ac:dyDescent="0.25">
      <c r="A1768" s="169">
        <v>44607</v>
      </c>
      <c r="B1768" s="116">
        <v>2935.7</v>
      </c>
      <c r="C1768" s="116">
        <v>2901.85</v>
      </c>
      <c r="D1768" s="116">
        <v>2721.65</v>
      </c>
      <c r="E1768" s="116">
        <v>2850</v>
      </c>
      <c r="F1768" s="116">
        <v>2901.85</v>
      </c>
      <c r="G1768">
        <v>43699</v>
      </c>
      <c r="H1768" s="116"/>
      <c r="I1768" s="116"/>
      <c r="L1768" s="169">
        <v>44607</v>
      </c>
      <c r="M1768" s="116">
        <v>2906.6</v>
      </c>
      <c r="N1768" s="116">
        <v>2953</v>
      </c>
      <c r="O1768" s="116">
        <v>2726</v>
      </c>
      <c r="P1768" s="116">
        <v>2855</v>
      </c>
      <c r="Q1768" s="116">
        <v>2906.6</v>
      </c>
      <c r="R1768">
        <v>206892</v>
      </c>
    </row>
    <row r="1769" spans="1:18" x14ac:dyDescent="0.25">
      <c r="A1769" s="169">
        <v>44608</v>
      </c>
      <c r="B1769" s="116">
        <v>3063.45</v>
      </c>
      <c r="C1769" s="116">
        <v>3044.2</v>
      </c>
      <c r="D1769" s="116">
        <v>2944.9</v>
      </c>
      <c r="E1769" s="116">
        <v>2996</v>
      </c>
      <c r="F1769" s="116">
        <v>3044.2</v>
      </c>
      <c r="G1769">
        <v>11021</v>
      </c>
      <c r="H1769" s="116"/>
      <c r="I1769" s="116"/>
      <c r="L1769" s="169">
        <v>44608</v>
      </c>
      <c r="M1769" s="116">
        <v>3047.8</v>
      </c>
      <c r="N1769" s="116">
        <v>3066.4</v>
      </c>
      <c r="O1769" s="116">
        <v>2944.5</v>
      </c>
      <c r="P1769" s="116">
        <v>2954</v>
      </c>
      <c r="Q1769" s="116">
        <v>3047.8</v>
      </c>
      <c r="R1769">
        <v>140929</v>
      </c>
    </row>
    <row r="1770" spans="1:18" x14ac:dyDescent="0.25">
      <c r="A1770" s="169">
        <v>44609</v>
      </c>
      <c r="B1770" s="116">
        <v>3091.15</v>
      </c>
      <c r="C1770" s="116">
        <v>3051.15</v>
      </c>
      <c r="D1770" s="116">
        <v>3013</v>
      </c>
      <c r="E1770" s="116">
        <v>3076.6</v>
      </c>
      <c r="F1770" s="116">
        <v>3051.15</v>
      </c>
      <c r="G1770">
        <v>7552</v>
      </c>
      <c r="H1770" s="116"/>
      <c r="I1770" s="116"/>
      <c r="L1770" s="169">
        <v>44609</v>
      </c>
      <c r="M1770" s="116">
        <v>3051.95</v>
      </c>
      <c r="N1770" s="116">
        <v>3091.9</v>
      </c>
      <c r="O1770" s="116">
        <v>3012</v>
      </c>
      <c r="P1770" s="116">
        <v>3081.4</v>
      </c>
      <c r="Q1770" s="116">
        <v>3051.95</v>
      </c>
      <c r="R1770">
        <v>59419</v>
      </c>
    </row>
    <row r="1771" spans="1:18" x14ac:dyDescent="0.25">
      <c r="A1771" s="169">
        <v>44610</v>
      </c>
      <c r="B1771" s="116">
        <v>3033.75</v>
      </c>
      <c r="C1771" s="116">
        <v>3006.8</v>
      </c>
      <c r="D1771" s="116">
        <v>2982.8</v>
      </c>
      <c r="E1771" s="116">
        <v>3015.15</v>
      </c>
      <c r="F1771" s="116">
        <v>3006.8</v>
      </c>
      <c r="G1771">
        <v>4027</v>
      </c>
      <c r="H1771" s="116"/>
      <c r="I1771" s="116"/>
      <c r="L1771" s="169">
        <v>44610</v>
      </c>
      <c r="M1771" s="116">
        <v>3005.75</v>
      </c>
      <c r="N1771" s="116">
        <v>3035.95</v>
      </c>
      <c r="O1771" s="116">
        <v>2982.5</v>
      </c>
      <c r="P1771" s="116">
        <v>3000</v>
      </c>
      <c r="Q1771" s="116">
        <v>3005.75</v>
      </c>
      <c r="R1771">
        <v>48736</v>
      </c>
    </row>
    <row r="1772" spans="1:18" x14ac:dyDescent="0.25">
      <c r="A1772" s="169">
        <v>44613</v>
      </c>
      <c r="B1772" s="116">
        <v>2971.65</v>
      </c>
      <c r="C1772" s="116">
        <v>2863.1</v>
      </c>
      <c r="D1772" s="116">
        <v>2850</v>
      </c>
      <c r="E1772" s="116">
        <v>2952</v>
      </c>
      <c r="F1772" s="116">
        <v>2863.1</v>
      </c>
      <c r="G1772">
        <v>18730</v>
      </c>
      <c r="H1772" s="116"/>
      <c r="I1772" s="116"/>
      <c r="L1772" s="169">
        <v>44613</v>
      </c>
      <c r="M1772" s="116">
        <v>2861.65</v>
      </c>
      <c r="N1772" s="116">
        <v>2975.75</v>
      </c>
      <c r="O1772" s="116">
        <v>2850</v>
      </c>
      <c r="P1772" s="116">
        <v>2975.75</v>
      </c>
      <c r="Q1772" s="116">
        <v>2861.65</v>
      </c>
      <c r="R1772">
        <v>105936</v>
      </c>
    </row>
    <row r="1773" spans="1:18" x14ac:dyDescent="0.25">
      <c r="A1773" s="169">
        <v>44614</v>
      </c>
      <c r="B1773" s="116">
        <v>2825</v>
      </c>
      <c r="C1773" s="116">
        <v>2786</v>
      </c>
      <c r="D1773" s="116">
        <v>2715.5</v>
      </c>
      <c r="E1773" s="116">
        <v>2715.5</v>
      </c>
      <c r="F1773" s="116">
        <v>2786</v>
      </c>
      <c r="G1773">
        <v>25652</v>
      </c>
      <c r="H1773" s="116"/>
      <c r="I1773" s="116"/>
      <c r="L1773" s="169">
        <v>44614</v>
      </c>
      <c r="M1773" s="116">
        <v>2787.3</v>
      </c>
      <c r="N1773" s="116">
        <v>2825.85</v>
      </c>
      <c r="O1773" s="116">
        <v>2700.5</v>
      </c>
      <c r="P1773" s="116">
        <v>2749</v>
      </c>
      <c r="Q1773" s="116">
        <v>2787.3</v>
      </c>
      <c r="R1773">
        <v>103373</v>
      </c>
    </row>
    <row r="1774" spans="1:18" x14ac:dyDescent="0.25">
      <c r="A1774" s="169">
        <v>44615</v>
      </c>
      <c r="B1774" s="116">
        <v>2919</v>
      </c>
      <c r="C1774" s="116">
        <v>2902.5</v>
      </c>
      <c r="D1774" s="116">
        <v>2800</v>
      </c>
      <c r="E1774" s="116">
        <v>2800</v>
      </c>
      <c r="F1774" s="116">
        <v>2902.5</v>
      </c>
      <c r="G1774">
        <v>9272</v>
      </c>
      <c r="H1774" s="116"/>
      <c r="I1774" s="116"/>
      <c r="L1774" s="169">
        <v>44615</v>
      </c>
      <c r="M1774" s="116">
        <v>2905.25</v>
      </c>
      <c r="N1774" s="116">
        <v>2925</v>
      </c>
      <c r="O1774" s="116">
        <v>2829</v>
      </c>
      <c r="P1774" s="116">
        <v>2830</v>
      </c>
      <c r="Q1774" s="116">
        <v>2905.25</v>
      </c>
      <c r="R1774">
        <v>95190</v>
      </c>
    </row>
    <row r="1775" spans="1:18" x14ac:dyDescent="0.25">
      <c r="A1775" s="169">
        <v>44616</v>
      </c>
      <c r="B1775" s="116">
        <v>2894</v>
      </c>
      <c r="C1775" s="116">
        <v>2713.6</v>
      </c>
      <c r="D1775" s="116">
        <v>2691</v>
      </c>
      <c r="E1775" s="116">
        <v>2894</v>
      </c>
      <c r="F1775" s="116">
        <v>2713.6</v>
      </c>
      <c r="G1775">
        <v>13772</v>
      </c>
      <c r="H1775" s="116"/>
      <c r="I1775" s="116"/>
      <c r="L1775" s="169">
        <v>44616</v>
      </c>
      <c r="M1775" s="116">
        <v>2711.95</v>
      </c>
      <c r="N1775" s="116">
        <v>2850</v>
      </c>
      <c r="O1775" s="116">
        <v>2696.65</v>
      </c>
      <c r="P1775" s="116">
        <v>2762.1</v>
      </c>
      <c r="Q1775" s="116">
        <v>2711.95</v>
      </c>
      <c r="R1775">
        <v>145084</v>
      </c>
    </row>
    <row r="1776" spans="1:18" x14ac:dyDescent="0.25">
      <c r="A1776" s="169">
        <v>44617</v>
      </c>
      <c r="B1776" s="116">
        <v>2872.65</v>
      </c>
      <c r="C1776" s="116">
        <v>2827.45</v>
      </c>
      <c r="D1776" s="116">
        <v>2750</v>
      </c>
      <c r="E1776" s="116">
        <v>2750</v>
      </c>
      <c r="F1776" s="116">
        <v>2827.45</v>
      </c>
      <c r="G1776">
        <v>14778</v>
      </c>
      <c r="H1776" s="116"/>
      <c r="I1776" s="116"/>
      <c r="L1776" s="169">
        <v>44617</v>
      </c>
      <c r="M1776" s="116">
        <v>2827.45</v>
      </c>
      <c r="N1776" s="116">
        <v>2870.45</v>
      </c>
      <c r="O1776" s="116">
        <v>2746.35</v>
      </c>
      <c r="P1776" s="116">
        <v>2752</v>
      </c>
      <c r="Q1776" s="116">
        <v>2827.45</v>
      </c>
      <c r="R1776">
        <v>84803</v>
      </c>
    </row>
    <row r="1777" spans="1:18" x14ac:dyDescent="0.25">
      <c r="A1777" s="169">
        <v>44620</v>
      </c>
      <c r="B1777" s="116">
        <v>2869</v>
      </c>
      <c r="C1777" s="116">
        <v>2852.9</v>
      </c>
      <c r="D1777" s="116">
        <v>2750</v>
      </c>
      <c r="E1777" s="116">
        <v>2819</v>
      </c>
      <c r="F1777" s="116">
        <v>2852.9</v>
      </c>
      <c r="G1777">
        <v>13208</v>
      </c>
      <c r="H1777" s="116"/>
      <c r="I1777" s="116"/>
      <c r="L1777" s="169">
        <v>44620</v>
      </c>
      <c r="M1777" s="116">
        <v>2856.45</v>
      </c>
      <c r="N1777" s="116">
        <v>2880</v>
      </c>
      <c r="O1777" s="116">
        <v>2751.7</v>
      </c>
      <c r="P1777" s="116">
        <v>2814</v>
      </c>
      <c r="Q1777" s="116">
        <v>2856.45</v>
      </c>
      <c r="R1777">
        <v>59692</v>
      </c>
    </row>
    <row r="1778" spans="1:18" x14ac:dyDescent="0.25">
      <c r="A1778" s="169">
        <v>44622</v>
      </c>
      <c r="B1778" s="116">
        <v>2924</v>
      </c>
      <c r="C1778" s="116">
        <v>2888.6</v>
      </c>
      <c r="D1778" s="116">
        <v>2821</v>
      </c>
      <c r="E1778" s="116">
        <v>2870</v>
      </c>
      <c r="F1778" s="116">
        <v>2888.6</v>
      </c>
      <c r="G1778">
        <v>6768</v>
      </c>
      <c r="H1778" s="116"/>
      <c r="I1778" s="116"/>
      <c r="L1778" s="169">
        <v>44622</v>
      </c>
      <c r="M1778" s="116">
        <v>2890.4</v>
      </c>
      <c r="N1778" s="116">
        <v>2927</v>
      </c>
      <c r="O1778" s="116">
        <v>2820.05</v>
      </c>
      <c r="P1778" s="116">
        <v>2836</v>
      </c>
      <c r="Q1778" s="116">
        <v>2890.4</v>
      </c>
      <c r="R1778">
        <v>58703</v>
      </c>
    </row>
    <row r="1779" spans="1:18" x14ac:dyDescent="0.25">
      <c r="A1779" s="169">
        <v>44623</v>
      </c>
      <c r="B1779" s="116">
        <v>2988.95</v>
      </c>
      <c r="C1779" s="116">
        <v>2822.45</v>
      </c>
      <c r="D1779" s="116">
        <v>2812.5</v>
      </c>
      <c r="E1779" s="116">
        <v>2938</v>
      </c>
      <c r="F1779" s="116">
        <v>2822.45</v>
      </c>
      <c r="G1779">
        <v>7035</v>
      </c>
      <c r="H1779" s="116"/>
      <c r="I1779" s="116"/>
      <c r="L1779" s="169">
        <v>44623</v>
      </c>
      <c r="M1779" s="116">
        <v>2820.05</v>
      </c>
      <c r="N1779" s="116">
        <v>2991.25</v>
      </c>
      <c r="O1779" s="116">
        <v>2812.55</v>
      </c>
      <c r="P1779" s="116">
        <v>2935.4</v>
      </c>
      <c r="Q1779" s="116">
        <v>2820.05</v>
      </c>
      <c r="R1779">
        <v>75902</v>
      </c>
    </row>
    <row r="1780" spans="1:18" x14ac:dyDescent="0.25">
      <c r="A1780" s="169">
        <v>44624</v>
      </c>
      <c r="B1780" s="116">
        <v>2852.75</v>
      </c>
      <c r="C1780" s="116">
        <v>2779.95</v>
      </c>
      <c r="D1780" s="116">
        <v>2711.85</v>
      </c>
      <c r="E1780" s="116">
        <v>2711.85</v>
      </c>
      <c r="F1780" s="116">
        <v>2779.95</v>
      </c>
      <c r="G1780">
        <v>12218</v>
      </c>
      <c r="H1780" s="116"/>
      <c r="I1780" s="116"/>
      <c r="L1780" s="169">
        <v>44624</v>
      </c>
      <c r="M1780" s="116">
        <v>2779.4</v>
      </c>
      <c r="N1780" s="116">
        <v>2838.55</v>
      </c>
      <c r="O1780" s="116">
        <v>2730</v>
      </c>
      <c r="P1780" s="116">
        <v>2830</v>
      </c>
      <c r="Q1780" s="116">
        <v>2779.4</v>
      </c>
      <c r="R1780">
        <v>57509</v>
      </c>
    </row>
    <row r="1781" spans="1:18" x14ac:dyDescent="0.25">
      <c r="A1781" s="169">
        <v>44627</v>
      </c>
      <c r="B1781" s="116">
        <v>2775.9</v>
      </c>
      <c r="C1781" s="116">
        <v>2727.25</v>
      </c>
      <c r="D1781" s="116">
        <v>2680.05</v>
      </c>
      <c r="E1781" s="116">
        <v>2680.05</v>
      </c>
      <c r="F1781" s="116">
        <v>2727.25</v>
      </c>
      <c r="G1781">
        <v>18497</v>
      </c>
      <c r="H1781" s="116"/>
      <c r="I1781" s="116"/>
      <c r="L1781" s="169">
        <v>44627</v>
      </c>
      <c r="M1781" s="116">
        <v>2730.85</v>
      </c>
      <c r="N1781" s="116">
        <v>2775.2</v>
      </c>
      <c r="O1781" s="116">
        <v>2692.75</v>
      </c>
      <c r="P1781" s="116">
        <v>2698</v>
      </c>
      <c r="Q1781" s="116">
        <v>2730.85</v>
      </c>
      <c r="R1781">
        <v>53814</v>
      </c>
    </row>
    <row r="1782" spans="1:18" x14ac:dyDescent="0.25">
      <c r="A1782" s="169">
        <v>44628</v>
      </c>
      <c r="B1782" s="116">
        <v>2819.95</v>
      </c>
      <c r="C1782" s="116">
        <v>2810.7</v>
      </c>
      <c r="D1782" s="116">
        <v>2727.25</v>
      </c>
      <c r="E1782" s="116">
        <v>2727.25</v>
      </c>
      <c r="F1782" s="116">
        <v>2810.7</v>
      </c>
      <c r="G1782">
        <v>6358</v>
      </c>
      <c r="H1782" s="116"/>
      <c r="I1782" s="116"/>
      <c r="L1782" s="169">
        <v>44628</v>
      </c>
      <c r="M1782" s="116">
        <v>2805.5</v>
      </c>
      <c r="N1782" s="116">
        <v>2819</v>
      </c>
      <c r="O1782" s="116">
        <v>2739.6</v>
      </c>
      <c r="P1782" s="116">
        <v>2752.9</v>
      </c>
      <c r="Q1782" s="116">
        <v>2805.5</v>
      </c>
      <c r="R1782">
        <v>50343</v>
      </c>
    </row>
    <row r="1783" spans="1:18" x14ac:dyDescent="0.25">
      <c r="A1783" s="169">
        <v>44629</v>
      </c>
      <c r="B1783" s="116">
        <v>2897</v>
      </c>
      <c r="C1783" s="116">
        <v>2877.65</v>
      </c>
      <c r="D1783" s="116">
        <v>2811.95</v>
      </c>
      <c r="E1783" s="116">
        <v>2870</v>
      </c>
      <c r="F1783" s="116">
        <v>2877.65</v>
      </c>
      <c r="G1783">
        <v>11633</v>
      </c>
      <c r="H1783" s="116"/>
      <c r="I1783" s="116"/>
      <c r="L1783" s="169">
        <v>44629</v>
      </c>
      <c r="M1783" s="116">
        <v>2878.8</v>
      </c>
      <c r="N1783" s="116">
        <v>2898</v>
      </c>
      <c r="O1783" s="116">
        <v>2812.2</v>
      </c>
      <c r="P1783" s="116">
        <v>2858.2</v>
      </c>
      <c r="Q1783" s="116">
        <v>2878.8</v>
      </c>
      <c r="R1783">
        <v>49647</v>
      </c>
    </row>
    <row r="1784" spans="1:18" x14ac:dyDescent="0.25">
      <c r="A1784" s="169">
        <v>44630</v>
      </c>
      <c r="B1784" s="116">
        <v>2993.45</v>
      </c>
      <c r="C1784" s="116">
        <v>2923.5</v>
      </c>
      <c r="D1784" s="116">
        <v>2894.45</v>
      </c>
      <c r="E1784" s="116">
        <v>2949</v>
      </c>
      <c r="F1784" s="116">
        <v>2923.5</v>
      </c>
      <c r="G1784">
        <v>11213</v>
      </c>
      <c r="H1784" s="116"/>
      <c r="I1784" s="116"/>
      <c r="L1784" s="169">
        <v>44630</v>
      </c>
      <c r="M1784" s="116">
        <v>2926.1</v>
      </c>
      <c r="N1784" s="116">
        <v>2995</v>
      </c>
      <c r="O1784" s="116">
        <v>2894.55</v>
      </c>
      <c r="P1784" s="116">
        <v>2982</v>
      </c>
      <c r="Q1784" s="116">
        <v>2926.1</v>
      </c>
      <c r="R1784">
        <v>72813</v>
      </c>
    </row>
    <row r="1785" spans="1:18" x14ac:dyDescent="0.25">
      <c r="A1785" s="169">
        <v>44631</v>
      </c>
      <c r="B1785" s="116">
        <v>2944.15</v>
      </c>
      <c r="C1785" s="116">
        <v>2884.45</v>
      </c>
      <c r="D1785" s="116">
        <v>2870.1</v>
      </c>
      <c r="E1785" s="116">
        <v>2934.8</v>
      </c>
      <c r="F1785" s="116">
        <v>2884.45</v>
      </c>
      <c r="G1785">
        <v>4777</v>
      </c>
      <c r="H1785" s="116"/>
      <c r="I1785" s="116"/>
      <c r="L1785" s="169">
        <v>44631</v>
      </c>
      <c r="M1785" s="116">
        <v>2882.4</v>
      </c>
      <c r="N1785" s="116">
        <v>2944.95</v>
      </c>
      <c r="O1785" s="116">
        <v>2871.15</v>
      </c>
      <c r="P1785" s="116">
        <v>2900</v>
      </c>
      <c r="Q1785" s="116">
        <v>2882.4</v>
      </c>
      <c r="R1785">
        <v>39748</v>
      </c>
    </row>
    <row r="1786" spans="1:18" x14ac:dyDescent="0.25">
      <c r="A1786" s="169">
        <v>44634</v>
      </c>
      <c r="B1786" s="116">
        <v>2929</v>
      </c>
      <c r="C1786" s="116">
        <v>2894.75</v>
      </c>
      <c r="D1786" s="116">
        <v>2824.9</v>
      </c>
      <c r="E1786" s="116">
        <v>2890.45</v>
      </c>
      <c r="F1786" s="116">
        <v>2894.75</v>
      </c>
      <c r="G1786">
        <v>17264</v>
      </c>
      <c r="H1786" s="116"/>
      <c r="I1786" s="116"/>
      <c r="L1786" s="169">
        <v>44634</v>
      </c>
      <c r="M1786" s="116">
        <v>2901.25</v>
      </c>
      <c r="N1786" s="116">
        <v>2920</v>
      </c>
      <c r="O1786" s="116">
        <v>2828.05</v>
      </c>
      <c r="P1786" s="116">
        <v>2900</v>
      </c>
      <c r="Q1786" s="116">
        <v>2901.25</v>
      </c>
      <c r="R1786">
        <v>73290</v>
      </c>
    </row>
    <row r="1787" spans="1:18" x14ac:dyDescent="0.25">
      <c r="A1787" s="169">
        <v>44635</v>
      </c>
      <c r="B1787" s="116">
        <v>2965</v>
      </c>
      <c r="C1787" s="116">
        <v>2896.4</v>
      </c>
      <c r="D1787" s="116">
        <v>2884</v>
      </c>
      <c r="E1787" s="116">
        <v>2884</v>
      </c>
      <c r="F1787" s="116">
        <v>2896.4</v>
      </c>
      <c r="G1787">
        <v>8601</v>
      </c>
      <c r="H1787" s="116"/>
      <c r="I1787" s="116"/>
      <c r="L1787" s="169">
        <v>44635</v>
      </c>
      <c r="M1787" s="116">
        <v>2900.55</v>
      </c>
      <c r="N1787" s="116">
        <v>2968</v>
      </c>
      <c r="O1787" s="116">
        <v>2890</v>
      </c>
      <c r="P1787" s="116">
        <v>2905.8</v>
      </c>
      <c r="Q1787" s="116">
        <v>2900.55</v>
      </c>
      <c r="R1787">
        <v>61817</v>
      </c>
    </row>
    <row r="1788" spans="1:18" x14ac:dyDescent="0.25">
      <c r="A1788" s="169">
        <v>44636</v>
      </c>
      <c r="B1788" s="116">
        <v>3122.8</v>
      </c>
      <c r="C1788" s="116">
        <v>3088.2</v>
      </c>
      <c r="D1788" s="116">
        <v>2906.55</v>
      </c>
      <c r="E1788" s="116">
        <v>2906.55</v>
      </c>
      <c r="F1788" s="116">
        <v>3088.2</v>
      </c>
      <c r="G1788">
        <v>22403</v>
      </c>
      <c r="H1788" s="116"/>
      <c r="I1788" s="116"/>
      <c r="L1788" s="169">
        <v>44636</v>
      </c>
      <c r="M1788" s="116">
        <v>3081.25</v>
      </c>
      <c r="N1788" s="116">
        <v>3125</v>
      </c>
      <c r="O1788" s="116">
        <v>2925.05</v>
      </c>
      <c r="P1788" s="116">
        <v>2930</v>
      </c>
      <c r="Q1788" s="116">
        <v>3081.25</v>
      </c>
      <c r="R1788">
        <v>389852</v>
      </c>
    </row>
    <row r="1789" spans="1:18" x14ac:dyDescent="0.25">
      <c r="A1789" s="169">
        <v>44637</v>
      </c>
      <c r="B1789" s="116">
        <v>3169</v>
      </c>
      <c r="C1789" s="116">
        <v>3112.25</v>
      </c>
      <c r="D1789" s="116">
        <v>3080.45</v>
      </c>
      <c r="E1789" s="116">
        <v>3149.95</v>
      </c>
      <c r="F1789" s="116">
        <v>3112.25</v>
      </c>
      <c r="G1789">
        <v>15853</v>
      </c>
      <c r="H1789" s="116"/>
      <c r="I1789" s="116"/>
      <c r="L1789" s="169">
        <v>44637</v>
      </c>
      <c r="M1789" s="116">
        <v>3112.25</v>
      </c>
      <c r="N1789" s="116">
        <v>3164.2</v>
      </c>
      <c r="O1789" s="116">
        <v>3080.15</v>
      </c>
      <c r="P1789" s="116">
        <v>3139</v>
      </c>
      <c r="Q1789" s="116">
        <v>3112.25</v>
      </c>
      <c r="R1789">
        <v>118961</v>
      </c>
    </row>
    <row r="1790" spans="1:18" x14ac:dyDescent="0.25">
      <c r="A1790" s="169">
        <v>44641</v>
      </c>
      <c r="B1790" s="116">
        <v>3150</v>
      </c>
      <c r="C1790" s="116">
        <v>3102.05</v>
      </c>
      <c r="D1790" s="116">
        <v>3070</v>
      </c>
      <c r="E1790" s="116">
        <v>3112</v>
      </c>
      <c r="F1790" s="116">
        <v>3102.05</v>
      </c>
      <c r="G1790">
        <v>9882</v>
      </c>
      <c r="H1790" s="116"/>
      <c r="I1790" s="116"/>
      <c r="L1790" s="169">
        <v>44641</v>
      </c>
      <c r="M1790" s="116">
        <v>3108.55</v>
      </c>
      <c r="N1790" s="116">
        <v>3141.55</v>
      </c>
      <c r="O1790" s="116">
        <v>3071</v>
      </c>
      <c r="P1790" s="116">
        <v>3114.5</v>
      </c>
      <c r="Q1790" s="116">
        <v>3108.55</v>
      </c>
      <c r="R1790">
        <v>56614</v>
      </c>
    </row>
    <row r="1791" spans="1:18" x14ac:dyDescent="0.25">
      <c r="A1791" s="169">
        <v>44642</v>
      </c>
      <c r="B1791" s="116">
        <v>3115.95</v>
      </c>
      <c r="C1791" s="116">
        <v>3080.45</v>
      </c>
      <c r="D1791" s="116">
        <v>3037.9</v>
      </c>
      <c r="E1791" s="116">
        <v>3115.95</v>
      </c>
      <c r="F1791" s="116">
        <v>3080.45</v>
      </c>
      <c r="G1791">
        <v>7171</v>
      </c>
      <c r="H1791" s="116"/>
      <c r="I1791" s="116"/>
      <c r="L1791" s="169">
        <v>44642</v>
      </c>
      <c r="M1791" s="116">
        <v>3081.65</v>
      </c>
      <c r="N1791" s="116">
        <v>3110</v>
      </c>
      <c r="O1791" s="116">
        <v>3035</v>
      </c>
      <c r="P1791" s="116">
        <v>3103.9</v>
      </c>
      <c r="Q1791" s="116">
        <v>3081.65</v>
      </c>
      <c r="R1791">
        <v>55130</v>
      </c>
    </row>
    <row r="1792" spans="1:18" x14ac:dyDescent="0.25">
      <c r="A1792" s="169">
        <v>44643</v>
      </c>
      <c r="B1792" s="116">
        <v>3160.15</v>
      </c>
      <c r="C1792" s="116">
        <v>3083.15</v>
      </c>
      <c r="D1792" s="116">
        <v>3062.65</v>
      </c>
      <c r="E1792" s="116">
        <v>3085</v>
      </c>
      <c r="F1792" s="116">
        <v>3083.15</v>
      </c>
      <c r="G1792">
        <v>4645</v>
      </c>
      <c r="H1792" s="116"/>
      <c r="I1792" s="116"/>
      <c r="L1792" s="169">
        <v>44643</v>
      </c>
      <c r="M1792" s="116">
        <v>3090.9</v>
      </c>
      <c r="N1792" s="116">
        <v>3159.25</v>
      </c>
      <c r="O1792" s="116">
        <v>3074.15</v>
      </c>
      <c r="P1792" s="116">
        <v>3100</v>
      </c>
      <c r="Q1792" s="116">
        <v>3090.9</v>
      </c>
      <c r="R1792">
        <v>58374</v>
      </c>
    </row>
    <row r="1793" spans="1:18" x14ac:dyDescent="0.25">
      <c r="A1793" s="169">
        <v>44644</v>
      </c>
      <c r="B1793" s="116">
        <v>3104.9</v>
      </c>
      <c r="C1793" s="116">
        <v>3057</v>
      </c>
      <c r="D1793" s="116">
        <v>3048.25</v>
      </c>
      <c r="E1793" s="116">
        <v>3090</v>
      </c>
      <c r="F1793" s="116">
        <v>3057</v>
      </c>
      <c r="G1793">
        <v>2698</v>
      </c>
      <c r="H1793" s="116"/>
      <c r="I1793" s="116"/>
      <c r="L1793" s="169">
        <v>44644</v>
      </c>
      <c r="M1793" s="116">
        <v>3055.5</v>
      </c>
      <c r="N1793" s="116">
        <v>3104.55</v>
      </c>
      <c r="O1793" s="116">
        <v>3046.6</v>
      </c>
      <c r="P1793" s="116">
        <v>3079</v>
      </c>
      <c r="Q1793" s="116">
        <v>3055.5</v>
      </c>
      <c r="R1793">
        <v>34827</v>
      </c>
    </row>
    <row r="1794" spans="1:18" x14ac:dyDescent="0.25">
      <c r="A1794" s="169">
        <v>44645</v>
      </c>
      <c r="B1794" s="116">
        <v>3096.2</v>
      </c>
      <c r="C1794" s="116">
        <v>2993.8</v>
      </c>
      <c r="D1794" s="116">
        <v>2984</v>
      </c>
      <c r="E1794" s="116">
        <v>3055</v>
      </c>
      <c r="F1794" s="116">
        <v>2993.8</v>
      </c>
      <c r="G1794">
        <v>9618</v>
      </c>
      <c r="H1794" s="116"/>
      <c r="I1794" s="116"/>
      <c r="L1794" s="169">
        <v>44645</v>
      </c>
      <c r="M1794" s="116">
        <v>2993.9</v>
      </c>
      <c r="N1794" s="116">
        <v>3090.15</v>
      </c>
      <c r="O1794" s="116">
        <v>2982.35</v>
      </c>
      <c r="P1794" s="116">
        <v>3079</v>
      </c>
      <c r="Q1794" s="116">
        <v>2993.9</v>
      </c>
      <c r="R1794">
        <v>44226</v>
      </c>
    </row>
    <row r="1795" spans="1:18" x14ac:dyDescent="0.25">
      <c r="A1795" s="169">
        <v>44648</v>
      </c>
      <c r="B1795" s="116">
        <v>3005.1</v>
      </c>
      <c r="C1795" s="116">
        <v>2883.5</v>
      </c>
      <c r="D1795" s="116">
        <v>2865</v>
      </c>
      <c r="E1795" s="116">
        <v>2983</v>
      </c>
      <c r="F1795" s="116">
        <v>2883.5</v>
      </c>
      <c r="G1795">
        <v>10917</v>
      </c>
      <c r="H1795" s="116"/>
      <c r="I1795" s="116"/>
      <c r="L1795" s="169">
        <v>44648</v>
      </c>
      <c r="M1795" s="116">
        <v>2887.4</v>
      </c>
      <c r="N1795" s="116">
        <v>3008.4</v>
      </c>
      <c r="O1795" s="116">
        <v>2864.1</v>
      </c>
      <c r="P1795" s="116">
        <v>2993.9</v>
      </c>
      <c r="Q1795" s="116">
        <v>2887.4</v>
      </c>
      <c r="R1795">
        <v>131522</v>
      </c>
    </row>
    <row r="1796" spans="1:18" x14ac:dyDescent="0.25">
      <c r="A1796" s="169">
        <v>44649</v>
      </c>
      <c r="B1796" s="116">
        <v>2954.2</v>
      </c>
      <c r="C1796" s="116">
        <v>2859.4</v>
      </c>
      <c r="D1796" s="116">
        <v>2850</v>
      </c>
      <c r="E1796" s="116">
        <v>2909.95</v>
      </c>
      <c r="F1796" s="116">
        <v>2859.4</v>
      </c>
      <c r="G1796">
        <v>11416</v>
      </c>
      <c r="H1796" s="116"/>
      <c r="I1796" s="116"/>
      <c r="L1796" s="169">
        <v>44649</v>
      </c>
      <c r="M1796" s="116">
        <v>2859.85</v>
      </c>
      <c r="N1796" s="116">
        <v>2958.7</v>
      </c>
      <c r="O1796" s="116">
        <v>2850</v>
      </c>
      <c r="P1796" s="116">
        <v>2890</v>
      </c>
      <c r="Q1796" s="116">
        <v>2859.85</v>
      </c>
      <c r="R1796">
        <v>96730</v>
      </c>
    </row>
    <row r="1797" spans="1:18" x14ac:dyDescent="0.25">
      <c r="A1797" s="169">
        <v>44650</v>
      </c>
      <c r="B1797" s="116">
        <v>3021</v>
      </c>
      <c r="C1797" s="116">
        <v>2945.7</v>
      </c>
      <c r="D1797" s="116">
        <v>2872</v>
      </c>
      <c r="E1797" s="116">
        <v>2872</v>
      </c>
      <c r="F1797" s="116">
        <v>2945.7</v>
      </c>
      <c r="G1797">
        <v>11114</v>
      </c>
      <c r="H1797" s="116"/>
      <c r="I1797" s="116"/>
      <c r="L1797" s="169">
        <v>44650</v>
      </c>
      <c r="M1797" s="116">
        <v>2946</v>
      </c>
      <c r="N1797" s="116">
        <v>3021</v>
      </c>
      <c r="O1797" s="116">
        <v>2889</v>
      </c>
      <c r="P1797" s="116">
        <v>2890</v>
      </c>
      <c r="Q1797" s="116">
        <v>2946</v>
      </c>
      <c r="R1797">
        <v>115544</v>
      </c>
    </row>
    <row r="1798" spans="1:18" x14ac:dyDescent="0.25">
      <c r="A1798" s="169">
        <v>44651</v>
      </c>
      <c r="B1798" s="116">
        <v>3008.45</v>
      </c>
      <c r="C1798" s="116">
        <v>2902.15</v>
      </c>
      <c r="D1798" s="116">
        <v>2881</v>
      </c>
      <c r="E1798" s="116">
        <v>2974</v>
      </c>
      <c r="F1798" s="116">
        <v>2902.15</v>
      </c>
      <c r="G1798">
        <v>12564</v>
      </c>
      <c r="H1798" s="116"/>
      <c r="I1798" s="116"/>
      <c r="L1798" s="169">
        <v>44651</v>
      </c>
      <c r="M1798" s="116">
        <v>2905.5</v>
      </c>
      <c r="N1798" s="116">
        <v>3008.75</v>
      </c>
      <c r="O1798" s="116">
        <v>2876</v>
      </c>
      <c r="P1798" s="116">
        <v>2950</v>
      </c>
      <c r="Q1798" s="116">
        <v>2905.5</v>
      </c>
      <c r="R1798">
        <v>92918</v>
      </c>
    </row>
    <row r="1799" spans="1:18" x14ac:dyDescent="0.25">
      <c r="A1799" s="169">
        <v>44652</v>
      </c>
      <c r="B1799" s="116">
        <v>3019</v>
      </c>
      <c r="C1799" s="116">
        <v>2993.65</v>
      </c>
      <c r="D1799" s="116">
        <v>2902.15</v>
      </c>
      <c r="E1799" s="116">
        <v>2902.15</v>
      </c>
      <c r="F1799" s="116">
        <v>2993.65</v>
      </c>
      <c r="G1799">
        <v>13741</v>
      </c>
      <c r="H1799" s="116"/>
      <c r="I1799" s="116"/>
      <c r="L1799" s="169">
        <v>44652</v>
      </c>
      <c r="M1799" s="116">
        <v>2990.45</v>
      </c>
      <c r="N1799" s="116">
        <v>3019.8</v>
      </c>
      <c r="O1799" s="116">
        <v>2905</v>
      </c>
      <c r="P1799" s="116">
        <v>2915</v>
      </c>
      <c r="Q1799" s="116">
        <v>2990.45</v>
      </c>
      <c r="R1799">
        <v>81382</v>
      </c>
    </row>
    <row r="1800" spans="1:18" x14ac:dyDescent="0.25">
      <c r="A1800" s="169">
        <v>44655</v>
      </c>
      <c r="B1800" s="116">
        <v>3244</v>
      </c>
      <c r="C1800" s="116">
        <v>3198.7</v>
      </c>
      <c r="D1800" s="116">
        <v>3025</v>
      </c>
      <c r="E1800" s="116">
        <v>3025</v>
      </c>
      <c r="F1800" s="116">
        <v>3198.7</v>
      </c>
      <c r="G1800">
        <v>37215</v>
      </c>
      <c r="H1800" s="116"/>
      <c r="I1800" s="116"/>
      <c r="L1800" s="169">
        <v>44655</v>
      </c>
      <c r="M1800" s="116">
        <v>3200.5</v>
      </c>
      <c r="N1800" s="116">
        <v>3247</v>
      </c>
      <c r="O1800" s="116">
        <v>3035</v>
      </c>
      <c r="P1800" s="116">
        <v>3050</v>
      </c>
      <c r="Q1800" s="116">
        <v>3200.5</v>
      </c>
      <c r="R1800">
        <v>250775</v>
      </c>
    </row>
    <row r="1801" spans="1:18" x14ac:dyDescent="0.25">
      <c r="A1801" s="169">
        <v>44656</v>
      </c>
      <c r="B1801" s="116">
        <v>3455</v>
      </c>
      <c r="C1801" s="116">
        <v>3419.95</v>
      </c>
      <c r="D1801" s="116">
        <v>3239</v>
      </c>
      <c r="E1801" s="116">
        <v>3239</v>
      </c>
      <c r="F1801" s="116">
        <v>3419.95</v>
      </c>
      <c r="G1801">
        <v>24696</v>
      </c>
      <c r="H1801" s="116"/>
      <c r="I1801" s="116"/>
      <c r="L1801" s="169">
        <v>44656</v>
      </c>
      <c r="M1801" s="116">
        <v>3421.55</v>
      </c>
      <c r="N1801" s="116">
        <v>3458</v>
      </c>
      <c r="O1801" s="116">
        <v>3260</v>
      </c>
      <c r="P1801" s="116">
        <v>3260</v>
      </c>
      <c r="Q1801" s="116">
        <v>3421.55</v>
      </c>
      <c r="R1801">
        <v>471293</v>
      </c>
    </row>
    <row r="1802" spans="1:18" x14ac:dyDescent="0.25">
      <c r="A1802" s="169">
        <v>44657</v>
      </c>
      <c r="B1802" s="116">
        <v>3505</v>
      </c>
      <c r="C1802" s="116">
        <v>3433.95</v>
      </c>
      <c r="D1802" s="116">
        <v>3350.5</v>
      </c>
      <c r="E1802" s="116">
        <v>3440</v>
      </c>
      <c r="F1802" s="116">
        <v>3433.95</v>
      </c>
      <c r="G1802">
        <v>11444</v>
      </c>
      <c r="H1802" s="116"/>
      <c r="I1802" s="116"/>
      <c r="L1802" s="169">
        <v>44657</v>
      </c>
      <c r="M1802" s="116">
        <v>3431.35</v>
      </c>
      <c r="N1802" s="116">
        <v>3504</v>
      </c>
      <c r="O1802" s="116">
        <v>3350.05</v>
      </c>
      <c r="P1802" s="116">
        <v>3450</v>
      </c>
      <c r="Q1802" s="116">
        <v>3431.35</v>
      </c>
      <c r="R1802">
        <v>198395</v>
      </c>
    </row>
    <row r="1803" spans="1:18" x14ac:dyDescent="0.25">
      <c r="A1803" s="169">
        <v>44658</v>
      </c>
      <c r="B1803" s="116">
        <v>3450</v>
      </c>
      <c r="C1803" s="116">
        <v>3337.65</v>
      </c>
      <c r="D1803" s="116">
        <v>3300</v>
      </c>
      <c r="E1803" s="116">
        <v>3402.05</v>
      </c>
      <c r="F1803" s="116">
        <v>3337.65</v>
      </c>
      <c r="G1803">
        <v>13826</v>
      </c>
      <c r="H1803" s="116"/>
      <c r="I1803" s="116"/>
      <c r="L1803" s="169">
        <v>44658</v>
      </c>
      <c r="M1803" s="116">
        <v>3342.3</v>
      </c>
      <c r="N1803" s="116">
        <v>3454.9</v>
      </c>
      <c r="O1803" s="116">
        <v>3320.3</v>
      </c>
      <c r="P1803" s="116">
        <v>3431</v>
      </c>
      <c r="Q1803" s="116">
        <v>3342.3</v>
      </c>
      <c r="R1803">
        <v>82416</v>
      </c>
    </row>
    <row r="1804" spans="1:18" x14ac:dyDescent="0.25">
      <c r="A1804" s="169">
        <v>44659</v>
      </c>
      <c r="B1804" s="116">
        <v>3479.95</v>
      </c>
      <c r="C1804" s="116">
        <v>3406.25</v>
      </c>
      <c r="D1804" s="116">
        <v>3371.7</v>
      </c>
      <c r="E1804" s="116">
        <v>3371.75</v>
      </c>
      <c r="F1804" s="116">
        <v>3406.25</v>
      </c>
      <c r="G1804">
        <v>9129</v>
      </c>
      <c r="H1804" s="116"/>
      <c r="I1804" s="116"/>
      <c r="L1804" s="169">
        <v>44659</v>
      </c>
      <c r="M1804" s="116">
        <v>3403.9</v>
      </c>
      <c r="N1804" s="116">
        <v>3488</v>
      </c>
      <c r="O1804" s="116">
        <v>3350.4</v>
      </c>
      <c r="P1804" s="116">
        <v>3350.4</v>
      </c>
      <c r="Q1804" s="116">
        <v>3403.9</v>
      </c>
      <c r="R1804">
        <v>139591</v>
      </c>
    </row>
    <row r="1805" spans="1:18" x14ac:dyDescent="0.25">
      <c r="A1805" s="169">
        <v>44662</v>
      </c>
      <c r="B1805" s="116">
        <v>3470</v>
      </c>
      <c r="C1805" s="116">
        <v>3355.1</v>
      </c>
      <c r="D1805" s="116">
        <v>3342.7</v>
      </c>
      <c r="E1805" s="116">
        <v>3455</v>
      </c>
      <c r="F1805" s="116">
        <v>3355.1</v>
      </c>
      <c r="G1805">
        <v>10337</v>
      </c>
      <c r="H1805" s="116"/>
      <c r="I1805" s="116"/>
      <c r="L1805" s="169">
        <v>44662</v>
      </c>
      <c r="M1805" s="116">
        <v>3359.15</v>
      </c>
      <c r="N1805" s="116">
        <v>3449</v>
      </c>
      <c r="O1805" s="116">
        <v>3345</v>
      </c>
      <c r="P1805" s="116">
        <v>3415.45</v>
      </c>
      <c r="Q1805" s="116">
        <v>3359.15</v>
      </c>
      <c r="R1805">
        <v>76782</v>
      </c>
    </row>
    <row r="1806" spans="1:18" x14ac:dyDescent="0.25">
      <c r="A1806" s="169">
        <v>44663</v>
      </c>
      <c r="B1806" s="116">
        <v>3413.65</v>
      </c>
      <c r="C1806" s="116">
        <v>3241.15</v>
      </c>
      <c r="D1806" s="116">
        <v>3223.05</v>
      </c>
      <c r="E1806" s="116">
        <v>3370</v>
      </c>
      <c r="F1806" s="116">
        <v>3241.15</v>
      </c>
      <c r="G1806">
        <v>6655</v>
      </c>
      <c r="H1806" s="116"/>
      <c r="I1806" s="116"/>
      <c r="L1806" s="169">
        <v>44663</v>
      </c>
      <c r="M1806" s="116">
        <v>3240.35</v>
      </c>
      <c r="N1806" s="116">
        <v>3418</v>
      </c>
      <c r="O1806" s="116">
        <v>3221</v>
      </c>
      <c r="P1806" s="116">
        <v>3371</v>
      </c>
      <c r="Q1806" s="116">
        <v>3240.35</v>
      </c>
      <c r="R1806">
        <v>130877</v>
      </c>
    </row>
    <row r="1807" spans="1:18" x14ac:dyDescent="0.25">
      <c r="A1807" s="169">
        <v>44664</v>
      </c>
      <c r="B1807" s="116">
        <v>3315</v>
      </c>
      <c r="C1807" s="116">
        <v>3244.85</v>
      </c>
      <c r="D1807" s="116">
        <v>3223.95</v>
      </c>
      <c r="E1807" s="116">
        <v>3308</v>
      </c>
      <c r="F1807" s="116">
        <v>3244.85</v>
      </c>
      <c r="G1807">
        <v>8156</v>
      </c>
      <c r="H1807" s="116"/>
      <c r="I1807" s="116"/>
      <c r="L1807" s="169">
        <v>44664</v>
      </c>
      <c r="M1807" s="116">
        <v>3243.9</v>
      </c>
      <c r="N1807" s="116">
        <v>3319.75</v>
      </c>
      <c r="O1807" s="116">
        <v>3209.05</v>
      </c>
      <c r="P1807" s="116">
        <v>3294.65</v>
      </c>
      <c r="Q1807" s="116">
        <v>3243.9</v>
      </c>
      <c r="R1807">
        <v>44661</v>
      </c>
    </row>
    <row r="1808" spans="1:18" x14ac:dyDescent="0.25">
      <c r="A1808" s="169">
        <v>44669</v>
      </c>
      <c r="B1808" s="116">
        <v>3280</v>
      </c>
      <c r="C1808" s="116">
        <v>3225.85</v>
      </c>
      <c r="D1808" s="116">
        <v>3148</v>
      </c>
      <c r="E1808" s="116">
        <v>3220</v>
      </c>
      <c r="F1808" s="116">
        <v>3225.85</v>
      </c>
      <c r="G1808">
        <v>13661</v>
      </c>
      <c r="H1808" s="116"/>
      <c r="I1808" s="116"/>
      <c r="L1808" s="169">
        <v>44669</v>
      </c>
      <c r="M1808" s="116">
        <v>3222.75</v>
      </c>
      <c r="N1808" s="116">
        <v>3285</v>
      </c>
      <c r="O1808" s="116">
        <v>3148</v>
      </c>
      <c r="P1808" s="116">
        <v>3232</v>
      </c>
      <c r="Q1808" s="116">
        <v>3222.75</v>
      </c>
      <c r="R1808">
        <v>76775</v>
      </c>
    </row>
    <row r="1809" spans="1:18" x14ac:dyDescent="0.25">
      <c r="A1809" s="169">
        <v>44670</v>
      </c>
      <c r="B1809" s="116">
        <v>3279.75</v>
      </c>
      <c r="C1809" s="116">
        <v>3170.65</v>
      </c>
      <c r="D1809" s="116">
        <v>3140</v>
      </c>
      <c r="E1809" s="116">
        <v>3215</v>
      </c>
      <c r="F1809" s="116">
        <v>3170.65</v>
      </c>
      <c r="G1809">
        <v>10900</v>
      </c>
      <c r="H1809" s="116"/>
      <c r="I1809" s="116"/>
      <c r="L1809" s="169">
        <v>44670</v>
      </c>
      <c r="M1809" s="116">
        <v>3169.75</v>
      </c>
      <c r="N1809" s="116">
        <v>3285</v>
      </c>
      <c r="O1809" s="116">
        <v>3148.1</v>
      </c>
      <c r="P1809" s="116">
        <v>3230.75</v>
      </c>
      <c r="Q1809" s="116">
        <v>3169.75</v>
      </c>
      <c r="R1809">
        <v>48314</v>
      </c>
    </row>
    <row r="1810" spans="1:18" x14ac:dyDescent="0.25">
      <c r="A1810" s="169">
        <v>44671</v>
      </c>
      <c r="B1810" s="116">
        <v>3236.55</v>
      </c>
      <c r="C1810" s="116">
        <v>3175.65</v>
      </c>
      <c r="D1810" s="116">
        <v>3151</v>
      </c>
      <c r="E1810" s="116">
        <v>3151</v>
      </c>
      <c r="F1810" s="116">
        <v>3175.65</v>
      </c>
      <c r="G1810">
        <v>8280</v>
      </c>
      <c r="H1810" s="116"/>
      <c r="I1810" s="116"/>
      <c r="L1810" s="169">
        <v>44671</v>
      </c>
      <c r="M1810" s="116">
        <v>3175.25</v>
      </c>
      <c r="N1810" s="116">
        <v>3300</v>
      </c>
      <c r="O1810" s="116">
        <v>3158.45</v>
      </c>
      <c r="P1810" s="116">
        <v>3213.6</v>
      </c>
      <c r="Q1810" s="116">
        <v>3175.25</v>
      </c>
      <c r="R1810">
        <v>44860</v>
      </c>
    </row>
    <row r="1811" spans="1:18" x14ac:dyDescent="0.25">
      <c r="A1811" s="169">
        <v>44672</v>
      </c>
      <c r="B1811" s="116">
        <v>3337.4</v>
      </c>
      <c r="C1811" s="116">
        <v>3300.9</v>
      </c>
      <c r="D1811" s="116">
        <v>3195.05</v>
      </c>
      <c r="E1811" s="116">
        <v>3248</v>
      </c>
      <c r="F1811" s="116">
        <v>3300.9</v>
      </c>
      <c r="G1811">
        <v>13790</v>
      </c>
      <c r="H1811" s="116"/>
      <c r="I1811" s="116"/>
      <c r="L1811" s="169">
        <v>44672</v>
      </c>
      <c r="M1811" s="116">
        <v>3302.7</v>
      </c>
      <c r="N1811" s="116">
        <v>3338.6</v>
      </c>
      <c r="O1811" s="116">
        <v>3200</v>
      </c>
      <c r="P1811" s="116">
        <v>3200</v>
      </c>
      <c r="Q1811" s="116">
        <v>3302.7</v>
      </c>
      <c r="R1811">
        <v>79148</v>
      </c>
    </row>
    <row r="1812" spans="1:18" x14ac:dyDescent="0.25">
      <c r="A1812" s="169">
        <v>44673</v>
      </c>
      <c r="B1812" s="116">
        <v>3289</v>
      </c>
      <c r="C1812" s="116">
        <v>3239.2</v>
      </c>
      <c r="D1812" s="116">
        <v>3226</v>
      </c>
      <c r="E1812" s="116">
        <v>3289</v>
      </c>
      <c r="F1812" s="116">
        <v>3239.2</v>
      </c>
      <c r="G1812">
        <v>3613</v>
      </c>
      <c r="H1812" s="116"/>
      <c r="I1812" s="116"/>
      <c r="L1812" s="169">
        <v>44673</v>
      </c>
      <c r="M1812" s="116">
        <v>3239.2</v>
      </c>
      <c r="N1812" s="116">
        <v>3282.35</v>
      </c>
      <c r="O1812" s="116">
        <v>3225</v>
      </c>
      <c r="P1812" s="116">
        <v>3269</v>
      </c>
      <c r="Q1812" s="116">
        <v>3239.2</v>
      </c>
      <c r="R1812">
        <v>44664</v>
      </c>
    </row>
    <row r="1813" spans="1:18" x14ac:dyDescent="0.25">
      <c r="A1813" s="169">
        <v>44676</v>
      </c>
      <c r="B1813" s="116">
        <v>3311</v>
      </c>
      <c r="C1813" s="116">
        <v>3233.55</v>
      </c>
      <c r="D1813" s="116">
        <v>3171.65</v>
      </c>
      <c r="E1813" s="116">
        <v>3194.15</v>
      </c>
      <c r="F1813" s="116">
        <v>3233.55</v>
      </c>
      <c r="G1813">
        <v>8823</v>
      </c>
      <c r="H1813" s="116"/>
      <c r="I1813" s="116"/>
      <c r="L1813" s="169">
        <v>44676</v>
      </c>
      <c r="M1813" s="116">
        <v>3221.45</v>
      </c>
      <c r="N1813" s="116">
        <v>3312</v>
      </c>
      <c r="O1813" s="116">
        <v>3167</v>
      </c>
      <c r="P1813" s="116">
        <v>3224.65</v>
      </c>
      <c r="Q1813" s="116">
        <v>3221.45</v>
      </c>
      <c r="R1813">
        <v>89866</v>
      </c>
    </row>
    <row r="1814" spans="1:18" x14ac:dyDescent="0.25">
      <c r="A1814" s="169">
        <v>44677</v>
      </c>
      <c r="B1814" s="116">
        <v>3308</v>
      </c>
      <c r="C1814" s="116">
        <v>3263.15</v>
      </c>
      <c r="D1814" s="116">
        <v>3239.35</v>
      </c>
      <c r="E1814" s="116">
        <v>3288</v>
      </c>
      <c r="F1814" s="116">
        <v>3263.15</v>
      </c>
      <c r="G1814">
        <v>10393</v>
      </c>
      <c r="H1814" s="116"/>
      <c r="I1814" s="116"/>
      <c r="L1814" s="169">
        <v>44677</v>
      </c>
      <c r="M1814" s="116">
        <v>3259.5</v>
      </c>
      <c r="N1814" s="116">
        <v>3310</v>
      </c>
      <c r="O1814" s="116">
        <v>3211.1</v>
      </c>
      <c r="P1814" s="116">
        <v>3274.95</v>
      </c>
      <c r="Q1814" s="116">
        <v>3259.5</v>
      </c>
      <c r="R1814">
        <v>57441</v>
      </c>
    </row>
    <row r="1815" spans="1:18" x14ac:dyDescent="0.25">
      <c r="A1815" s="169">
        <v>44678</v>
      </c>
      <c r="B1815" s="116">
        <v>3261.55</v>
      </c>
      <c r="C1815" s="116">
        <v>3224.95</v>
      </c>
      <c r="D1815" s="116">
        <v>3171</v>
      </c>
      <c r="E1815" s="116">
        <v>3186.6</v>
      </c>
      <c r="F1815" s="116">
        <v>3224.95</v>
      </c>
      <c r="G1815">
        <v>12185</v>
      </c>
      <c r="H1815" s="116"/>
      <c r="I1815" s="116"/>
      <c r="L1815" s="169">
        <v>44678</v>
      </c>
      <c r="M1815" s="116">
        <v>3225.1</v>
      </c>
      <c r="N1815" s="116">
        <v>3260</v>
      </c>
      <c r="O1815" s="116">
        <v>3168</v>
      </c>
      <c r="P1815" s="116">
        <v>3225</v>
      </c>
      <c r="Q1815" s="116">
        <v>3225.1</v>
      </c>
      <c r="R1815">
        <v>40887</v>
      </c>
    </row>
    <row r="1816" spans="1:18" x14ac:dyDescent="0.25">
      <c r="A1816" s="169">
        <v>44679</v>
      </c>
      <c r="B1816" s="116">
        <v>3300</v>
      </c>
      <c r="C1816" s="116">
        <v>3266.45</v>
      </c>
      <c r="D1816" s="116">
        <v>3239</v>
      </c>
      <c r="E1816" s="116">
        <v>3250.1</v>
      </c>
      <c r="F1816" s="116">
        <v>3266.45</v>
      </c>
      <c r="G1816">
        <v>2265</v>
      </c>
      <c r="H1816" s="116"/>
      <c r="I1816" s="116"/>
      <c r="L1816" s="169">
        <v>44679</v>
      </c>
      <c r="M1816" s="116">
        <v>3270.75</v>
      </c>
      <c r="N1816" s="116">
        <v>3302</v>
      </c>
      <c r="O1816" s="116">
        <v>3210</v>
      </c>
      <c r="P1816" s="116">
        <v>3243.1</v>
      </c>
      <c r="Q1816" s="116">
        <v>3270.75</v>
      </c>
      <c r="R1816">
        <v>62818</v>
      </c>
    </row>
    <row r="1817" spans="1:18" x14ac:dyDescent="0.25">
      <c r="A1817" s="169">
        <v>44680</v>
      </c>
      <c r="B1817" s="116">
        <v>3337</v>
      </c>
      <c r="C1817" s="116">
        <v>3229.7</v>
      </c>
      <c r="D1817" s="116">
        <v>3199.8</v>
      </c>
      <c r="E1817" s="116">
        <v>3305.35</v>
      </c>
      <c r="F1817" s="116">
        <v>3229.7</v>
      </c>
      <c r="G1817">
        <v>3422</v>
      </c>
      <c r="H1817" s="116"/>
      <c r="I1817" s="116"/>
      <c r="L1817" s="169">
        <v>44680</v>
      </c>
      <c r="M1817" s="116">
        <v>3231.65</v>
      </c>
      <c r="N1817" s="116">
        <v>3335.8</v>
      </c>
      <c r="O1817" s="116">
        <v>3200.05</v>
      </c>
      <c r="P1817" s="116">
        <v>3305.8</v>
      </c>
      <c r="Q1817" s="116">
        <v>3231.65</v>
      </c>
      <c r="R1817">
        <v>47472</v>
      </c>
    </row>
    <row r="1818" spans="1:18" x14ac:dyDescent="0.25">
      <c r="A1818" s="169">
        <v>44683</v>
      </c>
      <c r="B1818" s="116">
        <v>3224.3</v>
      </c>
      <c r="C1818" s="116">
        <v>3201.15</v>
      </c>
      <c r="D1818" s="116">
        <v>3159.15</v>
      </c>
      <c r="E1818" s="116">
        <v>3199</v>
      </c>
      <c r="F1818" s="116">
        <v>3201.15</v>
      </c>
      <c r="G1818">
        <v>1894</v>
      </c>
      <c r="H1818" s="116"/>
      <c r="I1818" s="116"/>
      <c r="L1818" s="169">
        <v>44683</v>
      </c>
      <c r="M1818" s="116">
        <v>3198.7</v>
      </c>
      <c r="N1818" s="116">
        <v>3229.6</v>
      </c>
      <c r="O1818" s="116">
        <v>3157</v>
      </c>
      <c r="P1818" s="116">
        <v>3180</v>
      </c>
      <c r="Q1818" s="116">
        <v>3198.7</v>
      </c>
      <c r="R1818">
        <v>30274</v>
      </c>
    </row>
    <row r="1819" spans="1:18" x14ac:dyDescent="0.25">
      <c r="A1819" s="169">
        <v>44685</v>
      </c>
      <c r="B1819" s="116">
        <v>3238.35</v>
      </c>
      <c r="C1819" s="116">
        <v>3117.5</v>
      </c>
      <c r="D1819" s="116">
        <v>3101</v>
      </c>
      <c r="E1819" s="116">
        <v>3207.2</v>
      </c>
      <c r="F1819" s="116">
        <v>3117.5</v>
      </c>
      <c r="G1819">
        <v>7095</v>
      </c>
      <c r="H1819" s="116"/>
      <c r="I1819" s="116"/>
      <c r="L1819" s="169">
        <v>44685</v>
      </c>
      <c r="M1819" s="116">
        <v>3117.05</v>
      </c>
      <c r="N1819" s="116">
        <v>3237.55</v>
      </c>
      <c r="O1819" s="116">
        <v>3100</v>
      </c>
      <c r="P1819" s="116">
        <v>3236.4</v>
      </c>
      <c r="Q1819" s="116">
        <v>3117.05</v>
      </c>
      <c r="R1819">
        <v>36629</v>
      </c>
    </row>
    <row r="1820" spans="1:18" x14ac:dyDescent="0.25">
      <c r="A1820" s="169">
        <v>44686</v>
      </c>
      <c r="B1820" s="116">
        <v>3185</v>
      </c>
      <c r="C1820" s="116">
        <v>3069.2</v>
      </c>
      <c r="D1820" s="116">
        <v>3057.5</v>
      </c>
      <c r="E1820" s="116">
        <v>3130.05</v>
      </c>
      <c r="F1820" s="116">
        <v>3069.2</v>
      </c>
      <c r="G1820">
        <v>6641</v>
      </c>
      <c r="H1820" s="116"/>
      <c r="I1820" s="116"/>
      <c r="L1820" s="169">
        <v>44686</v>
      </c>
      <c r="M1820" s="116">
        <v>3069.95</v>
      </c>
      <c r="N1820" s="116">
        <v>3185.1</v>
      </c>
      <c r="O1820" s="116">
        <v>3062</v>
      </c>
      <c r="P1820" s="116">
        <v>3153.95</v>
      </c>
      <c r="Q1820" s="116">
        <v>3069.95</v>
      </c>
      <c r="R1820">
        <v>32555</v>
      </c>
    </row>
    <row r="1821" spans="1:18" x14ac:dyDescent="0.25">
      <c r="A1821" s="169">
        <v>44687</v>
      </c>
      <c r="B1821" s="116">
        <v>3034</v>
      </c>
      <c r="C1821" s="116">
        <v>2990.3</v>
      </c>
      <c r="D1821" s="116">
        <v>2960</v>
      </c>
      <c r="E1821" s="116">
        <v>3020</v>
      </c>
      <c r="F1821" s="116">
        <v>2990.3</v>
      </c>
      <c r="G1821">
        <v>6230</v>
      </c>
      <c r="H1821" s="116"/>
      <c r="I1821" s="116"/>
      <c r="L1821" s="169">
        <v>44687</v>
      </c>
      <c r="M1821" s="116">
        <v>2983.1</v>
      </c>
      <c r="N1821" s="116">
        <v>3028.85</v>
      </c>
      <c r="O1821" s="116">
        <v>2956.1</v>
      </c>
      <c r="P1821" s="116">
        <v>3005</v>
      </c>
      <c r="Q1821" s="116">
        <v>2983.1</v>
      </c>
      <c r="R1821">
        <v>48644</v>
      </c>
    </row>
    <row r="1822" spans="1:18" x14ac:dyDescent="0.25">
      <c r="A1822" s="169">
        <v>44690</v>
      </c>
      <c r="B1822" s="116">
        <v>2973.05</v>
      </c>
      <c r="C1822" s="116">
        <v>2910.95</v>
      </c>
      <c r="D1822" s="116">
        <v>2876.7</v>
      </c>
      <c r="E1822" s="116">
        <v>2928.4</v>
      </c>
      <c r="F1822" s="116">
        <v>2910.95</v>
      </c>
      <c r="G1822">
        <v>10076</v>
      </c>
      <c r="H1822" s="116"/>
      <c r="I1822" s="116"/>
      <c r="L1822" s="169">
        <v>44690</v>
      </c>
      <c r="M1822" s="116">
        <v>2913</v>
      </c>
      <c r="N1822" s="116">
        <v>2979.75</v>
      </c>
      <c r="O1822" s="116">
        <v>2880</v>
      </c>
      <c r="P1822" s="116">
        <v>2971.1</v>
      </c>
      <c r="Q1822" s="116">
        <v>2913</v>
      </c>
      <c r="R1822">
        <v>45956</v>
      </c>
    </row>
    <row r="1823" spans="1:18" x14ac:dyDescent="0.25">
      <c r="A1823" s="169">
        <v>44691</v>
      </c>
      <c r="B1823" s="116">
        <v>2969.85</v>
      </c>
      <c r="C1823" s="116">
        <v>2855.6</v>
      </c>
      <c r="D1823" s="116">
        <v>2825</v>
      </c>
      <c r="E1823" s="116">
        <v>2911</v>
      </c>
      <c r="F1823" s="116">
        <v>2855.6</v>
      </c>
      <c r="G1823">
        <v>4069</v>
      </c>
      <c r="H1823" s="116"/>
      <c r="I1823" s="116"/>
      <c r="L1823" s="169">
        <v>44691</v>
      </c>
      <c r="M1823" s="116">
        <v>2848.2</v>
      </c>
      <c r="N1823" s="116">
        <v>2970</v>
      </c>
      <c r="O1823" s="116">
        <v>2821</v>
      </c>
      <c r="P1823" s="116">
        <v>2912</v>
      </c>
      <c r="Q1823" s="116">
        <v>2848.2</v>
      </c>
      <c r="R1823">
        <v>39803</v>
      </c>
    </row>
    <row r="1824" spans="1:18" x14ac:dyDescent="0.25">
      <c r="A1824" s="169">
        <v>44692</v>
      </c>
      <c r="B1824" s="116">
        <v>3089.45</v>
      </c>
      <c r="C1824" s="116">
        <v>3035.9</v>
      </c>
      <c r="D1824" s="116">
        <v>2700</v>
      </c>
      <c r="E1824" s="116">
        <v>2815</v>
      </c>
      <c r="F1824" s="116">
        <v>3035.9</v>
      </c>
      <c r="G1824">
        <v>42060</v>
      </c>
      <c r="H1824" s="116"/>
      <c r="I1824" s="116"/>
      <c r="L1824" s="169">
        <v>44692</v>
      </c>
      <c r="M1824" s="116">
        <v>3042.7</v>
      </c>
      <c r="N1824" s="116">
        <v>3088</v>
      </c>
      <c r="O1824" s="116">
        <v>2700</v>
      </c>
      <c r="P1824" s="116">
        <v>2840</v>
      </c>
      <c r="Q1824" s="116">
        <v>3042.7</v>
      </c>
      <c r="R1824">
        <v>423257</v>
      </c>
    </row>
    <row r="1825" spans="1:18" x14ac:dyDescent="0.25">
      <c r="A1825" s="169">
        <v>44693</v>
      </c>
      <c r="B1825" s="116">
        <v>3172.75</v>
      </c>
      <c r="C1825" s="116">
        <v>3068</v>
      </c>
      <c r="D1825" s="116">
        <v>2937.2</v>
      </c>
      <c r="E1825" s="116">
        <v>3131.55</v>
      </c>
      <c r="F1825" s="116">
        <v>3068</v>
      </c>
      <c r="G1825">
        <v>19127</v>
      </c>
      <c r="H1825" s="116"/>
      <c r="I1825" s="116"/>
      <c r="L1825" s="169">
        <v>44693</v>
      </c>
      <c r="M1825" s="116">
        <v>3070.75</v>
      </c>
      <c r="N1825" s="116">
        <v>3174.9</v>
      </c>
      <c r="O1825" s="116">
        <v>2905</v>
      </c>
      <c r="P1825" s="116">
        <v>3068</v>
      </c>
      <c r="Q1825" s="116">
        <v>3070.75</v>
      </c>
      <c r="R1825">
        <v>404903</v>
      </c>
    </row>
    <row r="1826" spans="1:18" x14ac:dyDescent="0.25">
      <c r="A1826" s="169">
        <v>44694</v>
      </c>
      <c r="B1826" s="116">
        <v>3169.35</v>
      </c>
      <c r="C1826" s="116">
        <v>2981.5</v>
      </c>
      <c r="D1826" s="116">
        <v>2950.15</v>
      </c>
      <c r="E1826" s="116">
        <v>3148</v>
      </c>
      <c r="F1826" s="116">
        <v>2981.5</v>
      </c>
      <c r="G1826">
        <v>8718</v>
      </c>
      <c r="H1826" s="116"/>
      <c r="I1826" s="116"/>
      <c r="L1826" s="169">
        <v>44694</v>
      </c>
      <c r="M1826" s="116">
        <v>2974.2</v>
      </c>
      <c r="N1826" s="116">
        <v>3175</v>
      </c>
      <c r="O1826" s="116">
        <v>2951</v>
      </c>
      <c r="P1826" s="116">
        <v>3150</v>
      </c>
      <c r="Q1826" s="116">
        <v>2974.2</v>
      </c>
      <c r="R1826">
        <v>131281</v>
      </c>
    </row>
    <row r="1827" spans="1:18" x14ac:dyDescent="0.25">
      <c r="A1827" s="169">
        <v>44697</v>
      </c>
      <c r="B1827" s="116">
        <v>3024</v>
      </c>
      <c r="C1827" s="116">
        <v>2924</v>
      </c>
      <c r="D1827" s="116">
        <v>2905</v>
      </c>
      <c r="E1827" s="116">
        <v>3010</v>
      </c>
      <c r="F1827" s="116">
        <v>2924</v>
      </c>
      <c r="G1827">
        <v>9292</v>
      </c>
      <c r="H1827" s="116"/>
      <c r="I1827" s="116"/>
      <c r="L1827" s="169">
        <v>44697</v>
      </c>
      <c r="M1827" s="116">
        <v>2921.05</v>
      </c>
      <c r="N1827" s="116">
        <v>3025</v>
      </c>
      <c r="O1827" s="116">
        <v>2900.05</v>
      </c>
      <c r="P1827" s="116">
        <v>3025</v>
      </c>
      <c r="Q1827" s="116">
        <v>2921.05</v>
      </c>
      <c r="R1827">
        <v>69268</v>
      </c>
    </row>
    <row r="1828" spans="1:18" x14ac:dyDescent="0.25">
      <c r="A1828" s="169">
        <v>44698</v>
      </c>
      <c r="B1828" s="116">
        <v>3045.8</v>
      </c>
      <c r="C1828" s="116">
        <v>3017.4</v>
      </c>
      <c r="D1828" s="116">
        <v>2914.7</v>
      </c>
      <c r="E1828" s="116">
        <v>2928.2</v>
      </c>
      <c r="F1828" s="116">
        <v>3017.4</v>
      </c>
      <c r="G1828">
        <v>9945</v>
      </c>
      <c r="H1828" s="116"/>
      <c r="I1828" s="116"/>
      <c r="L1828" s="169">
        <v>44698</v>
      </c>
      <c r="M1828" s="116">
        <v>3028.25</v>
      </c>
      <c r="N1828" s="116">
        <v>3045</v>
      </c>
      <c r="O1828" s="116">
        <v>2913</v>
      </c>
      <c r="P1828" s="116">
        <v>2949</v>
      </c>
      <c r="Q1828" s="116">
        <v>3028.25</v>
      </c>
      <c r="R1828">
        <v>82094</v>
      </c>
    </row>
    <row r="1829" spans="1:18" x14ac:dyDescent="0.25">
      <c r="A1829" s="169">
        <v>44699</v>
      </c>
      <c r="B1829" s="116">
        <v>3080</v>
      </c>
      <c r="C1829" s="116">
        <v>2965</v>
      </c>
      <c r="D1829" s="116">
        <v>2958</v>
      </c>
      <c r="E1829" s="116">
        <v>3080</v>
      </c>
      <c r="F1829" s="116">
        <v>2965</v>
      </c>
      <c r="G1829">
        <v>4586</v>
      </c>
      <c r="H1829" s="116"/>
      <c r="I1829" s="116"/>
      <c r="L1829" s="169">
        <v>44699</v>
      </c>
      <c r="M1829" s="116">
        <v>2962.85</v>
      </c>
      <c r="N1829" s="116">
        <v>3073.05</v>
      </c>
      <c r="O1829" s="116">
        <v>2955.4</v>
      </c>
      <c r="P1829" s="116">
        <v>3060</v>
      </c>
      <c r="Q1829" s="116">
        <v>2962.85</v>
      </c>
      <c r="R1829">
        <v>70603</v>
      </c>
    </row>
    <row r="1830" spans="1:18" x14ac:dyDescent="0.25">
      <c r="A1830" s="169">
        <v>44700</v>
      </c>
      <c r="B1830" s="116">
        <v>2949.7</v>
      </c>
      <c r="C1830" s="116">
        <v>2914.85</v>
      </c>
      <c r="D1830" s="116">
        <v>2901</v>
      </c>
      <c r="E1830" s="116">
        <v>2930</v>
      </c>
      <c r="F1830" s="116">
        <v>2914.85</v>
      </c>
      <c r="G1830">
        <v>7697</v>
      </c>
      <c r="H1830" s="116"/>
      <c r="I1830" s="116"/>
      <c r="L1830" s="169">
        <v>44700</v>
      </c>
      <c r="M1830" s="116">
        <v>2918.5</v>
      </c>
      <c r="N1830" s="116">
        <v>2950.3</v>
      </c>
      <c r="O1830" s="116">
        <v>2900</v>
      </c>
      <c r="P1830" s="116">
        <v>2900</v>
      </c>
      <c r="Q1830" s="116">
        <v>2918.5</v>
      </c>
      <c r="R1830">
        <v>50065</v>
      </c>
    </row>
    <row r="1831" spans="1:18" x14ac:dyDescent="0.25">
      <c r="A1831" s="169">
        <v>44701</v>
      </c>
      <c r="B1831" s="116">
        <v>3014.95</v>
      </c>
      <c r="C1831" s="116">
        <v>2944.95</v>
      </c>
      <c r="D1831" s="116">
        <v>2912</v>
      </c>
      <c r="E1831" s="116">
        <v>2940.3</v>
      </c>
      <c r="F1831" s="116">
        <v>2944.95</v>
      </c>
      <c r="G1831">
        <v>2890</v>
      </c>
      <c r="H1831" s="116"/>
      <c r="I1831" s="116"/>
      <c r="L1831" s="169">
        <v>44701</v>
      </c>
      <c r="M1831" s="116">
        <v>2943.45</v>
      </c>
      <c r="N1831" s="116">
        <v>3016.7</v>
      </c>
      <c r="O1831" s="116">
        <v>2909.45</v>
      </c>
      <c r="P1831" s="116">
        <v>2943.7</v>
      </c>
      <c r="Q1831" s="116">
        <v>2943.45</v>
      </c>
      <c r="R1831">
        <v>58099</v>
      </c>
    </row>
    <row r="1832" spans="1:18" x14ac:dyDescent="0.25">
      <c r="A1832" s="169">
        <v>44704</v>
      </c>
      <c r="B1832" s="116">
        <v>2995</v>
      </c>
      <c r="C1832" s="116">
        <v>2908.4</v>
      </c>
      <c r="D1832" s="116">
        <v>2896.9</v>
      </c>
      <c r="E1832" s="116">
        <v>2995</v>
      </c>
      <c r="F1832" s="116">
        <v>2908.4</v>
      </c>
      <c r="G1832">
        <v>5820</v>
      </c>
      <c r="H1832" s="116"/>
      <c r="I1832" s="116"/>
      <c r="L1832" s="169">
        <v>44704</v>
      </c>
      <c r="M1832" s="116">
        <v>2909.7</v>
      </c>
      <c r="N1832" s="116">
        <v>2997.65</v>
      </c>
      <c r="O1832" s="116">
        <v>2895</v>
      </c>
      <c r="P1832" s="116">
        <v>2974</v>
      </c>
      <c r="Q1832" s="116">
        <v>2909.7</v>
      </c>
      <c r="R1832">
        <v>40595</v>
      </c>
    </row>
    <row r="1833" spans="1:18" x14ac:dyDescent="0.25">
      <c r="A1833" s="169">
        <v>44705</v>
      </c>
      <c r="B1833" s="116">
        <v>2972</v>
      </c>
      <c r="C1833" s="116">
        <v>2897.7</v>
      </c>
      <c r="D1833" s="116">
        <v>2888</v>
      </c>
      <c r="E1833" s="116">
        <v>2972</v>
      </c>
      <c r="F1833" s="116">
        <v>2897.7</v>
      </c>
      <c r="G1833">
        <v>3657</v>
      </c>
      <c r="H1833" s="116"/>
      <c r="I1833" s="116"/>
      <c r="L1833" s="169">
        <v>44705</v>
      </c>
      <c r="M1833" s="116">
        <v>2901.1</v>
      </c>
      <c r="N1833" s="116">
        <v>2945.9</v>
      </c>
      <c r="O1833" s="116">
        <v>2881.1</v>
      </c>
      <c r="P1833" s="116">
        <v>2938</v>
      </c>
      <c r="Q1833" s="116">
        <v>2901.1</v>
      </c>
      <c r="R1833">
        <v>38222</v>
      </c>
    </row>
    <row r="1834" spans="1:18" x14ac:dyDescent="0.25">
      <c r="A1834" s="169">
        <v>44706</v>
      </c>
      <c r="B1834" s="116">
        <v>2929</v>
      </c>
      <c r="C1834" s="116">
        <v>2779.95</v>
      </c>
      <c r="D1834" s="116">
        <v>2760</v>
      </c>
      <c r="E1834" s="116">
        <v>2929</v>
      </c>
      <c r="F1834" s="116">
        <v>2779.95</v>
      </c>
      <c r="G1834">
        <v>4158</v>
      </c>
      <c r="H1834" s="116"/>
      <c r="I1834" s="116"/>
      <c r="L1834" s="169">
        <v>44706</v>
      </c>
      <c r="M1834" s="116">
        <v>2775</v>
      </c>
      <c r="N1834" s="116">
        <v>2923.2</v>
      </c>
      <c r="O1834" s="116">
        <v>2751.3</v>
      </c>
      <c r="P1834" s="116">
        <v>2901.2</v>
      </c>
      <c r="Q1834" s="116">
        <v>2775</v>
      </c>
      <c r="R1834">
        <v>66698</v>
      </c>
    </row>
    <row r="1835" spans="1:18" x14ac:dyDescent="0.25">
      <c r="A1835" s="169">
        <v>44707</v>
      </c>
      <c r="B1835" s="116">
        <v>2816.7</v>
      </c>
      <c r="C1835" s="116">
        <v>2766.55</v>
      </c>
      <c r="D1835" s="116">
        <v>2700</v>
      </c>
      <c r="E1835" s="116">
        <v>2810</v>
      </c>
      <c r="F1835" s="116">
        <v>2766.55</v>
      </c>
      <c r="G1835">
        <v>7582</v>
      </c>
      <c r="H1835" s="116"/>
      <c r="I1835" s="116"/>
      <c r="L1835" s="169">
        <v>44707</v>
      </c>
      <c r="M1835" s="116">
        <v>2769.1</v>
      </c>
      <c r="N1835" s="116">
        <v>2815.15</v>
      </c>
      <c r="O1835" s="116">
        <v>2701</v>
      </c>
      <c r="P1835" s="116">
        <v>2782.25</v>
      </c>
      <c r="Q1835" s="116">
        <v>2769.1</v>
      </c>
      <c r="R1835">
        <v>48935</v>
      </c>
    </row>
    <row r="1836" spans="1:18" x14ac:dyDescent="0.25">
      <c r="A1836" s="169">
        <v>44708</v>
      </c>
      <c r="B1836" s="116">
        <v>2865.85</v>
      </c>
      <c r="C1836" s="116">
        <v>2829.95</v>
      </c>
      <c r="D1836" s="116">
        <v>2787.7</v>
      </c>
      <c r="E1836" s="116">
        <v>2787.7</v>
      </c>
      <c r="F1836" s="116">
        <v>2829.95</v>
      </c>
      <c r="G1836">
        <v>3781</v>
      </c>
      <c r="H1836" s="116"/>
      <c r="I1836" s="116"/>
      <c r="L1836" s="169">
        <v>44708</v>
      </c>
      <c r="M1836" s="116">
        <v>2828.4</v>
      </c>
      <c r="N1836" s="116">
        <v>2867.35</v>
      </c>
      <c r="O1836" s="116">
        <v>2801.85</v>
      </c>
      <c r="P1836" s="116">
        <v>2809.85</v>
      </c>
      <c r="Q1836" s="116">
        <v>2828.4</v>
      </c>
      <c r="R1836">
        <v>39717</v>
      </c>
    </row>
    <row r="1837" spans="1:18" x14ac:dyDescent="0.25">
      <c r="A1837" s="169">
        <v>44711</v>
      </c>
      <c r="B1837" s="116">
        <v>3084</v>
      </c>
      <c r="C1837" s="116">
        <v>3045.4</v>
      </c>
      <c r="D1837" s="116">
        <v>2850.05</v>
      </c>
      <c r="E1837" s="116">
        <v>2927.95</v>
      </c>
      <c r="F1837" s="116">
        <v>3045.4</v>
      </c>
      <c r="G1837">
        <v>15823</v>
      </c>
      <c r="H1837" s="116"/>
      <c r="I1837" s="116"/>
      <c r="L1837" s="169">
        <v>44711</v>
      </c>
      <c r="M1837" s="116">
        <v>3038.5</v>
      </c>
      <c r="N1837" s="116">
        <v>3077</v>
      </c>
      <c r="O1837" s="116">
        <v>2854.6</v>
      </c>
      <c r="P1837" s="116">
        <v>2859</v>
      </c>
      <c r="Q1837" s="116">
        <v>3038.5</v>
      </c>
      <c r="R1837">
        <v>150469</v>
      </c>
    </row>
    <row r="1838" spans="1:18" x14ac:dyDescent="0.25">
      <c r="A1838" s="169">
        <v>44712</v>
      </c>
      <c r="B1838" s="116">
        <v>3260</v>
      </c>
      <c r="C1838" s="116">
        <v>3211.4</v>
      </c>
      <c r="D1838" s="116">
        <v>2993.05</v>
      </c>
      <c r="E1838" s="116">
        <v>3013</v>
      </c>
      <c r="F1838" s="116">
        <v>3211.4</v>
      </c>
      <c r="G1838">
        <v>15316</v>
      </c>
      <c r="H1838" s="116"/>
      <c r="I1838" s="116"/>
      <c r="L1838" s="169">
        <v>44712</v>
      </c>
      <c r="M1838" s="116">
        <v>3214</v>
      </c>
      <c r="N1838" s="116">
        <v>3276.95</v>
      </c>
      <c r="O1838" s="116">
        <v>3000</v>
      </c>
      <c r="P1838" s="116">
        <v>3050</v>
      </c>
      <c r="Q1838" s="116">
        <v>3214</v>
      </c>
      <c r="R1838">
        <v>167878</v>
      </c>
    </row>
    <row r="1839" spans="1:18" x14ac:dyDescent="0.25">
      <c r="A1839" s="169">
        <v>44713</v>
      </c>
      <c r="B1839" s="116">
        <v>3333</v>
      </c>
      <c r="C1839" s="116">
        <v>3252.55</v>
      </c>
      <c r="D1839" s="116">
        <v>3225.05</v>
      </c>
      <c r="E1839" s="116">
        <v>3267.8</v>
      </c>
      <c r="F1839" s="116">
        <v>3252.55</v>
      </c>
      <c r="G1839">
        <v>6016</v>
      </c>
      <c r="H1839" s="116"/>
      <c r="I1839" s="116"/>
      <c r="L1839" s="169">
        <v>44713</v>
      </c>
      <c r="M1839" s="116">
        <v>3254.75</v>
      </c>
      <c r="N1839" s="116">
        <v>3332.95</v>
      </c>
      <c r="O1839" s="116">
        <v>3220</v>
      </c>
      <c r="P1839" s="116">
        <v>3250</v>
      </c>
      <c r="Q1839" s="116">
        <v>3254.75</v>
      </c>
      <c r="R1839">
        <v>120449</v>
      </c>
    </row>
    <row r="1840" spans="1:18" x14ac:dyDescent="0.25">
      <c r="A1840" s="169">
        <v>44714</v>
      </c>
      <c r="B1840" s="116">
        <v>3454</v>
      </c>
      <c r="C1840" s="116">
        <v>3300.05</v>
      </c>
      <c r="D1840" s="116">
        <v>3277.1</v>
      </c>
      <c r="E1840" s="116">
        <v>3289</v>
      </c>
      <c r="F1840" s="116">
        <v>3300.05</v>
      </c>
      <c r="G1840">
        <v>22535</v>
      </c>
      <c r="H1840" s="116"/>
      <c r="I1840" s="116"/>
      <c r="L1840" s="169">
        <v>44714</v>
      </c>
      <c r="M1840" s="116">
        <v>3303.95</v>
      </c>
      <c r="N1840" s="116">
        <v>3457</v>
      </c>
      <c r="O1840" s="116">
        <v>3266.65</v>
      </c>
      <c r="P1840" s="116">
        <v>3286</v>
      </c>
      <c r="Q1840" s="116">
        <v>3303.95</v>
      </c>
      <c r="R1840">
        <v>419669</v>
      </c>
    </row>
    <row r="1841" spans="1:18" x14ac:dyDescent="0.25">
      <c r="A1841" s="169">
        <v>44715</v>
      </c>
      <c r="B1841" s="116">
        <v>3402</v>
      </c>
      <c r="C1841" s="116">
        <v>3200.15</v>
      </c>
      <c r="D1841" s="116">
        <v>3185.15</v>
      </c>
      <c r="E1841" s="116">
        <v>3402</v>
      </c>
      <c r="F1841" s="116">
        <v>3200.15</v>
      </c>
      <c r="G1841">
        <v>4077</v>
      </c>
      <c r="H1841" s="116"/>
      <c r="I1841" s="116"/>
      <c r="L1841" s="169">
        <v>44715</v>
      </c>
      <c r="M1841" s="116">
        <v>3201.15</v>
      </c>
      <c r="N1841" s="116">
        <v>3350</v>
      </c>
      <c r="O1841" s="116">
        <v>3186.05</v>
      </c>
      <c r="P1841" s="116">
        <v>3350</v>
      </c>
      <c r="Q1841" s="116">
        <v>3201.15</v>
      </c>
      <c r="R1841">
        <v>93784</v>
      </c>
    </row>
    <row r="1842" spans="1:18" x14ac:dyDescent="0.25">
      <c r="A1842" s="169">
        <v>44718</v>
      </c>
      <c r="B1842" s="116">
        <v>3220</v>
      </c>
      <c r="C1842" s="116">
        <v>3150.35</v>
      </c>
      <c r="D1842" s="116">
        <v>3102.8</v>
      </c>
      <c r="E1842" s="116">
        <v>3182.55</v>
      </c>
      <c r="F1842" s="116">
        <v>3150.35</v>
      </c>
      <c r="G1842">
        <v>4719</v>
      </c>
      <c r="H1842" s="116"/>
      <c r="I1842" s="116"/>
      <c r="L1842" s="169">
        <v>44718</v>
      </c>
      <c r="M1842" s="116">
        <v>3152.9</v>
      </c>
      <c r="N1842" s="116">
        <v>3222.2</v>
      </c>
      <c r="O1842" s="116">
        <v>3101.55</v>
      </c>
      <c r="P1842" s="116">
        <v>3200</v>
      </c>
      <c r="Q1842" s="116">
        <v>3152.9</v>
      </c>
      <c r="R1842">
        <v>67902</v>
      </c>
    </row>
    <row r="1843" spans="1:18" x14ac:dyDescent="0.25">
      <c r="A1843" s="169">
        <v>44719</v>
      </c>
      <c r="B1843" s="116">
        <v>3193.85</v>
      </c>
      <c r="C1843" s="116">
        <v>3116.55</v>
      </c>
      <c r="D1843" s="116">
        <v>3093.65</v>
      </c>
      <c r="E1843" s="116">
        <v>3193.85</v>
      </c>
      <c r="F1843" s="116">
        <v>3116.55</v>
      </c>
      <c r="G1843">
        <v>2957</v>
      </c>
      <c r="H1843" s="116"/>
      <c r="I1843" s="116"/>
      <c r="L1843" s="169">
        <v>44719</v>
      </c>
      <c r="M1843" s="116">
        <v>3115.1</v>
      </c>
      <c r="N1843" s="116">
        <v>3197.95</v>
      </c>
      <c r="O1843" s="116">
        <v>3090</v>
      </c>
      <c r="P1843" s="116">
        <v>3140.05</v>
      </c>
      <c r="Q1843" s="116">
        <v>3115.1</v>
      </c>
      <c r="R1843">
        <v>47666</v>
      </c>
    </row>
    <row r="1844" spans="1:18" x14ac:dyDescent="0.25">
      <c r="A1844" s="169">
        <v>44720</v>
      </c>
      <c r="B1844" s="116">
        <v>3148.8</v>
      </c>
      <c r="C1844" s="116">
        <v>3103.7</v>
      </c>
      <c r="D1844" s="116">
        <v>3083.2</v>
      </c>
      <c r="E1844" s="116">
        <v>3148.8</v>
      </c>
      <c r="F1844" s="116">
        <v>3103.7</v>
      </c>
      <c r="G1844">
        <v>5612</v>
      </c>
      <c r="H1844" s="116"/>
      <c r="I1844" s="116"/>
      <c r="L1844" s="169">
        <v>44720</v>
      </c>
      <c r="M1844" s="116">
        <v>3103.8</v>
      </c>
      <c r="N1844" s="116">
        <v>3146.9</v>
      </c>
      <c r="O1844" s="116">
        <v>3084.05</v>
      </c>
      <c r="P1844" s="116">
        <v>3146.9</v>
      </c>
      <c r="Q1844" s="116">
        <v>3103.8</v>
      </c>
      <c r="R1844">
        <v>33501</v>
      </c>
    </row>
    <row r="1845" spans="1:18" x14ac:dyDescent="0.25">
      <c r="A1845" s="169">
        <v>44721</v>
      </c>
      <c r="B1845" s="116">
        <v>3095.1</v>
      </c>
      <c r="C1845" s="116">
        <v>3048.8</v>
      </c>
      <c r="D1845" s="116">
        <v>3036.15</v>
      </c>
      <c r="E1845" s="116">
        <v>3095.1</v>
      </c>
      <c r="F1845" s="116">
        <v>3048.8</v>
      </c>
      <c r="G1845">
        <v>1563</v>
      </c>
      <c r="H1845" s="116"/>
      <c r="I1845" s="116"/>
      <c r="L1845" s="169">
        <v>44721</v>
      </c>
      <c r="M1845" s="116">
        <v>3048.8</v>
      </c>
      <c r="N1845" s="116">
        <v>3087.95</v>
      </c>
      <c r="O1845" s="116">
        <v>3035</v>
      </c>
      <c r="P1845" s="116">
        <v>3065</v>
      </c>
      <c r="Q1845" s="116">
        <v>3048.8</v>
      </c>
      <c r="R1845">
        <v>34636</v>
      </c>
    </row>
    <row r="1846" spans="1:18" x14ac:dyDescent="0.25">
      <c r="A1846" s="169">
        <v>44722</v>
      </c>
      <c r="B1846" s="116">
        <v>3044</v>
      </c>
      <c r="C1846" s="116">
        <v>2961.1</v>
      </c>
      <c r="D1846" s="116">
        <v>2937</v>
      </c>
      <c r="E1846" s="116">
        <v>3044</v>
      </c>
      <c r="F1846" s="116">
        <v>2961.1</v>
      </c>
      <c r="G1846">
        <v>6650</v>
      </c>
      <c r="H1846" s="116"/>
      <c r="I1846" s="116"/>
      <c r="L1846" s="169">
        <v>44722</v>
      </c>
      <c r="M1846" s="116">
        <v>2961</v>
      </c>
      <c r="N1846" s="116">
        <v>3032.15</v>
      </c>
      <c r="O1846" s="116">
        <v>2937.65</v>
      </c>
      <c r="P1846" s="116">
        <v>3030</v>
      </c>
      <c r="Q1846" s="116">
        <v>2961</v>
      </c>
      <c r="R1846">
        <v>58640</v>
      </c>
    </row>
    <row r="1847" spans="1:18" x14ac:dyDescent="0.25">
      <c r="A1847" s="169">
        <v>44725</v>
      </c>
      <c r="B1847" s="116">
        <v>2910</v>
      </c>
      <c r="C1847" s="116">
        <v>2886.35</v>
      </c>
      <c r="D1847" s="116">
        <v>2852</v>
      </c>
      <c r="E1847" s="116">
        <v>2882</v>
      </c>
      <c r="F1847" s="116">
        <v>2886.35</v>
      </c>
      <c r="G1847">
        <v>9932</v>
      </c>
      <c r="H1847" s="116"/>
      <c r="I1847" s="116"/>
      <c r="L1847" s="169">
        <v>44725</v>
      </c>
      <c r="M1847" s="116">
        <v>2885.4</v>
      </c>
      <c r="N1847" s="116">
        <v>2923.95</v>
      </c>
      <c r="O1847" s="116">
        <v>2850</v>
      </c>
      <c r="P1847" s="116">
        <v>2923.95</v>
      </c>
      <c r="Q1847" s="116">
        <v>2885.4</v>
      </c>
      <c r="R1847">
        <v>46371</v>
      </c>
    </row>
    <row r="1848" spans="1:18" x14ac:dyDescent="0.25">
      <c r="A1848" s="169">
        <v>44726</v>
      </c>
      <c r="B1848" s="116">
        <v>2965</v>
      </c>
      <c r="C1848" s="116">
        <v>2917.8</v>
      </c>
      <c r="D1848" s="116">
        <v>2851.5</v>
      </c>
      <c r="E1848" s="116">
        <v>2851.5</v>
      </c>
      <c r="F1848" s="116">
        <v>2917.8</v>
      </c>
      <c r="G1848">
        <v>6194</v>
      </c>
      <c r="H1848" s="116"/>
      <c r="I1848" s="116"/>
      <c r="L1848" s="169">
        <v>44726</v>
      </c>
      <c r="M1848" s="116">
        <v>2915.15</v>
      </c>
      <c r="N1848" s="116">
        <v>2966.35</v>
      </c>
      <c r="O1848" s="116">
        <v>2852</v>
      </c>
      <c r="P1848" s="116">
        <v>2865</v>
      </c>
      <c r="Q1848" s="116">
        <v>2915.15</v>
      </c>
      <c r="R1848">
        <v>48342</v>
      </c>
    </row>
    <row r="1849" spans="1:18" x14ac:dyDescent="0.25">
      <c r="A1849" s="169">
        <v>44727</v>
      </c>
      <c r="B1849" s="116">
        <v>2995</v>
      </c>
      <c r="C1849" s="116">
        <v>2945.1</v>
      </c>
      <c r="D1849" s="116">
        <v>2897.5</v>
      </c>
      <c r="E1849" s="116">
        <v>2981.95</v>
      </c>
      <c r="F1849" s="116">
        <v>2945.1</v>
      </c>
      <c r="G1849">
        <v>6827</v>
      </c>
      <c r="H1849" s="116"/>
      <c r="I1849" s="116"/>
      <c r="L1849" s="169">
        <v>44727</v>
      </c>
      <c r="M1849" s="116">
        <v>2967.2</v>
      </c>
      <c r="N1849" s="116">
        <v>2997.4</v>
      </c>
      <c r="O1849" s="116">
        <v>2912</v>
      </c>
      <c r="P1849" s="116">
        <v>2941</v>
      </c>
      <c r="Q1849" s="116">
        <v>2967.2</v>
      </c>
      <c r="R1849">
        <v>37424</v>
      </c>
    </row>
    <row r="1850" spans="1:18" x14ac:dyDescent="0.25">
      <c r="A1850" s="169">
        <v>44728</v>
      </c>
      <c r="B1850" s="116">
        <v>3057</v>
      </c>
      <c r="C1850" s="116">
        <v>2870.3</v>
      </c>
      <c r="D1850" s="116">
        <v>2860</v>
      </c>
      <c r="E1850" s="116">
        <v>3015.25</v>
      </c>
      <c r="F1850" s="116">
        <v>2870.3</v>
      </c>
      <c r="G1850">
        <v>4292</v>
      </c>
      <c r="H1850" s="116"/>
      <c r="I1850" s="116"/>
      <c r="L1850" s="169">
        <v>44728</v>
      </c>
      <c r="M1850" s="116">
        <v>2869.9</v>
      </c>
      <c r="N1850" s="116">
        <v>3043.9</v>
      </c>
      <c r="O1850" s="116">
        <v>2858.65</v>
      </c>
      <c r="P1850" s="116">
        <v>2989</v>
      </c>
      <c r="Q1850" s="116">
        <v>2869.9</v>
      </c>
      <c r="R1850">
        <v>54317</v>
      </c>
    </row>
    <row r="1851" spans="1:18" x14ac:dyDescent="0.25">
      <c r="A1851" s="169">
        <v>44729</v>
      </c>
      <c r="B1851" s="116">
        <v>2859</v>
      </c>
      <c r="C1851" s="116">
        <v>2804.25</v>
      </c>
      <c r="D1851" s="116">
        <v>2776</v>
      </c>
      <c r="E1851" s="116">
        <v>2831.35</v>
      </c>
      <c r="F1851" s="116">
        <v>2804.25</v>
      </c>
      <c r="G1851">
        <v>7315</v>
      </c>
      <c r="H1851" s="116"/>
      <c r="I1851" s="116"/>
      <c r="L1851" s="169">
        <v>44729</v>
      </c>
      <c r="M1851" s="116">
        <v>2805.35</v>
      </c>
      <c r="N1851" s="116">
        <v>2863.15</v>
      </c>
      <c r="O1851" s="116">
        <v>2775</v>
      </c>
      <c r="P1851" s="116">
        <v>2825</v>
      </c>
      <c r="Q1851" s="116">
        <v>2805.35</v>
      </c>
      <c r="R1851">
        <v>44867</v>
      </c>
    </row>
    <row r="1852" spans="1:18" x14ac:dyDescent="0.25">
      <c r="A1852" s="169">
        <v>44732</v>
      </c>
      <c r="B1852" s="116">
        <v>2819.2</v>
      </c>
      <c r="C1852" s="116">
        <v>2735.75</v>
      </c>
      <c r="D1852" s="116">
        <v>2718</v>
      </c>
      <c r="E1852" s="116">
        <v>2800</v>
      </c>
      <c r="F1852" s="116">
        <v>2735.75</v>
      </c>
      <c r="G1852">
        <v>3580</v>
      </c>
      <c r="H1852" s="116"/>
      <c r="I1852" s="116"/>
      <c r="L1852" s="169">
        <v>44732</v>
      </c>
      <c r="M1852" s="116">
        <v>2741.65</v>
      </c>
      <c r="N1852" s="116">
        <v>2822.05</v>
      </c>
      <c r="O1852" s="116">
        <v>2716</v>
      </c>
      <c r="P1852" s="116">
        <v>2802</v>
      </c>
      <c r="Q1852" s="116">
        <v>2741.65</v>
      </c>
      <c r="R1852">
        <v>45498</v>
      </c>
    </row>
    <row r="1853" spans="1:18" x14ac:dyDescent="0.25">
      <c r="A1853" s="169">
        <v>44733</v>
      </c>
      <c r="B1853" s="116">
        <v>2824.75</v>
      </c>
      <c r="C1853" s="116">
        <v>2814.6</v>
      </c>
      <c r="D1853" s="116">
        <v>2754.2</v>
      </c>
      <c r="E1853" s="116">
        <v>2754.2</v>
      </c>
      <c r="F1853" s="116">
        <v>2814.6</v>
      </c>
      <c r="G1853">
        <v>2011</v>
      </c>
      <c r="H1853" s="116"/>
      <c r="I1853" s="116"/>
      <c r="L1853" s="169">
        <v>44733</v>
      </c>
      <c r="M1853" s="116">
        <v>2815.7</v>
      </c>
      <c r="N1853" s="116">
        <v>2824.75</v>
      </c>
      <c r="O1853" s="116">
        <v>2764.55</v>
      </c>
      <c r="P1853" s="116">
        <v>2791</v>
      </c>
      <c r="Q1853" s="116">
        <v>2815.7</v>
      </c>
      <c r="R1853">
        <v>34556</v>
      </c>
    </row>
    <row r="1854" spans="1:18" x14ac:dyDescent="0.25">
      <c r="A1854" s="169">
        <v>44734</v>
      </c>
      <c r="B1854" s="116">
        <v>2849.9</v>
      </c>
      <c r="C1854" s="116">
        <v>2797.8</v>
      </c>
      <c r="D1854" s="116">
        <v>2790.05</v>
      </c>
      <c r="E1854" s="116">
        <v>2849.9</v>
      </c>
      <c r="F1854" s="116">
        <v>2797.8</v>
      </c>
      <c r="G1854">
        <v>2063</v>
      </c>
      <c r="H1854" s="116"/>
      <c r="I1854" s="116"/>
      <c r="L1854" s="169">
        <v>44734</v>
      </c>
      <c r="M1854" s="116">
        <v>2800.65</v>
      </c>
      <c r="N1854" s="116">
        <v>2849.95</v>
      </c>
      <c r="O1854" s="116">
        <v>2785.5</v>
      </c>
      <c r="P1854" s="116">
        <v>2820</v>
      </c>
      <c r="Q1854" s="116">
        <v>2800.65</v>
      </c>
      <c r="R1854">
        <v>30718</v>
      </c>
    </row>
    <row r="1855" spans="1:18" x14ac:dyDescent="0.25">
      <c r="A1855" s="169">
        <v>44735</v>
      </c>
      <c r="B1855" s="116">
        <v>2848.8</v>
      </c>
      <c r="C1855" s="116">
        <v>2819.45</v>
      </c>
      <c r="D1855" s="116">
        <v>2797.35</v>
      </c>
      <c r="E1855" s="116">
        <v>2848.8</v>
      </c>
      <c r="F1855" s="116">
        <v>2819.45</v>
      </c>
      <c r="G1855">
        <v>1590</v>
      </c>
      <c r="H1855" s="116"/>
      <c r="I1855" s="116"/>
      <c r="L1855" s="169">
        <v>44735</v>
      </c>
      <c r="M1855" s="116">
        <v>2820.15</v>
      </c>
      <c r="N1855" s="116">
        <v>2836</v>
      </c>
      <c r="O1855" s="116">
        <v>2796</v>
      </c>
      <c r="P1855" s="116">
        <v>2819.8</v>
      </c>
      <c r="Q1855" s="116">
        <v>2820.15</v>
      </c>
      <c r="R1855">
        <v>21634</v>
      </c>
    </row>
    <row r="1856" spans="1:18" x14ac:dyDescent="0.25">
      <c r="A1856" s="169">
        <v>44736</v>
      </c>
      <c r="B1856" s="116">
        <v>2865</v>
      </c>
      <c r="C1856" s="116">
        <v>2857.7</v>
      </c>
      <c r="D1856" s="116">
        <v>2826.65</v>
      </c>
      <c r="E1856" s="116">
        <v>2848</v>
      </c>
      <c r="F1856" s="116">
        <v>2857.7</v>
      </c>
      <c r="G1856">
        <v>2164</v>
      </c>
      <c r="H1856" s="116"/>
      <c r="I1856" s="116"/>
      <c r="L1856" s="169">
        <v>44736</v>
      </c>
      <c r="M1856" s="116">
        <v>2859.4</v>
      </c>
      <c r="N1856" s="116">
        <v>2867.95</v>
      </c>
      <c r="O1856" s="116">
        <v>2822.4</v>
      </c>
      <c r="P1856" s="116">
        <v>2840</v>
      </c>
      <c r="Q1856" s="116">
        <v>2859.4</v>
      </c>
      <c r="R1856">
        <v>26712</v>
      </c>
    </row>
    <row r="1857" spans="1:18" x14ac:dyDescent="0.25">
      <c r="A1857" s="169">
        <v>44739</v>
      </c>
      <c r="B1857" s="116">
        <v>2968.1</v>
      </c>
      <c r="C1857" s="116">
        <v>2938.4</v>
      </c>
      <c r="D1857" s="116">
        <v>2899</v>
      </c>
      <c r="E1857" s="116">
        <v>2899</v>
      </c>
      <c r="F1857" s="116">
        <v>2938.4</v>
      </c>
      <c r="G1857">
        <v>2355</v>
      </c>
      <c r="H1857" s="116"/>
      <c r="I1857" s="116"/>
      <c r="L1857" s="169">
        <v>44739</v>
      </c>
      <c r="M1857" s="116">
        <v>2941.05</v>
      </c>
      <c r="N1857" s="116">
        <v>2971.85</v>
      </c>
      <c r="O1857" s="116">
        <v>2900</v>
      </c>
      <c r="P1857" s="116">
        <v>2909.8</v>
      </c>
      <c r="Q1857" s="116">
        <v>2941.05</v>
      </c>
      <c r="R1857">
        <v>36230</v>
      </c>
    </row>
    <row r="1858" spans="1:18" x14ac:dyDescent="0.25">
      <c r="A1858" s="169">
        <v>44740</v>
      </c>
      <c r="B1858" s="116">
        <v>2928</v>
      </c>
      <c r="C1858" s="116">
        <v>2905</v>
      </c>
      <c r="D1858" s="116">
        <v>2889</v>
      </c>
      <c r="E1858" s="116">
        <v>2928</v>
      </c>
      <c r="F1858" s="116">
        <v>2905</v>
      </c>
      <c r="G1858">
        <v>1397</v>
      </c>
      <c r="H1858" s="116"/>
      <c r="I1858" s="116"/>
      <c r="L1858" s="169">
        <v>44740</v>
      </c>
      <c r="M1858" s="116">
        <v>2907.55</v>
      </c>
      <c r="N1858" s="116">
        <v>2939.65</v>
      </c>
      <c r="O1858" s="116">
        <v>2887.35</v>
      </c>
      <c r="P1858" s="116">
        <v>2920</v>
      </c>
      <c r="Q1858" s="116">
        <v>2907.55</v>
      </c>
      <c r="R1858">
        <v>20540</v>
      </c>
    </row>
    <row r="1859" spans="1:18" x14ac:dyDescent="0.25">
      <c r="A1859" s="169">
        <v>44741</v>
      </c>
      <c r="B1859" s="116">
        <v>2890</v>
      </c>
      <c r="C1859" s="116">
        <v>2864.85</v>
      </c>
      <c r="D1859" s="116">
        <v>2860</v>
      </c>
      <c r="E1859" s="116">
        <v>2890</v>
      </c>
      <c r="F1859" s="116">
        <v>2864.85</v>
      </c>
      <c r="G1859">
        <v>965</v>
      </c>
      <c r="H1859" s="116"/>
      <c r="I1859" s="116"/>
      <c r="L1859" s="169">
        <v>44741</v>
      </c>
      <c r="M1859" s="116">
        <v>2863.25</v>
      </c>
      <c r="N1859" s="116">
        <v>2895</v>
      </c>
      <c r="O1859" s="116">
        <v>2856.25</v>
      </c>
      <c r="P1859" s="116">
        <v>2870</v>
      </c>
      <c r="Q1859" s="116">
        <v>2863.25</v>
      </c>
      <c r="R1859">
        <v>16743</v>
      </c>
    </row>
    <row r="1860" spans="1:18" x14ac:dyDescent="0.25">
      <c r="A1860" s="169">
        <v>44742</v>
      </c>
      <c r="B1860" s="116">
        <v>2904.8</v>
      </c>
      <c r="C1860" s="116">
        <v>2862.95</v>
      </c>
      <c r="D1860" s="116">
        <v>2839.35</v>
      </c>
      <c r="E1860" s="116">
        <v>2860</v>
      </c>
      <c r="F1860" s="116">
        <v>2862.95</v>
      </c>
      <c r="G1860">
        <v>3287</v>
      </c>
      <c r="H1860" s="116"/>
      <c r="I1860" s="116"/>
      <c r="L1860" s="169">
        <v>44742</v>
      </c>
      <c r="M1860" s="116">
        <v>2867.3</v>
      </c>
      <c r="N1860" s="116">
        <v>2908</v>
      </c>
      <c r="O1860" s="116">
        <v>2848.3</v>
      </c>
      <c r="P1860" s="116">
        <v>2860</v>
      </c>
      <c r="Q1860" s="116">
        <v>2867.3</v>
      </c>
      <c r="R1860">
        <v>17991</v>
      </c>
    </row>
    <row r="1861" spans="1:18" x14ac:dyDescent="0.25">
      <c r="A1861" s="169">
        <v>44743</v>
      </c>
      <c r="B1861" s="116">
        <v>2895</v>
      </c>
      <c r="C1861" s="116">
        <v>2885.65</v>
      </c>
      <c r="D1861" s="116">
        <v>2838</v>
      </c>
      <c r="E1861" s="116">
        <v>2867</v>
      </c>
      <c r="F1861" s="116">
        <v>2885.65</v>
      </c>
      <c r="G1861">
        <v>1805</v>
      </c>
      <c r="H1861" s="116"/>
      <c r="I1861" s="116"/>
      <c r="L1861" s="169">
        <v>44743</v>
      </c>
      <c r="M1861" s="116">
        <v>2887.45</v>
      </c>
      <c r="N1861" s="116">
        <v>2897</v>
      </c>
      <c r="O1861" s="116">
        <v>2831.7</v>
      </c>
      <c r="P1861" s="116">
        <v>2860</v>
      </c>
      <c r="Q1861" s="116">
        <v>2887.45</v>
      </c>
      <c r="R1861">
        <v>21727</v>
      </c>
    </row>
    <row r="1862" spans="1:18" x14ac:dyDescent="0.25">
      <c r="A1862" s="169">
        <v>44746</v>
      </c>
      <c r="B1862" s="116">
        <v>2926</v>
      </c>
      <c r="C1862" s="116">
        <v>2862.55</v>
      </c>
      <c r="D1862" s="116">
        <v>2852.15</v>
      </c>
      <c r="E1862" s="116">
        <v>2926</v>
      </c>
      <c r="F1862" s="116">
        <v>2862.55</v>
      </c>
      <c r="G1862">
        <v>1897</v>
      </c>
      <c r="H1862" s="116"/>
      <c r="I1862" s="116"/>
      <c r="L1862" s="169">
        <v>44746</v>
      </c>
      <c r="M1862" s="116">
        <v>2863.1</v>
      </c>
      <c r="N1862" s="116">
        <v>2935</v>
      </c>
      <c r="O1862" s="116">
        <v>2851</v>
      </c>
      <c r="P1862" s="116">
        <v>2935</v>
      </c>
      <c r="Q1862" s="116">
        <v>2863.1</v>
      </c>
      <c r="R1862">
        <v>19543</v>
      </c>
    </row>
    <row r="1863" spans="1:18" x14ac:dyDescent="0.25">
      <c r="A1863" s="169">
        <v>44747</v>
      </c>
      <c r="B1863" s="116">
        <v>2918</v>
      </c>
      <c r="C1863" s="116">
        <v>2876.2</v>
      </c>
      <c r="D1863" s="116">
        <v>2864.1</v>
      </c>
      <c r="E1863" s="116">
        <v>2918</v>
      </c>
      <c r="F1863" s="116">
        <v>2876.2</v>
      </c>
      <c r="G1863">
        <v>1085</v>
      </c>
      <c r="H1863" s="116"/>
      <c r="I1863" s="116"/>
      <c r="L1863" s="169">
        <v>44747</v>
      </c>
      <c r="M1863" s="116">
        <v>2875</v>
      </c>
      <c r="N1863" s="116">
        <v>2916.9</v>
      </c>
      <c r="O1863" s="116">
        <v>2861.9</v>
      </c>
      <c r="P1863" s="116">
        <v>2880.55</v>
      </c>
      <c r="Q1863" s="116">
        <v>2875</v>
      </c>
      <c r="R1863">
        <v>20440</v>
      </c>
    </row>
    <row r="1864" spans="1:18" x14ac:dyDescent="0.25">
      <c r="A1864" s="169">
        <v>44748</v>
      </c>
      <c r="B1864" s="116">
        <v>2895</v>
      </c>
      <c r="C1864" s="116">
        <v>2875.35</v>
      </c>
      <c r="D1864" s="116">
        <v>2855</v>
      </c>
      <c r="E1864" s="116">
        <v>2887.6</v>
      </c>
      <c r="F1864" s="116">
        <v>2875.35</v>
      </c>
      <c r="G1864">
        <v>2841</v>
      </c>
      <c r="H1864" s="116"/>
      <c r="I1864" s="116"/>
      <c r="L1864" s="169">
        <v>44748</v>
      </c>
      <c r="M1864" s="116">
        <v>2878.45</v>
      </c>
      <c r="N1864" s="116">
        <v>2896.65</v>
      </c>
      <c r="O1864" s="116">
        <v>2856.35</v>
      </c>
      <c r="P1864" s="116">
        <v>2890</v>
      </c>
      <c r="Q1864" s="116">
        <v>2878.45</v>
      </c>
      <c r="R1864">
        <v>19198</v>
      </c>
    </row>
    <row r="1865" spans="1:18" x14ac:dyDescent="0.25">
      <c r="A1865" s="169">
        <v>44749</v>
      </c>
      <c r="B1865" s="116">
        <v>2967.8</v>
      </c>
      <c r="C1865" s="116">
        <v>2930.35</v>
      </c>
      <c r="D1865" s="116">
        <v>2900.05</v>
      </c>
      <c r="E1865" s="116">
        <v>2900.05</v>
      </c>
      <c r="F1865" s="116">
        <v>2930.35</v>
      </c>
      <c r="G1865">
        <v>2133</v>
      </c>
      <c r="H1865" s="116"/>
      <c r="I1865" s="116"/>
      <c r="L1865" s="169">
        <v>44749</v>
      </c>
      <c r="M1865" s="116">
        <v>2929.15</v>
      </c>
      <c r="N1865" s="116">
        <v>2967.1</v>
      </c>
      <c r="O1865" s="116">
        <v>2902.95</v>
      </c>
      <c r="P1865" s="116">
        <v>2903.2</v>
      </c>
      <c r="Q1865" s="116">
        <v>2929.15</v>
      </c>
      <c r="R1865">
        <v>27794</v>
      </c>
    </row>
    <row r="1866" spans="1:18" x14ac:dyDescent="0.25">
      <c r="A1866" s="169">
        <v>44750</v>
      </c>
      <c r="B1866" s="116">
        <v>2998.6</v>
      </c>
      <c r="C1866" s="116">
        <v>2913.9</v>
      </c>
      <c r="D1866" s="116">
        <v>2891.1</v>
      </c>
      <c r="E1866" s="116">
        <v>2965.6</v>
      </c>
      <c r="F1866" s="116">
        <v>2913.9</v>
      </c>
      <c r="G1866">
        <v>5216</v>
      </c>
      <c r="H1866" s="116"/>
      <c r="I1866" s="116"/>
      <c r="L1866" s="169">
        <v>44750</v>
      </c>
      <c r="M1866" s="116">
        <v>2916.05</v>
      </c>
      <c r="N1866" s="116">
        <v>2998</v>
      </c>
      <c r="O1866" s="116">
        <v>2894</v>
      </c>
      <c r="P1866" s="116">
        <v>2949</v>
      </c>
      <c r="Q1866" s="116">
        <v>2916.05</v>
      </c>
      <c r="R1866">
        <v>33121</v>
      </c>
    </row>
    <row r="1867" spans="1:18" x14ac:dyDescent="0.25">
      <c r="A1867" s="169">
        <v>44753</v>
      </c>
      <c r="B1867" s="116">
        <v>2950.5</v>
      </c>
      <c r="C1867" s="116">
        <v>2937.55</v>
      </c>
      <c r="D1867" s="116">
        <v>2890.9</v>
      </c>
      <c r="E1867" s="116">
        <v>2935.8</v>
      </c>
      <c r="F1867" s="116">
        <v>2937.55</v>
      </c>
      <c r="G1867">
        <v>988</v>
      </c>
      <c r="H1867" s="116"/>
      <c r="I1867" s="116"/>
      <c r="L1867" s="169">
        <v>44753</v>
      </c>
      <c r="M1867" s="116">
        <v>2938.1</v>
      </c>
      <c r="N1867" s="116">
        <v>2950</v>
      </c>
      <c r="O1867" s="116">
        <v>2881</v>
      </c>
      <c r="P1867" s="116">
        <v>2881</v>
      </c>
      <c r="Q1867" s="116">
        <v>2938.1</v>
      </c>
      <c r="R1867">
        <v>23204</v>
      </c>
    </row>
    <row r="1868" spans="1:18" x14ac:dyDescent="0.25">
      <c r="A1868" s="169">
        <v>44754</v>
      </c>
      <c r="B1868" s="116">
        <v>3142.8</v>
      </c>
      <c r="C1868" s="116">
        <v>3102.4</v>
      </c>
      <c r="D1868" s="116">
        <v>2904.65</v>
      </c>
      <c r="E1868" s="116">
        <v>2935</v>
      </c>
      <c r="F1868" s="116">
        <v>3102.4</v>
      </c>
      <c r="G1868">
        <v>3575</v>
      </c>
      <c r="H1868" s="116"/>
      <c r="I1868" s="116"/>
      <c r="L1868" s="169">
        <v>44754</v>
      </c>
      <c r="M1868" s="116">
        <v>3106.15</v>
      </c>
      <c r="N1868" s="116">
        <v>3145</v>
      </c>
      <c r="O1868" s="116">
        <v>2901</v>
      </c>
      <c r="P1868" s="116">
        <v>2925</v>
      </c>
      <c r="Q1868" s="116">
        <v>3106.15</v>
      </c>
      <c r="R1868">
        <v>124195</v>
      </c>
    </row>
    <row r="1869" spans="1:18" x14ac:dyDescent="0.25">
      <c r="A1869" s="169">
        <v>44755</v>
      </c>
      <c r="B1869" s="116">
        <v>3188.3</v>
      </c>
      <c r="C1869" s="116">
        <v>3092.35</v>
      </c>
      <c r="D1869" s="116">
        <v>3036.85</v>
      </c>
      <c r="E1869" s="116">
        <v>3110.1</v>
      </c>
      <c r="F1869" s="116">
        <v>3092.35</v>
      </c>
      <c r="G1869">
        <v>5935</v>
      </c>
      <c r="H1869" s="116"/>
      <c r="I1869" s="116"/>
      <c r="L1869" s="169">
        <v>44755</v>
      </c>
      <c r="M1869" s="116">
        <v>3099.6</v>
      </c>
      <c r="N1869" s="116">
        <v>3189</v>
      </c>
      <c r="O1869" s="116">
        <v>3035.1</v>
      </c>
      <c r="P1869" s="116">
        <v>3129</v>
      </c>
      <c r="Q1869" s="116">
        <v>3099.6</v>
      </c>
      <c r="R1869">
        <v>137638</v>
      </c>
    </row>
    <row r="1870" spans="1:18" x14ac:dyDescent="0.25">
      <c r="A1870" s="169">
        <v>44756</v>
      </c>
      <c r="B1870" s="116">
        <v>3143</v>
      </c>
      <c r="C1870" s="116">
        <v>3052.15</v>
      </c>
      <c r="D1870" s="116">
        <v>3012.55</v>
      </c>
      <c r="E1870" s="116">
        <v>3143</v>
      </c>
      <c r="F1870" s="116">
        <v>3052.15</v>
      </c>
      <c r="G1870">
        <v>4471</v>
      </c>
      <c r="H1870" s="116"/>
      <c r="I1870" s="116"/>
      <c r="L1870" s="169">
        <v>44756</v>
      </c>
      <c r="M1870" s="116">
        <v>3050.75</v>
      </c>
      <c r="N1870" s="116">
        <v>3098.7</v>
      </c>
      <c r="O1870" s="116">
        <v>3012.2</v>
      </c>
      <c r="P1870" s="116">
        <v>3098.7</v>
      </c>
      <c r="Q1870" s="116">
        <v>3050.75</v>
      </c>
      <c r="R1870">
        <v>61290</v>
      </c>
    </row>
    <row r="1871" spans="1:18" x14ac:dyDescent="0.25">
      <c r="A1871" s="169">
        <v>44757</v>
      </c>
      <c r="B1871" s="116">
        <v>3077.35</v>
      </c>
      <c r="C1871" s="116">
        <v>3004.3</v>
      </c>
      <c r="D1871" s="116">
        <v>2983</v>
      </c>
      <c r="E1871" s="116">
        <v>3060</v>
      </c>
      <c r="F1871" s="116">
        <v>3004.3</v>
      </c>
      <c r="G1871">
        <v>10049</v>
      </c>
      <c r="H1871" s="116"/>
      <c r="I1871" s="116"/>
      <c r="L1871" s="169">
        <v>44757</v>
      </c>
      <c r="M1871" s="116">
        <v>2999.5</v>
      </c>
      <c r="N1871" s="116">
        <v>3074.25</v>
      </c>
      <c r="O1871" s="116">
        <v>2982</v>
      </c>
      <c r="P1871" s="116">
        <v>3072</v>
      </c>
      <c r="Q1871" s="116">
        <v>2999.5</v>
      </c>
      <c r="R1871">
        <v>42811</v>
      </c>
    </row>
    <row r="1872" spans="1:18" x14ac:dyDescent="0.25">
      <c r="A1872" s="169">
        <v>44760</v>
      </c>
      <c r="B1872" s="116">
        <v>3047.45</v>
      </c>
      <c r="C1872" s="116">
        <v>3030.7</v>
      </c>
      <c r="D1872" s="116">
        <v>3007.2</v>
      </c>
      <c r="E1872" s="116">
        <v>3025</v>
      </c>
      <c r="F1872" s="116">
        <v>3030.7</v>
      </c>
      <c r="G1872">
        <v>4045</v>
      </c>
      <c r="H1872" s="116"/>
      <c r="I1872" s="116"/>
      <c r="L1872" s="169">
        <v>44760</v>
      </c>
      <c r="M1872" s="116">
        <v>3033.15</v>
      </c>
      <c r="N1872" s="116">
        <v>3047.35</v>
      </c>
      <c r="O1872" s="116">
        <v>3006.25</v>
      </c>
      <c r="P1872" s="116">
        <v>3024.9</v>
      </c>
      <c r="Q1872" s="116">
        <v>3033.15</v>
      </c>
      <c r="R1872">
        <v>21476</v>
      </c>
    </row>
    <row r="1873" spans="1:18" x14ac:dyDescent="0.25">
      <c r="A1873" s="169">
        <v>44761</v>
      </c>
      <c r="B1873" s="116">
        <v>3099.95</v>
      </c>
      <c r="C1873" s="116">
        <v>3088.15</v>
      </c>
      <c r="D1873" s="116">
        <v>3026</v>
      </c>
      <c r="E1873" s="116">
        <v>3030.7</v>
      </c>
      <c r="F1873" s="116">
        <v>3088.15</v>
      </c>
      <c r="G1873">
        <v>3678</v>
      </c>
      <c r="H1873" s="116"/>
      <c r="I1873" s="116"/>
      <c r="L1873" s="169">
        <v>44761</v>
      </c>
      <c r="M1873" s="116">
        <v>3090.8</v>
      </c>
      <c r="N1873" s="116">
        <v>3100.5</v>
      </c>
      <c r="O1873" s="116">
        <v>3024.65</v>
      </c>
      <c r="P1873" s="116">
        <v>3025</v>
      </c>
      <c r="Q1873" s="116">
        <v>3090.8</v>
      </c>
      <c r="R1873">
        <v>51839</v>
      </c>
    </row>
    <row r="1874" spans="1:18" x14ac:dyDescent="0.25">
      <c r="A1874" s="169">
        <v>44762</v>
      </c>
      <c r="B1874" s="116">
        <v>3183.6</v>
      </c>
      <c r="C1874" s="116">
        <v>3123.45</v>
      </c>
      <c r="D1874" s="116">
        <v>3100</v>
      </c>
      <c r="E1874" s="116">
        <v>3102.25</v>
      </c>
      <c r="F1874" s="116">
        <v>3123.45</v>
      </c>
      <c r="G1874">
        <v>3573</v>
      </c>
      <c r="H1874" s="116"/>
      <c r="I1874" s="116"/>
      <c r="L1874" s="169">
        <v>44762</v>
      </c>
      <c r="M1874" s="116">
        <v>3119.9</v>
      </c>
      <c r="N1874" s="116">
        <v>3183</v>
      </c>
      <c r="O1874" s="116">
        <v>3100</v>
      </c>
      <c r="P1874" s="116">
        <v>3130</v>
      </c>
      <c r="Q1874" s="116">
        <v>3119.9</v>
      </c>
      <c r="R1874">
        <v>53245</v>
      </c>
    </row>
    <row r="1875" spans="1:18" x14ac:dyDescent="0.25">
      <c r="A1875" s="169">
        <v>44763</v>
      </c>
      <c r="B1875" s="116">
        <v>3154</v>
      </c>
      <c r="C1875" s="116">
        <v>3125.75</v>
      </c>
      <c r="D1875" s="116">
        <v>3080.05</v>
      </c>
      <c r="E1875" s="116">
        <v>3102.15</v>
      </c>
      <c r="F1875" s="116">
        <v>3125.75</v>
      </c>
      <c r="G1875">
        <v>6014</v>
      </c>
      <c r="H1875" s="116"/>
      <c r="I1875" s="116"/>
      <c r="L1875" s="169">
        <v>44763</v>
      </c>
      <c r="M1875" s="116">
        <v>3127.75</v>
      </c>
      <c r="N1875" s="116">
        <v>3155.05</v>
      </c>
      <c r="O1875" s="116">
        <v>3082.4</v>
      </c>
      <c r="P1875" s="116">
        <v>3130</v>
      </c>
      <c r="Q1875" s="116">
        <v>3127.75</v>
      </c>
      <c r="R1875">
        <v>41749</v>
      </c>
    </row>
    <row r="1876" spans="1:18" x14ac:dyDescent="0.25">
      <c r="A1876" s="169">
        <v>44764</v>
      </c>
      <c r="B1876" s="116">
        <v>3332</v>
      </c>
      <c r="C1876" s="116">
        <v>3320.3</v>
      </c>
      <c r="D1876" s="116">
        <v>3139.5</v>
      </c>
      <c r="E1876" s="116">
        <v>3169.1</v>
      </c>
      <c r="F1876" s="116">
        <v>3320.3</v>
      </c>
      <c r="G1876">
        <v>23159</v>
      </c>
      <c r="H1876" s="116"/>
      <c r="I1876" s="116"/>
      <c r="L1876" s="169">
        <v>44764</v>
      </c>
      <c r="M1876" s="116">
        <v>3319.6</v>
      </c>
      <c r="N1876" s="116">
        <v>3334</v>
      </c>
      <c r="O1876" s="116">
        <v>3138.45</v>
      </c>
      <c r="P1876" s="116">
        <v>3151.35</v>
      </c>
      <c r="Q1876" s="116">
        <v>3319.6</v>
      </c>
      <c r="R1876">
        <v>403222</v>
      </c>
    </row>
    <row r="1877" spans="1:18" x14ac:dyDescent="0.25">
      <c r="A1877" s="169">
        <v>44767</v>
      </c>
      <c r="B1877" s="116">
        <v>3449.05</v>
      </c>
      <c r="C1877" s="116">
        <v>3431.5</v>
      </c>
      <c r="D1877" s="116">
        <v>3322.1</v>
      </c>
      <c r="E1877" s="116">
        <v>3322.1</v>
      </c>
      <c r="F1877" s="116">
        <v>3431.5</v>
      </c>
      <c r="G1877">
        <v>32211</v>
      </c>
      <c r="H1877" s="116"/>
      <c r="I1877" s="116"/>
      <c r="L1877" s="169">
        <v>44767</v>
      </c>
      <c r="M1877" s="116">
        <v>3431.5</v>
      </c>
      <c r="N1877" s="116">
        <v>3449.55</v>
      </c>
      <c r="O1877" s="116">
        <v>3340</v>
      </c>
      <c r="P1877" s="116">
        <v>3350</v>
      </c>
      <c r="Q1877" s="116">
        <v>3431.5</v>
      </c>
      <c r="R1877">
        <v>277663</v>
      </c>
    </row>
    <row r="1878" spans="1:18" x14ac:dyDescent="0.25">
      <c r="A1878" s="169">
        <v>44768</v>
      </c>
      <c r="B1878" s="116">
        <v>3440</v>
      </c>
      <c r="C1878" s="116">
        <v>3279.25</v>
      </c>
      <c r="D1878" s="116">
        <v>3253.1</v>
      </c>
      <c r="E1878" s="116">
        <v>3431</v>
      </c>
      <c r="F1878" s="116">
        <v>3279.25</v>
      </c>
      <c r="G1878">
        <v>21275</v>
      </c>
      <c r="H1878" s="116"/>
      <c r="I1878" s="116"/>
      <c r="L1878" s="169">
        <v>44768</v>
      </c>
      <c r="M1878" s="116">
        <v>3284</v>
      </c>
      <c r="N1878" s="116">
        <v>3441</v>
      </c>
      <c r="O1878" s="116">
        <v>3254</v>
      </c>
      <c r="P1878" s="116">
        <v>3440</v>
      </c>
      <c r="Q1878" s="116">
        <v>3284</v>
      </c>
      <c r="R1878">
        <v>96086</v>
      </c>
    </row>
    <row r="1879" spans="1:18" x14ac:dyDescent="0.25">
      <c r="A1879" s="169">
        <v>44769</v>
      </c>
      <c r="B1879" s="116">
        <v>3366</v>
      </c>
      <c r="C1879" s="116">
        <v>3325.05</v>
      </c>
      <c r="D1879" s="116">
        <v>3208</v>
      </c>
      <c r="E1879" s="116">
        <v>3260</v>
      </c>
      <c r="F1879" s="116">
        <v>3325.05</v>
      </c>
      <c r="G1879">
        <v>4006</v>
      </c>
      <c r="H1879" s="116"/>
      <c r="I1879" s="116"/>
      <c r="L1879" s="169">
        <v>44769</v>
      </c>
      <c r="M1879" s="116">
        <v>3325.55</v>
      </c>
      <c r="N1879" s="116">
        <v>3365</v>
      </c>
      <c r="O1879" s="116">
        <v>3205.05</v>
      </c>
      <c r="P1879" s="116">
        <v>3251</v>
      </c>
      <c r="Q1879" s="116">
        <v>3325.55</v>
      </c>
      <c r="R1879">
        <v>113753</v>
      </c>
    </row>
    <row r="1880" spans="1:18" x14ac:dyDescent="0.25">
      <c r="A1880" s="169">
        <v>44770</v>
      </c>
      <c r="B1880" s="116">
        <v>3429.35</v>
      </c>
      <c r="C1880" s="116">
        <v>3351.35</v>
      </c>
      <c r="D1880" s="116">
        <v>3333.7</v>
      </c>
      <c r="E1880" s="116">
        <v>3370</v>
      </c>
      <c r="F1880" s="116">
        <v>3351.35</v>
      </c>
      <c r="G1880">
        <v>8217</v>
      </c>
      <c r="H1880" s="116"/>
      <c r="I1880" s="116"/>
      <c r="L1880" s="169">
        <v>44770</v>
      </c>
      <c r="M1880" s="116">
        <v>3358.85</v>
      </c>
      <c r="N1880" s="116">
        <v>3420</v>
      </c>
      <c r="O1880" s="116">
        <v>3332.35</v>
      </c>
      <c r="P1880" s="116">
        <v>3344</v>
      </c>
      <c r="Q1880" s="116">
        <v>3358.85</v>
      </c>
      <c r="R1880">
        <v>80246</v>
      </c>
    </row>
    <row r="1881" spans="1:18" x14ac:dyDescent="0.25">
      <c r="A1881" s="169">
        <v>44771</v>
      </c>
      <c r="B1881" s="116">
        <v>3421.55</v>
      </c>
      <c r="C1881" s="116">
        <v>3398.1</v>
      </c>
      <c r="D1881" s="116">
        <v>3350.5</v>
      </c>
      <c r="E1881" s="116">
        <v>3376.55</v>
      </c>
      <c r="F1881" s="116">
        <v>3398.1</v>
      </c>
      <c r="G1881">
        <v>2864</v>
      </c>
      <c r="H1881" s="116"/>
      <c r="I1881" s="116"/>
      <c r="L1881" s="169">
        <v>44771</v>
      </c>
      <c r="M1881" s="116">
        <v>3401</v>
      </c>
      <c r="N1881" s="116">
        <v>3420</v>
      </c>
      <c r="O1881" s="116">
        <v>3364.75</v>
      </c>
      <c r="P1881" s="116">
        <v>3383</v>
      </c>
      <c r="Q1881" s="116">
        <v>3401</v>
      </c>
      <c r="R1881">
        <v>70134</v>
      </c>
    </row>
    <row r="1882" spans="1:18" x14ac:dyDescent="0.25">
      <c r="A1882" s="169">
        <v>44774</v>
      </c>
      <c r="B1882" s="116">
        <v>3562</v>
      </c>
      <c r="C1882" s="116">
        <v>3543.05</v>
      </c>
      <c r="D1882" s="116">
        <v>3408.05</v>
      </c>
      <c r="E1882" s="116">
        <v>3420</v>
      </c>
      <c r="F1882" s="116">
        <v>3543.05</v>
      </c>
      <c r="G1882">
        <v>19479</v>
      </c>
      <c r="H1882" s="116"/>
      <c r="I1882" s="116"/>
      <c r="L1882" s="169">
        <v>44774</v>
      </c>
      <c r="M1882" s="116">
        <v>3543.1</v>
      </c>
      <c r="N1882" s="116">
        <v>3568.8</v>
      </c>
      <c r="O1882" s="116">
        <v>3405.65</v>
      </c>
      <c r="P1882" s="116">
        <v>3420.1</v>
      </c>
      <c r="Q1882" s="116">
        <v>3543.1</v>
      </c>
      <c r="R1882">
        <v>316701</v>
      </c>
    </row>
    <row r="1883" spans="1:18" x14ac:dyDescent="0.25">
      <c r="A1883" s="169">
        <v>44775</v>
      </c>
      <c r="B1883" s="116">
        <v>3799.75</v>
      </c>
      <c r="C1883" s="116">
        <v>3774.3</v>
      </c>
      <c r="D1883" s="116">
        <v>3564.9</v>
      </c>
      <c r="E1883" s="116">
        <v>3578</v>
      </c>
      <c r="F1883" s="116">
        <v>3774.3</v>
      </c>
      <c r="G1883">
        <v>25041</v>
      </c>
      <c r="H1883" s="116"/>
      <c r="I1883" s="116"/>
      <c r="L1883" s="169">
        <v>44775</v>
      </c>
      <c r="M1883" s="116">
        <v>3768.85</v>
      </c>
      <c r="N1883" s="116">
        <v>3794.85</v>
      </c>
      <c r="O1883" s="116">
        <v>3561.95</v>
      </c>
      <c r="P1883" s="116">
        <v>3562</v>
      </c>
      <c r="Q1883" s="116">
        <v>3768.85</v>
      </c>
      <c r="R1883">
        <v>466038</v>
      </c>
    </row>
    <row r="1884" spans="1:18" x14ac:dyDescent="0.25">
      <c r="A1884" s="169">
        <v>44776</v>
      </c>
      <c r="B1884" s="116">
        <v>3812.5</v>
      </c>
      <c r="C1884" s="116">
        <v>3671.85</v>
      </c>
      <c r="D1884" s="116">
        <v>3604.1</v>
      </c>
      <c r="E1884" s="116">
        <v>3604.1</v>
      </c>
      <c r="F1884" s="116">
        <v>3671.85</v>
      </c>
      <c r="G1884">
        <v>25846</v>
      </c>
      <c r="H1884" s="116"/>
      <c r="I1884" s="116"/>
      <c r="L1884" s="169">
        <v>44776</v>
      </c>
      <c r="M1884" s="116">
        <v>3673.85</v>
      </c>
      <c r="N1884" s="116">
        <v>3815.95</v>
      </c>
      <c r="O1884" s="116">
        <v>3623</v>
      </c>
      <c r="P1884" s="116">
        <v>3785.4</v>
      </c>
      <c r="Q1884" s="116">
        <v>3673.85</v>
      </c>
      <c r="R1884">
        <v>162408</v>
      </c>
    </row>
    <row r="1885" spans="1:18" x14ac:dyDescent="0.25">
      <c r="A1885" s="169">
        <v>44777</v>
      </c>
      <c r="B1885" s="116">
        <v>3739</v>
      </c>
      <c r="C1885" s="116">
        <v>3636.6</v>
      </c>
      <c r="D1885" s="116">
        <v>3554.35</v>
      </c>
      <c r="E1885" s="116">
        <v>3680</v>
      </c>
      <c r="F1885" s="116">
        <v>3636.6</v>
      </c>
      <c r="G1885">
        <v>11040</v>
      </c>
      <c r="H1885" s="116"/>
      <c r="I1885" s="116"/>
      <c r="L1885" s="169">
        <v>44777</v>
      </c>
      <c r="M1885" s="116">
        <v>3638.8</v>
      </c>
      <c r="N1885" s="116">
        <v>3744.7</v>
      </c>
      <c r="O1885" s="116">
        <v>3548.35</v>
      </c>
      <c r="P1885" s="116">
        <v>3704</v>
      </c>
      <c r="Q1885" s="116">
        <v>3638.8</v>
      </c>
      <c r="R1885">
        <v>123353</v>
      </c>
    </row>
    <row r="1886" spans="1:18" x14ac:dyDescent="0.25">
      <c r="A1886" s="169">
        <v>44778</v>
      </c>
      <c r="B1886" s="116">
        <v>3670.25</v>
      </c>
      <c r="C1886" s="116">
        <v>3573.75</v>
      </c>
      <c r="D1886" s="116">
        <v>3561.4</v>
      </c>
      <c r="E1886" s="116">
        <v>3638</v>
      </c>
      <c r="F1886" s="116">
        <v>3573.75</v>
      </c>
      <c r="G1886">
        <v>5414</v>
      </c>
      <c r="H1886" s="116"/>
      <c r="I1886" s="116"/>
      <c r="L1886" s="169">
        <v>44778</v>
      </c>
      <c r="M1886" s="116">
        <v>3576.45</v>
      </c>
      <c r="N1886" s="116">
        <v>3673.6</v>
      </c>
      <c r="O1886" s="116">
        <v>3559.9</v>
      </c>
      <c r="P1886" s="116">
        <v>3660</v>
      </c>
      <c r="Q1886" s="116">
        <v>3576.45</v>
      </c>
      <c r="R1886">
        <v>68978</v>
      </c>
    </row>
    <row r="1887" spans="1:18" x14ac:dyDescent="0.25">
      <c r="A1887" s="169">
        <v>44781</v>
      </c>
      <c r="B1887" s="116">
        <v>3634.1</v>
      </c>
      <c r="C1887" s="116">
        <v>3578.25</v>
      </c>
      <c r="D1887" s="116">
        <v>3513</v>
      </c>
      <c r="E1887" s="116">
        <v>3595</v>
      </c>
      <c r="F1887" s="116">
        <v>3578.25</v>
      </c>
      <c r="G1887">
        <v>12672</v>
      </c>
      <c r="H1887" s="116"/>
      <c r="I1887" s="116"/>
      <c r="L1887" s="169">
        <v>44781</v>
      </c>
      <c r="M1887" s="116">
        <v>3572.9</v>
      </c>
      <c r="N1887" s="116">
        <v>3637</v>
      </c>
      <c r="O1887" s="116">
        <v>3510</v>
      </c>
      <c r="P1887" s="116">
        <v>3580.9</v>
      </c>
      <c r="Q1887" s="116">
        <v>3572.9</v>
      </c>
      <c r="R1887">
        <v>118556</v>
      </c>
    </row>
    <row r="1888" spans="1:18" x14ac:dyDescent="0.25">
      <c r="A1888" s="169">
        <v>44783</v>
      </c>
      <c r="B1888" s="116">
        <v>3697</v>
      </c>
      <c r="C1888" s="116">
        <v>3664.55</v>
      </c>
      <c r="D1888" s="116">
        <v>3556.65</v>
      </c>
      <c r="E1888" s="116">
        <v>3580</v>
      </c>
      <c r="F1888" s="116">
        <v>3664.55</v>
      </c>
      <c r="G1888">
        <v>19304</v>
      </c>
      <c r="H1888" s="116"/>
      <c r="I1888" s="116"/>
      <c r="L1888" s="169">
        <v>44783</v>
      </c>
      <c r="M1888" s="116">
        <v>3664.6</v>
      </c>
      <c r="N1888" s="116">
        <v>3697.15</v>
      </c>
      <c r="O1888" s="116">
        <v>3558.2</v>
      </c>
      <c r="P1888" s="116">
        <v>3589</v>
      </c>
      <c r="Q1888" s="116">
        <v>3664.6</v>
      </c>
      <c r="R1888">
        <v>133039</v>
      </c>
    </row>
    <row r="1889" spans="1:18" x14ac:dyDescent="0.25">
      <c r="A1889" s="169">
        <v>44784</v>
      </c>
      <c r="B1889" s="116">
        <v>3744</v>
      </c>
      <c r="C1889" s="116">
        <v>3694.7</v>
      </c>
      <c r="D1889" s="116">
        <v>3661.55</v>
      </c>
      <c r="E1889" s="116">
        <v>3699</v>
      </c>
      <c r="F1889" s="116">
        <v>3694.7</v>
      </c>
      <c r="G1889">
        <v>7549</v>
      </c>
      <c r="H1889" s="116"/>
      <c r="I1889" s="116"/>
      <c r="L1889" s="169">
        <v>44784</v>
      </c>
      <c r="M1889" s="116">
        <v>3693</v>
      </c>
      <c r="N1889" s="116">
        <v>3746</v>
      </c>
      <c r="O1889" s="116">
        <v>3665</v>
      </c>
      <c r="P1889" s="116">
        <v>3700</v>
      </c>
      <c r="Q1889" s="116">
        <v>3693</v>
      </c>
      <c r="R1889">
        <v>95867</v>
      </c>
    </row>
    <row r="1890" spans="1:18" x14ac:dyDescent="0.25">
      <c r="A1890" s="169">
        <v>44785</v>
      </c>
      <c r="B1890" s="116">
        <v>3830</v>
      </c>
      <c r="C1890" s="116">
        <v>3557.2</v>
      </c>
      <c r="D1890" s="116">
        <v>3505.15</v>
      </c>
      <c r="E1890" s="116">
        <v>3700.1</v>
      </c>
      <c r="F1890" s="116">
        <v>3557.2</v>
      </c>
      <c r="G1890">
        <v>55215</v>
      </c>
      <c r="H1890" s="116"/>
      <c r="I1890" s="116"/>
      <c r="L1890" s="169">
        <v>44785</v>
      </c>
      <c r="M1890" s="116">
        <v>3553.5</v>
      </c>
      <c r="N1890" s="116">
        <v>3824.8</v>
      </c>
      <c r="O1890" s="116">
        <v>3521.35</v>
      </c>
      <c r="P1890" s="116">
        <v>3722</v>
      </c>
      <c r="Q1890" s="116">
        <v>3553.5</v>
      </c>
      <c r="R1890">
        <v>522172</v>
      </c>
    </row>
    <row r="1891" spans="1:18" x14ac:dyDescent="0.25">
      <c r="A1891" s="169">
        <v>44789</v>
      </c>
      <c r="B1891" s="116">
        <v>3586.15</v>
      </c>
      <c r="C1891" s="116">
        <v>3555.7</v>
      </c>
      <c r="D1891" s="116">
        <v>3505.05</v>
      </c>
      <c r="E1891" s="116">
        <v>3560</v>
      </c>
      <c r="F1891" s="116">
        <v>3555.7</v>
      </c>
      <c r="G1891">
        <v>18259</v>
      </c>
      <c r="H1891" s="116"/>
      <c r="I1891" s="116"/>
      <c r="L1891" s="169">
        <v>44789</v>
      </c>
      <c r="M1891" s="116">
        <v>3557.45</v>
      </c>
      <c r="N1891" s="116">
        <v>3583.9</v>
      </c>
      <c r="O1891" s="116">
        <v>3506.55</v>
      </c>
      <c r="P1891" s="116">
        <v>3583.9</v>
      </c>
      <c r="Q1891" s="116">
        <v>3557.45</v>
      </c>
      <c r="R1891">
        <v>110607</v>
      </c>
    </row>
    <row r="1892" spans="1:18" x14ac:dyDescent="0.25">
      <c r="A1892" s="169">
        <v>44790</v>
      </c>
      <c r="B1892" s="116">
        <v>3703</v>
      </c>
      <c r="C1892" s="116">
        <v>3647</v>
      </c>
      <c r="D1892" s="116">
        <v>3512</v>
      </c>
      <c r="E1892" s="116">
        <v>3512</v>
      </c>
      <c r="F1892" s="116">
        <v>3647</v>
      </c>
      <c r="G1892">
        <v>8558</v>
      </c>
      <c r="H1892" s="116"/>
      <c r="I1892" s="116"/>
      <c r="L1892" s="169">
        <v>44790</v>
      </c>
      <c r="M1892" s="116">
        <v>3647.75</v>
      </c>
      <c r="N1892" s="116">
        <v>3700</v>
      </c>
      <c r="O1892" s="116">
        <v>3550</v>
      </c>
      <c r="P1892" s="116">
        <v>3550</v>
      </c>
      <c r="Q1892" s="116">
        <v>3647.75</v>
      </c>
      <c r="R1892">
        <v>163222</v>
      </c>
    </row>
    <row r="1893" spans="1:18" x14ac:dyDescent="0.25">
      <c r="A1893" s="169">
        <v>44791</v>
      </c>
      <c r="B1893" s="116">
        <v>3700</v>
      </c>
      <c r="C1893" s="116">
        <v>3627</v>
      </c>
      <c r="D1893" s="116">
        <v>3607.25</v>
      </c>
      <c r="E1893" s="116">
        <v>3700</v>
      </c>
      <c r="F1893" s="116">
        <v>3627</v>
      </c>
      <c r="G1893">
        <v>3620</v>
      </c>
      <c r="H1893" s="116"/>
      <c r="I1893" s="116"/>
      <c r="L1893" s="169">
        <v>44791</v>
      </c>
      <c r="M1893" s="116">
        <v>3628.65</v>
      </c>
      <c r="N1893" s="116">
        <v>3690</v>
      </c>
      <c r="O1893" s="116">
        <v>3605.45</v>
      </c>
      <c r="P1893" s="116">
        <v>3647</v>
      </c>
      <c r="Q1893" s="116">
        <v>3628.65</v>
      </c>
      <c r="R1893">
        <v>56036</v>
      </c>
    </row>
    <row r="1894" spans="1:18" x14ac:dyDescent="0.25">
      <c r="A1894" s="169">
        <v>44792</v>
      </c>
      <c r="B1894" s="116">
        <v>3651.05</v>
      </c>
      <c r="C1894" s="116">
        <v>3589.45</v>
      </c>
      <c r="D1894" s="116">
        <v>3554.65</v>
      </c>
      <c r="E1894" s="116">
        <v>3628.65</v>
      </c>
      <c r="F1894" s="116">
        <v>3589.45</v>
      </c>
      <c r="G1894">
        <v>4149</v>
      </c>
      <c r="H1894" s="116"/>
      <c r="I1894" s="116"/>
      <c r="L1894" s="169">
        <v>44792</v>
      </c>
      <c r="M1894" s="116">
        <v>3583.5</v>
      </c>
      <c r="N1894" s="116">
        <v>3658</v>
      </c>
      <c r="O1894" s="116">
        <v>3555.9</v>
      </c>
      <c r="P1894" s="116">
        <v>3633</v>
      </c>
      <c r="Q1894" s="116">
        <v>3583.5</v>
      </c>
      <c r="R1894">
        <v>50273</v>
      </c>
    </row>
    <row r="1895" spans="1:18" x14ac:dyDescent="0.25">
      <c r="A1895" s="169">
        <v>44795</v>
      </c>
      <c r="B1895" s="116">
        <v>3567.45</v>
      </c>
      <c r="C1895" s="116">
        <v>3480.45</v>
      </c>
      <c r="D1895" s="116">
        <v>3470</v>
      </c>
      <c r="E1895" s="116">
        <v>3544.5</v>
      </c>
      <c r="F1895" s="116">
        <v>3480.45</v>
      </c>
      <c r="G1895">
        <v>10801</v>
      </c>
      <c r="H1895" s="116"/>
      <c r="I1895" s="116"/>
      <c r="L1895" s="169">
        <v>44795</v>
      </c>
      <c r="M1895" s="116">
        <v>3480.25</v>
      </c>
      <c r="N1895" s="116">
        <v>3579</v>
      </c>
      <c r="O1895" s="116">
        <v>3465</v>
      </c>
      <c r="P1895" s="116">
        <v>3579</v>
      </c>
      <c r="Q1895" s="116">
        <v>3480.25</v>
      </c>
      <c r="R1895">
        <v>58863</v>
      </c>
    </row>
    <row r="1896" spans="1:18" x14ac:dyDescent="0.25">
      <c r="A1896" s="169">
        <v>44796</v>
      </c>
      <c r="B1896" s="116">
        <v>3530</v>
      </c>
      <c r="C1896" s="116">
        <v>3491.55</v>
      </c>
      <c r="D1896" s="116">
        <v>3401.05</v>
      </c>
      <c r="E1896" s="116">
        <v>3425</v>
      </c>
      <c r="F1896" s="116">
        <v>3491.55</v>
      </c>
      <c r="G1896">
        <v>7603</v>
      </c>
      <c r="H1896" s="116"/>
      <c r="I1896" s="116"/>
      <c r="L1896" s="169">
        <v>44796</v>
      </c>
      <c r="M1896" s="116">
        <v>3491.15</v>
      </c>
      <c r="N1896" s="116">
        <v>3531.85</v>
      </c>
      <c r="O1896" s="116">
        <v>3401</v>
      </c>
      <c r="P1896" s="116">
        <v>3425</v>
      </c>
      <c r="Q1896" s="116">
        <v>3491.15</v>
      </c>
      <c r="R1896">
        <v>40981</v>
      </c>
    </row>
    <row r="1897" spans="1:18" x14ac:dyDescent="0.25">
      <c r="A1897" s="169">
        <v>44797</v>
      </c>
      <c r="B1897" s="116">
        <v>3594.45</v>
      </c>
      <c r="C1897" s="116">
        <v>3550.15</v>
      </c>
      <c r="D1897" s="116">
        <v>3466</v>
      </c>
      <c r="E1897" s="116">
        <v>3466</v>
      </c>
      <c r="F1897" s="116">
        <v>3550.15</v>
      </c>
      <c r="G1897">
        <v>9551</v>
      </c>
      <c r="H1897" s="116"/>
      <c r="I1897" s="116"/>
      <c r="L1897" s="169">
        <v>44797</v>
      </c>
      <c r="M1897" s="116">
        <v>3554.05</v>
      </c>
      <c r="N1897" s="116">
        <v>3595</v>
      </c>
      <c r="O1897" s="116">
        <v>3469</v>
      </c>
      <c r="P1897" s="116">
        <v>3469</v>
      </c>
      <c r="Q1897" s="116">
        <v>3554.05</v>
      </c>
      <c r="R1897">
        <v>66762</v>
      </c>
    </row>
    <row r="1898" spans="1:18" x14ac:dyDescent="0.25">
      <c r="A1898" s="169">
        <v>44798</v>
      </c>
      <c r="B1898" s="116">
        <v>3595</v>
      </c>
      <c r="C1898" s="116">
        <v>3525.3</v>
      </c>
      <c r="D1898" s="116">
        <v>3516</v>
      </c>
      <c r="E1898" s="116">
        <v>3560.15</v>
      </c>
      <c r="F1898" s="116">
        <v>3525.3</v>
      </c>
      <c r="G1898">
        <v>2610</v>
      </c>
      <c r="H1898" s="116"/>
      <c r="I1898" s="116"/>
      <c r="L1898" s="169">
        <v>44798</v>
      </c>
      <c r="M1898" s="116">
        <v>3524.4</v>
      </c>
      <c r="N1898" s="116">
        <v>3599</v>
      </c>
      <c r="O1898" s="116">
        <v>3512.75</v>
      </c>
      <c r="P1898" s="116">
        <v>3583</v>
      </c>
      <c r="Q1898" s="116">
        <v>3524.4</v>
      </c>
      <c r="R1898">
        <v>35741</v>
      </c>
    </row>
    <row r="1899" spans="1:18" x14ac:dyDescent="0.25">
      <c r="A1899" s="169">
        <v>44799</v>
      </c>
      <c r="B1899" s="116">
        <v>3575.95</v>
      </c>
      <c r="C1899" s="116">
        <v>3532.1</v>
      </c>
      <c r="D1899" s="116">
        <v>3516.25</v>
      </c>
      <c r="E1899" s="116">
        <v>3520</v>
      </c>
      <c r="F1899" s="116">
        <v>3532.1</v>
      </c>
      <c r="G1899">
        <v>4687</v>
      </c>
      <c r="H1899" s="116"/>
      <c r="I1899" s="116"/>
      <c r="L1899" s="169">
        <v>44799</v>
      </c>
      <c r="M1899" s="116">
        <v>3532.05</v>
      </c>
      <c r="N1899" s="116">
        <v>3579.5</v>
      </c>
      <c r="O1899" s="116">
        <v>3515</v>
      </c>
      <c r="P1899" s="116">
        <v>3548</v>
      </c>
      <c r="Q1899" s="116">
        <v>3532.05</v>
      </c>
      <c r="R1899">
        <v>37573</v>
      </c>
    </row>
    <row r="1900" spans="1:18" x14ac:dyDescent="0.25">
      <c r="A1900" s="169">
        <v>44802</v>
      </c>
      <c r="B1900" s="116">
        <v>3512.65</v>
      </c>
      <c r="C1900" s="116">
        <v>3440.2</v>
      </c>
      <c r="D1900" s="116">
        <v>3375</v>
      </c>
      <c r="E1900" s="116">
        <v>3412</v>
      </c>
      <c r="F1900" s="116">
        <v>3440.2</v>
      </c>
      <c r="G1900">
        <v>12300</v>
      </c>
      <c r="H1900" s="116"/>
      <c r="I1900" s="116"/>
      <c r="L1900" s="169">
        <v>44802</v>
      </c>
      <c r="M1900" s="116">
        <v>3439.55</v>
      </c>
      <c r="N1900" s="116">
        <v>3515</v>
      </c>
      <c r="O1900" s="116">
        <v>3366.6</v>
      </c>
      <c r="P1900" s="116">
        <v>3400.55</v>
      </c>
      <c r="Q1900" s="116">
        <v>3439.55</v>
      </c>
      <c r="R1900">
        <v>56714</v>
      </c>
    </row>
    <row r="1901" spans="1:18" x14ac:dyDescent="0.25">
      <c r="A1901" s="169">
        <v>44803</v>
      </c>
      <c r="B1901" s="116">
        <v>3499</v>
      </c>
      <c r="C1901" s="116">
        <v>3466.6</v>
      </c>
      <c r="D1901" s="116">
        <v>3438.55</v>
      </c>
      <c r="E1901" s="116">
        <v>3499</v>
      </c>
      <c r="F1901" s="116">
        <v>3466.6</v>
      </c>
      <c r="G1901">
        <v>5271</v>
      </c>
      <c r="H1901" s="116"/>
      <c r="I1901" s="116"/>
      <c r="L1901" s="169">
        <v>44803</v>
      </c>
      <c r="M1901" s="116">
        <v>3465</v>
      </c>
      <c r="N1901" s="116">
        <v>3496.05</v>
      </c>
      <c r="O1901" s="116">
        <v>3440.8</v>
      </c>
      <c r="P1901" s="116">
        <v>3476</v>
      </c>
      <c r="Q1901" s="116">
        <v>3465</v>
      </c>
      <c r="R1901">
        <v>45326</v>
      </c>
    </row>
    <row r="1902" spans="1:18" x14ac:dyDescent="0.25">
      <c r="A1902" s="169">
        <v>44805</v>
      </c>
      <c r="B1902" s="116">
        <v>3556.15</v>
      </c>
      <c r="C1902" s="116">
        <v>3484.15</v>
      </c>
      <c r="D1902" s="116">
        <v>3460.75</v>
      </c>
      <c r="E1902" s="116">
        <v>3466</v>
      </c>
      <c r="F1902" s="116">
        <v>3484.15</v>
      </c>
      <c r="G1902">
        <v>7869</v>
      </c>
      <c r="H1902" s="116"/>
      <c r="I1902" s="116"/>
      <c r="L1902" s="169">
        <v>44805</v>
      </c>
      <c r="M1902" s="116">
        <v>3487.1</v>
      </c>
      <c r="N1902" s="116">
        <v>3559</v>
      </c>
      <c r="O1902" s="116">
        <v>3445</v>
      </c>
      <c r="P1902" s="116">
        <v>3450</v>
      </c>
      <c r="Q1902" s="116">
        <v>3487.1</v>
      </c>
      <c r="R1902">
        <v>54171</v>
      </c>
    </row>
    <row r="1903" spans="1:18" x14ac:dyDescent="0.25">
      <c r="A1903" s="169">
        <v>44806</v>
      </c>
      <c r="B1903" s="116">
        <v>3572.2</v>
      </c>
      <c r="C1903" s="116">
        <v>3424.45</v>
      </c>
      <c r="D1903" s="116">
        <v>3402</v>
      </c>
      <c r="E1903" s="116">
        <v>3539</v>
      </c>
      <c r="F1903" s="116">
        <v>3424.45</v>
      </c>
      <c r="G1903">
        <v>6510</v>
      </c>
      <c r="H1903" s="116"/>
      <c r="I1903" s="116"/>
      <c r="L1903" s="169">
        <v>44806</v>
      </c>
      <c r="M1903" s="116">
        <v>3428.95</v>
      </c>
      <c r="N1903" s="116">
        <v>3575</v>
      </c>
      <c r="O1903" s="116">
        <v>3418.45</v>
      </c>
      <c r="P1903" s="116">
        <v>3510</v>
      </c>
      <c r="Q1903" s="116">
        <v>3428.95</v>
      </c>
      <c r="R1903">
        <v>87239</v>
      </c>
    </row>
    <row r="1904" spans="1:18" x14ac:dyDescent="0.25">
      <c r="A1904" s="169">
        <v>44809</v>
      </c>
      <c r="B1904" s="116">
        <v>3471.5</v>
      </c>
      <c r="C1904" s="116">
        <v>3438.1</v>
      </c>
      <c r="D1904" s="116">
        <v>3393.4</v>
      </c>
      <c r="E1904" s="116">
        <v>3425</v>
      </c>
      <c r="F1904" s="116">
        <v>3438.1</v>
      </c>
      <c r="G1904">
        <v>3017</v>
      </c>
      <c r="H1904" s="116"/>
      <c r="I1904" s="116"/>
      <c r="L1904" s="169">
        <v>44809</v>
      </c>
      <c r="M1904" s="116">
        <v>3436.3</v>
      </c>
      <c r="N1904" s="116">
        <v>3474</v>
      </c>
      <c r="O1904" s="116">
        <v>3377</v>
      </c>
      <c r="P1904" s="116">
        <v>3440</v>
      </c>
      <c r="Q1904" s="116">
        <v>3436.3</v>
      </c>
      <c r="R1904">
        <v>41396</v>
      </c>
    </row>
    <row r="1905" spans="1:18" x14ac:dyDescent="0.25">
      <c r="A1905" s="169">
        <v>44810</v>
      </c>
      <c r="B1905" s="116">
        <v>3477.45</v>
      </c>
      <c r="C1905" s="116">
        <v>3452</v>
      </c>
      <c r="D1905" s="116">
        <v>3430.45</v>
      </c>
      <c r="E1905" s="116">
        <v>3437</v>
      </c>
      <c r="F1905" s="116">
        <v>3452</v>
      </c>
      <c r="G1905">
        <v>5074</v>
      </c>
      <c r="H1905" s="116"/>
      <c r="I1905" s="116"/>
      <c r="L1905" s="169">
        <v>44810</v>
      </c>
      <c r="M1905" s="116">
        <v>3454.1</v>
      </c>
      <c r="N1905" s="116">
        <v>3478</v>
      </c>
      <c r="O1905" s="116">
        <v>3432.05</v>
      </c>
      <c r="P1905" s="116">
        <v>3460</v>
      </c>
      <c r="Q1905" s="116">
        <v>3454.1</v>
      </c>
      <c r="R1905">
        <v>28796</v>
      </c>
    </row>
    <row r="1906" spans="1:18" x14ac:dyDescent="0.25">
      <c r="A1906" s="169">
        <v>44811</v>
      </c>
      <c r="B1906" s="116">
        <v>3494.1</v>
      </c>
      <c r="C1906" s="116">
        <v>3433.1</v>
      </c>
      <c r="D1906" s="116">
        <v>3415.55</v>
      </c>
      <c r="E1906" s="116">
        <v>3452</v>
      </c>
      <c r="F1906" s="116">
        <v>3433.1</v>
      </c>
      <c r="G1906">
        <v>3318</v>
      </c>
      <c r="H1906" s="116"/>
      <c r="I1906" s="116"/>
      <c r="L1906" s="169">
        <v>44811</v>
      </c>
      <c r="M1906" s="116">
        <v>3434.75</v>
      </c>
      <c r="N1906" s="116">
        <v>3495.95</v>
      </c>
      <c r="O1906" s="116">
        <v>3415</v>
      </c>
      <c r="P1906" s="116">
        <v>3452</v>
      </c>
      <c r="Q1906" s="116">
        <v>3434.75</v>
      </c>
      <c r="R1906">
        <v>64624</v>
      </c>
    </row>
    <row r="1907" spans="1:18" x14ac:dyDescent="0.25">
      <c r="A1907" s="169">
        <v>44812</v>
      </c>
      <c r="B1907" s="116">
        <v>3627</v>
      </c>
      <c r="C1907" s="116">
        <v>3619.8</v>
      </c>
      <c r="D1907" s="116">
        <v>3464.55</v>
      </c>
      <c r="E1907" s="116">
        <v>3467.45</v>
      </c>
      <c r="F1907" s="116">
        <v>3619.8</v>
      </c>
      <c r="G1907">
        <v>11173</v>
      </c>
      <c r="H1907" s="116"/>
      <c r="I1907" s="116"/>
      <c r="L1907" s="169">
        <v>44812</v>
      </c>
      <c r="M1907" s="116">
        <v>3618.1</v>
      </c>
      <c r="N1907" s="116">
        <v>3625</v>
      </c>
      <c r="O1907" s="116">
        <v>3455.05</v>
      </c>
      <c r="P1907" s="116">
        <v>3460</v>
      </c>
      <c r="Q1907" s="116">
        <v>3618.1</v>
      </c>
      <c r="R1907">
        <v>252861</v>
      </c>
    </row>
    <row r="1908" spans="1:18" x14ac:dyDescent="0.25">
      <c r="A1908" s="169">
        <v>44813</v>
      </c>
      <c r="B1908" s="116">
        <v>3667.75</v>
      </c>
      <c r="C1908" s="116">
        <v>3605.75</v>
      </c>
      <c r="D1908" s="116">
        <v>3588</v>
      </c>
      <c r="E1908" s="116">
        <v>3649</v>
      </c>
      <c r="F1908" s="116">
        <v>3605.75</v>
      </c>
      <c r="G1908">
        <v>8925</v>
      </c>
      <c r="H1908" s="116"/>
      <c r="I1908" s="116"/>
      <c r="L1908" s="169">
        <v>44813</v>
      </c>
      <c r="M1908" s="116">
        <v>3608.1</v>
      </c>
      <c r="N1908" s="116">
        <v>3668.6</v>
      </c>
      <c r="O1908" s="116">
        <v>3590</v>
      </c>
      <c r="P1908" s="116">
        <v>3659</v>
      </c>
      <c r="Q1908" s="116">
        <v>3608.1</v>
      </c>
      <c r="R1908">
        <v>77854</v>
      </c>
    </row>
    <row r="1909" spans="1:18" x14ac:dyDescent="0.25">
      <c r="A1909" s="169">
        <v>44816</v>
      </c>
      <c r="B1909" s="116">
        <v>3750</v>
      </c>
      <c r="C1909" s="116">
        <v>3653.55</v>
      </c>
      <c r="D1909" s="116">
        <v>3625.8</v>
      </c>
      <c r="E1909" s="116">
        <v>3649</v>
      </c>
      <c r="F1909" s="116">
        <v>3653.55</v>
      </c>
      <c r="G1909">
        <v>12073</v>
      </c>
      <c r="H1909" s="116"/>
      <c r="I1909" s="116"/>
      <c r="L1909" s="169">
        <v>44816</v>
      </c>
      <c r="M1909" s="116">
        <v>3653.3</v>
      </c>
      <c r="N1909" s="116">
        <v>3750.3</v>
      </c>
      <c r="O1909" s="116">
        <v>3625.2</v>
      </c>
      <c r="P1909" s="116">
        <v>3645</v>
      </c>
      <c r="Q1909" s="116">
        <v>3653.3</v>
      </c>
      <c r="R1909">
        <v>185311</v>
      </c>
    </row>
    <row r="1910" spans="1:18" x14ac:dyDescent="0.25">
      <c r="A1910" s="169">
        <v>44817</v>
      </c>
      <c r="B1910" s="116">
        <v>3703</v>
      </c>
      <c r="C1910" s="116">
        <v>3655.35</v>
      </c>
      <c r="D1910" s="116">
        <v>3620.65</v>
      </c>
      <c r="E1910" s="116">
        <v>3654</v>
      </c>
      <c r="F1910" s="116">
        <v>3655.35</v>
      </c>
      <c r="G1910">
        <v>12688</v>
      </c>
      <c r="H1910" s="116"/>
      <c r="I1910" s="116"/>
      <c r="L1910" s="169">
        <v>44817</v>
      </c>
      <c r="M1910" s="116">
        <v>3653.9</v>
      </c>
      <c r="N1910" s="116">
        <v>3699.95</v>
      </c>
      <c r="O1910" s="116">
        <v>3631.45</v>
      </c>
      <c r="P1910" s="116">
        <v>3690.15</v>
      </c>
      <c r="Q1910" s="116">
        <v>3653.9</v>
      </c>
      <c r="R1910">
        <v>103545</v>
      </c>
    </row>
    <row r="1911" spans="1:18" x14ac:dyDescent="0.25">
      <c r="A1911" s="169">
        <v>44818</v>
      </c>
      <c r="B1911" s="116">
        <v>3723.25</v>
      </c>
      <c r="C1911" s="116">
        <v>3680.15</v>
      </c>
      <c r="D1911" s="116">
        <v>3576.7</v>
      </c>
      <c r="E1911" s="116">
        <v>3576.7</v>
      </c>
      <c r="F1911" s="116">
        <v>3680.15</v>
      </c>
      <c r="G1911">
        <v>19607</v>
      </c>
      <c r="H1911" s="116"/>
      <c r="I1911" s="116"/>
      <c r="L1911" s="169">
        <v>44818</v>
      </c>
      <c r="M1911" s="116">
        <v>3680.15</v>
      </c>
      <c r="N1911" s="116">
        <v>3722</v>
      </c>
      <c r="O1911" s="116">
        <v>3593.3</v>
      </c>
      <c r="P1911" s="116">
        <v>3650</v>
      </c>
      <c r="Q1911" s="116">
        <v>3680.15</v>
      </c>
      <c r="R1911">
        <v>133872</v>
      </c>
    </row>
    <row r="1912" spans="1:18" x14ac:dyDescent="0.25">
      <c r="A1912" s="169">
        <v>44819</v>
      </c>
      <c r="B1912" s="116">
        <v>3841.85</v>
      </c>
      <c r="C1912" s="116">
        <v>3739.5</v>
      </c>
      <c r="D1912" s="116">
        <v>3725.85</v>
      </c>
      <c r="E1912" s="116">
        <v>3750</v>
      </c>
      <c r="F1912" s="116">
        <v>3739.5</v>
      </c>
      <c r="G1912">
        <v>27120</v>
      </c>
      <c r="H1912" s="116"/>
      <c r="I1912" s="116"/>
      <c r="L1912" s="169">
        <v>44819</v>
      </c>
      <c r="M1912" s="116">
        <v>3739.45</v>
      </c>
      <c r="N1912" s="116">
        <v>3844</v>
      </c>
      <c r="O1912" s="116">
        <v>3709</v>
      </c>
      <c r="P1912" s="116">
        <v>3750</v>
      </c>
      <c r="Q1912" s="116">
        <v>3739.45</v>
      </c>
      <c r="R1912">
        <v>311198</v>
      </c>
    </row>
    <row r="1913" spans="1:18" x14ac:dyDescent="0.25">
      <c r="A1913" s="169">
        <v>44820</v>
      </c>
      <c r="B1913" s="116">
        <v>3770</v>
      </c>
      <c r="C1913" s="116">
        <v>3582.05</v>
      </c>
      <c r="D1913" s="116">
        <v>3565</v>
      </c>
      <c r="E1913" s="116">
        <v>3725</v>
      </c>
      <c r="F1913" s="116">
        <v>3582.05</v>
      </c>
      <c r="G1913">
        <v>16341</v>
      </c>
      <c r="H1913" s="116"/>
      <c r="I1913" s="116"/>
      <c r="L1913" s="169">
        <v>44820</v>
      </c>
      <c r="M1913" s="116">
        <v>3578.8</v>
      </c>
      <c r="N1913" s="116">
        <v>3770</v>
      </c>
      <c r="O1913" s="116">
        <v>3560</v>
      </c>
      <c r="P1913" s="116">
        <v>3720</v>
      </c>
      <c r="Q1913" s="116">
        <v>3578.8</v>
      </c>
      <c r="R1913">
        <v>119493</v>
      </c>
    </row>
    <row r="1914" spans="1:18" x14ac:dyDescent="0.25">
      <c r="A1914" s="169">
        <v>44823</v>
      </c>
      <c r="B1914" s="116">
        <v>3635.45</v>
      </c>
      <c r="C1914" s="116">
        <v>3557.05</v>
      </c>
      <c r="D1914" s="116">
        <v>3493.85</v>
      </c>
      <c r="E1914" s="116">
        <v>3516</v>
      </c>
      <c r="F1914" s="116">
        <v>3557.05</v>
      </c>
      <c r="G1914">
        <v>50598</v>
      </c>
      <c r="H1914" s="116"/>
      <c r="I1914" s="116"/>
      <c r="L1914" s="169">
        <v>44823</v>
      </c>
      <c r="M1914" s="116">
        <v>3558.1</v>
      </c>
      <c r="N1914" s="116">
        <v>3637.3</v>
      </c>
      <c r="O1914" s="116">
        <v>3494.3</v>
      </c>
      <c r="P1914" s="116">
        <v>3579</v>
      </c>
      <c r="Q1914" s="116">
        <v>3558.1</v>
      </c>
      <c r="R1914">
        <v>94187</v>
      </c>
    </row>
    <row r="1915" spans="1:18" x14ac:dyDescent="0.25">
      <c r="A1915" s="169">
        <v>44824</v>
      </c>
      <c r="B1915" s="116">
        <v>3661.45</v>
      </c>
      <c r="C1915" s="116">
        <v>3619.5</v>
      </c>
      <c r="D1915" s="116">
        <v>3571.3</v>
      </c>
      <c r="E1915" s="116">
        <v>3571.3</v>
      </c>
      <c r="F1915" s="116">
        <v>3619.5</v>
      </c>
      <c r="G1915">
        <v>3710</v>
      </c>
      <c r="H1915" s="116"/>
      <c r="I1915" s="116"/>
      <c r="L1915" s="169">
        <v>44824</v>
      </c>
      <c r="M1915" s="116">
        <v>3621.4</v>
      </c>
      <c r="N1915" s="116">
        <v>3662.65</v>
      </c>
      <c r="O1915" s="116">
        <v>3570.55</v>
      </c>
      <c r="P1915" s="116">
        <v>3586</v>
      </c>
      <c r="Q1915" s="116">
        <v>3621.4</v>
      </c>
      <c r="R1915">
        <v>54193</v>
      </c>
    </row>
    <row r="1916" spans="1:18" x14ac:dyDescent="0.25">
      <c r="A1916" s="169">
        <v>44825</v>
      </c>
      <c r="B1916" s="116">
        <v>3643.6</v>
      </c>
      <c r="C1916" s="116">
        <v>3565.9</v>
      </c>
      <c r="D1916" s="116">
        <v>3556</v>
      </c>
      <c r="E1916" s="116">
        <v>3602</v>
      </c>
      <c r="F1916" s="116">
        <v>3565.9</v>
      </c>
      <c r="G1916">
        <v>3603</v>
      </c>
      <c r="H1916" s="116"/>
      <c r="I1916" s="116"/>
      <c r="L1916" s="169">
        <v>44825</v>
      </c>
      <c r="M1916" s="116">
        <v>3568.5</v>
      </c>
      <c r="N1916" s="116">
        <v>3643.35</v>
      </c>
      <c r="O1916" s="116">
        <v>3550</v>
      </c>
      <c r="P1916" s="116">
        <v>3600</v>
      </c>
      <c r="Q1916" s="116">
        <v>3568.5</v>
      </c>
      <c r="R1916">
        <v>42724</v>
      </c>
    </row>
    <row r="1917" spans="1:18" x14ac:dyDescent="0.25">
      <c r="A1917" s="169">
        <v>44826</v>
      </c>
      <c r="B1917" s="116">
        <v>3604.2</v>
      </c>
      <c r="C1917" s="116">
        <v>3591.35</v>
      </c>
      <c r="D1917" s="116">
        <v>3524</v>
      </c>
      <c r="E1917" s="116">
        <v>3524</v>
      </c>
      <c r="F1917" s="116">
        <v>3591.35</v>
      </c>
      <c r="G1917">
        <v>3285</v>
      </c>
      <c r="H1917" s="116"/>
      <c r="I1917" s="116"/>
      <c r="L1917" s="169">
        <v>44826</v>
      </c>
      <c r="M1917" s="116">
        <v>3591.8</v>
      </c>
      <c r="N1917" s="116">
        <v>3603</v>
      </c>
      <c r="O1917" s="116">
        <v>3534</v>
      </c>
      <c r="P1917" s="116">
        <v>3538.8</v>
      </c>
      <c r="Q1917" s="116">
        <v>3591.8</v>
      </c>
      <c r="R1917">
        <v>54551</v>
      </c>
    </row>
    <row r="1918" spans="1:18" x14ac:dyDescent="0.25">
      <c r="A1918" s="169">
        <v>44827</v>
      </c>
      <c r="B1918" s="116">
        <v>3644.65</v>
      </c>
      <c r="C1918" s="116">
        <v>3545.5</v>
      </c>
      <c r="D1918" s="116">
        <v>3542.3</v>
      </c>
      <c r="E1918" s="116">
        <v>3602.35</v>
      </c>
      <c r="F1918" s="116">
        <v>3545.5</v>
      </c>
      <c r="G1918">
        <v>3296</v>
      </c>
      <c r="H1918" s="116"/>
      <c r="I1918" s="116"/>
      <c r="L1918" s="169">
        <v>44827</v>
      </c>
      <c r="M1918" s="116">
        <v>3549.05</v>
      </c>
      <c r="N1918" s="116">
        <v>3643</v>
      </c>
      <c r="O1918" s="116">
        <v>3540.05</v>
      </c>
      <c r="P1918" s="116">
        <v>3600</v>
      </c>
      <c r="Q1918" s="116">
        <v>3549.05</v>
      </c>
      <c r="R1918">
        <v>61899</v>
      </c>
    </row>
    <row r="1919" spans="1:18" x14ac:dyDescent="0.25">
      <c r="A1919" s="169">
        <v>44830</v>
      </c>
      <c r="B1919" s="116">
        <v>3544.85</v>
      </c>
      <c r="C1919" s="116">
        <v>3400.65</v>
      </c>
      <c r="D1919" s="116">
        <v>3384.55</v>
      </c>
      <c r="E1919" s="116">
        <v>3544.85</v>
      </c>
      <c r="F1919" s="116">
        <v>3400.65</v>
      </c>
      <c r="G1919">
        <v>6360</v>
      </c>
      <c r="H1919" s="116"/>
      <c r="I1919" s="116"/>
      <c r="L1919" s="169">
        <v>44830</v>
      </c>
      <c r="M1919" s="116">
        <v>3398.65</v>
      </c>
      <c r="N1919" s="116">
        <v>3519</v>
      </c>
      <c r="O1919" s="116">
        <v>3385</v>
      </c>
      <c r="P1919" s="116">
        <v>3519</v>
      </c>
      <c r="Q1919" s="116">
        <v>3398.65</v>
      </c>
      <c r="R1919">
        <v>89892</v>
      </c>
    </row>
    <row r="1920" spans="1:18" x14ac:dyDescent="0.25">
      <c r="A1920" s="169">
        <v>44831</v>
      </c>
      <c r="B1920" s="116">
        <v>3438.7</v>
      </c>
      <c r="C1920" s="116">
        <v>3280.5</v>
      </c>
      <c r="D1920" s="116">
        <v>3240.95</v>
      </c>
      <c r="E1920" s="116">
        <v>3402.05</v>
      </c>
      <c r="F1920" s="116">
        <v>3280.5</v>
      </c>
      <c r="G1920">
        <v>18098</v>
      </c>
      <c r="H1920" s="116"/>
      <c r="I1920" s="116"/>
      <c r="L1920" s="169">
        <v>44831</v>
      </c>
      <c r="M1920" s="116">
        <v>3280.9</v>
      </c>
      <c r="N1920" s="116">
        <v>3447.15</v>
      </c>
      <c r="O1920" s="116">
        <v>3240.05</v>
      </c>
      <c r="P1920" s="116">
        <v>3415</v>
      </c>
      <c r="Q1920" s="116">
        <v>3280.9</v>
      </c>
      <c r="R1920">
        <v>146709</v>
      </c>
    </row>
    <row r="1921" spans="1:18" x14ac:dyDescent="0.25">
      <c r="A1921" s="169">
        <v>44832</v>
      </c>
      <c r="B1921" s="116">
        <v>3288.95</v>
      </c>
      <c r="C1921" s="116">
        <v>3225.8</v>
      </c>
      <c r="D1921" s="116">
        <v>3217.6</v>
      </c>
      <c r="E1921" s="116">
        <v>3288.95</v>
      </c>
      <c r="F1921" s="116">
        <v>3225.8</v>
      </c>
      <c r="G1921">
        <v>2700</v>
      </c>
      <c r="H1921" s="116"/>
      <c r="I1921" s="116"/>
      <c r="L1921" s="169">
        <v>44832</v>
      </c>
      <c r="M1921" s="116">
        <v>3228.8</v>
      </c>
      <c r="N1921" s="116">
        <v>3280.6</v>
      </c>
      <c r="O1921" s="116">
        <v>3221</v>
      </c>
      <c r="P1921" s="116">
        <v>3280.6</v>
      </c>
      <c r="Q1921" s="116">
        <v>3228.8</v>
      </c>
      <c r="R1921">
        <v>59712</v>
      </c>
    </row>
    <row r="1922" spans="1:18" x14ac:dyDescent="0.25">
      <c r="A1922" s="169">
        <v>44833</v>
      </c>
      <c r="B1922" s="116">
        <v>3310.75</v>
      </c>
      <c r="C1922" s="116">
        <v>3218.1</v>
      </c>
      <c r="D1922" s="116">
        <v>3201</v>
      </c>
      <c r="E1922" s="116">
        <v>3299.95</v>
      </c>
      <c r="F1922" s="116">
        <v>3218.1</v>
      </c>
      <c r="G1922">
        <v>2335</v>
      </c>
      <c r="H1922" s="116"/>
      <c r="I1922" s="116"/>
      <c r="L1922" s="169">
        <v>44833</v>
      </c>
      <c r="M1922" s="116">
        <v>3214.25</v>
      </c>
      <c r="N1922" s="116">
        <v>3316.85</v>
      </c>
      <c r="O1922" s="116">
        <v>3200</v>
      </c>
      <c r="P1922" s="116">
        <v>3270</v>
      </c>
      <c r="Q1922" s="116">
        <v>3214.25</v>
      </c>
      <c r="R1922">
        <v>50969</v>
      </c>
    </row>
    <row r="1923" spans="1:18" x14ac:dyDescent="0.25">
      <c r="A1923" s="169">
        <v>44834</v>
      </c>
      <c r="B1923" s="116">
        <v>3225</v>
      </c>
      <c r="C1923" s="116">
        <v>3171.05</v>
      </c>
      <c r="D1923" s="116">
        <v>3116.25</v>
      </c>
      <c r="E1923" s="116">
        <v>3225</v>
      </c>
      <c r="F1923" s="116">
        <v>3171.05</v>
      </c>
      <c r="G1923">
        <v>13024</v>
      </c>
      <c r="H1923" s="116"/>
      <c r="I1923" s="116"/>
      <c r="L1923" s="169">
        <v>44834</v>
      </c>
      <c r="M1923" s="116">
        <v>3167.5</v>
      </c>
      <c r="N1923" s="116">
        <v>3225.4</v>
      </c>
      <c r="O1923" s="116">
        <v>3113.9</v>
      </c>
      <c r="P1923" s="116">
        <v>3225.4</v>
      </c>
      <c r="Q1923" s="116">
        <v>3167.5</v>
      </c>
      <c r="R1923">
        <v>107571</v>
      </c>
    </row>
    <row r="1924" spans="1:18" x14ac:dyDescent="0.25">
      <c r="A1924" s="169">
        <v>44837</v>
      </c>
      <c r="B1924" s="116">
        <v>3188.35</v>
      </c>
      <c r="C1924" s="116">
        <v>3121.5</v>
      </c>
      <c r="D1924" s="116">
        <v>3107.25</v>
      </c>
      <c r="E1924" s="116">
        <v>3163.85</v>
      </c>
      <c r="F1924" s="116">
        <v>3121.5</v>
      </c>
      <c r="G1924">
        <v>10990</v>
      </c>
      <c r="H1924" s="116"/>
      <c r="I1924" s="116"/>
      <c r="L1924" s="169">
        <v>44837</v>
      </c>
      <c r="M1924" s="116">
        <v>3120</v>
      </c>
      <c r="N1924" s="116">
        <v>3192.7</v>
      </c>
      <c r="O1924" s="116">
        <v>3105.1</v>
      </c>
      <c r="P1924" s="116">
        <v>3183.9</v>
      </c>
      <c r="Q1924" s="116">
        <v>3120</v>
      </c>
      <c r="R1924">
        <v>72248</v>
      </c>
    </row>
    <row r="1925" spans="1:18" x14ac:dyDescent="0.25">
      <c r="A1925" s="169">
        <v>44838</v>
      </c>
      <c r="B1925" s="116">
        <v>3220.45</v>
      </c>
      <c r="C1925" s="116">
        <v>3180.55</v>
      </c>
      <c r="D1925" s="116">
        <v>3173.5</v>
      </c>
      <c r="E1925" s="116">
        <v>3189.95</v>
      </c>
      <c r="F1925" s="116">
        <v>3180.55</v>
      </c>
      <c r="G1925">
        <v>3935</v>
      </c>
      <c r="H1925" s="116"/>
      <c r="I1925" s="116"/>
      <c r="L1925" s="169">
        <v>44838</v>
      </c>
      <c r="M1925" s="116">
        <v>3183.5</v>
      </c>
      <c r="N1925" s="116">
        <v>3223.3</v>
      </c>
      <c r="O1925" s="116">
        <v>3171.15</v>
      </c>
      <c r="P1925" s="116">
        <v>3175</v>
      </c>
      <c r="Q1925" s="116">
        <v>3183.5</v>
      </c>
      <c r="R1925">
        <v>47617</v>
      </c>
    </row>
    <row r="1926" spans="1:18" x14ac:dyDescent="0.25">
      <c r="A1926" s="169">
        <v>44840</v>
      </c>
      <c r="B1926" s="116">
        <v>3267.25</v>
      </c>
      <c r="C1926" s="116">
        <v>3231.15</v>
      </c>
      <c r="D1926" s="116">
        <v>3213.85</v>
      </c>
      <c r="E1926" s="116">
        <v>3226.9</v>
      </c>
      <c r="F1926" s="116">
        <v>3231.15</v>
      </c>
      <c r="G1926">
        <v>3168</v>
      </c>
      <c r="H1926" s="116"/>
      <c r="I1926" s="116"/>
      <c r="L1926" s="169">
        <v>44840</v>
      </c>
      <c r="M1926" s="116">
        <v>3233.1</v>
      </c>
      <c r="N1926" s="116">
        <v>3265</v>
      </c>
      <c r="O1926" s="116">
        <v>3210</v>
      </c>
      <c r="P1926" s="116">
        <v>3212.4</v>
      </c>
      <c r="Q1926" s="116">
        <v>3233.1</v>
      </c>
      <c r="R1926">
        <v>42780</v>
      </c>
    </row>
    <row r="1927" spans="1:18" x14ac:dyDescent="0.25">
      <c r="A1927" s="169">
        <v>44841</v>
      </c>
      <c r="B1927" s="116">
        <v>3251.95</v>
      </c>
      <c r="C1927" s="116">
        <v>3221.95</v>
      </c>
      <c r="D1927" s="116">
        <v>3206.3</v>
      </c>
      <c r="E1927" s="116">
        <v>3245.6</v>
      </c>
      <c r="F1927" s="116">
        <v>3221.95</v>
      </c>
      <c r="G1927">
        <v>3072</v>
      </c>
      <c r="H1927" s="116"/>
      <c r="I1927" s="116"/>
      <c r="L1927" s="169">
        <v>44841</v>
      </c>
      <c r="M1927" s="116">
        <v>3219</v>
      </c>
      <c r="N1927" s="116">
        <v>3253.95</v>
      </c>
      <c r="O1927" s="116">
        <v>3209.05</v>
      </c>
      <c r="P1927" s="116">
        <v>3247.7</v>
      </c>
      <c r="Q1927" s="116">
        <v>3219</v>
      </c>
      <c r="R1927">
        <v>32880</v>
      </c>
    </row>
    <row r="1928" spans="1:18" x14ac:dyDescent="0.25">
      <c r="A1928" s="169">
        <v>44844</v>
      </c>
      <c r="B1928" s="116">
        <v>3210.7</v>
      </c>
      <c r="C1928" s="116">
        <v>3155.75</v>
      </c>
      <c r="D1928" s="116">
        <v>3142.6</v>
      </c>
      <c r="E1928" s="116">
        <v>3181</v>
      </c>
      <c r="F1928" s="116">
        <v>3155.75</v>
      </c>
      <c r="G1928">
        <v>17072</v>
      </c>
      <c r="H1928" s="116"/>
      <c r="I1928" s="116"/>
      <c r="L1928" s="169">
        <v>44844</v>
      </c>
      <c r="M1928" s="116">
        <v>3157.25</v>
      </c>
      <c r="N1928" s="116">
        <v>3210</v>
      </c>
      <c r="O1928" s="116">
        <v>3142</v>
      </c>
      <c r="P1928" s="116">
        <v>3178</v>
      </c>
      <c r="Q1928" s="116">
        <v>3157.25</v>
      </c>
      <c r="R1928">
        <v>59298</v>
      </c>
    </row>
    <row r="1929" spans="1:18" x14ac:dyDescent="0.25">
      <c r="A1929" s="169">
        <v>44845</v>
      </c>
      <c r="B1929" s="116">
        <v>3196.9</v>
      </c>
      <c r="C1929" s="116">
        <v>3118.35</v>
      </c>
      <c r="D1929" s="116">
        <v>3111</v>
      </c>
      <c r="E1929" s="116">
        <v>3124.05</v>
      </c>
      <c r="F1929" s="116">
        <v>3118.35</v>
      </c>
      <c r="G1929">
        <v>44339</v>
      </c>
      <c r="H1929" s="116"/>
      <c r="I1929" s="116"/>
      <c r="L1929" s="169">
        <v>44845</v>
      </c>
      <c r="M1929" s="116">
        <v>3116.45</v>
      </c>
      <c r="N1929" s="116">
        <v>3197</v>
      </c>
      <c r="O1929" s="116">
        <v>3110</v>
      </c>
      <c r="P1929" s="116">
        <v>3175.75</v>
      </c>
      <c r="Q1929" s="116">
        <v>3116.45</v>
      </c>
      <c r="R1929">
        <v>58688</v>
      </c>
    </row>
    <row r="1930" spans="1:18" x14ac:dyDescent="0.25">
      <c r="A1930" s="169">
        <v>44846</v>
      </c>
      <c r="B1930" s="116">
        <v>3150.7</v>
      </c>
      <c r="C1930" s="116">
        <v>3057.15</v>
      </c>
      <c r="D1930" s="116">
        <v>3005.35</v>
      </c>
      <c r="E1930" s="116">
        <v>3150.7</v>
      </c>
      <c r="F1930" s="116">
        <v>3057.15</v>
      </c>
      <c r="G1930">
        <v>12234</v>
      </c>
      <c r="H1930" s="116"/>
      <c r="I1930" s="116"/>
      <c r="L1930" s="169">
        <v>44846</v>
      </c>
      <c r="M1930" s="116">
        <v>3055.9</v>
      </c>
      <c r="N1930" s="116">
        <v>3140</v>
      </c>
      <c r="O1930" s="116">
        <v>3006.05</v>
      </c>
      <c r="P1930" s="116">
        <v>3120.25</v>
      </c>
      <c r="Q1930" s="116">
        <v>3055.9</v>
      </c>
      <c r="R1930">
        <v>74623</v>
      </c>
    </row>
    <row r="1931" spans="1:18" x14ac:dyDescent="0.25">
      <c r="A1931" s="169">
        <v>44847</v>
      </c>
      <c r="B1931" s="116">
        <v>3085.95</v>
      </c>
      <c r="C1931" s="116">
        <v>3031.85</v>
      </c>
      <c r="D1931" s="116">
        <v>3007</v>
      </c>
      <c r="E1931" s="116">
        <v>3052.05</v>
      </c>
      <c r="F1931" s="116">
        <v>3031.85</v>
      </c>
      <c r="G1931">
        <v>8546</v>
      </c>
      <c r="H1931" s="116"/>
      <c r="I1931" s="116"/>
      <c r="L1931" s="169">
        <v>44847</v>
      </c>
      <c r="M1931" s="116">
        <v>3038.75</v>
      </c>
      <c r="N1931" s="116">
        <v>3088.35</v>
      </c>
      <c r="O1931" s="116">
        <v>3027.3</v>
      </c>
      <c r="P1931" s="116">
        <v>3065</v>
      </c>
      <c r="Q1931" s="116">
        <v>3038.75</v>
      </c>
      <c r="R1931">
        <v>38416</v>
      </c>
    </row>
    <row r="1932" spans="1:18" x14ac:dyDescent="0.25">
      <c r="A1932" s="169">
        <v>44848</v>
      </c>
      <c r="B1932" s="116">
        <v>3115.35</v>
      </c>
      <c r="C1932" s="116">
        <v>3040.15</v>
      </c>
      <c r="D1932" s="116">
        <v>3030</v>
      </c>
      <c r="E1932" s="116">
        <v>3085</v>
      </c>
      <c r="F1932" s="116">
        <v>3040.15</v>
      </c>
      <c r="G1932">
        <v>3051</v>
      </c>
      <c r="H1932" s="116"/>
      <c r="I1932" s="116"/>
      <c r="L1932" s="169">
        <v>44848</v>
      </c>
      <c r="M1932" s="116">
        <v>3041.9</v>
      </c>
      <c r="N1932" s="116">
        <v>3137.7</v>
      </c>
      <c r="O1932" s="116">
        <v>3030.55</v>
      </c>
      <c r="P1932" s="116">
        <v>3137.7</v>
      </c>
      <c r="Q1932" s="116">
        <v>3041.9</v>
      </c>
      <c r="R1932">
        <v>48264</v>
      </c>
    </row>
    <row r="1933" spans="1:18" x14ac:dyDescent="0.25">
      <c r="A1933" s="169">
        <v>44851</v>
      </c>
      <c r="B1933" s="116">
        <v>3068.95</v>
      </c>
      <c r="C1933" s="116">
        <v>3022.85</v>
      </c>
      <c r="D1933" s="116">
        <v>3009.4</v>
      </c>
      <c r="E1933" s="116">
        <v>3045.05</v>
      </c>
      <c r="F1933" s="116">
        <v>3022.85</v>
      </c>
      <c r="G1933">
        <v>2000</v>
      </c>
      <c r="H1933" s="116"/>
      <c r="I1933" s="116"/>
      <c r="L1933" s="169">
        <v>44851</v>
      </c>
      <c r="M1933" s="116">
        <v>3024.3</v>
      </c>
      <c r="N1933" s="116">
        <v>3065</v>
      </c>
      <c r="O1933" s="116">
        <v>3006.05</v>
      </c>
      <c r="P1933" s="116">
        <v>3046.95</v>
      </c>
      <c r="Q1933" s="116">
        <v>3024.3</v>
      </c>
      <c r="R1933">
        <v>36970</v>
      </c>
    </row>
    <row r="1934" spans="1:18" x14ac:dyDescent="0.25">
      <c r="A1934" s="169">
        <v>44852</v>
      </c>
      <c r="B1934" s="116">
        <v>3100</v>
      </c>
      <c r="C1934" s="116">
        <v>3041.1</v>
      </c>
      <c r="D1934" s="116">
        <v>3006.05</v>
      </c>
      <c r="E1934" s="116">
        <v>3006.05</v>
      </c>
      <c r="F1934" s="116">
        <v>3041.1</v>
      </c>
      <c r="G1934">
        <v>2109</v>
      </c>
      <c r="H1934" s="116"/>
      <c r="I1934" s="116"/>
      <c r="L1934" s="169">
        <v>44852</v>
      </c>
      <c r="M1934" s="116">
        <v>3042.35</v>
      </c>
      <c r="N1934" s="116">
        <v>3080</v>
      </c>
      <c r="O1934" s="116">
        <v>3025.5</v>
      </c>
      <c r="P1934" s="116">
        <v>3050.05</v>
      </c>
      <c r="Q1934" s="116">
        <v>3042.35</v>
      </c>
      <c r="R1934">
        <v>39773</v>
      </c>
    </row>
    <row r="1935" spans="1:18" x14ac:dyDescent="0.25">
      <c r="A1935" s="169">
        <v>44853</v>
      </c>
      <c r="B1935" s="116">
        <v>3064.55</v>
      </c>
      <c r="C1935" s="116">
        <v>3025.05</v>
      </c>
      <c r="D1935" s="116">
        <v>3013.05</v>
      </c>
      <c r="E1935" s="116">
        <v>3058.45</v>
      </c>
      <c r="F1935" s="116">
        <v>3025.05</v>
      </c>
      <c r="G1935">
        <v>1279</v>
      </c>
      <c r="H1935" s="116"/>
      <c r="I1935" s="116"/>
      <c r="L1935" s="169">
        <v>44853</v>
      </c>
      <c r="M1935" s="116">
        <v>3026</v>
      </c>
      <c r="N1935" s="116">
        <v>3065</v>
      </c>
      <c r="O1935" s="116">
        <v>3018</v>
      </c>
      <c r="P1935" s="116">
        <v>3063.95</v>
      </c>
      <c r="Q1935" s="116">
        <v>3026</v>
      </c>
      <c r="R1935">
        <v>27655</v>
      </c>
    </row>
    <row r="1936" spans="1:18" x14ac:dyDescent="0.25">
      <c r="A1936" s="169">
        <v>44854</v>
      </c>
      <c r="B1936" s="116">
        <v>3082.2</v>
      </c>
      <c r="C1936" s="116">
        <v>3073.7</v>
      </c>
      <c r="D1936" s="116">
        <v>3021.65</v>
      </c>
      <c r="E1936" s="116">
        <v>3080</v>
      </c>
      <c r="F1936" s="116">
        <v>3073.7</v>
      </c>
      <c r="G1936">
        <v>4072</v>
      </c>
      <c r="H1936" s="116"/>
      <c r="I1936" s="116"/>
      <c r="L1936" s="169">
        <v>44854</v>
      </c>
      <c r="M1936" s="116">
        <v>3075</v>
      </c>
      <c r="N1936" s="116">
        <v>3084</v>
      </c>
      <c r="O1936" s="116">
        <v>3010.05</v>
      </c>
      <c r="P1936" s="116">
        <v>3019</v>
      </c>
      <c r="Q1936" s="116">
        <v>3075</v>
      </c>
      <c r="R1936">
        <v>50895</v>
      </c>
    </row>
    <row r="1937" spans="1:18" x14ac:dyDescent="0.25">
      <c r="A1937" s="169">
        <v>44855</v>
      </c>
      <c r="B1937" s="116">
        <v>3100</v>
      </c>
      <c r="C1937" s="116">
        <v>3064</v>
      </c>
      <c r="D1937" s="116">
        <v>3057</v>
      </c>
      <c r="E1937" s="116">
        <v>3100</v>
      </c>
      <c r="F1937" s="116">
        <v>3064</v>
      </c>
      <c r="G1937">
        <v>2484</v>
      </c>
      <c r="H1937" s="116"/>
      <c r="I1937" s="116"/>
      <c r="L1937" s="169">
        <v>44855</v>
      </c>
      <c r="M1937" s="116">
        <v>3063.55</v>
      </c>
      <c r="N1937" s="116">
        <v>3099</v>
      </c>
      <c r="O1937" s="116">
        <v>3055.95</v>
      </c>
      <c r="P1937" s="116">
        <v>3095.7</v>
      </c>
      <c r="Q1937" s="116">
        <v>3063.55</v>
      </c>
      <c r="R1937">
        <v>31597</v>
      </c>
    </row>
    <row r="1938" spans="1:18" x14ac:dyDescent="0.25">
      <c r="A1938" s="169">
        <v>44858</v>
      </c>
      <c r="B1938" s="116">
        <v>3098</v>
      </c>
      <c r="C1938" s="116">
        <v>3088.5</v>
      </c>
      <c r="D1938" s="116">
        <v>3064</v>
      </c>
      <c r="E1938" s="116">
        <v>3070.1</v>
      </c>
      <c r="F1938" s="116">
        <v>3088.5</v>
      </c>
      <c r="G1938">
        <v>2226</v>
      </c>
      <c r="H1938" s="116"/>
      <c r="I1938" s="116"/>
      <c r="L1938" s="169">
        <v>44858</v>
      </c>
      <c r="M1938" s="116">
        <v>3087.15</v>
      </c>
      <c r="N1938" s="116">
        <v>3095</v>
      </c>
      <c r="O1938" s="116">
        <v>3075.05</v>
      </c>
      <c r="P1938" s="116">
        <v>3086.65</v>
      </c>
      <c r="Q1938" s="116">
        <v>3087.15</v>
      </c>
      <c r="R1938">
        <v>13889</v>
      </c>
    </row>
    <row r="1939" spans="1:18" x14ac:dyDescent="0.25">
      <c r="A1939" s="169">
        <v>44859</v>
      </c>
      <c r="B1939" s="116">
        <v>3109.95</v>
      </c>
      <c r="C1939" s="116">
        <v>3099.35</v>
      </c>
      <c r="D1939" s="116">
        <v>3071.3</v>
      </c>
      <c r="E1939" s="116">
        <v>3089.7</v>
      </c>
      <c r="F1939" s="116">
        <v>3099.35</v>
      </c>
      <c r="G1939">
        <v>4673</v>
      </c>
      <c r="H1939" s="116"/>
      <c r="I1939" s="116"/>
      <c r="L1939" s="169">
        <v>44859</v>
      </c>
      <c r="M1939" s="116">
        <v>3100.85</v>
      </c>
      <c r="N1939" s="116">
        <v>3110</v>
      </c>
      <c r="O1939" s="116">
        <v>3072</v>
      </c>
      <c r="P1939" s="116">
        <v>3098</v>
      </c>
      <c r="Q1939" s="116">
        <v>3100.85</v>
      </c>
      <c r="R1939">
        <v>29700</v>
      </c>
    </row>
    <row r="1940" spans="1:18" x14ac:dyDescent="0.25">
      <c r="A1940" s="169">
        <v>44861</v>
      </c>
      <c r="B1940" s="116">
        <v>3144.85</v>
      </c>
      <c r="C1940" s="116">
        <v>2979.6</v>
      </c>
      <c r="D1940" s="116">
        <v>2950</v>
      </c>
      <c r="E1940" s="116">
        <v>3107.3</v>
      </c>
      <c r="F1940" s="116">
        <v>2979.6</v>
      </c>
      <c r="G1940">
        <v>11684</v>
      </c>
      <c r="H1940" s="116"/>
      <c r="I1940" s="116"/>
      <c r="L1940" s="169">
        <v>44861</v>
      </c>
      <c r="M1940" s="116">
        <v>2978.05</v>
      </c>
      <c r="N1940" s="116">
        <v>3148.15</v>
      </c>
      <c r="O1940" s="116">
        <v>2951</v>
      </c>
      <c r="P1940" s="116">
        <v>3120</v>
      </c>
      <c r="Q1940" s="116">
        <v>2978.05</v>
      </c>
      <c r="R1940">
        <v>266097</v>
      </c>
    </row>
    <row r="1941" spans="1:18" x14ac:dyDescent="0.25">
      <c r="A1941" s="169">
        <v>44862</v>
      </c>
      <c r="B1941" s="116">
        <v>3039.5</v>
      </c>
      <c r="C1941" s="116">
        <v>3013.8</v>
      </c>
      <c r="D1941" s="116">
        <v>2960.4</v>
      </c>
      <c r="E1941" s="116">
        <v>2960.4</v>
      </c>
      <c r="F1941" s="116">
        <v>3013.8</v>
      </c>
      <c r="G1941">
        <v>8757</v>
      </c>
      <c r="H1941" s="116"/>
      <c r="I1941" s="116"/>
      <c r="L1941" s="169">
        <v>44862</v>
      </c>
      <c r="M1941" s="116">
        <v>3012.9</v>
      </c>
      <c r="N1941" s="116">
        <v>3037.95</v>
      </c>
      <c r="O1941" s="116">
        <v>2969</v>
      </c>
      <c r="P1941" s="116">
        <v>2969</v>
      </c>
      <c r="Q1941" s="116">
        <v>3012.9</v>
      </c>
      <c r="R1941">
        <v>59978</v>
      </c>
    </row>
    <row r="1942" spans="1:18" x14ac:dyDescent="0.25">
      <c r="A1942" s="169">
        <v>44865</v>
      </c>
      <c r="B1942" s="116">
        <v>3049.95</v>
      </c>
      <c r="C1942" s="116">
        <v>3027.2</v>
      </c>
      <c r="D1942" s="116">
        <v>2997.65</v>
      </c>
      <c r="E1942" s="116">
        <v>3038.5</v>
      </c>
      <c r="F1942" s="116">
        <v>3027.2</v>
      </c>
      <c r="G1942">
        <v>5109</v>
      </c>
      <c r="H1942" s="116"/>
      <c r="I1942" s="116"/>
      <c r="L1942" s="169">
        <v>44865</v>
      </c>
      <c r="M1942" s="116">
        <v>3025</v>
      </c>
      <c r="N1942" s="116">
        <v>3048</v>
      </c>
      <c r="O1942" s="116">
        <v>2995.2</v>
      </c>
      <c r="P1942" s="116">
        <v>3028</v>
      </c>
      <c r="Q1942" s="116">
        <v>3025</v>
      </c>
      <c r="R1942">
        <v>32544</v>
      </c>
    </row>
    <row r="1943" spans="1:18" x14ac:dyDescent="0.25">
      <c r="A1943" s="169">
        <v>44866</v>
      </c>
      <c r="B1943" s="116">
        <v>3070.75</v>
      </c>
      <c r="C1943" s="116">
        <v>3057.15</v>
      </c>
      <c r="D1943" s="116">
        <v>3029.4</v>
      </c>
      <c r="E1943" s="116">
        <v>3030</v>
      </c>
      <c r="F1943" s="116">
        <v>3057.15</v>
      </c>
      <c r="G1943">
        <v>5878</v>
      </c>
      <c r="H1943" s="116"/>
      <c r="I1943" s="116"/>
      <c r="L1943" s="169">
        <v>44866</v>
      </c>
      <c r="M1943" s="116">
        <v>3057.4</v>
      </c>
      <c r="N1943" s="116">
        <v>3069.8</v>
      </c>
      <c r="O1943" s="116">
        <v>3030</v>
      </c>
      <c r="P1943" s="116">
        <v>3036.4</v>
      </c>
      <c r="Q1943" s="116">
        <v>3057.4</v>
      </c>
      <c r="R1943">
        <v>39674</v>
      </c>
    </row>
    <row r="1944" spans="1:18" x14ac:dyDescent="0.25">
      <c r="A1944" s="169">
        <v>44867</v>
      </c>
      <c r="B1944" s="116">
        <v>3116.2</v>
      </c>
      <c r="C1944" s="116">
        <v>3093.95</v>
      </c>
      <c r="D1944" s="116">
        <v>3051</v>
      </c>
      <c r="E1944" s="116">
        <v>3065.05</v>
      </c>
      <c r="F1944" s="116">
        <v>3093.95</v>
      </c>
      <c r="G1944">
        <v>2182</v>
      </c>
      <c r="H1944" s="116"/>
      <c r="I1944" s="116"/>
      <c r="L1944" s="169">
        <v>44867</v>
      </c>
      <c r="M1944" s="116">
        <v>3092.35</v>
      </c>
      <c r="N1944" s="116">
        <v>3114.9</v>
      </c>
      <c r="O1944" s="116">
        <v>3048.05</v>
      </c>
      <c r="P1944" s="116">
        <v>3072.7</v>
      </c>
      <c r="Q1944" s="116">
        <v>3092.35</v>
      </c>
      <c r="R1944">
        <v>37188</v>
      </c>
    </row>
    <row r="1945" spans="1:18" x14ac:dyDescent="0.25">
      <c r="A1945" s="169">
        <v>44868</v>
      </c>
      <c r="B1945" s="116">
        <v>3112.45</v>
      </c>
      <c r="C1945" s="116">
        <v>3081.65</v>
      </c>
      <c r="D1945" s="116">
        <v>3052.2</v>
      </c>
      <c r="E1945" s="116">
        <v>3052.2</v>
      </c>
      <c r="F1945" s="116">
        <v>3081.65</v>
      </c>
      <c r="G1945">
        <v>4502</v>
      </c>
      <c r="H1945" s="116"/>
      <c r="I1945" s="116"/>
      <c r="L1945" s="169">
        <v>44868</v>
      </c>
      <c r="M1945" s="116">
        <v>3080.4</v>
      </c>
      <c r="N1945" s="116">
        <v>3112.75</v>
      </c>
      <c r="O1945" s="116">
        <v>3055.55</v>
      </c>
      <c r="P1945" s="116">
        <v>3070</v>
      </c>
      <c r="Q1945" s="116">
        <v>3080.4</v>
      </c>
      <c r="R1945">
        <v>25556</v>
      </c>
    </row>
    <row r="1946" spans="1:18" x14ac:dyDescent="0.25">
      <c r="A1946" s="169">
        <v>44869</v>
      </c>
      <c r="B1946" s="116">
        <v>3097</v>
      </c>
      <c r="C1946" s="116">
        <v>3070.65</v>
      </c>
      <c r="D1946" s="116">
        <v>3051.2</v>
      </c>
      <c r="E1946" s="116">
        <v>3083</v>
      </c>
      <c r="F1946" s="116">
        <v>3070.65</v>
      </c>
      <c r="G1946">
        <v>3993</v>
      </c>
      <c r="H1946" s="116"/>
      <c r="I1946" s="116"/>
      <c r="L1946" s="169">
        <v>44869</v>
      </c>
      <c r="M1946" s="116">
        <v>3070.95</v>
      </c>
      <c r="N1946" s="116">
        <v>3100</v>
      </c>
      <c r="O1946" s="116">
        <v>3050</v>
      </c>
      <c r="P1946" s="116">
        <v>3080</v>
      </c>
      <c r="Q1946" s="116">
        <v>3070.95</v>
      </c>
      <c r="R1946">
        <v>23129</v>
      </c>
    </row>
    <row r="1947" spans="1:18" x14ac:dyDescent="0.25">
      <c r="A1947" s="169">
        <v>44872</v>
      </c>
      <c r="B1947" s="116">
        <v>3090.15</v>
      </c>
      <c r="C1947" s="116">
        <v>3055.05</v>
      </c>
      <c r="D1947" s="116">
        <v>3044.95</v>
      </c>
      <c r="E1947" s="116">
        <v>3085</v>
      </c>
      <c r="F1947" s="116">
        <v>3055.05</v>
      </c>
      <c r="G1947">
        <v>2627</v>
      </c>
      <c r="H1947" s="116"/>
      <c r="I1947" s="116"/>
      <c r="L1947" s="169">
        <v>44872</v>
      </c>
      <c r="M1947" s="116">
        <v>3057.2</v>
      </c>
      <c r="N1947" s="116">
        <v>3090</v>
      </c>
      <c r="O1947" s="116">
        <v>3050</v>
      </c>
      <c r="P1947" s="116">
        <v>3072</v>
      </c>
      <c r="Q1947" s="116">
        <v>3057.2</v>
      </c>
      <c r="R1947">
        <v>26579</v>
      </c>
    </row>
    <row r="1948" spans="1:18" x14ac:dyDescent="0.25">
      <c r="A1948" s="169">
        <v>44874</v>
      </c>
      <c r="B1948" s="116">
        <v>3086</v>
      </c>
      <c r="C1948" s="116">
        <v>3064.45</v>
      </c>
      <c r="D1948" s="116">
        <v>3051</v>
      </c>
      <c r="E1948" s="116">
        <v>3066.05</v>
      </c>
      <c r="F1948" s="116">
        <v>3064.45</v>
      </c>
      <c r="G1948">
        <v>1307</v>
      </c>
      <c r="H1948" s="116"/>
      <c r="I1948" s="116"/>
      <c r="L1948" s="169">
        <v>44874</v>
      </c>
      <c r="M1948" s="116">
        <v>3066.35</v>
      </c>
      <c r="N1948" s="116">
        <v>3080.3</v>
      </c>
      <c r="O1948" s="116">
        <v>3052.55</v>
      </c>
      <c r="P1948" s="116">
        <v>3057</v>
      </c>
      <c r="Q1948" s="116">
        <v>3066.35</v>
      </c>
      <c r="R1948">
        <v>24765</v>
      </c>
    </row>
    <row r="1949" spans="1:18" x14ac:dyDescent="0.25">
      <c r="A1949" s="169">
        <v>44875</v>
      </c>
      <c r="B1949" s="116">
        <v>3087.5</v>
      </c>
      <c r="C1949" s="116">
        <v>3021</v>
      </c>
      <c r="D1949" s="116">
        <v>3016.1</v>
      </c>
      <c r="E1949" s="116">
        <v>3064.4</v>
      </c>
      <c r="F1949" s="116">
        <v>3021</v>
      </c>
      <c r="G1949">
        <v>1245</v>
      </c>
      <c r="H1949" s="116"/>
      <c r="I1949" s="116"/>
      <c r="L1949" s="169">
        <v>44875</v>
      </c>
      <c r="M1949" s="116">
        <v>3021.05</v>
      </c>
      <c r="N1949" s="116">
        <v>3089</v>
      </c>
      <c r="O1949" s="116">
        <v>3015.1</v>
      </c>
      <c r="P1949" s="116">
        <v>3053</v>
      </c>
      <c r="Q1949" s="116">
        <v>3021.05</v>
      </c>
      <c r="R1949">
        <v>27904</v>
      </c>
    </row>
    <row r="1950" spans="1:18" x14ac:dyDescent="0.25">
      <c r="A1950" s="169">
        <v>44876</v>
      </c>
      <c r="B1950" s="116">
        <v>3059.55</v>
      </c>
      <c r="C1950" s="116">
        <v>3023.05</v>
      </c>
      <c r="D1950" s="116">
        <v>3010</v>
      </c>
      <c r="E1950" s="116">
        <v>3030.05</v>
      </c>
      <c r="F1950" s="116">
        <v>3023.05</v>
      </c>
      <c r="G1950">
        <v>1498</v>
      </c>
      <c r="H1950" s="116"/>
      <c r="I1950" s="116"/>
      <c r="L1950" s="169">
        <v>44876</v>
      </c>
      <c r="M1950" s="116">
        <v>3023.75</v>
      </c>
      <c r="N1950" s="116">
        <v>3066.65</v>
      </c>
      <c r="O1950" s="116">
        <v>3010</v>
      </c>
      <c r="P1950" s="116">
        <v>3040.1</v>
      </c>
      <c r="Q1950" s="116">
        <v>3023.75</v>
      </c>
      <c r="R1950">
        <v>23216</v>
      </c>
    </row>
    <row r="1951" spans="1:18" x14ac:dyDescent="0.25">
      <c r="A1951" s="169">
        <v>44879</v>
      </c>
      <c r="B1951" s="116">
        <v>3048</v>
      </c>
      <c r="C1951" s="116">
        <v>2992.95</v>
      </c>
      <c r="D1951" s="116">
        <v>2980.05</v>
      </c>
      <c r="E1951" s="116">
        <v>3021.05</v>
      </c>
      <c r="F1951" s="116">
        <v>2992.95</v>
      </c>
      <c r="G1951">
        <v>2243</v>
      </c>
      <c r="H1951" s="116"/>
      <c r="I1951" s="116"/>
      <c r="L1951" s="169">
        <v>44879</v>
      </c>
      <c r="M1951" s="116">
        <v>2990.4</v>
      </c>
      <c r="N1951" s="116">
        <v>3046.55</v>
      </c>
      <c r="O1951" s="116">
        <v>2985</v>
      </c>
      <c r="P1951" s="116">
        <v>3037.4</v>
      </c>
      <c r="Q1951" s="116">
        <v>2990.4</v>
      </c>
      <c r="R1951">
        <v>38243</v>
      </c>
    </row>
    <row r="1952" spans="1:18" x14ac:dyDescent="0.25">
      <c r="A1952" s="169">
        <v>44880</v>
      </c>
      <c r="B1952" s="116">
        <v>3000.65</v>
      </c>
      <c r="C1952" s="116">
        <v>2964.45</v>
      </c>
      <c r="D1952" s="116">
        <v>2957.05</v>
      </c>
      <c r="E1952" s="116">
        <v>2992.95</v>
      </c>
      <c r="F1952" s="116">
        <v>2964.45</v>
      </c>
      <c r="G1952">
        <v>5375</v>
      </c>
      <c r="H1952" s="116"/>
      <c r="I1952" s="116"/>
      <c r="L1952" s="169">
        <v>44880</v>
      </c>
      <c r="M1952" s="116">
        <v>2961.35</v>
      </c>
      <c r="N1952" s="116">
        <v>3000</v>
      </c>
      <c r="O1952" s="116">
        <v>2955</v>
      </c>
      <c r="P1952" s="116">
        <v>2997</v>
      </c>
      <c r="Q1952" s="116">
        <v>2961.35</v>
      </c>
      <c r="R1952">
        <v>31596</v>
      </c>
    </row>
    <row r="1953" spans="1:18" x14ac:dyDescent="0.25">
      <c r="A1953" s="169">
        <v>44881</v>
      </c>
      <c r="B1953" s="116">
        <v>2978.3</v>
      </c>
      <c r="C1953" s="116">
        <v>2955.75</v>
      </c>
      <c r="D1953" s="116">
        <v>2938.75</v>
      </c>
      <c r="E1953" s="116">
        <v>2952.15</v>
      </c>
      <c r="F1953" s="116">
        <v>2955.75</v>
      </c>
      <c r="G1953">
        <v>5549</v>
      </c>
      <c r="H1953" s="116"/>
      <c r="I1953" s="116"/>
      <c r="L1953" s="169">
        <v>44881</v>
      </c>
      <c r="M1953" s="116">
        <v>2957.85</v>
      </c>
      <c r="N1953" s="116">
        <v>2976.2</v>
      </c>
      <c r="O1953" s="116">
        <v>2940</v>
      </c>
      <c r="P1953" s="116">
        <v>2976.2</v>
      </c>
      <c r="Q1953" s="116">
        <v>2957.85</v>
      </c>
      <c r="R1953">
        <v>27757</v>
      </c>
    </row>
    <row r="1954" spans="1:18" x14ac:dyDescent="0.25">
      <c r="A1954" s="169">
        <v>44882</v>
      </c>
      <c r="B1954" s="116">
        <v>2961.2</v>
      </c>
      <c r="C1954" s="116">
        <v>2907.65</v>
      </c>
      <c r="D1954" s="116">
        <v>2888.85</v>
      </c>
      <c r="E1954" s="116">
        <v>2931.05</v>
      </c>
      <c r="F1954" s="116">
        <v>2907.65</v>
      </c>
      <c r="G1954">
        <v>1846</v>
      </c>
      <c r="H1954" s="116"/>
      <c r="I1954" s="116"/>
      <c r="L1954" s="169">
        <v>44882</v>
      </c>
      <c r="M1954" s="116">
        <v>2907.85</v>
      </c>
      <c r="N1954" s="116">
        <v>2964.45</v>
      </c>
      <c r="O1954" s="116">
        <v>2882.2</v>
      </c>
      <c r="P1954" s="116">
        <v>2953</v>
      </c>
      <c r="Q1954" s="116">
        <v>2907.85</v>
      </c>
      <c r="R1954">
        <v>35013</v>
      </c>
    </row>
    <row r="1955" spans="1:18" x14ac:dyDescent="0.25">
      <c r="A1955" s="169">
        <v>44883</v>
      </c>
      <c r="B1955" s="116">
        <v>2934.7</v>
      </c>
      <c r="C1955" s="116">
        <v>2896.15</v>
      </c>
      <c r="D1955" s="116">
        <v>2873.2</v>
      </c>
      <c r="E1955" s="116">
        <v>2900</v>
      </c>
      <c r="F1955" s="116">
        <v>2896.15</v>
      </c>
      <c r="G1955">
        <v>2617</v>
      </c>
      <c r="H1955" s="116"/>
      <c r="I1955" s="116"/>
      <c r="L1955" s="169">
        <v>44883</v>
      </c>
      <c r="M1955" s="116">
        <v>2899.55</v>
      </c>
      <c r="N1955" s="116">
        <v>2936.6</v>
      </c>
      <c r="O1955" s="116">
        <v>2871.5</v>
      </c>
      <c r="P1955" s="116">
        <v>2900.05</v>
      </c>
      <c r="Q1955" s="116">
        <v>2899.55</v>
      </c>
      <c r="R1955">
        <v>47343</v>
      </c>
    </row>
    <row r="1956" spans="1:18" x14ac:dyDescent="0.25">
      <c r="A1956" s="169">
        <v>44886</v>
      </c>
      <c r="B1956" s="116">
        <v>2961.85</v>
      </c>
      <c r="C1956" s="116">
        <v>2921.25</v>
      </c>
      <c r="D1956" s="116">
        <v>2875.05</v>
      </c>
      <c r="E1956" s="116">
        <v>2875.05</v>
      </c>
      <c r="F1956" s="116">
        <v>2921.25</v>
      </c>
      <c r="G1956">
        <v>3315</v>
      </c>
      <c r="H1956" s="116"/>
      <c r="I1956" s="116"/>
      <c r="L1956" s="169">
        <v>44886</v>
      </c>
      <c r="M1956" s="116">
        <v>2927.95</v>
      </c>
      <c r="N1956" s="116">
        <v>2961.9</v>
      </c>
      <c r="O1956" s="116">
        <v>2890.05</v>
      </c>
      <c r="P1956" s="116">
        <v>2910</v>
      </c>
      <c r="Q1956" s="116">
        <v>2927.95</v>
      </c>
      <c r="R1956">
        <v>51409</v>
      </c>
    </row>
    <row r="1957" spans="1:18" x14ac:dyDescent="0.25">
      <c r="A1957" s="169">
        <v>44887</v>
      </c>
      <c r="B1957" s="116">
        <v>3010.75</v>
      </c>
      <c r="C1957" s="116">
        <v>2907.25</v>
      </c>
      <c r="D1957" s="116">
        <v>2890.85</v>
      </c>
      <c r="E1957" s="116">
        <v>2924.45</v>
      </c>
      <c r="F1957" s="116">
        <v>2907.25</v>
      </c>
      <c r="G1957">
        <v>5977</v>
      </c>
      <c r="H1957" s="116"/>
      <c r="I1957" s="116"/>
      <c r="L1957" s="169">
        <v>44887</v>
      </c>
      <c r="M1957" s="116">
        <v>2907.7</v>
      </c>
      <c r="N1957" s="116">
        <v>3013.15</v>
      </c>
      <c r="O1957" s="116">
        <v>2893.5</v>
      </c>
      <c r="P1957" s="116">
        <v>2928.1</v>
      </c>
      <c r="Q1957" s="116">
        <v>2907.7</v>
      </c>
      <c r="R1957">
        <v>70458</v>
      </c>
    </row>
    <row r="1958" spans="1:18" x14ac:dyDescent="0.25">
      <c r="A1958" s="169">
        <v>44888</v>
      </c>
      <c r="B1958" s="116">
        <v>2930.85</v>
      </c>
      <c r="C1958" s="116">
        <v>2917.35</v>
      </c>
      <c r="D1958" s="116">
        <v>2906</v>
      </c>
      <c r="E1958" s="116">
        <v>2918.95</v>
      </c>
      <c r="F1958" s="116">
        <v>2917.35</v>
      </c>
      <c r="G1958">
        <v>1158</v>
      </c>
      <c r="H1958" s="116"/>
      <c r="I1958" s="116"/>
      <c r="L1958" s="169">
        <v>44888</v>
      </c>
      <c r="M1958" s="116">
        <v>2920.25</v>
      </c>
      <c r="N1958" s="116">
        <v>2935.7</v>
      </c>
      <c r="O1958" s="116">
        <v>2905</v>
      </c>
      <c r="P1958" s="116">
        <v>2922</v>
      </c>
      <c r="Q1958" s="116">
        <v>2920.25</v>
      </c>
      <c r="R1958">
        <v>18287</v>
      </c>
    </row>
    <row r="1959" spans="1:18" x14ac:dyDescent="0.25">
      <c r="A1959" s="169">
        <v>44889</v>
      </c>
      <c r="B1959" s="116">
        <v>2941.15</v>
      </c>
      <c r="C1959" s="116">
        <v>2930.3</v>
      </c>
      <c r="D1959" s="116">
        <v>2912.8</v>
      </c>
      <c r="E1959" s="116">
        <v>2916.05</v>
      </c>
      <c r="F1959" s="116">
        <v>2930.3</v>
      </c>
      <c r="G1959">
        <v>1413</v>
      </c>
      <c r="H1959" s="116"/>
      <c r="I1959" s="116"/>
      <c r="L1959" s="169">
        <v>44889</v>
      </c>
      <c r="M1959" s="116">
        <v>2929.85</v>
      </c>
      <c r="N1959" s="116">
        <v>2942.35</v>
      </c>
      <c r="O1959" s="116">
        <v>2912</v>
      </c>
      <c r="P1959" s="116">
        <v>2934</v>
      </c>
      <c r="Q1959" s="116">
        <v>2929.85</v>
      </c>
      <c r="R1959">
        <v>25298</v>
      </c>
    </row>
    <row r="1960" spans="1:18" x14ac:dyDescent="0.25">
      <c r="A1960" s="169">
        <v>44890</v>
      </c>
      <c r="B1960" s="116">
        <v>2949.95</v>
      </c>
      <c r="C1960" s="116">
        <v>2924.45</v>
      </c>
      <c r="D1960" s="116">
        <v>2909.15</v>
      </c>
      <c r="E1960" s="116">
        <v>2949.95</v>
      </c>
      <c r="F1960" s="116">
        <v>2924.45</v>
      </c>
      <c r="G1960">
        <v>3163</v>
      </c>
      <c r="H1960" s="116"/>
      <c r="I1960" s="116"/>
      <c r="L1960" s="169">
        <v>44890</v>
      </c>
      <c r="M1960" s="116">
        <v>2925</v>
      </c>
      <c r="N1960" s="116">
        <v>2939.95</v>
      </c>
      <c r="O1960" s="116">
        <v>2913</v>
      </c>
      <c r="P1960" s="116">
        <v>2929.85</v>
      </c>
      <c r="Q1960" s="116">
        <v>2925</v>
      </c>
      <c r="R1960">
        <v>17536</v>
      </c>
    </row>
    <row r="1961" spans="1:18" x14ac:dyDescent="0.25">
      <c r="A1961" s="169">
        <v>44893</v>
      </c>
      <c r="B1961" s="116">
        <v>2948.3</v>
      </c>
      <c r="C1961" s="116">
        <v>2927.6</v>
      </c>
      <c r="D1961" s="116">
        <v>2921</v>
      </c>
      <c r="E1961" s="116">
        <v>2929</v>
      </c>
      <c r="F1961" s="116">
        <v>2927.6</v>
      </c>
      <c r="G1961">
        <v>2130</v>
      </c>
      <c r="H1961" s="116"/>
      <c r="I1961" s="116"/>
      <c r="L1961" s="169">
        <v>44893</v>
      </c>
      <c r="M1961" s="116">
        <v>2928.55</v>
      </c>
      <c r="N1961" s="116">
        <v>2947.1</v>
      </c>
      <c r="O1961" s="116">
        <v>2922</v>
      </c>
      <c r="P1961" s="116">
        <v>2926.5</v>
      </c>
      <c r="Q1961" s="116">
        <v>2928.55</v>
      </c>
      <c r="R1961">
        <v>22816</v>
      </c>
    </row>
    <row r="1962" spans="1:18" x14ac:dyDescent="0.25">
      <c r="A1962" s="169">
        <v>44894</v>
      </c>
      <c r="B1962" s="116">
        <v>3075.55</v>
      </c>
      <c r="C1962" s="116">
        <v>3044.65</v>
      </c>
      <c r="D1962" s="116">
        <v>2927.55</v>
      </c>
      <c r="E1962" s="116">
        <v>2927.65</v>
      </c>
      <c r="F1962" s="116">
        <v>3044.65</v>
      </c>
      <c r="G1962">
        <v>3205</v>
      </c>
      <c r="H1962" s="116"/>
      <c r="I1962" s="116"/>
      <c r="L1962" s="169">
        <v>44894</v>
      </c>
      <c r="M1962" s="116">
        <v>3039.9</v>
      </c>
      <c r="N1962" s="116">
        <v>3079.2</v>
      </c>
      <c r="O1962" s="116">
        <v>2925</v>
      </c>
      <c r="P1962" s="116">
        <v>2940</v>
      </c>
      <c r="Q1962" s="116">
        <v>3039.9</v>
      </c>
      <c r="R1962">
        <v>111928</v>
      </c>
    </row>
    <row r="1963" spans="1:18" x14ac:dyDescent="0.25">
      <c r="A1963" s="169">
        <v>44895</v>
      </c>
      <c r="B1963" s="116">
        <v>3070.2</v>
      </c>
      <c r="C1963" s="116">
        <v>3043.4</v>
      </c>
      <c r="D1963" s="116">
        <v>3030</v>
      </c>
      <c r="E1963" s="116">
        <v>3038.4</v>
      </c>
      <c r="F1963" s="116">
        <v>3043.4</v>
      </c>
      <c r="G1963">
        <v>4352</v>
      </c>
      <c r="H1963" s="116"/>
      <c r="I1963" s="116"/>
      <c r="L1963" s="169">
        <v>44895</v>
      </c>
      <c r="M1963" s="116">
        <v>3044.8</v>
      </c>
      <c r="N1963" s="116">
        <v>3069.9</v>
      </c>
      <c r="O1963" s="116">
        <v>3026.1</v>
      </c>
      <c r="P1963" s="116">
        <v>3040</v>
      </c>
      <c r="Q1963" s="116">
        <v>3044.8</v>
      </c>
      <c r="R1963">
        <v>33034</v>
      </c>
    </row>
    <row r="1964" spans="1:18" x14ac:dyDescent="0.25">
      <c r="A1964" s="169">
        <v>44896</v>
      </c>
      <c r="B1964" s="116">
        <v>3100</v>
      </c>
      <c r="C1964" s="116">
        <v>3060.05</v>
      </c>
      <c r="D1964" s="116">
        <v>3030.05</v>
      </c>
      <c r="E1964" s="116">
        <v>3030.05</v>
      </c>
      <c r="F1964" s="116">
        <v>3060.05</v>
      </c>
      <c r="G1964">
        <v>1771</v>
      </c>
      <c r="H1964" s="116"/>
      <c r="I1964" s="116"/>
      <c r="L1964" s="169">
        <v>44896</v>
      </c>
      <c r="M1964" s="116">
        <v>3054.95</v>
      </c>
      <c r="N1964" s="116">
        <v>3125</v>
      </c>
      <c r="O1964" s="116">
        <v>3045.05</v>
      </c>
      <c r="P1964" s="116">
        <v>3045.95</v>
      </c>
      <c r="Q1964" s="116">
        <v>3054.95</v>
      </c>
      <c r="R1964">
        <v>40158</v>
      </c>
    </row>
    <row r="1965" spans="1:18" x14ac:dyDescent="0.25">
      <c r="A1965" s="169">
        <v>44897</v>
      </c>
      <c r="B1965" s="116">
        <v>3049</v>
      </c>
      <c r="C1965" s="116">
        <v>2993.3</v>
      </c>
      <c r="D1965" s="116">
        <v>2981.4</v>
      </c>
      <c r="E1965" s="116">
        <v>3049</v>
      </c>
      <c r="F1965" s="116">
        <v>2993.3</v>
      </c>
      <c r="G1965">
        <v>5105</v>
      </c>
      <c r="H1965" s="116"/>
      <c r="I1965" s="116"/>
      <c r="L1965" s="169">
        <v>44897</v>
      </c>
      <c r="M1965" s="116">
        <v>3000.05</v>
      </c>
      <c r="N1965" s="116">
        <v>3046</v>
      </c>
      <c r="O1965" s="116">
        <v>2990.1</v>
      </c>
      <c r="P1965" s="116">
        <v>3046</v>
      </c>
      <c r="Q1965" s="116">
        <v>3000.05</v>
      </c>
      <c r="R1965">
        <v>30961</v>
      </c>
    </row>
    <row r="1966" spans="1:18" x14ac:dyDescent="0.25">
      <c r="A1966" s="169">
        <v>44900</v>
      </c>
      <c r="B1966" s="116">
        <v>3024.9</v>
      </c>
      <c r="C1966" s="116">
        <v>2930.45</v>
      </c>
      <c r="D1966" s="116">
        <v>2919.45</v>
      </c>
      <c r="E1966" s="116">
        <v>3000.1</v>
      </c>
      <c r="F1966" s="116">
        <v>2930.45</v>
      </c>
      <c r="G1966">
        <v>3875</v>
      </c>
      <c r="H1966" s="116"/>
      <c r="I1966" s="116"/>
      <c r="L1966" s="169">
        <v>44900</v>
      </c>
      <c r="M1966" s="116">
        <v>2932.55</v>
      </c>
      <c r="N1966" s="116">
        <v>3027.65</v>
      </c>
      <c r="O1966" s="116">
        <v>2918</v>
      </c>
      <c r="P1966" s="116">
        <v>3015.1</v>
      </c>
      <c r="Q1966" s="116">
        <v>2932.55</v>
      </c>
      <c r="R1966">
        <v>71611</v>
      </c>
    </row>
    <row r="1967" spans="1:18" x14ac:dyDescent="0.25">
      <c r="A1967" s="169">
        <v>44901</v>
      </c>
      <c r="B1967" s="116">
        <v>2938.95</v>
      </c>
      <c r="C1967" s="116">
        <v>2890.35</v>
      </c>
      <c r="D1967" s="116">
        <v>2874.05</v>
      </c>
      <c r="E1967" s="116">
        <v>2930.45</v>
      </c>
      <c r="F1967" s="116">
        <v>2890.35</v>
      </c>
      <c r="G1967">
        <v>4770</v>
      </c>
      <c r="H1967" s="116"/>
      <c r="I1967" s="116"/>
      <c r="L1967" s="169">
        <v>44901</v>
      </c>
      <c r="M1967" s="116">
        <v>2889</v>
      </c>
      <c r="N1967" s="116">
        <v>2939.9</v>
      </c>
      <c r="O1967" s="116">
        <v>2880</v>
      </c>
      <c r="P1967" s="116">
        <v>2932.55</v>
      </c>
      <c r="Q1967" s="116">
        <v>2889</v>
      </c>
      <c r="R1967">
        <v>77236</v>
      </c>
    </row>
    <row r="1968" spans="1:18" x14ac:dyDescent="0.25">
      <c r="A1968" s="169">
        <v>44902</v>
      </c>
      <c r="B1968" s="116">
        <v>2914.95</v>
      </c>
      <c r="C1968" s="116">
        <v>2869.6</v>
      </c>
      <c r="D1968" s="116">
        <v>2859.9</v>
      </c>
      <c r="E1968" s="116">
        <v>2914.95</v>
      </c>
      <c r="F1968" s="116">
        <v>2869.6</v>
      </c>
      <c r="G1968">
        <v>6764</v>
      </c>
      <c r="H1968" s="116"/>
      <c r="I1968" s="116"/>
      <c r="L1968" s="169">
        <v>44902</v>
      </c>
      <c r="M1968" s="116">
        <v>2867.3</v>
      </c>
      <c r="N1968" s="116">
        <v>2910.8</v>
      </c>
      <c r="O1968" s="116">
        <v>2860</v>
      </c>
      <c r="P1968" s="116">
        <v>2903.45</v>
      </c>
      <c r="Q1968" s="116">
        <v>2867.3</v>
      </c>
      <c r="R1968">
        <v>33897</v>
      </c>
    </row>
    <row r="1969" spans="1:18" x14ac:dyDescent="0.25">
      <c r="A1969" s="169">
        <v>44903</v>
      </c>
      <c r="B1969" s="116">
        <v>2895.55</v>
      </c>
      <c r="C1969" s="116">
        <v>2878.15</v>
      </c>
      <c r="D1969" s="116">
        <v>2863.25</v>
      </c>
      <c r="E1969" s="116">
        <v>2869.65</v>
      </c>
      <c r="F1969" s="116">
        <v>2878.15</v>
      </c>
      <c r="G1969">
        <v>3357</v>
      </c>
      <c r="H1969" s="116"/>
      <c r="I1969" s="116"/>
      <c r="L1969" s="169">
        <v>44903</v>
      </c>
      <c r="M1969" s="116">
        <v>2877</v>
      </c>
      <c r="N1969" s="116">
        <v>2889</v>
      </c>
      <c r="O1969" s="116">
        <v>2862.45</v>
      </c>
      <c r="P1969" s="116">
        <v>2886.1</v>
      </c>
      <c r="Q1969" s="116">
        <v>2877</v>
      </c>
      <c r="R1969">
        <v>19294</v>
      </c>
    </row>
    <row r="1970" spans="1:18" x14ac:dyDescent="0.25">
      <c r="A1970" s="169">
        <v>44904</v>
      </c>
      <c r="B1970" s="116">
        <v>2891.75</v>
      </c>
      <c r="C1970" s="116">
        <v>2845</v>
      </c>
      <c r="D1970" s="116">
        <v>2833.25</v>
      </c>
      <c r="E1970" s="116">
        <v>2880</v>
      </c>
      <c r="F1970" s="116">
        <v>2845</v>
      </c>
      <c r="G1970">
        <v>6109</v>
      </c>
      <c r="H1970" s="116"/>
      <c r="I1970" s="116"/>
      <c r="L1970" s="169">
        <v>44904</v>
      </c>
      <c r="M1970" s="116">
        <v>2843.8</v>
      </c>
      <c r="N1970" s="116">
        <v>2889</v>
      </c>
      <c r="O1970" s="116">
        <v>2830</v>
      </c>
      <c r="P1970" s="116">
        <v>2880</v>
      </c>
      <c r="Q1970" s="116">
        <v>2843.8</v>
      </c>
      <c r="R1970">
        <v>36205</v>
      </c>
    </row>
    <row r="1971" spans="1:18" x14ac:dyDescent="0.25">
      <c r="A1971" s="169">
        <v>44907</v>
      </c>
      <c r="B1971" s="116">
        <v>2851.95</v>
      </c>
      <c r="C1971" s="116">
        <v>2830.8</v>
      </c>
      <c r="D1971" s="116">
        <v>2819.85</v>
      </c>
      <c r="E1971" s="116">
        <v>2831.05</v>
      </c>
      <c r="F1971" s="116">
        <v>2830.8</v>
      </c>
      <c r="G1971">
        <v>5231</v>
      </c>
      <c r="H1971" s="116"/>
      <c r="I1971" s="116"/>
      <c r="L1971" s="169">
        <v>44907</v>
      </c>
      <c r="M1971" s="116">
        <v>2831.95</v>
      </c>
      <c r="N1971" s="116">
        <v>2855.7</v>
      </c>
      <c r="O1971" s="116">
        <v>2820</v>
      </c>
      <c r="P1971" s="116">
        <v>2843.8</v>
      </c>
      <c r="Q1971" s="116">
        <v>2831.95</v>
      </c>
      <c r="R1971">
        <v>26876</v>
      </c>
    </row>
    <row r="1972" spans="1:18" x14ac:dyDescent="0.25">
      <c r="A1972" s="169">
        <v>44908</v>
      </c>
      <c r="B1972" s="116">
        <v>2888.55</v>
      </c>
      <c r="C1972" s="116">
        <v>2850.15</v>
      </c>
      <c r="D1972" s="116">
        <v>2835.6</v>
      </c>
      <c r="E1972" s="116">
        <v>2888.55</v>
      </c>
      <c r="F1972" s="116">
        <v>2850.15</v>
      </c>
      <c r="G1972">
        <v>2500</v>
      </c>
      <c r="H1972" s="116"/>
      <c r="I1972" s="116"/>
      <c r="L1972" s="169">
        <v>44908</v>
      </c>
      <c r="M1972" s="116">
        <v>2851.7</v>
      </c>
      <c r="N1972" s="116">
        <v>2875</v>
      </c>
      <c r="O1972" s="116">
        <v>2838.05</v>
      </c>
      <c r="P1972" s="116">
        <v>2875</v>
      </c>
      <c r="Q1972" s="116">
        <v>2851.7</v>
      </c>
      <c r="R1972">
        <v>23176</v>
      </c>
    </row>
    <row r="1973" spans="1:18" x14ac:dyDescent="0.25">
      <c r="A1973" s="169">
        <v>44909</v>
      </c>
      <c r="B1973" s="116">
        <v>2870</v>
      </c>
      <c r="C1973" s="116">
        <v>2860.1</v>
      </c>
      <c r="D1973" s="116">
        <v>2845</v>
      </c>
      <c r="E1973" s="116">
        <v>2852.3</v>
      </c>
      <c r="F1973" s="116">
        <v>2860.1</v>
      </c>
      <c r="G1973">
        <v>1586</v>
      </c>
      <c r="H1973" s="116"/>
      <c r="I1973" s="116"/>
      <c r="L1973" s="169">
        <v>44909</v>
      </c>
      <c r="M1973" s="116">
        <v>2860.5</v>
      </c>
      <c r="N1973" s="116">
        <v>2873.15</v>
      </c>
      <c r="O1973" s="116">
        <v>2845.55</v>
      </c>
      <c r="P1973" s="116">
        <v>2856.3</v>
      </c>
      <c r="Q1973" s="116">
        <v>2860.5</v>
      </c>
      <c r="R1973">
        <v>25702</v>
      </c>
    </row>
    <row r="1974" spans="1:18" x14ac:dyDescent="0.25">
      <c r="A1974" s="169">
        <v>44910</v>
      </c>
      <c r="B1974" s="116">
        <v>2875.9</v>
      </c>
      <c r="C1974" s="116">
        <v>2813.35</v>
      </c>
      <c r="D1974" s="116">
        <v>2796.4</v>
      </c>
      <c r="E1974" s="116">
        <v>2854.8</v>
      </c>
      <c r="F1974" s="116">
        <v>2813.35</v>
      </c>
      <c r="G1974">
        <v>2360</v>
      </c>
      <c r="H1974" s="116"/>
      <c r="I1974" s="116"/>
      <c r="L1974" s="169">
        <v>44910</v>
      </c>
      <c r="M1974" s="116">
        <v>2811.6</v>
      </c>
      <c r="N1974" s="116">
        <v>2873.2</v>
      </c>
      <c r="O1974" s="116">
        <v>2795.1</v>
      </c>
      <c r="P1974" s="116">
        <v>2862</v>
      </c>
      <c r="Q1974" s="116">
        <v>2811.6</v>
      </c>
      <c r="R1974">
        <v>45085</v>
      </c>
    </row>
    <row r="1975" spans="1:18" x14ac:dyDescent="0.25">
      <c r="A1975" s="169">
        <v>44911</v>
      </c>
      <c r="B1975" s="116">
        <v>2885.95</v>
      </c>
      <c r="C1975" s="116">
        <v>2866.25</v>
      </c>
      <c r="D1975" s="116">
        <v>2807.75</v>
      </c>
      <c r="E1975" s="116">
        <v>2813.35</v>
      </c>
      <c r="F1975" s="116">
        <v>2866.25</v>
      </c>
      <c r="G1975">
        <v>7503</v>
      </c>
      <c r="H1975" s="116"/>
      <c r="I1975" s="116"/>
      <c r="L1975" s="169">
        <v>44911</v>
      </c>
      <c r="M1975" s="116">
        <v>2867.55</v>
      </c>
      <c r="N1975" s="116">
        <v>2887.45</v>
      </c>
      <c r="O1975" s="116">
        <v>2806.55</v>
      </c>
      <c r="P1975" s="116">
        <v>2811.6</v>
      </c>
      <c r="Q1975" s="116">
        <v>2867.55</v>
      </c>
      <c r="R1975">
        <v>45837</v>
      </c>
    </row>
    <row r="1976" spans="1:18" x14ac:dyDescent="0.25">
      <c r="A1976" s="169">
        <v>44914</v>
      </c>
      <c r="B1976" s="116">
        <v>2914.95</v>
      </c>
      <c r="C1976" s="116">
        <v>2867.65</v>
      </c>
      <c r="D1976" s="116">
        <v>2835.95</v>
      </c>
      <c r="E1976" s="116">
        <v>2914.95</v>
      </c>
      <c r="F1976" s="116">
        <v>2867.65</v>
      </c>
      <c r="G1976">
        <v>3928</v>
      </c>
      <c r="H1976" s="116"/>
      <c r="I1976" s="116"/>
      <c r="L1976" s="169">
        <v>44914</v>
      </c>
      <c r="M1976" s="116">
        <v>2864.15</v>
      </c>
      <c r="N1976" s="116">
        <v>2879.3</v>
      </c>
      <c r="O1976" s="116">
        <v>2835.05</v>
      </c>
      <c r="P1976" s="116">
        <v>2874.75</v>
      </c>
      <c r="Q1976" s="116">
        <v>2864.15</v>
      </c>
      <c r="R1976">
        <v>19964</v>
      </c>
    </row>
    <row r="1977" spans="1:18" x14ac:dyDescent="0.25">
      <c r="A1977" s="169">
        <v>44915</v>
      </c>
      <c r="B1977" s="116">
        <v>2873.8</v>
      </c>
      <c r="C1977" s="116">
        <v>2845.4</v>
      </c>
      <c r="D1977" s="116">
        <v>2839.85</v>
      </c>
      <c r="E1977" s="116">
        <v>2868</v>
      </c>
      <c r="F1977" s="116">
        <v>2845.4</v>
      </c>
      <c r="G1977">
        <v>3563</v>
      </c>
      <c r="H1977" s="116"/>
      <c r="I1977" s="116"/>
      <c r="L1977" s="169">
        <v>44915</v>
      </c>
      <c r="M1977" s="116">
        <v>2847.9</v>
      </c>
      <c r="N1977" s="116">
        <v>2875.7</v>
      </c>
      <c r="O1977" s="116">
        <v>2840.6</v>
      </c>
      <c r="P1977" s="116">
        <v>2848</v>
      </c>
      <c r="Q1977" s="116">
        <v>2847.9</v>
      </c>
      <c r="R1977">
        <v>11218</v>
      </c>
    </row>
    <row r="1978" spans="1:18" x14ac:dyDescent="0.25">
      <c r="A1978" s="169">
        <v>44916</v>
      </c>
      <c r="B1978" s="116">
        <v>2870.75</v>
      </c>
      <c r="C1978" s="116">
        <v>2834.8</v>
      </c>
      <c r="D1978" s="116">
        <v>2816</v>
      </c>
      <c r="E1978" s="116">
        <v>2822.05</v>
      </c>
      <c r="F1978" s="116">
        <v>2834.8</v>
      </c>
      <c r="G1978">
        <v>1274</v>
      </c>
      <c r="H1978" s="116"/>
      <c r="I1978" s="116"/>
      <c r="L1978" s="169">
        <v>44916</v>
      </c>
      <c r="M1978" s="116">
        <v>2830.3</v>
      </c>
      <c r="N1978" s="116">
        <v>2872</v>
      </c>
      <c r="O1978" s="116">
        <v>2820</v>
      </c>
      <c r="P1978" s="116">
        <v>2841</v>
      </c>
      <c r="Q1978" s="116">
        <v>2830.3</v>
      </c>
      <c r="R1978">
        <v>27456</v>
      </c>
    </row>
    <row r="1979" spans="1:18" x14ac:dyDescent="0.25">
      <c r="A1979" s="169">
        <v>44917</v>
      </c>
      <c r="B1979" s="116">
        <v>2865.85</v>
      </c>
      <c r="C1979" s="116">
        <v>2755.65</v>
      </c>
      <c r="D1979" s="116">
        <v>2747.35</v>
      </c>
      <c r="E1979" s="116">
        <v>2807.1</v>
      </c>
      <c r="F1979" s="116">
        <v>2755.65</v>
      </c>
      <c r="G1979">
        <v>10495</v>
      </c>
      <c r="H1979" s="116"/>
      <c r="I1979" s="116"/>
      <c r="L1979" s="169">
        <v>44917</v>
      </c>
      <c r="M1979" s="116">
        <v>2755.6</v>
      </c>
      <c r="N1979" s="116">
        <v>2880</v>
      </c>
      <c r="O1979" s="116">
        <v>2745</v>
      </c>
      <c r="P1979" s="116">
        <v>2839.55</v>
      </c>
      <c r="Q1979" s="116">
        <v>2755.6</v>
      </c>
      <c r="R1979">
        <v>42595</v>
      </c>
    </row>
    <row r="1980" spans="1:18" x14ac:dyDescent="0.25">
      <c r="A1980" s="169">
        <v>44918</v>
      </c>
      <c r="B1980" s="116">
        <v>2759.55</v>
      </c>
      <c r="C1980" s="116">
        <v>2633.05</v>
      </c>
      <c r="D1980" s="116">
        <v>2620.35</v>
      </c>
      <c r="E1980" s="116">
        <v>2735.45</v>
      </c>
      <c r="F1980" s="116">
        <v>2633.05</v>
      </c>
      <c r="G1980">
        <v>17470</v>
      </c>
      <c r="H1980" s="116"/>
      <c r="I1980" s="116"/>
      <c r="L1980" s="169">
        <v>44918</v>
      </c>
      <c r="M1980" s="116">
        <v>2631.9</v>
      </c>
      <c r="N1980" s="116">
        <v>2755.55</v>
      </c>
      <c r="O1980" s="116">
        <v>2623</v>
      </c>
      <c r="P1980" s="116">
        <v>2755.55</v>
      </c>
      <c r="Q1980" s="116">
        <v>2631.9</v>
      </c>
      <c r="R1980">
        <v>65458</v>
      </c>
    </row>
    <row r="1981" spans="1:18" x14ac:dyDescent="0.25">
      <c r="A1981" s="169">
        <v>44921</v>
      </c>
      <c r="B1981" s="116">
        <v>2739.75</v>
      </c>
      <c r="C1981" s="116">
        <v>2710.4</v>
      </c>
      <c r="D1981" s="116">
        <v>2592.1</v>
      </c>
      <c r="E1981" s="116">
        <v>2635</v>
      </c>
      <c r="F1981" s="116">
        <v>2710.4</v>
      </c>
      <c r="G1981">
        <v>9652</v>
      </c>
      <c r="H1981" s="116"/>
      <c r="I1981" s="116"/>
      <c r="L1981" s="169">
        <v>44921</v>
      </c>
      <c r="M1981" s="116">
        <v>2710.6</v>
      </c>
      <c r="N1981" s="116">
        <v>2734.7</v>
      </c>
      <c r="O1981" s="116">
        <v>2593.75</v>
      </c>
      <c r="P1981" s="116">
        <v>2645.05</v>
      </c>
      <c r="Q1981" s="116">
        <v>2710.6</v>
      </c>
      <c r="R1981">
        <v>47173</v>
      </c>
    </row>
    <row r="1982" spans="1:18" x14ac:dyDescent="0.25">
      <c r="A1982" s="169">
        <v>44922</v>
      </c>
      <c r="B1982" s="116">
        <v>2770</v>
      </c>
      <c r="C1982" s="116">
        <v>2733</v>
      </c>
      <c r="D1982" s="116">
        <v>2725</v>
      </c>
      <c r="E1982" s="116">
        <v>2770</v>
      </c>
      <c r="F1982" s="116">
        <v>2733</v>
      </c>
      <c r="G1982">
        <v>2140</v>
      </c>
      <c r="H1982" s="116"/>
      <c r="I1982" s="116"/>
      <c r="L1982" s="169">
        <v>44922</v>
      </c>
      <c r="M1982" s="116">
        <v>2727.9</v>
      </c>
      <c r="N1982" s="116">
        <v>2764.25</v>
      </c>
      <c r="O1982" s="116">
        <v>2720</v>
      </c>
      <c r="P1982" s="116">
        <v>2724.2</v>
      </c>
      <c r="Q1982" s="116">
        <v>2727.9</v>
      </c>
      <c r="R1982">
        <v>23491</v>
      </c>
    </row>
    <row r="1983" spans="1:18" x14ac:dyDescent="0.25">
      <c r="A1983" s="169">
        <v>44923</v>
      </c>
      <c r="B1983" s="116">
        <v>2754.9</v>
      </c>
      <c r="C1983" s="116">
        <v>2712.6</v>
      </c>
      <c r="D1983" s="116">
        <v>2696.1</v>
      </c>
      <c r="E1983" s="116">
        <v>2733</v>
      </c>
      <c r="F1983" s="116">
        <v>2712.6</v>
      </c>
      <c r="G1983">
        <v>3884</v>
      </c>
      <c r="H1983" s="116"/>
      <c r="I1983" s="116"/>
      <c r="L1983" s="169">
        <v>44923</v>
      </c>
      <c r="M1983" s="116">
        <v>2712.1</v>
      </c>
      <c r="N1983" s="116">
        <v>2754.55</v>
      </c>
      <c r="O1983" s="116">
        <v>2700</v>
      </c>
      <c r="P1983" s="116">
        <v>2728.05</v>
      </c>
      <c r="Q1983" s="116">
        <v>2712.1</v>
      </c>
      <c r="R1983">
        <v>23105</v>
      </c>
    </row>
    <row r="1984" spans="1:18" x14ac:dyDescent="0.25">
      <c r="A1984" s="169">
        <v>44924</v>
      </c>
      <c r="B1984" s="116">
        <v>2746</v>
      </c>
      <c r="C1984" s="116">
        <v>2705.65</v>
      </c>
      <c r="D1984" s="116">
        <v>2685.25</v>
      </c>
      <c r="E1984" s="116">
        <v>2700</v>
      </c>
      <c r="F1984" s="116">
        <v>2705.65</v>
      </c>
      <c r="G1984">
        <v>4709</v>
      </c>
      <c r="H1984" s="116"/>
      <c r="I1984" s="116"/>
      <c r="L1984" s="169">
        <v>44924</v>
      </c>
      <c r="M1984" s="116">
        <v>2707.2</v>
      </c>
      <c r="N1984" s="116">
        <v>2749</v>
      </c>
      <c r="O1984" s="116">
        <v>2685</v>
      </c>
      <c r="P1984" s="116">
        <v>2712.6</v>
      </c>
      <c r="Q1984" s="116">
        <v>2707.2</v>
      </c>
      <c r="R1984">
        <v>20556</v>
      </c>
    </row>
    <row r="1985" spans="1:18" x14ac:dyDescent="0.25">
      <c r="A1985" s="169">
        <v>44925</v>
      </c>
      <c r="B1985" s="116">
        <v>2773.7</v>
      </c>
      <c r="C1985" s="116">
        <v>2707.25</v>
      </c>
      <c r="D1985" s="116">
        <v>2700</v>
      </c>
      <c r="E1985" s="116">
        <v>2732.8</v>
      </c>
      <c r="F1985" s="116">
        <v>2707.25</v>
      </c>
      <c r="G1985">
        <v>2333</v>
      </c>
      <c r="H1985" s="116"/>
      <c r="I1985" s="116"/>
      <c r="L1985" s="169">
        <v>44925</v>
      </c>
      <c r="M1985" s="116">
        <v>2708.8</v>
      </c>
      <c r="N1985" s="116">
        <v>2774.5</v>
      </c>
      <c r="O1985" s="116">
        <v>2700</v>
      </c>
      <c r="P1985" s="116">
        <v>2720.75</v>
      </c>
      <c r="Q1985" s="116">
        <v>2708.8</v>
      </c>
      <c r="R1985">
        <v>34226</v>
      </c>
    </row>
    <row r="1986" spans="1:18" x14ac:dyDescent="0.25">
      <c r="A1986" s="169">
        <v>44928</v>
      </c>
      <c r="B1986" s="116">
        <v>2727.65</v>
      </c>
      <c r="C1986" s="116">
        <v>2645.7</v>
      </c>
      <c r="D1986" s="116">
        <v>2638</v>
      </c>
      <c r="E1986" s="116">
        <v>2715.05</v>
      </c>
      <c r="F1986" s="116">
        <v>2645.7</v>
      </c>
      <c r="G1986">
        <v>5768</v>
      </c>
      <c r="H1986" s="116"/>
      <c r="I1986" s="116"/>
      <c r="L1986" s="169">
        <v>44928</v>
      </c>
      <c r="M1986" s="116">
        <v>2646.3</v>
      </c>
      <c r="N1986" s="116">
        <v>2729.85</v>
      </c>
      <c r="O1986" s="116">
        <v>2636.5</v>
      </c>
      <c r="P1986" s="116">
        <v>2729.85</v>
      </c>
      <c r="Q1986" s="116">
        <v>2646.3</v>
      </c>
      <c r="R1986">
        <v>67759</v>
      </c>
    </row>
    <row r="1987" spans="1:18" x14ac:dyDescent="0.25">
      <c r="A1987" s="169">
        <v>44929</v>
      </c>
      <c r="B1987" s="116">
        <v>2671.2</v>
      </c>
      <c r="C1987" s="116">
        <v>2634.25</v>
      </c>
      <c r="D1987" s="116">
        <v>2625.95</v>
      </c>
      <c r="E1987" s="116">
        <v>2665</v>
      </c>
      <c r="F1987" s="116">
        <v>2634.25</v>
      </c>
      <c r="G1987">
        <v>3472</v>
      </c>
      <c r="H1987" s="116"/>
      <c r="I1987" s="116"/>
      <c r="L1987" s="169">
        <v>44929</v>
      </c>
      <c r="M1987" s="116">
        <v>2636</v>
      </c>
      <c r="N1987" s="116">
        <v>2672.05</v>
      </c>
      <c r="O1987" s="116">
        <v>2634</v>
      </c>
      <c r="P1987" s="116">
        <v>2656.9</v>
      </c>
      <c r="Q1987" s="116">
        <v>2636</v>
      </c>
      <c r="R1987">
        <v>44890</v>
      </c>
    </row>
    <row r="1988" spans="1:18" x14ac:dyDescent="0.25">
      <c r="A1988" s="169">
        <v>44930</v>
      </c>
      <c r="B1988" s="116">
        <v>2677.9</v>
      </c>
      <c r="C1988" s="116">
        <v>2616.0500000000002</v>
      </c>
      <c r="D1988" s="116">
        <v>2610</v>
      </c>
      <c r="E1988" s="116">
        <v>2677.9</v>
      </c>
      <c r="F1988" s="116">
        <v>2616.0500000000002</v>
      </c>
      <c r="G1988">
        <v>2503</v>
      </c>
      <c r="H1988" s="116"/>
      <c r="I1988" s="116"/>
      <c r="L1988" s="169">
        <v>44930</v>
      </c>
      <c r="M1988" s="116">
        <v>2614.4499999999998</v>
      </c>
      <c r="N1988" s="116">
        <v>2666</v>
      </c>
      <c r="O1988" s="116">
        <v>2609.35</v>
      </c>
      <c r="P1988" s="116">
        <v>2643.75</v>
      </c>
      <c r="Q1988" s="116">
        <v>2614.4499999999998</v>
      </c>
      <c r="R1988">
        <v>38448</v>
      </c>
    </row>
    <row r="1989" spans="1:18" x14ac:dyDescent="0.25">
      <c r="A1989" s="169">
        <v>44931</v>
      </c>
      <c r="B1989" s="116">
        <v>2641.05</v>
      </c>
      <c r="C1989" s="116">
        <v>2555.25</v>
      </c>
      <c r="D1989" s="116">
        <v>2530</v>
      </c>
      <c r="E1989" s="116">
        <v>2633.9</v>
      </c>
      <c r="F1989" s="116">
        <v>2555.25</v>
      </c>
      <c r="G1989">
        <v>13418</v>
      </c>
      <c r="H1989" s="116"/>
      <c r="I1989" s="116"/>
      <c r="L1989" s="169">
        <v>44931</v>
      </c>
      <c r="M1989" s="116">
        <v>2556.3000000000002</v>
      </c>
      <c r="N1989" s="116">
        <v>2645.95</v>
      </c>
      <c r="O1989" s="116">
        <v>2527.5500000000002</v>
      </c>
      <c r="P1989" s="116">
        <v>2627.55</v>
      </c>
      <c r="Q1989" s="116">
        <v>2556.3000000000002</v>
      </c>
      <c r="R1989">
        <v>75412</v>
      </c>
    </row>
    <row r="1990" spans="1:18" x14ac:dyDescent="0.25">
      <c r="A1990" s="169">
        <v>44932</v>
      </c>
      <c r="B1990" s="116">
        <v>2577.6999999999998</v>
      </c>
      <c r="C1990" s="116">
        <v>2551.0500000000002</v>
      </c>
      <c r="D1990" s="116">
        <v>2530</v>
      </c>
      <c r="E1990" s="116">
        <v>2555.9</v>
      </c>
      <c r="F1990" s="116">
        <v>2551.0500000000002</v>
      </c>
      <c r="G1990">
        <v>3766</v>
      </c>
      <c r="H1990" s="116"/>
      <c r="I1990" s="116"/>
      <c r="L1990" s="169">
        <v>44932</v>
      </c>
      <c r="M1990" s="116">
        <v>2550.6</v>
      </c>
      <c r="N1990" s="116">
        <v>2578</v>
      </c>
      <c r="O1990" s="116">
        <v>2512</v>
      </c>
      <c r="P1990" s="116">
        <v>2551</v>
      </c>
      <c r="Q1990" s="116">
        <v>2550.6</v>
      </c>
      <c r="R1990">
        <v>37246</v>
      </c>
    </row>
    <row r="1991" spans="1:18" x14ac:dyDescent="0.25">
      <c r="A1991" s="169">
        <v>44935</v>
      </c>
      <c r="B1991" s="116">
        <v>2606.0500000000002</v>
      </c>
      <c r="C1991" s="116">
        <v>2566.5500000000002</v>
      </c>
      <c r="D1991" s="116">
        <v>2551.6999999999998</v>
      </c>
      <c r="E1991" s="116">
        <v>2581.9499999999998</v>
      </c>
      <c r="F1991" s="116">
        <v>2566.5500000000002</v>
      </c>
      <c r="G1991">
        <v>6363</v>
      </c>
      <c r="H1991" s="116"/>
      <c r="I1991" s="116"/>
      <c r="L1991" s="169">
        <v>44935</v>
      </c>
      <c r="M1991" s="116">
        <v>2567.85</v>
      </c>
      <c r="N1991" s="116">
        <v>2604.15</v>
      </c>
      <c r="O1991" s="116">
        <v>2552</v>
      </c>
      <c r="P1991" s="116">
        <v>2566.6</v>
      </c>
      <c r="Q1991" s="116">
        <v>2567.85</v>
      </c>
      <c r="R1991">
        <v>33094</v>
      </c>
    </row>
    <row r="1992" spans="1:18" x14ac:dyDescent="0.25">
      <c r="A1992" s="169">
        <v>44936</v>
      </c>
      <c r="B1992" s="116">
        <v>2617.5500000000002</v>
      </c>
      <c r="C1992" s="116">
        <v>2601.85</v>
      </c>
      <c r="D1992" s="116">
        <v>2565.1</v>
      </c>
      <c r="E1992" s="116">
        <v>2575</v>
      </c>
      <c r="F1992" s="116">
        <v>2601.85</v>
      </c>
      <c r="G1992">
        <v>2318</v>
      </c>
      <c r="H1992" s="116"/>
      <c r="I1992" s="116"/>
      <c r="L1992" s="169">
        <v>44936</v>
      </c>
      <c r="M1992" s="116">
        <v>2602.75</v>
      </c>
      <c r="N1992" s="116">
        <v>2614.5</v>
      </c>
      <c r="O1992" s="116">
        <v>2560.6</v>
      </c>
      <c r="P1992" s="116">
        <v>2580.6999999999998</v>
      </c>
      <c r="Q1992" s="116">
        <v>2602.75</v>
      </c>
      <c r="R1992">
        <v>31212</v>
      </c>
    </row>
    <row r="1993" spans="1:18" x14ac:dyDescent="0.25">
      <c r="A1993" s="169">
        <v>44937</v>
      </c>
      <c r="B1993" s="116">
        <v>2621</v>
      </c>
      <c r="C1993" s="116">
        <v>2592.65</v>
      </c>
      <c r="D1993" s="116">
        <v>2572.3000000000002</v>
      </c>
      <c r="E1993" s="116">
        <v>2617.5500000000002</v>
      </c>
      <c r="F1993" s="116">
        <v>2592.65</v>
      </c>
      <c r="G1993">
        <v>2163</v>
      </c>
      <c r="H1993" s="116"/>
      <c r="I1993" s="116"/>
      <c r="L1993" s="169">
        <v>44937</v>
      </c>
      <c r="M1993" s="116">
        <v>2588.3000000000002</v>
      </c>
      <c r="N1993" s="116">
        <v>2622.45</v>
      </c>
      <c r="O1993" s="116">
        <v>2571.4499999999998</v>
      </c>
      <c r="P1993" s="116">
        <v>2622.45</v>
      </c>
      <c r="Q1993" s="116">
        <v>2588.3000000000002</v>
      </c>
      <c r="R1993">
        <v>17502</v>
      </c>
    </row>
    <row r="1994" spans="1:18" x14ac:dyDescent="0.25">
      <c r="A1994" s="169">
        <v>44938</v>
      </c>
      <c r="B1994" s="116">
        <v>2606.75</v>
      </c>
      <c r="C1994" s="116">
        <v>2557.4</v>
      </c>
      <c r="D1994" s="116">
        <v>2545</v>
      </c>
      <c r="E1994" s="116">
        <v>2598.9499999999998</v>
      </c>
      <c r="F1994" s="116">
        <v>2557.4</v>
      </c>
      <c r="G1994">
        <v>6058</v>
      </c>
      <c r="H1994" s="116"/>
      <c r="I1994" s="116"/>
      <c r="L1994" s="169">
        <v>44938</v>
      </c>
      <c r="M1994" s="116">
        <v>2554.25</v>
      </c>
      <c r="N1994" s="116">
        <v>2607.9</v>
      </c>
      <c r="O1994" s="116">
        <v>2543.6999999999998</v>
      </c>
      <c r="P1994" s="116">
        <v>2588</v>
      </c>
      <c r="Q1994" s="116">
        <v>2554.25</v>
      </c>
      <c r="R1994">
        <v>30966</v>
      </c>
    </row>
    <row r="1995" spans="1:18" x14ac:dyDescent="0.25">
      <c r="A1995" s="169">
        <v>44939</v>
      </c>
      <c r="B1995" s="116">
        <v>2580.5500000000002</v>
      </c>
      <c r="C1995" s="116">
        <v>2562.6999999999998</v>
      </c>
      <c r="D1995" s="116">
        <v>2551.0500000000002</v>
      </c>
      <c r="E1995" s="116">
        <v>2570</v>
      </c>
      <c r="F1995" s="116">
        <v>2562.6999999999998</v>
      </c>
      <c r="G1995">
        <v>2759</v>
      </c>
      <c r="H1995" s="116"/>
      <c r="I1995" s="116"/>
      <c r="L1995" s="169">
        <v>44939</v>
      </c>
      <c r="M1995" s="116">
        <v>2560.9</v>
      </c>
      <c r="N1995" s="116">
        <v>2582.25</v>
      </c>
      <c r="O1995" s="116">
        <v>2551</v>
      </c>
      <c r="P1995" s="116">
        <v>2566.9499999999998</v>
      </c>
      <c r="Q1995" s="116">
        <v>2560.9</v>
      </c>
      <c r="R1995">
        <v>22410</v>
      </c>
    </row>
    <row r="1996" spans="1:18" x14ac:dyDescent="0.25">
      <c r="A1996" s="169">
        <v>44942</v>
      </c>
      <c r="B1996" s="116">
        <v>2573.1999999999998</v>
      </c>
      <c r="C1996" s="116">
        <v>2553.6999999999998</v>
      </c>
      <c r="D1996" s="116">
        <v>2546.9</v>
      </c>
      <c r="E1996" s="116">
        <v>2569.9499999999998</v>
      </c>
      <c r="F1996" s="116">
        <v>2553.6999999999998</v>
      </c>
      <c r="G1996">
        <v>3839</v>
      </c>
      <c r="H1996" s="116"/>
      <c r="I1996" s="116"/>
      <c r="L1996" s="169">
        <v>44942</v>
      </c>
      <c r="M1996" s="116">
        <v>2556.4</v>
      </c>
      <c r="N1996" s="116">
        <v>2575</v>
      </c>
      <c r="O1996" s="116">
        <v>2549.9499999999998</v>
      </c>
      <c r="P1996" s="116">
        <v>2560</v>
      </c>
      <c r="Q1996" s="116">
        <v>2556.4</v>
      </c>
      <c r="R1996">
        <v>14120</v>
      </c>
    </row>
    <row r="1997" spans="1:18" x14ac:dyDescent="0.25">
      <c r="A1997" s="169">
        <v>44943</v>
      </c>
      <c r="B1997" s="116">
        <v>2557.1</v>
      </c>
      <c r="C1997" s="116">
        <v>2496.0500000000002</v>
      </c>
      <c r="D1997" s="116">
        <v>2462.1</v>
      </c>
      <c r="E1997" s="116">
        <v>2554.0500000000002</v>
      </c>
      <c r="F1997" s="116">
        <v>2496.0500000000002</v>
      </c>
      <c r="G1997">
        <v>4220</v>
      </c>
      <c r="H1997" s="116"/>
      <c r="I1997" s="116"/>
      <c r="L1997" s="169">
        <v>44943</v>
      </c>
      <c r="M1997" s="116">
        <v>2497.8000000000002</v>
      </c>
      <c r="N1997" s="116">
        <v>2560</v>
      </c>
      <c r="O1997" s="116">
        <v>2490</v>
      </c>
      <c r="P1997" s="116">
        <v>2560</v>
      </c>
      <c r="Q1997" s="116">
        <v>2497.8000000000002</v>
      </c>
      <c r="R1997">
        <v>54586</v>
      </c>
    </row>
    <row r="1998" spans="1:18" x14ac:dyDescent="0.25">
      <c r="A1998" s="169">
        <v>44944</v>
      </c>
      <c r="B1998" s="116">
        <v>2518.9</v>
      </c>
      <c r="C1998" s="116">
        <v>2441.5</v>
      </c>
      <c r="D1998" s="116">
        <v>2434.25</v>
      </c>
      <c r="E1998" s="116">
        <v>2491.0500000000002</v>
      </c>
      <c r="F1998" s="116">
        <v>2441.5</v>
      </c>
      <c r="G1998">
        <v>4208</v>
      </c>
      <c r="H1998" s="116"/>
      <c r="I1998" s="116"/>
      <c r="L1998" s="169">
        <v>44944</v>
      </c>
      <c r="M1998" s="116">
        <v>2442.25</v>
      </c>
      <c r="N1998" s="116">
        <v>2518.6</v>
      </c>
      <c r="O1998" s="116">
        <v>2430.0500000000002</v>
      </c>
      <c r="P1998" s="116">
        <v>2497.8000000000002</v>
      </c>
      <c r="Q1998" s="116">
        <v>2442.25</v>
      </c>
      <c r="R1998">
        <v>70073</v>
      </c>
    </row>
    <row r="1999" spans="1:18" x14ac:dyDescent="0.25">
      <c r="A1999" s="169">
        <v>44945</v>
      </c>
      <c r="B1999" s="116">
        <v>2450</v>
      </c>
      <c r="C1999" s="116">
        <v>2429.5500000000002</v>
      </c>
      <c r="D1999" s="116">
        <v>2411</v>
      </c>
      <c r="E1999" s="116">
        <v>2450</v>
      </c>
      <c r="F1999" s="116">
        <v>2429.5500000000002</v>
      </c>
      <c r="G1999">
        <v>1936</v>
      </c>
      <c r="H1999" s="116"/>
      <c r="I1999" s="116"/>
      <c r="L1999" s="169">
        <v>44945</v>
      </c>
      <c r="M1999" s="116">
        <v>2427.9499999999998</v>
      </c>
      <c r="N1999" s="116">
        <v>2450.5500000000002</v>
      </c>
      <c r="O1999" s="116">
        <v>2410</v>
      </c>
      <c r="P1999" s="116">
        <v>2440.25</v>
      </c>
      <c r="Q1999" s="116">
        <v>2427.9499999999998</v>
      </c>
      <c r="R1999">
        <v>53645</v>
      </c>
    </row>
    <row r="2000" spans="1:18" x14ac:dyDescent="0.25">
      <c r="A2000" s="169">
        <v>44946</v>
      </c>
      <c r="B2000" s="116">
        <v>2431.4</v>
      </c>
      <c r="C2000" s="116">
        <v>2380.75</v>
      </c>
      <c r="D2000" s="116">
        <v>2375</v>
      </c>
      <c r="E2000" s="116">
        <v>2411.0500000000002</v>
      </c>
      <c r="F2000" s="116">
        <v>2380.75</v>
      </c>
      <c r="G2000">
        <v>8308</v>
      </c>
      <c r="H2000" s="116"/>
      <c r="I2000" s="116"/>
      <c r="L2000" s="169">
        <v>44946</v>
      </c>
      <c r="M2000" s="116">
        <v>2380.4499999999998</v>
      </c>
      <c r="N2000" s="116">
        <v>2430.9</v>
      </c>
      <c r="O2000" s="116">
        <v>2374.15</v>
      </c>
      <c r="P2000" s="116">
        <v>2420</v>
      </c>
      <c r="Q2000" s="116">
        <v>2380.4499999999998</v>
      </c>
      <c r="R2000">
        <v>45283</v>
      </c>
    </row>
    <row r="2001" spans="1:18" x14ac:dyDescent="0.25">
      <c r="A2001" s="169">
        <v>44949</v>
      </c>
      <c r="B2001" s="116">
        <v>2386.8000000000002</v>
      </c>
      <c r="C2001" s="116">
        <v>2340</v>
      </c>
      <c r="D2001" s="116">
        <v>2300</v>
      </c>
      <c r="E2001" s="116">
        <v>2375</v>
      </c>
      <c r="F2001" s="116">
        <v>2340</v>
      </c>
      <c r="G2001">
        <v>11008</v>
      </c>
      <c r="H2001" s="116"/>
      <c r="I2001" s="116"/>
      <c r="L2001" s="169">
        <v>44949</v>
      </c>
      <c r="M2001" s="116">
        <v>2342.1</v>
      </c>
      <c r="N2001" s="116">
        <v>2386.1999999999998</v>
      </c>
      <c r="O2001" s="116">
        <v>2335.6999999999998</v>
      </c>
      <c r="P2001" s="116">
        <v>2371</v>
      </c>
      <c r="Q2001" s="116">
        <v>2342.1</v>
      </c>
      <c r="R2001">
        <v>44352</v>
      </c>
    </row>
    <row r="2002" spans="1:18" x14ac:dyDescent="0.25">
      <c r="A2002" s="169">
        <v>44950</v>
      </c>
      <c r="B2002" s="116">
        <v>2432.65</v>
      </c>
      <c r="C2002" s="116">
        <v>2339.9499999999998</v>
      </c>
      <c r="D2002" s="116">
        <v>2322.15</v>
      </c>
      <c r="E2002" s="116">
        <v>2322.15</v>
      </c>
      <c r="F2002" s="116">
        <v>2339.9499999999998</v>
      </c>
      <c r="G2002">
        <v>4910</v>
      </c>
      <c r="H2002" s="116"/>
      <c r="I2002" s="116"/>
      <c r="L2002" s="169">
        <v>44950</v>
      </c>
      <c r="M2002" s="116">
        <v>2340.85</v>
      </c>
      <c r="N2002" s="116">
        <v>2435</v>
      </c>
      <c r="O2002" s="116">
        <v>2330</v>
      </c>
      <c r="P2002" s="116">
        <v>2340</v>
      </c>
      <c r="Q2002" s="116">
        <v>2340.85</v>
      </c>
      <c r="R2002">
        <v>80959</v>
      </c>
    </row>
    <row r="2003" spans="1:18" x14ac:dyDescent="0.25">
      <c r="A2003" s="169">
        <v>44951</v>
      </c>
      <c r="B2003" s="116">
        <v>2345.1999999999998</v>
      </c>
      <c r="C2003" s="116">
        <v>2298.5</v>
      </c>
      <c r="D2003" s="116">
        <v>2288.9499999999998</v>
      </c>
      <c r="E2003" s="116">
        <v>2329.9</v>
      </c>
      <c r="F2003" s="116">
        <v>2298.5</v>
      </c>
      <c r="G2003">
        <v>3495</v>
      </c>
      <c r="H2003" s="116"/>
      <c r="I2003" s="116"/>
      <c r="L2003" s="169">
        <v>44951</v>
      </c>
      <c r="M2003" s="116">
        <v>2302.3000000000002</v>
      </c>
      <c r="N2003" s="116">
        <v>2347.4499999999998</v>
      </c>
      <c r="O2003" s="116">
        <v>2287</v>
      </c>
      <c r="P2003" s="116">
        <v>2321</v>
      </c>
      <c r="Q2003" s="116">
        <v>2302.3000000000002</v>
      </c>
      <c r="R2003">
        <v>67558</v>
      </c>
    </row>
    <row r="2004" spans="1:18" x14ac:dyDescent="0.25">
      <c r="A2004" s="169">
        <v>44953</v>
      </c>
      <c r="B2004" s="116">
        <v>2376.1999999999998</v>
      </c>
      <c r="C2004" s="116">
        <v>2283.1999999999998</v>
      </c>
      <c r="D2004" s="116">
        <v>2250.1</v>
      </c>
      <c r="E2004" s="116">
        <v>2376.1999999999998</v>
      </c>
      <c r="F2004" s="116">
        <v>2283.1999999999998</v>
      </c>
      <c r="G2004">
        <v>4243</v>
      </c>
      <c r="H2004" s="116"/>
      <c r="I2004" s="116"/>
      <c r="L2004" s="169">
        <v>44953</v>
      </c>
      <c r="M2004" s="116">
        <v>2280.8000000000002</v>
      </c>
      <c r="N2004" s="116">
        <v>2319.6999999999998</v>
      </c>
      <c r="O2004" s="116">
        <v>2250</v>
      </c>
      <c r="P2004" s="116">
        <v>2313.85</v>
      </c>
      <c r="Q2004" s="116">
        <v>2280.8000000000002</v>
      </c>
      <c r="R2004">
        <v>56681</v>
      </c>
    </row>
    <row r="2005" spans="1:18" x14ac:dyDescent="0.25">
      <c r="A2005" s="169">
        <v>44956</v>
      </c>
      <c r="B2005" s="116">
        <v>2304.9</v>
      </c>
      <c r="C2005" s="116">
        <v>2259.5500000000002</v>
      </c>
      <c r="D2005" s="116">
        <v>2251.1</v>
      </c>
      <c r="E2005" s="116">
        <v>2283.1999999999998</v>
      </c>
      <c r="F2005" s="116">
        <v>2259.5500000000002</v>
      </c>
      <c r="G2005">
        <v>7721</v>
      </c>
      <c r="H2005" s="116"/>
      <c r="I2005" s="116"/>
      <c r="L2005" s="169">
        <v>44956</v>
      </c>
      <c r="M2005" s="116">
        <v>2258.35</v>
      </c>
      <c r="N2005" s="116">
        <v>2306</v>
      </c>
      <c r="O2005" s="116">
        <v>2251</v>
      </c>
      <c r="P2005" s="116">
        <v>2281.3000000000002</v>
      </c>
      <c r="Q2005" s="116">
        <v>2258.35</v>
      </c>
      <c r="R2005">
        <v>27654</v>
      </c>
    </row>
    <row r="2006" spans="1:18" x14ac:dyDescent="0.25">
      <c r="A2006" s="169">
        <v>44957</v>
      </c>
      <c r="B2006" s="116">
        <v>2399.6999999999998</v>
      </c>
      <c r="C2006" s="116">
        <v>2387.25</v>
      </c>
      <c r="D2006" s="116">
        <v>2252.3000000000002</v>
      </c>
      <c r="E2006" s="116">
        <v>2252.3000000000002</v>
      </c>
      <c r="F2006" s="116">
        <v>2387.25</v>
      </c>
      <c r="G2006">
        <v>11531</v>
      </c>
      <c r="H2006" s="116"/>
      <c r="I2006" s="116"/>
      <c r="L2006" s="169">
        <v>44957</v>
      </c>
      <c r="M2006" s="116">
        <v>2386</v>
      </c>
      <c r="N2006" s="116">
        <v>2399.9</v>
      </c>
      <c r="O2006" s="116">
        <v>2257.6999999999998</v>
      </c>
      <c r="P2006" s="116">
        <v>2263.4499999999998</v>
      </c>
      <c r="Q2006" s="116">
        <v>2386</v>
      </c>
      <c r="R2006">
        <v>85739</v>
      </c>
    </row>
    <row r="2007" spans="1:18" x14ac:dyDescent="0.25">
      <c r="A2007" s="169">
        <v>44958</v>
      </c>
      <c r="B2007" s="116">
        <v>2433.9499999999998</v>
      </c>
      <c r="C2007" s="116">
        <v>2326.85</v>
      </c>
      <c r="D2007" s="116">
        <v>2310.1</v>
      </c>
      <c r="E2007" s="116">
        <v>2387.25</v>
      </c>
      <c r="F2007" s="116">
        <v>2326.85</v>
      </c>
      <c r="G2007">
        <v>9653</v>
      </c>
      <c r="H2007" s="116"/>
      <c r="I2007" s="116"/>
      <c r="L2007" s="169">
        <v>44958</v>
      </c>
      <c r="M2007" s="116">
        <v>2326.4499999999998</v>
      </c>
      <c r="N2007" s="116">
        <v>2435</v>
      </c>
      <c r="O2007" s="116">
        <v>2315.65</v>
      </c>
      <c r="P2007" s="116">
        <v>2399</v>
      </c>
      <c r="Q2007" s="116">
        <v>2326.4499999999998</v>
      </c>
      <c r="R2007">
        <v>77248</v>
      </c>
    </row>
    <row r="2008" spans="1:18" x14ac:dyDescent="0.25">
      <c r="A2008" s="169">
        <v>44959</v>
      </c>
      <c r="B2008" s="116">
        <v>2341.5</v>
      </c>
      <c r="C2008" s="116">
        <v>2315.6</v>
      </c>
      <c r="D2008" s="116">
        <v>2298.3000000000002</v>
      </c>
      <c r="E2008" s="116">
        <v>2330</v>
      </c>
      <c r="F2008" s="116">
        <v>2315.6</v>
      </c>
      <c r="G2008">
        <v>4089</v>
      </c>
      <c r="H2008" s="116"/>
      <c r="I2008" s="116"/>
      <c r="L2008" s="169">
        <v>44959</v>
      </c>
      <c r="M2008" s="116">
        <v>2315.5500000000002</v>
      </c>
      <c r="N2008" s="116">
        <v>2339.9</v>
      </c>
      <c r="O2008" s="116">
        <v>2292.0500000000002</v>
      </c>
      <c r="P2008" s="116">
        <v>2300</v>
      </c>
      <c r="Q2008" s="116">
        <v>2315.5500000000002</v>
      </c>
      <c r="R2008">
        <v>26958</v>
      </c>
    </row>
    <row r="2009" spans="1:18" x14ac:dyDescent="0.25">
      <c r="A2009" s="169">
        <v>44960</v>
      </c>
      <c r="B2009" s="116">
        <v>2357.9499999999998</v>
      </c>
      <c r="C2009" s="116">
        <v>2325.85</v>
      </c>
      <c r="D2009" s="116">
        <v>2289.0500000000002</v>
      </c>
      <c r="E2009" s="116">
        <v>2357.9499999999998</v>
      </c>
      <c r="F2009" s="116">
        <v>2325.85</v>
      </c>
      <c r="G2009">
        <v>5172</v>
      </c>
      <c r="H2009" s="116"/>
      <c r="I2009" s="116"/>
      <c r="L2009" s="169">
        <v>44960</v>
      </c>
      <c r="M2009" s="116">
        <v>2331.1999999999998</v>
      </c>
      <c r="N2009" s="116">
        <v>2340</v>
      </c>
      <c r="O2009" s="116">
        <v>2288.4499999999998</v>
      </c>
      <c r="P2009" s="116">
        <v>2317.0500000000002</v>
      </c>
      <c r="Q2009" s="116">
        <v>2331.1999999999998</v>
      </c>
      <c r="R2009">
        <v>22885</v>
      </c>
    </row>
    <row r="2010" spans="1:18" x14ac:dyDescent="0.25">
      <c r="A2010" s="169">
        <v>44963</v>
      </c>
      <c r="B2010" s="116">
        <v>2363.3000000000002</v>
      </c>
      <c r="C2010" s="116">
        <v>2301.3000000000002</v>
      </c>
      <c r="D2010" s="116">
        <v>2288</v>
      </c>
      <c r="E2010" s="116">
        <v>2350</v>
      </c>
      <c r="F2010" s="116">
        <v>2301.3000000000002</v>
      </c>
      <c r="G2010">
        <v>3482</v>
      </c>
      <c r="H2010" s="116"/>
      <c r="I2010" s="116"/>
      <c r="L2010" s="169">
        <v>44963</v>
      </c>
      <c r="M2010" s="116">
        <v>2300.4499999999998</v>
      </c>
      <c r="N2010" s="116">
        <v>2384.35</v>
      </c>
      <c r="O2010" s="116">
        <v>2284.1</v>
      </c>
      <c r="P2010" s="116">
        <v>2344.8000000000002</v>
      </c>
      <c r="Q2010" s="116">
        <v>2300.4499999999998</v>
      </c>
      <c r="R2010">
        <v>45935</v>
      </c>
    </row>
    <row r="2011" spans="1:18" x14ac:dyDescent="0.25">
      <c r="A2011" s="169">
        <v>44964</v>
      </c>
      <c r="B2011" s="116">
        <v>2249.75</v>
      </c>
      <c r="C2011" s="116">
        <v>2172.3000000000002</v>
      </c>
      <c r="D2011" s="116">
        <v>2161.35</v>
      </c>
      <c r="E2011" s="116">
        <v>2239.0500000000002</v>
      </c>
      <c r="F2011" s="116">
        <v>2172.3000000000002</v>
      </c>
      <c r="G2011">
        <v>24222</v>
      </c>
      <c r="H2011" s="116"/>
      <c r="I2011" s="116"/>
      <c r="L2011" s="169">
        <v>44964</v>
      </c>
      <c r="M2011" s="116">
        <v>2172.4</v>
      </c>
      <c r="N2011" s="116">
        <v>2254.9499999999998</v>
      </c>
      <c r="O2011" s="116">
        <v>2163.8000000000002</v>
      </c>
      <c r="P2011" s="116">
        <v>2250</v>
      </c>
      <c r="Q2011" s="116">
        <v>2172.4</v>
      </c>
      <c r="R2011">
        <v>184603</v>
      </c>
    </row>
    <row r="2012" spans="1:18" x14ac:dyDescent="0.25">
      <c r="A2012" s="169">
        <v>44965</v>
      </c>
      <c r="B2012" s="116">
        <v>2270</v>
      </c>
      <c r="C2012" s="116">
        <v>2193.35</v>
      </c>
      <c r="D2012" s="116">
        <v>2156</v>
      </c>
      <c r="E2012" s="116">
        <v>2172</v>
      </c>
      <c r="F2012" s="116">
        <v>2193.35</v>
      </c>
      <c r="G2012">
        <v>5106</v>
      </c>
      <c r="H2012" s="116"/>
      <c r="I2012" s="116"/>
      <c r="L2012" s="169">
        <v>44965</v>
      </c>
      <c r="M2012" s="116">
        <v>2194.4499999999998</v>
      </c>
      <c r="N2012" s="116">
        <v>2275</v>
      </c>
      <c r="O2012" s="116">
        <v>2152</v>
      </c>
      <c r="P2012" s="116">
        <v>2165</v>
      </c>
      <c r="Q2012" s="116">
        <v>2194.4499999999998</v>
      </c>
      <c r="R2012">
        <v>101960</v>
      </c>
    </row>
    <row r="2013" spans="1:18" x14ac:dyDescent="0.25">
      <c r="A2013" s="169">
        <v>44966</v>
      </c>
      <c r="B2013" s="116">
        <v>2214.0500000000002</v>
      </c>
      <c r="C2013" s="116">
        <v>2199.1</v>
      </c>
      <c r="D2013" s="116">
        <v>2170.1999999999998</v>
      </c>
      <c r="E2013" s="116">
        <v>2170.1999999999998</v>
      </c>
      <c r="F2013" s="116">
        <v>2199.1</v>
      </c>
      <c r="G2013">
        <v>2543</v>
      </c>
      <c r="H2013" s="116"/>
      <c r="I2013" s="116"/>
      <c r="L2013" s="169">
        <v>44966</v>
      </c>
      <c r="M2013" s="116">
        <v>2195.6999999999998</v>
      </c>
      <c r="N2013" s="116">
        <v>2216.6</v>
      </c>
      <c r="O2013" s="116">
        <v>2185</v>
      </c>
      <c r="P2013" s="116">
        <v>2190.4499999999998</v>
      </c>
      <c r="Q2013" s="116">
        <v>2195.6999999999998</v>
      </c>
      <c r="R2013">
        <v>32521</v>
      </c>
    </row>
    <row r="2014" spans="1:18" x14ac:dyDescent="0.25">
      <c r="A2014" s="169">
        <v>44967</v>
      </c>
      <c r="B2014" s="116">
        <v>2213.9499999999998</v>
      </c>
      <c r="C2014" s="116">
        <v>2169</v>
      </c>
      <c r="D2014" s="116">
        <v>2152.5</v>
      </c>
      <c r="E2014" s="116">
        <v>2213.9499999999998</v>
      </c>
      <c r="F2014" s="116">
        <v>2169</v>
      </c>
      <c r="G2014">
        <v>7966</v>
      </c>
      <c r="H2014" s="116"/>
      <c r="I2014" s="116"/>
      <c r="L2014" s="169">
        <v>44967</v>
      </c>
      <c r="M2014" s="116">
        <v>2169.25</v>
      </c>
      <c r="N2014" s="116">
        <v>2209.9</v>
      </c>
      <c r="O2014" s="116">
        <v>2154.15</v>
      </c>
      <c r="P2014" s="116">
        <v>2192</v>
      </c>
      <c r="Q2014" s="116">
        <v>2169.25</v>
      </c>
      <c r="R2014">
        <v>45271</v>
      </c>
    </row>
    <row r="2015" spans="1:18" x14ac:dyDescent="0.25">
      <c r="A2015" s="169">
        <v>44970</v>
      </c>
      <c r="B2015" s="116">
        <v>2222</v>
      </c>
      <c r="C2015" s="116">
        <v>2190.4499999999998</v>
      </c>
      <c r="D2015" s="116">
        <v>2168.4</v>
      </c>
      <c r="E2015" s="116">
        <v>2170.65</v>
      </c>
      <c r="F2015" s="116">
        <v>2190.4499999999998</v>
      </c>
      <c r="G2015">
        <v>3534</v>
      </c>
      <c r="H2015" s="116"/>
      <c r="I2015" s="116"/>
      <c r="L2015" s="169">
        <v>44970</v>
      </c>
      <c r="M2015" s="116">
        <v>2185.4499999999998</v>
      </c>
      <c r="N2015" s="116">
        <v>2224</v>
      </c>
      <c r="O2015" s="116">
        <v>2167.0500000000002</v>
      </c>
      <c r="P2015" s="116">
        <v>2169.9</v>
      </c>
      <c r="Q2015" s="116">
        <v>2185.4499999999998</v>
      </c>
      <c r="R2015">
        <v>43389</v>
      </c>
    </row>
    <row r="2016" spans="1:18" x14ac:dyDescent="0.25">
      <c r="A2016" s="169">
        <v>44971</v>
      </c>
      <c r="B2016" s="116">
        <v>2212.9499999999998</v>
      </c>
      <c r="C2016" s="116">
        <v>2155.65</v>
      </c>
      <c r="D2016" s="116">
        <v>2150</v>
      </c>
      <c r="E2016" s="116">
        <v>2212.9499999999998</v>
      </c>
      <c r="F2016" s="116">
        <v>2155.65</v>
      </c>
      <c r="G2016">
        <v>7042</v>
      </c>
      <c r="H2016" s="116"/>
      <c r="I2016" s="116"/>
      <c r="L2016" s="169">
        <v>44971</v>
      </c>
      <c r="M2016" s="116">
        <v>2154.85</v>
      </c>
      <c r="N2016" s="116">
        <v>2198.35</v>
      </c>
      <c r="O2016" s="116">
        <v>2150</v>
      </c>
      <c r="P2016" s="116">
        <v>2182</v>
      </c>
      <c r="Q2016" s="116">
        <v>2154.85</v>
      </c>
      <c r="R2016">
        <v>33678</v>
      </c>
    </row>
    <row r="2017" spans="1:18" x14ac:dyDescent="0.25">
      <c r="A2017" s="169">
        <v>44972</v>
      </c>
      <c r="B2017" s="116">
        <v>2167.1999999999998</v>
      </c>
      <c r="C2017" s="116">
        <v>2133.9499999999998</v>
      </c>
      <c r="D2017" s="116">
        <v>2116.85</v>
      </c>
      <c r="E2017" s="116">
        <v>2158.4499999999998</v>
      </c>
      <c r="F2017" s="116">
        <v>2133.9499999999998</v>
      </c>
      <c r="G2017">
        <v>7574</v>
      </c>
      <c r="H2017" s="116"/>
      <c r="I2017" s="116"/>
      <c r="L2017" s="169">
        <v>44972</v>
      </c>
      <c r="M2017" s="116">
        <v>2133.9</v>
      </c>
      <c r="N2017" s="116">
        <v>2163.25</v>
      </c>
      <c r="O2017" s="116">
        <v>2125</v>
      </c>
      <c r="P2017" s="116">
        <v>2160.65</v>
      </c>
      <c r="Q2017" s="116">
        <v>2133.9</v>
      </c>
      <c r="R2017">
        <v>31135</v>
      </c>
    </row>
    <row r="2018" spans="1:18" x14ac:dyDescent="0.25">
      <c r="A2018" s="169">
        <v>44973</v>
      </c>
      <c r="B2018" s="116">
        <v>2229.65</v>
      </c>
      <c r="C2018" s="116">
        <v>2209.85</v>
      </c>
      <c r="D2018" s="116">
        <v>2133.9499999999998</v>
      </c>
      <c r="E2018" s="116">
        <v>2133.9499999999998</v>
      </c>
      <c r="F2018" s="116">
        <v>2209.85</v>
      </c>
      <c r="G2018">
        <v>8619</v>
      </c>
      <c r="H2018" s="116"/>
      <c r="I2018" s="116"/>
      <c r="L2018" s="169">
        <v>44973</v>
      </c>
      <c r="M2018" s="116">
        <v>2210.85</v>
      </c>
      <c r="N2018" s="116">
        <v>2230</v>
      </c>
      <c r="O2018" s="116">
        <v>2136.6</v>
      </c>
      <c r="P2018" s="116">
        <v>2136.6</v>
      </c>
      <c r="Q2018" s="116">
        <v>2210.85</v>
      </c>
      <c r="R2018">
        <v>59209</v>
      </c>
    </row>
    <row r="2019" spans="1:18" x14ac:dyDescent="0.25">
      <c r="A2019" s="169">
        <v>44974</v>
      </c>
      <c r="B2019" s="116">
        <v>2254.3000000000002</v>
      </c>
      <c r="C2019" s="116">
        <v>2220.25</v>
      </c>
      <c r="D2019" s="116">
        <v>2210.85</v>
      </c>
      <c r="E2019" s="116">
        <v>2220.15</v>
      </c>
      <c r="F2019" s="116">
        <v>2220.25</v>
      </c>
      <c r="G2019">
        <v>2769</v>
      </c>
      <c r="H2019" s="116"/>
      <c r="I2019" s="116"/>
      <c r="L2019" s="169">
        <v>44974</v>
      </c>
      <c r="M2019" s="116">
        <v>2217.85</v>
      </c>
      <c r="N2019" s="116">
        <v>2254.4499999999998</v>
      </c>
      <c r="O2019" s="116">
        <v>2208.0500000000002</v>
      </c>
      <c r="P2019" s="116">
        <v>2221.9499999999998</v>
      </c>
      <c r="Q2019" s="116">
        <v>2217.85</v>
      </c>
      <c r="R2019">
        <v>46396</v>
      </c>
    </row>
    <row r="2020" spans="1:18" x14ac:dyDescent="0.25">
      <c r="A2020" s="169">
        <v>44977</v>
      </c>
      <c r="B2020" s="116">
        <v>2229.5</v>
      </c>
      <c r="C2020" s="116">
        <v>2177.85</v>
      </c>
      <c r="D2020" s="116">
        <v>2167</v>
      </c>
      <c r="E2020" s="116">
        <v>2220.3000000000002</v>
      </c>
      <c r="F2020" s="116">
        <v>2177.85</v>
      </c>
      <c r="G2020">
        <v>6075</v>
      </c>
      <c r="H2020" s="116"/>
      <c r="I2020" s="116"/>
      <c r="L2020" s="169">
        <v>44977</v>
      </c>
      <c r="M2020" s="116">
        <v>2176.4499999999998</v>
      </c>
      <c r="N2020" s="116">
        <v>2228.9</v>
      </c>
      <c r="O2020" s="116">
        <v>2164.4</v>
      </c>
      <c r="P2020" s="116">
        <v>2228.9</v>
      </c>
      <c r="Q2020" s="116">
        <v>2176.4499999999998</v>
      </c>
      <c r="R2020">
        <v>40856</v>
      </c>
    </row>
    <row r="2021" spans="1:18" x14ac:dyDescent="0.25">
      <c r="A2021" s="169">
        <v>44978</v>
      </c>
      <c r="B2021" s="116">
        <v>2215</v>
      </c>
      <c r="C2021" s="116">
        <v>2199.35</v>
      </c>
      <c r="D2021" s="116">
        <v>2158.1999999999998</v>
      </c>
      <c r="E2021" s="116">
        <v>2170</v>
      </c>
      <c r="F2021" s="116">
        <v>2199.35</v>
      </c>
      <c r="G2021">
        <v>5508</v>
      </c>
      <c r="H2021" s="116"/>
      <c r="I2021" s="116"/>
      <c r="L2021" s="169">
        <v>44978</v>
      </c>
      <c r="M2021" s="116">
        <v>2199</v>
      </c>
      <c r="N2021" s="116">
        <v>2210</v>
      </c>
      <c r="O2021" s="116">
        <v>2160</v>
      </c>
      <c r="P2021" s="116">
        <v>2185.5500000000002</v>
      </c>
      <c r="Q2021" s="116">
        <v>2199</v>
      </c>
      <c r="R2021">
        <v>37425</v>
      </c>
    </row>
    <row r="2022" spans="1:18" x14ac:dyDescent="0.25">
      <c r="A2022" s="169">
        <v>44979</v>
      </c>
      <c r="B2022" s="116">
        <v>2234.9499999999998</v>
      </c>
      <c r="C2022" s="116">
        <v>2171.35</v>
      </c>
      <c r="D2022" s="116">
        <v>2160.15</v>
      </c>
      <c r="E2022" s="116">
        <v>2234.9499999999998</v>
      </c>
      <c r="F2022" s="116">
        <v>2171.35</v>
      </c>
      <c r="G2022">
        <v>5454</v>
      </c>
      <c r="H2022" s="116"/>
      <c r="I2022" s="116"/>
      <c r="L2022" s="169">
        <v>44979</v>
      </c>
      <c r="M2022" s="116">
        <v>2172.3000000000002</v>
      </c>
      <c r="N2022" s="116">
        <v>2199.85</v>
      </c>
      <c r="O2022" s="116">
        <v>2165</v>
      </c>
      <c r="P2022" s="116">
        <v>2199</v>
      </c>
      <c r="Q2022" s="116">
        <v>2172.3000000000002</v>
      </c>
      <c r="R2022">
        <v>16855</v>
      </c>
    </row>
    <row r="2023" spans="1:18" x14ac:dyDescent="0.25">
      <c r="A2023" s="169">
        <v>44980</v>
      </c>
      <c r="B2023" s="116">
        <v>2182.35</v>
      </c>
      <c r="C2023" s="116">
        <v>2156.1</v>
      </c>
      <c r="D2023" s="116">
        <v>2150</v>
      </c>
      <c r="E2023" s="116">
        <v>2152.0500000000002</v>
      </c>
      <c r="F2023" s="116">
        <v>2156.1</v>
      </c>
      <c r="G2023">
        <v>1574</v>
      </c>
      <c r="H2023" s="116"/>
      <c r="I2023" s="116"/>
      <c r="L2023" s="169">
        <v>44980</v>
      </c>
      <c r="M2023" s="116">
        <v>2152.1</v>
      </c>
      <c r="N2023" s="116">
        <v>2183.15</v>
      </c>
      <c r="O2023" s="116">
        <v>2148.6999999999998</v>
      </c>
      <c r="P2023" s="116">
        <v>2180</v>
      </c>
      <c r="Q2023" s="116">
        <v>2152.1</v>
      </c>
      <c r="R2023">
        <v>22332</v>
      </c>
    </row>
    <row r="2024" spans="1:18" x14ac:dyDescent="0.25">
      <c r="A2024" s="169">
        <v>44981</v>
      </c>
      <c r="B2024" s="116">
        <v>2194.9499999999998</v>
      </c>
      <c r="C2024" s="116">
        <v>2156.6999999999998</v>
      </c>
      <c r="D2024" s="116">
        <v>2150.1999999999998</v>
      </c>
      <c r="E2024" s="116">
        <v>2194.9499999999998</v>
      </c>
      <c r="F2024" s="116">
        <v>2156.6999999999998</v>
      </c>
      <c r="G2024">
        <v>3445</v>
      </c>
      <c r="H2024" s="116"/>
      <c r="I2024" s="116"/>
      <c r="L2024" s="169">
        <v>44981</v>
      </c>
      <c r="M2024" s="116">
        <v>2155.65</v>
      </c>
      <c r="N2024" s="116">
        <v>2189.9499999999998</v>
      </c>
      <c r="O2024" s="116">
        <v>2150</v>
      </c>
      <c r="P2024" s="116">
        <v>2159.6999999999998</v>
      </c>
      <c r="Q2024" s="116">
        <v>2155.65</v>
      </c>
      <c r="R2024">
        <v>16597</v>
      </c>
    </row>
    <row r="2025" spans="1:18" x14ac:dyDescent="0.25">
      <c r="A2025" s="169">
        <v>44984</v>
      </c>
      <c r="B2025" s="116">
        <v>2174.9499999999998</v>
      </c>
      <c r="C2025" s="116">
        <v>2158.1</v>
      </c>
      <c r="D2025" s="116">
        <v>2138.0500000000002</v>
      </c>
      <c r="E2025" s="116">
        <v>2163</v>
      </c>
      <c r="F2025" s="116">
        <v>2158.1</v>
      </c>
      <c r="G2025">
        <v>4788</v>
      </c>
      <c r="H2025" s="116"/>
      <c r="I2025" s="116"/>
      <c r="L2025" s="169">
        <v>44984</v>
      </c>
      <c r="M2025" s="116">
        <v>2157.9</v>
      </c>
      <c r="N2025" s="116">
        <v>2175</v>
      </c>
      <c r="O2025" s="116">
        <v>2135.15</v>
      </c>
      <c r="P2025" s="116">
        <v>2158</v>
      </c>
      <c r="Q2025" s="116">
        <v>2157.9</v>
      </c>
      <c r="R2025">
        <v>23292</v>
      </c>
    </row>
    <row r="2026" spans="1:18" x14ac:dyDescent="0.25">
      <c r="A2026" s="169">
        <v>44985</v>
      </c>
      <c r="B2026" s="116">
        <v>2210</v>
      </c>
      <c r="C2026" s="116">
        <v>2194.1</v>
      </c>
      <c r="D2026" s="116">
        <v>2151</v>
      </c>
      <c r="E2026" s="116">
        <v>2151</v>
      </c>
      <c r="F2026" s="116">
        <v>2194.1</v>
      </c>
      <c r="G2026">
        <v>5079</v>
      </c>
      <c r="H2026" s="116"/>
      <c r="I2026" s="116"/>
      <c r="L2026" s="169">
        <v>44985</v>
      </c>
      <c r="M2026" s="116">
        <v>2198.6</v>
      </c>
      <c r="N2026" s="116">
        <v>2210</v>
      </c>
      <c r="O2026" s="116">
        <v>2154</v>
      </c>
      <c r="P2026" s="116">
        <v>2157.9</v>
      </c>
      <c r="Q2026" s="116">
        <v>2198.6</v>
      </c>
      <c r="R2026">
        <v>27563</v>
      </c>
    </row>
    <row r="2027" spans="1:18" x14ac:dyDescent="0.25">
      <c r="A2027" s="169">
        <v>44986</v>
      </c>
      <c r="B2027" s="116">
        <v>2219.5</v>
      </c>
      <c r="C2027" s="116">
        <v>2194.15</v>
      </c>
      <c r="D2027" s="116">
        <v>2183.15</v>
      </c>
      <c r="E2027" s="116">
        <v>2211.9499999999998</v>
      </c>
      <c r="F2027" s="116">
        <v>2194.15</v>
      </c>
      <c r="G2027">
        <v>1401</v>
      </c>
      <c r="H2027" s="116"/>
      <c r="I2027" s="116"/>
      <c r="L2027" s="169">
        <v>44986</v>
      </c>
      <c r="M2027" s="116">
        <v>2193.5500000000002</v>
      </c>
      <c r="N2027" s="116">
        <v>2220</v>
      </c>
      <c r="O2027" s="116">
        <v>2181.5500000000002</v>
      </c>
      <c r="P2027" s="116">
        <v>2202</v>
      </c>
      <c r="Q2027" s="116">
        <v>2193.5500000000002</v>
      </c>
      <c r="R2027">
        <v>20789</v>
      </c>
    </row>
    <row r="2028" spans="1:18" x14ac:dyDescent="0.25">
      <c r="A2028" s="169">
        <v>44987</v>
      </c>
      <c r="B2028" s="116">
        <v>2218</v>
      </c>
      <c r="C2028" s="116">
        <v>2190.1999999999998</v>
      </c>
      <c r="D2028" s="116">
        <v>2179.9499999999998</v>
      </c>
      <c r="E2028" s="116">
        <v>2194</v>
      </c>
      <c r="F2028" s="116">
        <v>2190.1999999999998</v>
      </c>
      <c r="G2028">
        <v>3047</v>
      </c>
      <c r="H2028" s="116"/>
      <c r="I2028" s="116"/>
      <c r="L2028" s="169">
        <v>44987</v>
      </c>
      <c r="M2028" s="116">
        <v>2192.1</v>
      </c>
      <c r="N2028" s="116">
        <v>2219.9</v>
      </c>
      <c r="O2028" s="116">
        <v>2187</v>
      </c>
      <c r="P2028" s="116">
        <v>2194</v>
      </c>
      <c r="Q2028" s="116">
        <v>2192.1</v>
      </c>
      <c r="R2028">
        <v>17799</v>
      </c>
    </row>
    <row r="2029" spans="1:18" x14ac:dyDescent="0.25">
      <c r="A2029" s="169">
        <v>44988</v>
      </c>
      <c r="B2029" s="116">
        <v>2206.5500000000002</v>
      </c>
      <c r="C2029" s="116">
        <v>2186.4</v>
      </c>
      <c r="D2029" s="116">
        <v>2182</v>
      </c>
      <c r="E2029" s="116">
        <v>2199.1999999999998</v>
      </c>
      <c r="F2029" s="116">
        <v>2186.4</v>
      </c>
      <c r="G2029">
        <v>790</v>
      </c>
      <c r="H2029" s="116"/>
      <c r="I2029" s="116"/>
      <c r="L2029" s="169">
        <v>44988</v>
      </c>
      <c r="M2029" s="116">
        <v>2183.1999999999998</v>
      </c>
      <c r="N2029" s="116">
        <v>2205</v>
      </c>
      <c r="O2029" s="116">
        <v>2180</v>
      </c>
      <c r="P2029" s="116">
        <v>2203.1</v>
      </c>
      <c r="Q2029" s="116">
        <v>2183.1999999999998</v>
      </c>
      <c r="R2029">
        <v>26057</v>
      </c>
    </row>
    <row r="2030" spans="1:18" x14ac:dyDescent="0.25">
      <c r="A2030" s="169">
        <v>44991</v>
      </c>
      <c r="B2030" s="116">
        <v>2248.4499999999998</v>
      </c>
      <c r="C2030" s="116">
        <v>2225.9</v>
      </c>
      <c r="D2030" s="116">
        <v>2193.85</v>
      </c>
      <c r="E2030" s="116">
        <v>2195</v>
      </c>
      <c r="F2030" s="116">
        <v>2225.9</v>
      </c>
      <c r="G2030">
        <v>8453</v>
      </c>
      <c r="H2030" s="116"/>
      <c r="I2030" s="116"/>
      <c r="L2030" s="169">
        <v>44991</v>
      </c>
      <c r="M2030" s="116">
        <v>2226</v>
      </c>
      <c r="N2030" s="116">
        <v>2249</v>
      </c>
      <c r="O2030" s="116">
        <v>2194.25</v>
      </c>
      <c r="P2030" s="116">
        <v>2194.3000000000002</v>
      </c>
      <c r="Q2030" s="116">
        <v>2226</v>
      </c>
      <c r="R2030">
        <v>47827</v>
      </c>
    </row>
    <row r="2031" spans="1:18" x14ac:dyDescent="0.25">
      <c r="A2031" s="169">
        <v>44993</v>
      </c>
      <c r="B2031" s="116">
        <v>2222.3000000000002</v>
      </c>
      <c r="C2031" s="116">
        <v>2209.1</v>
      </c>
      <c r="D2031" s="116">
        <v>2186</v>
      </c>
      <c r="E2031" s="116">
        <v>2211</v>
      </c>
      <c r="F2031" s="116">
        <v>2209.1</v>
      </c>
      <c r="G2031">
        <v>2324</v>
      </c>
      <c r="H2031" s="116"/>
      <c r="I2031" s="116"/>
      <c r="L2031" s="169">
        <v>44993</v>
      </c>
      <c r="M2031" s="116">
        <v>2211.8000000000002</v>
      </c>
      <c r="N2031" s="116">
        <v>2221.15</v>
      </c>
      <c r="O2031" s="116">
        <v>2176</v>
      </c>
      <c r="P2031" s="116">
        <v>2193.9</v>
      </c>
      <c r="Q2031" s="116">
        <v>2211.8000000000002</v>
      </c>
      <c r="R2031">
        <v>34645</v>
      </c>
    </row>
    <row r="2032" spans="1:18" x14ac:dyDescent="0.25">
      <c r="A2032" s="169">
        <v>44994</v>
      </c>
      <c r="B2032" s="116">
        <v>2288</v>
      </c>
      <c r="C2032" s="116">
        <v>2271.65</v>
      </c>
      <c r="D2032" s="116">
        <v>2187.0500000000002</v>
      </c>
      <c r="E2032" s="116">
        <v>2187.0500000000002</v>
      </c>
      <c r="F2032" s="116">
        <v>2271.65</v>
      </c>
      <c r="G2032">
        <v>2337</v>
      </c>
      <c r="H2032" s="116"/>
      <c r="I2032" s="116"/>
      <c r="L2032" s="169">
        <v>44994</v>
      </c>
      <c r="M2032" s="116">
        <v>2274.25</v>
      </c>
      <c r="N2032" s="116">
        <v>2288</v>
      </c>
      <c r="O2032" s="116">
        <v>2206</v>
      </c>
      <c r="P2032" s="116">
        <v>2220</v>
      </c>
      <c r="Q2032" s="116">
        <v>2274.25</v>
      </c>
      <c r="R2032">
        <v>81077</v>
      </c>
    </row>
    <row r="2033" spans="1:18" x14ac:dyDescent="0.25">
      <c r="A2033" s="169">
        <v>44995</v>
      </c>
      <c r="B2033" s="116">
        <v>2282.9</v>
      </c>
      <c r="C2033" s="116">
        <v>2261.65</v>
      </c>
      <c r="D2033" s="116">
        <v>2224.0500000000002</v>
      </c>
      <c r="E2033" s="116">
        <v>2228.8000000000002</v>
      </c>
      <c r="F2033" s="116">
        <v>2261.65</v>
      </c>
      <c r="G2033">
        <v>1973</v>
      </c>
      <c r="H2033" s="116"/>
      <c r="I2033" s="116"/>
      <c r="L2033" s="169">
        <v>44995</v>
      </c>
      <c r="M2033" s="116">
        <v>2260.9</v>
      </c>
      <c r="N2033" s="116">
        <v>2285</v>
      </c>
      <c r="O2033" s="116">
        <v>2224</v>
      </c>
      <c r="P2033" s="116">
        <v>2267</v>
      </c>
      <c r="Q2033" s="116">
        <v>2260.9</v>
      </c>
      <c r="R2033">
        <v>46716</v>
      </c>
    </row>
    <row r="2034" spans="1:18" x14ac:dyDescent="0.25">
      <c r="A2034" s="169">
        <v>44998</v>
      </c>
      <c r="B2034" s="116">
        <v>2265.4499999999998</v>
      </c>
      <c r="C2034" s="116">
        <v>2156.9499999999998</v>
      </c>
      <c r="D2034" s="116">
        <v>2145.35</v>
      </c>
      <c r="E2034" s="116">
        <v>2250</v>
      </c>
      <c r="F2034" s="116">
        <v>2156.9499999999998</v>
      </c>
      <c r="G2034">
        <v>10929</v>
      </c>
      <c r="H2034" s="116"/>
      <c r="I2034" s="116"/>
      <c r="L2034" s="169">
        <v>44998</v>
      </c>
      <c r="M2034" s="116">
        <v>2155.35</v>
      </c>
      <c r="N2034" s="116">
        <v>2270</v>
      </c>
      <c r="O2034" s="116">
        <v>2145.4499999999998</v>
      </c>
      <c r="P2034" s="116">
        <v>2269.9499999999998</v>
      </c>
      <c r="Q2034" s="116">
        <v>2155.35</v>
      </c>
      <c r="R2034">
        <v>63213</v>
      </c>
    </row>
    <row r="2035" spans="1:18" x14ac:dyDescent="0.25">
      <c r="A2035" s="169">
        <v>44999</v>
      </c>
      <c r="B2035" s="116">
        <v>2175.5</v>
      </c>
      <c r="C2035" s="116">
        <v>2094.6</v>
      </c>
      <c r="D2035" s="116">
        <v>2080.15</v>
      </c>
      <c r="E2035" s="116">
        <v>2152.0500000000002</v>
      </c>
      <c r="F2035" s="116">
        <v>2094.6</v>
      </c>
      <c r="G2035">
        <v>12674</v>
      </c>
      <c r="H2035" s="116"/>
      <c r="I2035" s="116"/>
      <c r="L2035" s="169">
        <v>44999</v>
      </c>
      <c r="M2035" s="116">
        <v>2092.9</v>
      </c>
      <c r="N2035" s="116">
        <v>2184.9499999999998</v>
      </c>
      <c r="O2035" s="116">
        <v>2080.0500000000002</v>
      </c>
      <c r="P2035" s="116">
        <v>2155.9499999999998</v>
      </c>
      <c r="Q2035" s="116">
        <v>2092.9</v>
      </c>
      <c r="R2035">
        <v>67447</v>
      </c>
    </row>
    <row r="2036" spans="1:18" x14ac:dyDescent="0.25">
      <c r="A2036" s="169">
        <v>45000</v>
      </c>
      <c r="B2036" s="116">
        <v>2124.0500000000002</v>
      </c>
      <c r="C2036" s="116">
        <v>2058.6999999999998</v>
      </c>
      <c r="D2036" s="116">
        <v>2053.0500000000002</v>
      </c>
      <c r="E2036" s="116">
        <v>2120</v>
      </c>
      <c r="F2036" s="116">
        <v>2058.6999999999998</v>
      </c>
      <c r="G2036">
        <v>6878</v>
      </c>
      <c r="H2036" s="116"/>
      <c r="I2036" s="116"/>
      <c r="L2036" s="169">
        <v>45000</v>
      </c>
      <c r="M2036" s="116">
        <v>2059.5</v>
      </c>
      <c r="N2036" s="116">
        <v>2124</v>
      </c>
      <c r="O2036" s="116">
        <v>2055</v>
      </c>
      <c r="P2036" s="116">
        <v>2117.1</v>
      </c>
      <c r="Q2036" s="116">
        <v>2059.5</v>
      </c>
      <c r="R2036">
        <v>47992</v>
      </c>
    </row>
    <row r="2037" spans="1:18" x14ac:dyDescent="0.25">
      <c r="A2037" s="169">
        <v>45001</v>
      </c>
      <c r="B2037" s="116">
        <v>2053.3000000000002</v>
      </c>
      <c r="C2037" s="116">
        <v>2004</v>
      </c>
      <c r="D2037" s="116">
        <v>1998</v>
      </c>
      <c r="E2037" s="116">
        <v>2050.0500000000002</v>
      </c>
      <c r="F2037" s="116">
        <v>2004</v>
      </c>
      <c r="G2037">
        <v>3474</v>
      </c>
      <c r="H2037" s="116"/>
      <c r="I2037" s="116"/>
      <c r="L2037" s="169">
        <v>45001</v>
      </c>
      <c r="M2037" s="116">
        <v>2003.7</v>
      </c>
      <c r="N2037" s="116">
        <v>2061.9499999999998</v>
      </c>
      <c r="O2037" s="116">
        <v>1998</v>
      </c>
      <c r="P2037" s="116">
        <v>2054</v>
      </c>
      <c r="Q2037" s="116">
        <v>2003.7</v>
      </c>
      <c r="R2037">
        <v>67526</v>
      </c>
    </row>
    <row r="2038" spans="1:18" x14ac:dyDescent="0.25">
      <c r="A2038" s="169">
        <v>45002</v>
      </c>
      <c r="B2038" s="116">
        <v>2057.9499999999998</v>
      </c>
      <c r="C2038" s="116">
        <v>2006.95</v>
      </c>
      <c r="D2038" s="116">
        <v>2000.05</v>
      </c>
      <c r="E2038" s="116">
        <v>2005.05</v>
      </c>
      <c r="F2038" s="116">
        <v>2006.95</v>
      </c>
      <c r="G2038">
        <v>7271</v>
      </c>
      <c r="H2038" s="116"/>
      <c r="I2038" s="116"/>
      <c r="L2038" s="169">
        <v>45002</v>
      </c>
      <c r="M2038" s="116">
        <v>2006.45</v>
      </c>
      <c r="N2038" s="116">
        <v>2058.25</v>
      </c>
      <c r="O2038" s="116">
        <v>2000</v>
      </c>
      <c r="P2038" s="116">
        <v>2013.75</v>
      </c>
      <c r="Q2038" s="116">
        <v>2006.45</v>
      </c>
      <c r="R2038">
        <v>45366</v>
      </c>
    </row>
    <row r="2039" spans="1:18" x14ac:dyDescent="0.25">
      <c r="A2039" s="169">
        <v>45005</v>
      </c>
      <c r="B2039" s="116">
        <v>2020</v>
      </c>
      <c r="C2039" s="116">
        <v>1985.35</v>
      </c>
      <c r="D2039" s="116">
        <v>1975</v>
      </c>
      <c r="E2039" s="116">
        <v>1979.95</v>
      </c>
      <c r="F2039" s="116">
        <v>1985.35</v>
      </c>
      <c r="G2039">
        <v>11938</v>
      </c>
      <c r="H2039" s="116"/>
      <c r="I2039" s="116"/>
      <c r="L2039" s="169">
        <v>45005</v>
      </c>
      <c r="M2039" s="116">
        <v>1985</v>
      </c>
      <c r="N2039" s="116">
        <v>2040</v>
      </c>
      <c r="O2039" s="116">
        <v>1975</v>
      </c>
      <c r="P2039" s="116">
        <v>1976.2</v>
      </c>
      <c r="Q2039" s="116">
        <v>1985</v>
      </c>
      <c r="R2039">
        <v>43257</v>
      </c>
    </row>
    <row r="2040" spans="1:18" x14ac:dyDescent="0.25">
      <c r="A2040" s="169">
        <v>45006</v>
      </c>
      <c r="B2040" s="116">
        <v>2039</v>
      </c>
      <c r="C2040" s="116">
        <v>2004.15</v>
      </c>
      <c r="D2040" s="116">
        <v>1975.55</v>
      </c>
      <c r="E2040" s="116">
        <v>1990.05</v>
      </c>
      <c r="F2040" s="116">
        <v>2004.15</v>
      </c>
      <c r="G2040">
        <v>6861</v>
      </c>
      <c r="H2040" s="116"/>
      <c r="I2040" s="116"/>
      <c r="L2040" s="169">
        <v>45006</v>
      </c>
      <c r="M2040" s="116">
        <v>2004.35</v>
      </c>
      <c r="N2040" s="116">
        <v>2039</v>
      </c>
      <c r="O2040" s="116">
        <v>1976.15</v>
      </c>
      <c r="P2040" s="116">
        <v>1995.95</v>
      </c>
      <c r="Q2040" s="116">
        <v>2004.35</v>
      </c>
      <c r="R2040">
        <v>52064</v>
      </c>
    </row>
    <row r="2041" spans="1:18" x14ac:dyDescent="0.25">
      <c r="A2041" s="169">
        <v>45007</v>
      </c>
      <c r="B2041" s="116">
        <v>2035.15</v>
      </c>
      <c r="C2041" s="116">
        <v>2005.65</v>
      </c>
      <c r="D2041" s="116">
        <v>2001</v>
      </c>
      <c r="E2041" s="116">
        <v>2002</v>
      </c>
      <c r="F2041" s="116">
        <v>2005.65</v>
      </c>
      <c r="G2041">
        <v>2366</v>
      </c>
      <c r="H2041" s="116"/>
      <c r="I2041" s="116"/>
      <c r="L2041" s="169">
        <v>45007</v>
      </c>
      <c r="M2041" s="116">
        <v>2006.9</v>
      </c>
      <c r="N2041" s="116">
        <v>2034.85</v>
      </c>
      <c r="O2041" s="116">
        <v>2003</v>
      </c>
      <c r="P2041" s="116">
        <v>2014.95</v>
      </c>
      <c r="Q2041" s="116">
        <v>2006.9</v>
      </c>
      <c r="R2041">
        <v>25224</v>
      </c>
    </row>
    <row r="2042" spans="1:18" x14ac:dyDescent="0.25">
      <c r="A2042" s="169">
        <v>45008</v>
      </c>
      <c r="B2042" s="116">
        <v>2091.4499999999998</v>
      </c>
      <c r="C2042" s="116">
        <v>2065.1999999999998</v>
      </c>
      <c r="D2042" s="116">
        <v>2008.5</v>
      </c>
      <c r="E2042" s="116">
        <v>2039.95</v>
      </c>
      <c r="F2042" s="116">
        <v>2065.1999999999998</v>
      </c>
      <c r="G2042">
        <v>4004</v>
      </c>
      <c r="H2042" s="116"/>
      <c r="I2042" s="116"/>
      <c r="L2042" s="169">
        <v>45008</v>
      </c>
      <c r="M2042" s="116">
        <v>2064.8000000000002</v>
      </c>
      <c r="N2042" s="116">
        <v>2093</v>
      </c>
      <c r="O2042" s="116">
        <v>2006.9</v>
      </c>
      <c r="P2042" s="116">
        <v>2026.95</v>
      </c>
      <c r="Q2042" s="116">
        <v>2064.8000000000002</v>
      </c>
      <c r="R2042">
        <v>95409</v>
      </c>
    </row>
    <row r="2043" spans="1:18" x14ac:dyDescent="0.25">
      <c r="A2043" s="169">
        <v>45009</v>
      </c>
      <c r="B2043" s="116">
        <v>2086.5500000000002</v>
      </c>
      <c r="C2043" s="116">
        <v>2022.4</v>
      </c>
      <c r="D2043" s="116">
        <v>2018</v>
      </c>
      <c r="E2043" s="116">
        <v>2083.9499999999998</v>
      </c>
      <c r="F2043" s="116">
        <v>2022.4</v>
      </c>
      <c r="G2043">
        <v>8032</v>
      </c>
      <c r="H2043" s="116"/>
      <c r="I2043" s="116"/>
      <c r="L2043" s="169">
        <v>45009</v>
      </c>
      <c r="M2043" s="116">
        <v>2022.15</v>
      </c>
      <c r="N2043" s="116">
        <v>2088.75</v>
      </c>
      <c r="O2043" s="116">
        <v>2016.85</v>
      </c>
      <c r="P2043" s="116">
        <v>2078</v>
      </c>
      <c r="Q2043" s="116">
        <v>2022.15</v>
      </c>
      <c r="R2043">
        <v>38388</v>
      </c>
    </row>
    <row r="2044" spans="1:18" x14ac:dyDescent="0.25">
      <c r="A2044" s="169">
        <v>45012</v>
      </c>
      <c r="B2044" s="116">
        <v>2029.7</v>
      </c>
      <c r="C2044" s="116">
        <v>1985.15</v>
      </c>
      <c r="D2044" s="116">
        <v>1978.05</v>
      </c>
      <c r="E2044" s="116">
        <v>2029.7</v>
      </c>
      <c r="F2044" s="116">
        <v>1985.15</v>
      </c>
      <c r="G2044">
        <v>8564</v>
      </c>
      <c r="H2044" s="116"/>
      <c r="I2044" s="116"/>
      <c r="L2044" s="169">
        <v>45012</v>
      </c>
      <c r="M2044" s="116">
        <v>1984.65</v>
      </c>
      <c r="N2044" s="116">
        <v>2037.55</v>
      </c>
      <c r="O2044" s="116">
        <v>1974.1</v>
      </c>
      <c r="P2044" s="116">
        <v>2030</v>
      </c>
      <c r="Q2044" s="116">
        <v>1984.65</v>
      </c>
      <c r="R2044">
        <v>41952</v>
      </c>
    </row>
    <row r="2045" spans="1:18" x14ac:dyDescent="0.25">
      <c r="A2045" s="169">
        <v>45013</v>
      </c>
      <c r="B2045" s="116">
        <v>1993.2</v>
      </c>
      <c r="C2045" s="116">
        <v>1944.5</v>
      </c>
      <c r="D2045" s="116">
        <v>1940</v>
      </c>
      <c r="E2045" s="116">
        <v>1990.15</v>
      </c>
      <c r="F2045" s="116">
        <v>1944.5</v>
      </c>
      <c r="G2045">
        <v>13427</v>
      </c>
      <c r="H2045" s="116"/>
      <c r="I2045" s="116"/>
      <c r="L2045" s="169">
        <v>45013</v>
      </c>
      <c r="M2045" s="116">
        <v>1945.1</v>
      </c>
      <c r="N2045" s="116">
        <v>1993.95</v>
      </c>
      <c r="O2045" s="116">
        <v>1940</v>
      </c>
      <c r="P2045" s="116">
        <v>1987.95</v>
      </c>
      <c r="Q2045" s="116">
        <v>1945.1</v>
      </c>
      <c r="R2045">
        <v>49381</v>
      </c>
    </row>
    <row r="2046" spans="1:18" x14ac:dyDescent="0.25">
      <c r="A2046" s="169">
        <v>45014</v>
      </c>
      <c r="B2046" s="116">
        <v>1973.45</v>
      </c>
      <c r="C2046" s="116">
        <v>1943.3</v>
      </c>
      <c r="D2046" s="116">
        <v>1925.05</v>
      </c>
      <c r="E2046" s="116">
        <v>1925.05</v>
      </c>
      <c r="F2046" s="116">
        <v>1943.3</v>
      </c>
      <c r="G2046">
        <v>3051</v>
      </c>
      <c r="H2046" s="116"/>
      <c r="I2046" s="116"/>
      <c r="L2046" s="169">
        <v>45014</v>
      </c>
      <c r="M2046" s="116">
        <v>1942.4</v>
      </c>
      <c r="N2046" s="116">
        <v>1972.75</v>
      </c>
      <c r="O2046" s="116">
        <v>1932.1</v>
      </c>
      <c r="P2046" s="116">
        <v>1932.1</v>
      </c>
      <c r="Q2046" s="116">
        <v>1942.4</v>
      </c>
      <c r="R2046">
        <v>54995</v>
      </c>
    </row>
    <row r="2047" spans="1:18" x14ac:dyDescent="0.25">
      <c r="A2047" s="169">
        <v>45016</v>
      </c>
      <c r="B2047" s="116">
        <v>1993.15</v>
      </c>
      <c r="C2047" s="116">
        <v>1942.65</v>
      </c>
      <c r="D2047" s="116">
        <v>1937</v>
      </c>
      <c r="E2047" s="116">
        <v>1943.3</v>
      </c>
      <c r="F2047" s="116">
        <v>1942.65</v>
      </c>
      <c r="G2047">
        <v>14105</v>
      </c>
      <c r="H2047" s="116"/>
      <c r="I2047" s="116"/>
      <c r="L2047" s="169">
        <v>45016</v>
      </c>
      <c r="M2047" s="116">
        <v>1943.3</v>
      </c>
      <c r="N2047" s="116">
        <v>1992.95</v>
      </c>
      <c r="O2047" s="116">
        <v>1936</v>
      </c>
      <c r="P2047" s="116">
        <v>1944.9</v>
      </c>
      <c r="Q2047" s="116">
        <v>1943.3</v>
      </c>
      <c r="R2047">
        <v>51382</v>
      </c>
    </row>
    <row r="2048" spans="1:18" x14ac:dyDescent="0.25">
      <c r="A2048" s="169">
        <v>45019</v>
      </c>
      <c r="B2048" s="116">
        <v>2118</v>
      </c>
      <c r="C2048" s="116">
        <v>2096.9499999999998</v>
      </c>
      <c r="D2048" s="116">
        <v>1950</v>
      </c>
      <c r="E2048" s="116">
        <v>1978.95</v>
      </c>
      <c r="F2048" s="116">
        <v>2096.9499999999998</v>
      </c>
      <c r="G2048">
        <v>12233</v>
      </c>
      <c r="H2048" s="116"/>
      <c r="I2048" s="116"/>
      <c r="L2048" s="169">
        <v>45019</v>
      </c>
      <c r="M2048" s="116">
        <v>2094.0500000000002</v>
      </c>
      <c r="N2048" s="116">
        <v>2118.85</v>
      </c>
      <c r="O2048" s="116">
        <v>1943.5</v>
      </c>
      <c r="P2048" s="116">
        <v>1943.5</v>
      </c>
      <c r="Q2048" s="116">
        <v>2094.0500000000002</v>
      </c>
      <c r="R2048">
        <v>306073</v>
      </c>
    </row>
    <row r="2049" spans="1:18" x14ac:dyDescent="0.25">
      <c r="A2049" s="169">
        <v>45021</v>
      </c>
      <c r="B2049" s="116">
        <v>2150.9499999999998</v>
      </c>
      <c r="C2049" s="116">
        <v>2127.5</v>
      </c>
      <c r="D2049" s="116">
        <v>2100.0500000000002</v>
      </c>
      <c r="E2049" s="116">
        <v>2119.9499999999998</v>
      </c>
      <c r="F2049" s="116">
        <v>2127.5</v>
      </c>
      <c r="G2049">
        <v>10144</v>
      </c>
      <c r="H2049" s="116"/>
      <c r="I2049" s="116"/>
      <c r="L2049" s="169">
        <v>45021</v>
      </c>
      <c r="M2049" s="116">
        <v>2127.65</v>
      </c>
      <c r="N2049" s="116">
        <v>2150</v>
      </c>
      <c r="O2049" s="116">
        <v>2100.6999999999998</v>
      </c>
      <c r="P2049" s="116">
        <v>2105</v>
      </c>
      <c r="Q2049" s="116">
        <v>2127.65</v>
      </c>
      <c r="R2049">
        <v>80158</v>
      </c>
    </row>
    <row r="2050" spans="1:18" x14ac:dyDescent="0.25">
      <c r="A2050" s="169">
        <v>45022</v>
      </c>
      <c r="B2050" s="116">
        <v>2168.1999999999998</v>
      </c>
      <c r="C2050" s="116">
        <v>2152.4</v>
      </c>
      <c r="D2050" s="116">
        <v>2091</v>
      </c>
      <c r="E2050" s="116">
        <v>2117</v>
      </c>
      <c r="F2050" s="116">
        <v>2152.4</v>
      </c>
      <c r="G2050">
        <v>2457</v>
      </c>
      <c r="H2050" s="116"/>
      <c r="I2050" s="116"/>
      <c r="L2050" s="169">
        <v>45022</v>
      </c>
      <c r="M2050" s="116">
        <v>2148.1999999999998</v>
      </c>
      <c r="N2050" s="116">
        <v>2170</v>
      </c>
      <c r="O2050" s="116">
        <v>2089</v>
      </c>
      <c r="P2050" s="116">
        <v>2120.0500000000002</v>
      </c>
      <c r="Q2050" s="116">
        <v>2148.1999999999998</v>
      </c>
      <c r="R2050">
        <v>47812</v>
      </c>
    </row>
    <row r="2051" spans="1:18" x14ac:dyDescent="0.25">
      <c r="A2051" s="169">
        <v>45026</v>
      </c>
      <c r="B2051" s="116">
        <v>2264.85</v>
      </c>
      <c r="C2051" s="116">
        <v>2253.4</v>
      </c>
      <c r="D2051" s="116">
        <v>2156.0500000000002</v>
      </c>
      <c r="E2051" s="116">
        <v>2156.0500000000002</v>
      </c>
      <c r="F2051" s="116">
        <v>2253.4</v>
      </c>
      <c r="G2051">
        <v>14495</v>
      </c>
      <c r="H2051" s="116"/>
      <c r="I2051" s="116"/>
      <c r="L2051" s="169">
        <v>45026</v>
      </c>
      <c r="M2051" s="116">
        <v>2254</v>
      </c>
      <c r="N2051" s="116">
        <v>2264.4499999999998</v>
      </c>
      <c r="O2051" s="116">
        <v>2150.0500000000002</v>
      </c>
      <c r="P2051" s="116">
        <v>2163.9499999999998</v>
      </c>
      <c r="Q2051" s="116">
        <v>2254</v>
      </c>
      <c r="R2051">
        <v>123718</v>
      </c>
    </row>
    <row r="2052" spans="1:18" x14ac:dyDescent="0.25">
      <c r="A2052" s="169">
        <v>45027</v>
      </c>
      <c r="B2052" s="116">
        <v>2395</v>
      </c>
      <c r="C2052" s="116">
        <v>2364.4</v>
      </c>
      <c r="D2052" s="116">
        <v>2226</v>
      </c>
      <c r="E2052" s="116">
        <v>2258.9499999999998</v>
      </c>
      <c r="F2052" s="116">
        <v>2364.4</v>
      </c>
      <c r="G2052">
        <v>14482</v>
      </c>
      <c r="H2052" s="116"/>
      <c r="I2052" s="116"/>
      <c r="L2052" s="169">
        <v>45027</v>
      </c>
      <c r="M2052" s="116">
        <v>2363.1999999999998</v>
      </c>
      <c r="N2052" s="116">
        <v>2395</v>
      </c>
      <c r="O2052" s="116">
        <v>2226.8000000000002</v>
      </c>
      <c r="P2052" s="116">
        <v>2253</v>
      </c>
      <c r="Q2052" s="116">
        <v>2363.1999999999998</v>
      </c>
      <c r="R2052">
        <v>252679</v>
      </c>
    </row>
    <row r="2053" spans="1:18" x14ac:dyDescent="0.25">
      <c r="A2053" s="169">
        <v>45028</v>
      </c>
      <c r="B2053" s="116">
        <v>2500</v>
      </c>
      <c r="C2053" s="116">
        <v>2484.8000000000002</v>
      </c>
      <c r="D2053" s="116">
        <v>2356.25</v>
      </c>
      <c r="E2053" s="116">
        <v>2386.9499999999998</v>
      </c>
      <c r="F2053" s="116">
        <v>2484.8000000000002</v>
      </c>
      <c r="G2053">
        <v>37140</v>
      </c>
      <c r="H2053" s="116"/>
      <c r="I2053" s="116"/>
      <c r="L2053" s="169">
        <v>45028</v>
      </c>
      <c r="M2053" s="116">
        <v>2486.4</v>
      </c>
      <c r="N2053" s="116">
        <v>2500</v>
      </c>
      <c r="O2053" s="116">
        <v>2352</v>
      </c>
      <c r="P2053" s="116">
        <v>2377</v>
      </c>
      <c r="Q2053" s="116">
        <v>2486.4</v>
      </c>
      <c r="R2053">
        <v>287325</v>
      </c>
    </row>
    <row r="2054" spans="1:18" x14ac:dyDescent="0.25">
      <c r="A2054" s="169">
        <v>45029</v>
      </c>
      <c r="B2054" s="116">
        <v>2548.6999999999998</v>
      </c>
      <c r="C2054" s="116">
        <v>2502.5</v>
      </c>
      <c r="D2054" s="116">
        <v>2421.1</v>
      </c>
      <c r="E2054" s="116">
        <v>2499.9499999999998</v>
      </c>
      <c r="F2054" s="116">
        <v>2502.5</v>
      </c>
      <c r="G2054">
        <v>11944</v>
      </c>
      <c r="H2054" s="116"/>
      <c r="I2054" s="116"/>
      <c r="L2054" s="169">
        <v>45029</v>
      </c>
      <c r="M2054" s="116">
        <v>2494.35</v>
      </c>
      <c r="N2054" s="116">
        <v>2546.9499999999998</v>
      </c>
      <c r="O2054" s="116">
        <v>2425</v>
      </c>
      <c r="P2054" s="116">
        <v>2495</v>
      </c>
      <c r="Q2054" s="116">
        <v>2494.35</v>
      </c>
      <c r="R2054">
        <v>179303</v>
      </c>
    </row>
    <row r="2055" spans="1:18" x14ac:dyDescent="0.25">
      <c r="A2055" s="169">
        <v>45033</v>
      </c>
      <c r="B2055" s="116">
        <v>2462</v>
      </c>
      <c r="C2055" s="116">
        <v>2377</v>
      </c>
      <c r="D2055" s="116">
        <v>2361</v>
      </c>
      <c r="E2055" s="116">
        <v>2460</v>
      </c>
      <c r="F2055" s="116">
        <v>2377</v>
      </c>
      <c r="G2055">
        <v>18986</v>
      </c>
      <c r="H2055" s="116"/>
      <c r="I2055" s="116"/>
      <c r="L2055" s="169">
        <v>45033</v>
      </c>
      <c r="M2055" s="116">
        <v>2377.6999999999998</v>
      </c>
      <c r="N2055" s="116">
        <v>2468.4499999999998</v>
      </c>
      <c r="O2055" s="116">
        <v>2360.15</v>
      </c>
      <c r="P2055" s="116">
        <v>2461</v>
      </c>
      <c r="Q2055" s="116">
        <v>2377.6999999999998</v>
      </c>
      <c r="R2055">
        <v>123585</v>
      </c>
    </row>
    <row r="2056" spans="1:18" x14ac:dyDescent="0.25">
      <c r="A2056" s="169">
        <v>45034</v>
      </c>
      <c r="B2056" s="116">
        <v>2413.8000000000002</v>
      </c>
      <c r="C2056" s="116">
        <v>2395.9499999999998</v>
      </c>
      <c r="D2056" s="116">
        <v>2337.5500000000002</v>
      </c>
      <c r="E2056" s="116">
        <v>2362.0500000000002</v>
      </c>
      <c r="F2056" s="116">
        <v>2395.9499999999998</v>
      </c>
      <c r="G2056">
        <v>7055</v>
      </c>
      <c r="H2056" s="116"/>
      <c r="I2056" s="116"/>
      <c r="L2056" s="169">
        <v>45034</v>
      </c>
      <c r="M2056" s="116">
        <v>2394.85</v>
      </c>
      <c r="N2056" s="116">
        <v>2415</v>
      </c>
      <c r="O2056" s="116">
        <v>2333.4499999999998</v>
      </c>
      <c r="P2056" s="116">
        <v>2375</v>
      </c>
      <c r="Q2056" s="116">
        <v>2394.85</v>
      </c>
      <c r="R2056">
        <v>110102</v>
      </c>
    </row>
    <row r="2057" spans="1:18" x14ac:dyDescent="0.25">
      <c r="A2057" s="169">
        <v>45035</v>
      </c>
      <c r="B2057" s="116">
        <v>2420</v>
      </c>
      <c r="C2057" s="116">
        <v>2344.4</v>
      </c>
      <c r="D2057" s="116">
        <v>2326</v>
      </c>
      <c r="E2057" s="116">
        <v>2351.1</v>
      </c>
      <c r="F2057" s="116">
        <v>2344.4</v>
      </c>
      <c r="G2057">
        <v>8202</v>
      </c>
      <c r="H2057" s="116"/>
      <c r="I2057" s="116"/>
      <c r="L2057" s="169">
        <v>45035</v>
      </c>
      <c r="M2057" s="116">
        <v>2346.1999999999998</v>
      </c>
      <c r="N2057" s="116">
        <v>2424</v>
      </c>
      <c r="O2057" s="116">
        <v>2330</v>
      </c>
      <c r="P2057" s="116">
        <v>2385</v>
      </c>
      <c r="Q2057" s="116">
        <v>2346.1999999999998</v>
      </c>
      <c r="R2057">
        <v>47980</v>
      </c>
    </row>
    <row r="2058" spans="1:18" x14ac:dyDescent="0.25">
      <c r="A2058" s="169">
        <v>45036</v>
      </c>
      <c r="B2058" s="116">
        <v>2367.1999999999998</v>
      </c>
      <c r="C2058" s="116">
        <v>2221.35</v>
      </c>
      <c r="D2058" s="116">
        <v>2208.15</v>
      </c>
      <c r="E2058" s="116">
        <v>2342.85</v>
      </c>
      <c r="F2058" s="116">
        <v>2221.35</v>
      </c>
      <c r="G2058">
        <v>8863</v>
      </c>
      <c r="H2058" s="116"/>
      <c r="I2058" s="116"/>
      <c r="L2058" s="169">
        <v>45036</v>
      </c>
      <c r="M2058" s="116">
        <v>2221.6</v>
      </c>
      <c r="N2058" s="116">
        <v>2369</v>
      </c>
      <c r="O2058" s="116">
        <v>2205.5500000000002</v>
      </c>
      <c r="P2058" s="116">
        <v>2346.5</v>
      </c>
      <c r="Q2058" s="116">
        <v>2221.6</v>
      </c>
      <c r="R2058">
        <v>138977</v>
      </c>
    </row>
    <row r="2059" spans="1:18" x14ac:dyDescent="0.25">
      <c r="A2059" s="169">
        <v>45037</v>
      </c>
      <c r="B2059" s="116">
        <v>2271.5500000000002</v>
      </c>
      <c r="C2059" s="116">
        <v>2184.5500000000002</v>
      </c>
      <c r="D2059" s="116">
        <v>2165</v>
      </c>
      <c r="E2059" s="116">
        <v>2225.0500000000002</v>
      </c>
      <c r="F2059" s="116">
        <v>2184.5500000000002</v>
      </c>
      <c r="G2059">
        <v>10244</v>
      </c>
      <c r="H2059" s="116"/>
      <c r="I2059" s="116"/>
      <c r="L2059" s="169">
        <v>45037</v>
      </c>
      <c r="M2059" s="116">
        <v>2184.4499999999998</v>
      </c>
      <c r="N2059" s="116">
        <v>2275.0500000000002</v>
      </c>
      <c r="O2059" s="116">
        <v>2165.6999999999998</v>
      </c>
      <c r="P2059" s="116">
        <v>2236.3000000000002</v>
      </c>
      <c r="Q2059" s="116">
        <v>2184.4499999999998</v>
      </c>
      <c r="R2059">
        <v>136184</v>
      </c>
    </row>
    <row r="2060" spans="1:18" x14ac:dyDescent="0.25">
      <c r="A2060" s="169">
        <v>45040</v>
      </c>
      <c r="B2060" s="116">
        <v>2202.25</v>
      </c>
      <c r="C2060" s="116">
        <v>2191.75</v>
      </c>
      <c r="D2060" s="116">
        <v>2170.4499999999998</v>
      </c>
      <c r="E2060" s="116">
        <v>2184.6</v>
      </c>
      <c r="F2060" s="116">
        <v>2191.75</v>
      </c>
      <c r="G2060">
        <v>6354</v>
      </c>
      <c r="H2060" s="116"/>
      <c r="I2060" s="116"/>
      <c r="L2060" s="169">
        <v>45040</v>
      </c>
      <c r="M2060" s="116">
        <v>2190.6999999999998</v>
      </c>
      <c r="N2060" s="116">
        <v>2200</v>
      </c>
      <c r="O2060" s="116">
        <v>2174.15</v>
      </c>
      <c r="P2060" s="116">
        <v>2194</v>
      </c>
      <c r="Q2060" s="116">
        <v>2190.6999999999998</v>
      </c>
      <c r="R2060">
        <v>46159</v>
      </c>
    </row>
    <row r="2061" spans="1:18" x14ac:dyDescent="0.25">
      <c r="A2061" s="169">
        <v>45041</v>
      </c>
      <c r="B2061" s="116">
        <v>2208.65</v>
      </c>
      <c r="C2061" s="116">
        <v>2141.6</v>
      </c>
      <c r="D2061" s="116">
        <v>2130</v>
      </c>
      <c r="E2061" s="116">
        <v>2204.9499999999998</v>
      </c>
      <c r="F2061" s="116">
        <v>2141.6</v>
      </c>
      <c r="G2061">
        <v>13428</v>
      </c>
      <c r="H2061" s="116"/>
      <c r="I2061" s="116"/>
      <c r="L2061" s="169">
        <v>45041</v>
      </c>
      <c r="M2061" s="116">
        <v>2142.9499999999998</v>
      </c>
      <c r="N2061" s="116">
        <v>2207</v>
      </c>
      <c r="O2061" s="116">
        <v>2130</v>
      </c>
      <c r="P2061" s="116">
        <v>2193.9499999999998</v>
      </c>
      <c r="Q2061" s="116">
        <v>2142.9499999999998</v>
      </c>
      <c r="R2061">
        <v>82172</v>
      </c>
    </row>
    <row r="2062" spans="1:18" x14ac:dyDescent="0.25">
      <c r="A2062" s="169">
        <v>45042</v>
      </c>
      <c r="B2062" s="116">
        <v>2162.6</v>
      </c>
      <c r="C2062" s="116">
        <v>2096.35</v>
      </c>
      <c r="D2062" s="116">
        <v>2085</v>
      </c>
      <c r="E2062" s="116">
        <v>2151</v>
      </c>
      <c r="F2062" s="116">
        <v>2096.35</v>
      </c>
      <c r="G2062">
        <v>5956</v>
      </c>
      <c r="H2062" s="116"/>
      <c r="I2062" s="116"/>
      <c r="L2062" s="169">
        <v>45042</v>
      </c>
      <c r="M2062" s="116">
        <v>2097.15</v>
      </c>
      <c r="N2062" s="116">
        <v>2164.85</v>
      </c>
      <c r="O2062" s="116">
        <v>2085</v>
      </c>
      <c r="P2062" s="116">
        <v>2153.75</v>
      </c>
      <c r="Q2062" s="116">
        <v>2097.15</v>
      </c>
      <c r="R2062">
        <v>136890</v>
      </c>
    </row>
    <row r="2063" spans="1:18" x14ac:dyDescent="0.25">
      <c r="A2063" s="169">
        <v>45043</v>
      </c>
      <c r="B2063" s="116">
        <v>2127.6999999999998</v>
      </c>
      <c r="C2063" s="116">
        <v>2099.65</v>
      </c>
      <c r="D2063" s="116">
        <v>2096.1</v>
      </c>
      <c r="E2063" s="116">
        <v>2097</v>
      </c>
      <c r="F2063" s="116">
        <v>2099.65</v>
      </c>
      <c r="G2063">
        <v>3491</v>
      </c>
      <c r="H2063" s="116"/>
      <c r="I2063" s="116"/>
      <c r="L2063" s="169">
        <v>45043</v>
      </c>
      <c r="M2063" s="116">
        <v>2098.9</v>
      </c>
      <c r="N2063" s="116">
        <v>2129.35</v>
      </c>
      <c r="O2063" s="116">
        <v>2096</v>
      </c>
      <c r="P2063" s="116">
        <v>2109.5500000000002</v>
      </c>
      <c r="Q2063" s="116">
        <v>2098.9</v>
      </c>
      <c r="R2063">
        <v>68845</v>
      </c>
    </row>
    <row r="2064" spans="1:18" x14ac:dyDescent="0.25">
      <c r="A2064" s="169">
        <v>45044</v>
      </c>
      <c r="B2064" s="116">
        <v>2150.9499999999998</v>
      </c>
      <c r="C2064" s="116">
        <v>2101.1999999999998</v>
      </c>
      <c r="D2064" s="116">
        <v>2091.0500000000002</v>
      </c>
      <c r="E2064" s="116">
        <v>2150.9499999999998</v>
      </c>
      <c r="F2064" s="116">
        <v>2101.1999999999998</v>
      </c>
      <c r="G2064">
        <v>8178</v>
      </c>
      <c r="H2064" s="116"/>
      <c r="I2064" s="116"/>
      <c r="L2064" s="169">
        <v>45044</v>
      </c>
      <c r="M2064" s="116">
        <v>2100.3000000000002</v>
      </c>
      <c r="N2064" s="116">
        <v>2128.15</v>
      </c>
      <c r="O2064" s="116">
        <v>2090.5500000000002</v>
      </c>
      <c r="P2064" s="116">
        <v>2120</v>
      </c>
      <c r="Q2064" s="116">
        <v>2100.3000000000002</v>
      </c>
      <c r="R2064">
        <v>67995</v>
      </c>
    </row>
    <row r="2065" spans="1:18" x14ac:dyDescent="0.25">
      <c r="A2065" s="169">
        <v>45048</v>
      </c>
      <c r="B2065" s="116">
        <v>2247.0500000000002</v>
      </c>
      <c r="C2065" s="116">
        <v>2223</v>
      </c>
      <c r="D2065" s="116">
        <v>2106</v>
      </c>
      <c r="E2065" s="116">
        <v>2149.35</v>
      </c>
      <c r="F2065" s="116">
        <v>2223</v>
      </c>
      <c r="G2065">
        <v>27815</v>
      </c>
      <c r="H2065" s="116"/>
      <c r="I2065" s="116"/>
      <c r="L2065" s="169">
        <v>45048</v>
      </c>
      <c r="M2065" s="116">
        <v>2226.35</v>
      </c>
      <c r="N2065" s="116">
        <v>2282.9</v>
      </c>
      <c r="O2065" s="116">
        <v>2113.3000000000002</v>
      </c>
      <c r="P2065" s="116">
        <v>2121.75</v>
      </c>
      <c r="Q2065" s="116">
        <v>2226.35</v>
      </c>
      <c r="R2065">
        <v>330502</v>
      </c>
    </row>
    <row r="2066" spans="1:18" x14ac:dyDescent="0.25">
      <c r="A2066" s="169">
        <v>45049</v>
      </c>
      <c r="B2066" s="116">
        <v>2310.1</v>
      </c>
      <c r="C2066" s="116">
        <v>2297.35</v>
      </c>
      <c r="D2066" s="116">
        <v>2219.4499999999998</v>
      </c>
      <c r="E2066" s="116">
        <v>2235</v>
      </c>
      <c r="F2066" s="116">
        <v>2297.35</v>
      </c>
      <c r="G2066">
        <v>12216</v>
      </c>
      <c r="H2066" s="116"/>
      <c r="I2066" s="116"/>
      <c r="L2066" s="169">
        <v>45049</v>
      </c>
      <c r="M2066" s="116">
        <v>2298.0500000000002</v>
      </c>
      <c r="N2066" s="116">
        <v>2309.9</v>
      </c>
      <c r="O2066" s="116">
        <v>2218.5500000000002</v>
      </c>
      <c r="P2066" s="116">
        <v>2236</v>
      </c>
      <c r="Q2066" s="116">
        <v>2298.0500000000002</v>
      </c>
      <c r="R2066">
        <v>222426</v>
      </c>
    </row>
    <row r="2067" spans="1:18" x14ac:dyDescent="0.25">
      <c r="A2067" s="169">
        <v>45050</v>
      </c>
      <c r="B2067" s="116">
        <v>2334.1</v>
      </c>
      <c r="C2067" s="116">
        <v>2288.8000000000002</v>
      </c>
      <c r="D2067" s="116">
        <v>2271.1</v>
      </c>
      <c r="E2067" s="116">
        <v>2300.8000000000002</v>
      </c>
      <c r="F2067" s="116">
        <v>2288.8000000000002</v>
      </c>
      <c r="G2067">
        <v>5598</v>
      </c>
      <c r="H2067" s="116"/>
      <c r="I2067" s="116"/>
      <c r="L2067" s="169">
        <v>45050</v>
      </c>
      <c r="M2067" s="116">
        <v>2283.5</v>
      </c>
      <c r="N2067" s="116">
        <v>2333</v>
      </c>
      <c r="O2067" s="116">
        <v>2272</v>
      </c>
      <c r="P2067" s="116">
        <v>2310</v>
      </c>
      <c r="Q2067" s="116">
        <v>2283.5</v>
      </c>
      <c r="R2067">
        <v>100313</v>
      </c>
    </row>
    <row r="2068" spans="1:18" x14ac:dyDescent="0.25">
      <c r="A2068" s="169">
        <v>45051</v>
      </c>
      <c r="B2068" s="116">
        <v>2298</v>
      </c>
      <c r="C2068" s="116">
        <v>2216.85</v>
      </c>
      <c r="D2068" s="116">
        <v>2179.9499999999998</v>
      </c>
      <c r="E2068" s="116">
        <v>2288</v>
      </c>
      <c r="F2068" s="116">
        <v>2216.85</v>
      </c>
      <c r="G2068">
        <v>10913</v>
      </c>
      <c r="H2068" s="116"/>
      <c r="I2068" s="116"/>
      <c r="L2068" s="169">
        <v>45051</v>
      </c>
      <c r="M2068" s="116">
        <v>2229</v>
      </c>
      <c r="N2068" s="116">
        <v>2298.8000000000002</v>
      </c>
      <c r="O2068" s="116">
        <v>2212</v>
      </c>
      <c r="P2068" s="116">
        <v>2291</v>
      </c>
      <c r="Q2068" s="116">
        <v>2229</v>
      </c>
      <c r="R2068">
        <v>50147</v>
      </c>
    </row>
    <row r="2069" spans="1:18" x14ac:dyDescent="0.25">
      <c r="A2069" s="169">
        <v>45054</v>
      </c>
      <c r="B2069" s="116">
        <v>2369</v>
      </c>
      <c r="C2069" s="116">
        <v>2357.35</v>
      </c>
      <c r="D2069" s="116">
        <v>2216.9</v>
      </c>
      <c r="E2069" s="116">
        <v>2216.9</v>
      </c>
      <c r="F2069" s="116">
        <v>2357.35</v>
      </c>
      <c r="G2069">
        <v>8070</v>
      </c>
      <c r="H2069" s="116"/>
      <c r="I2069" s="116"/>
      <c r="L2069" s="169">
        <v>45054</v>
      </c>
      <c r="M2069" s="116">
        <v>2358.35</v>
      </c>
      <c r="N2069" s="116">
        <v>2368.4499999999998</v>
      </c>
      <c r="O2069" s="116">
        <v>2229</v>
      </c>
      <c r="P2069" s="116">
        <v>2229</v>
      </c>
      <c r="Q2069" s="116">
        <v>2358.35</v>
      </c>
      <c r="R2069">
        <v>198286</v>
      </c>
    </row>
    <row r="2070" spans="1:18" x14ac:dyDescent="0.25">
      <c r="A2070" s="169">
        <v>45055</v>
      </c>
      <c r="B2070" s="116">
        <v>2414.75</v>
      </c>
      <c r="C2070" s="116">
        <v>2369.4</v>
      </c>
      <c r="D2070" s="116">
        <v>2339.25</v>
      </c>
      <c r="E2070" s="116">
        <v>2387.85</v>
      </c>
      <c r="F2070" s="116">
        <v>2369.4</v>
      </c>
      <c r="G2070">
        <v>6885</v>
      </c>
      <c r="H2070" s="116"/>
      <c r="I2070" s="116"/>
      <c r="L2070" s="169">
        <v>45055</v>
      </c>
      <c r="M2070" s="116">
        <v>2387.0500000000002</v>
      </c>
      <c r="N2070" s="116">
        <v>2416.85</v>
      </c>
      <c r="O2070" s="116">
        <v>2370</v>
      </c>
      <c r="P2070" s="116">
        <v>2378.6999999999998</v>
      </c>
      <c r="Q2070" s="116">
        <v>2387.0500000000002</v>
      </c>
      <c r="R2070">
        <v>133455</v>
      </c>
    </row>
    <row r="2071" spans="1:18" x14ac:dyDescent="0.25">
      <c r="A2071" s="169">
        <v>45056</v>
      </c>
      <c r="B2071" s="116">
        <v>2416.5500000000002</v>
      </c>
      <c r="C2071" s="116">
        <v>2354.3000000000002</v>
      </c>
      <c r="D2071" s="116">
        <v>2333.15</v>
      </c>
      <c r="E2071" s="116">
        <v>2416.5500000000002</v>
      </c>
      <c r="F2071" s="116">
        <v>2354.3000000000002</v>
      </c>
      <c r="G2071">
        <v>3894</v>
      </c>
      <c r="H2071" s="116"/>
      <c r="I2071" s="116"/>
      <c r="L2071" s="169">
        <v>45056</v>
      </c>
      <c r="M2071" s="116">
        <v>2356.75</v>
      </c>
      <c r="N2071" s="116">
        <v>2407.85</v>
      </c>
      <c r="O2071" s="116">
        <v>2331.1</v>
      </c>
      <c r="P2071" s="116">
        <v>2407.85</v>
      </c>
      <c r="Q2071" s="116">
        <v>2356.75</v>
      </c>
      <c r="R2071">
        <v>68918</v>
      </c>
    </row>
    <row r="2072" spans="1:18" x14ac:dyDescent="0.25">
      <c r="A2072" s="169">
        <v>45057</v>
      </c>
      <c r="B2072" s="116">
        <v>2399</v>
      </c>
      <c r="C2072" s="116">
        <v>2382.5500000000002</v>
      </c>
      <c r="D2072" s="116">
        <v>2355.15</v>
      </c>
      <c r="E2072" s="116">
        <v>2355.15</v>
      </c>
      <c r="F2072" s="116">
        <v>2382.5500000000002</v>
      </c>
      <c r="G2072">
        <v>4357</v>
      </c>
      <c r="H2072" s="116"/>
      <c r="I2072" s="116"/>
      <c r="L2072" s="169">
        <v>45057</v>
      </c>
      <c r="M2072" s="116">
        <v>2382.3000000000002</v>
      </c>
      <c r="N2072" s="116">
        <v>2399.9</v>
      </c>
      <c r="O2072" s="116">
        <v>2359.6</v>
      </c>
      <c r="P2072" s="116">
        <v>2359.6</v>
      </c>
      <c r="Q2072" s="116">
        <v>2382.3000000000002</v>
      </c>
      <c r="R2072">
        <v>69091</v>
      </c>
    </row>
    <row r="2073" spans="1:18" x14ac:dyDescent="0.25">
      <c r="A2073" s="169">
        <v>45058</v>
      </c>
      <c r="B2073" s="116">
        <v>2388.1999999999998</v>
      </c>
      <c r="C2073" s="116">
        <v>2370.85</v>
      </c>
      <c r="D2073" s="116">
        <v>2329.65</v>
      </c>
      <c r="E2073" s="116">
        <v>2384</v>
      </c>
      <c r="F2073" s="116">
        <v>2370.85</v>
      </c>
      <c r="G2073">
        <v>10649</v>
      </c>
      <c r="H2073" s="116"/>
      <c r="I2073" s="116"/>
      <c r="L2073" s="169">
        <v>45058</v>
      </c>
      <c r="M2073" s="116">
        <v>2371.35</v>
      </c>
      <c r="N2073" s="116">
        <v>2389.85</v>
      </c>
      <c r="O2073" s="116">
        <v>2359.6</v>
      </c>
      <c r="P2073" s="116">
        <v>2382.4499999999998</v>
      </c>
      <c r="Q2073" s="116">
        <v>2371.35</v>
      </c>
      <c r="R2073">
        <v>37328</v>
      </c>
    </row>
    <row r="2074" spans="1:18" x14ac:dyDescent="0.25">
      <c r="A2074" s="169">
        <v>45061</v>
      </c>
      <c r="B2074" s="116">
        <v>2395.9</v>
      </c>
      <c r="C2074" s="116">
        <v>2389.5</v>
      </c>
      <c r="D2074" s="116">
        <v>2362</v>
      </c>
      <c r="E2074" s="116">
        <v>2392</v>
      </c>
      <c r="F2074" s="116">
        <v>2389.5</v>
      </c>
      <c r="G2074">
        <v>3043</v>
      </c>
      <c r="H2074" s="116"/>
      <c r="I2074" s="116"/>
      <c r="L2074" s="169">
        <v>45061</v>
      </c>
      <c r="M2074" s="116">
        <v>2390.35</v>
      </c>
      <c r="N2074" s="116">
        <v>2394</v>
      </c>
      <c r="O2074" s="116">
        <v>2360.1</v>
      </c>
      <c r="P2074" s="116">
        <v>2387.3000000000002</v>
      </c>
      <c r="Q2074" s="116">
        <v>2390.35</v>
      </c>
      <c r="R2074">
        <v>42090</v>
      </c>
    </row>
    <row r="2075" spans="1:18" x14ac:dyDescent="0.25">
      <c r="A2075" s="169">
        <v>45062</v>
      </c>
      <c r="B2075" s="116">
        <v>2448.9</v>
      </c>
      <c r="C2075" s="116">
        <v>2412.35</v>
      </c>
      <c r="D2075" s="116">
        <v>2380.0500000000002</v>
      </c>
      <c r="E2075" s="116">
        <v>2380.0500000000002</v>
      </c>
      <c r="F2075" s="116">
        <v>2412.35</v>
      </c>
      <c r="G2075">
        <v>2890</v>
      </c>
      <c r="H2075" s="116"/>
      <c r="I2075" s="116"/>
      <c r="L2075" s="169">
        <v>45062</v>
      </c>
      <c r="M2075" s="116">
        <v>2411.9499999999998</v>
      </c>
      <c r="N2075" s="116">
        <v>2450</v>
      </c>
      <c r="O2075" s="116">
        <v>2391</v>
      </c>
      <c r="P2075" s="116">
        <v>2404.35</v>
      </c>
      <c r="Q2075" s="116">
        <v>2411.9499999999998</v>
      </c>
      <c r="R2075">
        <v>77482</v>
      </c>
    </row>
    <row r="2076" spans="1:18" x14ac:dyDescent="0.25">
      <c r="A2076" s="169">
        <v>45063</v>
      </c>
      <c r="B2076" s="116">
        <v>2412.35</v>
      </c>
      <c r="C2076" s="116">
        <v>2366.6</v>
      </c>
      <c r="D2076" s="116">
        <v>2350</v>
      </c>
      <c r="E2076" s="116">
        <v>2366.1</v>
      </c>
      <c r="F2076" s="116">
        <v>2366.6</v>
      </c>
      <c r="G2076">
        <v>8396</v>
      </c>
      <c r="H2076" s="116"/>
      <c r="I2076" s="116"/>
      <c r="L2076" s="169">
        <v>45063</v>
      </c>
      <c r="M2076" s="116">
        <v>2365.75</v>
      </c>
      <c r="N2076" s="116">
        <v>2414.9499999999998</v>
      </c>
      <c r="O2076" s="116">
        <v>2350</v>
      </c>
      <c r="P2076" s="116">
        <v>2414.9499999999998</v>
      </c>
      <c r="Q2076" s="116">
        <v>2365.75</v>
      </c>
      <c r="R2076">
        <v>46099</v>
      </c>
    </row>
    <row r="2077" spans="1:18" x14ac:dyDescent="0.25">
      <c r="A2077" s="169">
        <v>45064</v>
      </c>
      <c r="B2077" s="116">
        <v>2405</v>
      </c>
      <c r="C2077" s="116">
        <v>2382.1999999999998</v>
      </c>
      <c r="D2077" s="116">
        <v>2360.1</v>
      </c>
      <c r="E2077" s="116">
        <v>2360.1</v>
      </c>
      <c r="F2077" s="116">
        <v>2382.1999999999998</v>
      </c>
      <c r="G2077">
        <v>9981</v>
      </c>
      <c r="H2077" s="116"/>
      <c r="I2077" s="116"/>
      <c r="L2077" s="169">
        <v>45064</v>
      </c>
      <c r="M2077" s="116">
        <v>2377.6999999999998</v>
      </c>
      <c r="N2077" s="116">
        <v>2405.9499999999998</v>
      </c>
      <c r="O2077" s="116">
        <v>2365</v>
      </c>
      <c r="P2077" s="116">
        <v>2376.9499999999998</v>
      </c>
      <c r="Q2077" s="116">
        <v>2377.6999999999998</v>
      </c>
      <c r="R2077">
        <v>32895</v>
      </c>
    </row>
    <row r="2078" spans="1:18" x14ac:dyDescent="0.25">
      <c r="A2078" s="169">
        <v>45065</v>
      </c>
      <c r="B2078" s="116">
        <v>2399.9499999999998</v>
      </c>
      <c r="C2078" s="116">
        <v>2306.1</v>
      </c>
      <c r="D2078" s="116">
        <v>2297.75</v>
      </c>
      <c r="E2078" s="116">
        <v>2399.9499999999998</v>
      </c>
      <c r="F2078" s="116">
        <v>2306.1</v>
      </c>
      <c r="G2078">
        <v>8772</v>
      </c>
      <c r="H2078" s="116"/>
      <c r="I2078" s="116"/>
      <c r="L2078" s="169">
        <v>45065</v>
      </c>
      <c r="M2078" s="116">
        <v>2306.5</v>
      </c>
      <c r="N2078" s="116">
        <v>2380.0500000000002</v>
      </c>
      <c r="O2078" s="116">
        <v>2297.35</v>
      </c>
      <c r="P2078" s="116">
        <v>2376.9</v>
      </c>
      <c r="Q2078" s="116">
        <v>2306.5</v>
      </c>
      <c r="R2078">
        <v>77190</v>
      </c>
    </row>
    <row r="2079" spans="1:18" x14ac:dyDescent="0.25">
      <c r="A2079" s="169">
        <v>45068</v>
      </c>
      <c r="B2079" s="116">
        <v>2245.65</v>
      </c>
      <c r="C2079" s="116">
        <v>2162.3000000000002</v>
      </c>
      <c r="D2079" s="116">
        <v>1872.9</v>
      </c>
      <c r="E2079" s="116">
        <v>1960.1</v>
      </c>
      <c r="F2079" s="116">
        <v>2162.3000000000002</v>
      </c>
      <c r="G2079">
        <v>78020</v>
      </c>
      <c r="H2079" s="116"/>
      <c r="I2079" s="116"/>
      <c r="L2079" s="169">
        <v>45068</v>
      </c>
      <c r="M2079" s="116">
        <v>2167.3000000000002</v>
      </c>
      <c r="N2079" s="116">
        <v>2247.1999999999998</v>
      </c>
      <c r="O2079" s="116">
        <v>1880</v>
      </c>
      <c r="P2079" s="116">
        <v>1999.95</v>
      </c>
      <c r="Q2079" s="116">
        <v>2167.3000000000002</v>
      </c>
      <c r="R2079">
        <v>1123040</v>
      </c>
    </row>
    <row r="2080" spans="1:18" x14ac:dyDescent="0.25">
      <c r="A2080" s="169">
        <v>45069</v>
      </c>
      <c r="B2080" s="116">
        <v>2280</v>
      </c>
      <c r="C2080" s="116">
        <v>2208.5</v>
      </c>
      <c r="D2080" s="116">
        <v>2165.0500000000002</v>
      </c>
      <c r="E2080" s="116">
        <v>2165.0500000000002</v>
      </c>
      <c r="F2080" s="116">
        <v>2208.5</v>
      </c>
      <c r="G2080">
        <v>11716</v>
      </c>
      <c r="H2080" s="116"/>
      <c r="I2080" s="116"/>
      <c r="L2080" s="169">
        <v>45069</v>
      </c>
      <c r="M2080" s="116">
        <v>2211.1</v>
      </c>
      <c r="N2080" s="116">
        <v>2282</v>
      </c>
      <c r="O2080" s="116">
        <v>2184.5</v>
      </c>
      <c r="P2080" s="116">
        <v>2185</v>
      </c>
      <c r="Q2080" s="116">
        <v>2211.1</v>
      </c>
      <c r="R2080">
        <v>347924</v>
      </c>
    </row>
    <row r="2081" spans="1:18" x14ac:dyDescent="0.25">
      <c r="A2081" s="169">
        <v>45070</v>
      </c>
      <c r="B2081" s="116">
        <v>2235</v>
      </c>
      <c r="C2081" s="116">
        <v>2162</v>
      </c>
      <c r="D2081" s="116">
        <v>2157.85</v>
      </c>
      <c r="E2081" s="116">
        <v>2235</v>
      </c>
      <c r="F2081" s="116">
        <v>2162</v>
      </c>
      <c r="G2081">
        <v>10083</v>
      </c>
      <c r="H2081" s="116"/>
      <c r="I2081" s="116"/>
      <c r="L2081" s="169">
        <v>45070</v>
      </c>
      <c r="M2081" s="116">
        <v>2162.25</v>
      </c>
      <c r="N2081" s="116">
        <v>2224.85</v>
      </c>
      <c r="O2081" s="116">
        <v>2154.6</v>
      </c>
      <c r="P2081" s="116">
        <v>2211.1</v>
      </c>
      <c r="Q2081" s="116">
        <v>2162.25</v>
      </c>
      <c r="R2081">
        <v>108997</v>
      </c>
    </row>
    <row r="2082" spans="1:18" x14ac:dyDescent="0.25">
      <c r="A2082" s="169">
        <v>45071</v>
      </c>
      <c r="B2082" s="116">
        <v>2186.65</v>
      </c>
      <c r="C2082" s="116">
        <v>2155.8000000000002</v>
      </c>
      <c r="D2082" s="116">
        <v>2150.85</v>
      </c>
      <c r="E2082" s="116">
        <v>2165.65</v>
      </c>
      <c r="F2082" s="116">
        <v>2155.8000000000002</v>
      </c>
      <c r="G2082">
        <v>4065</v>
      </c>
      <c r="H2082" s="116"/>
      <c r="I2082" s="116"/>
      <c r="L2082" s="169">
        <v>45071</v>
      </c>
      <c r="M2082" s="116">
        <v>2155.25</v>
      </c>
      <c r="N2082" s="116">
        <v>2190.5500000000002</v>
      </c>
      <c r="O2082" s="116">
        <v>2150</v>
      </c>
      <c r="P2082" s="116">
        <v>2178</v>
      </c>
      <c r="Q2082" s="116">
        <v>2155.25</v>
      </c>
      <c r="R2082">
        <v>46907</v>
      </c>
    </row>
    <row r="2083" spans="1:18" x14ac:dyDescent="0.25">
      <c r="A2083" s="169">
        <v>45072</v>
      </c>
      <c r="B2083" s="116">
        <v>2168.0500000000002</v>
      </c>
      <c r="C2083" s="116">
        <v>2154.85</v>
      </c>
      <c r="D2083" s="116">
        <v>2139.9499999999998</v>
      </c>
      <c r="E2083" s="116">
        <v>2150.0500000000002</v>
      </c>
      <c r="F2083" s="116">
        <v>2154.85</v>
      </c>
      <c r="G2083">
        <v>10230</v>
      </c>
      <c r="H2083" s="116"/>
      <c r="I2083" s="116"/>
      <c r="L2083" s="169">
        <v>45072</v>
      </c>
      <c r="M2083" s="116">
        <v>2158.75</v>
      </c>
      <c r="N2083" s="116">
        <v>2185.75</v>
      </c>
      <c r="O2083" s="116">
        <v>2140</v>
      </c>
      <c r="P2083" s="116">
        <v>2166.4</v>
      </c>
      <c r="Q2083" s="116">
        <v>2158.75</v>
      </c>
      <c r="R2083">
        <v>42370</v>
      </c>
    </row>
    <row r="2084" spans="1:18" x14ac:dyDescent="0.25">
      <c r="A2084" s="169">
        <v>45075</v>
      </c>
      <c r="B2084" s="116">
        <v>2177.65</v>
      </c>
      <c r="C2084" s="116">
        <v>2144.35</v>
      </c>
      <c r="D2084" s="116">
        <v>2135</v>
      </c>
      <c r="E2084" s="116">
        <v>2164.0500000000002</v>
      </c>
      <c r="F2084" s="116">
        <v>2144.35</v>
      </c>
      <c r="G2084">
        <v>3850</v>
      </c>
      <c r="H2084" s="116"/>
      <c r="I2084" s="116"/>
      <c r="L2084" s="169">
        <v>45075</v>
      </c>
      <c r="M2084" s="116">
        <v>2142.6999999999998</v>
      </c>
      <c r="N2084" s="116">
        <v>2183</v>
      </c>
      <c r="O2084" s="116">
        <v>2133</v>
      </c>
      <c r="P2084" s="116">
        <v>2183</v>
      </c>
      <c r="Q2084" s="116">
        <v>2142.6999999999998</v>
      </c>
      <c r="R2084">
        <v>50360</v>
      </c>
    </row>
    <row r="2085" spans="1:18" x14ac:dyDescent="0.25">
      <c r="A2085" s="169">
        <v>45076</v>
      </c>
      <c r="B2085" s="116">
        <v>2165</v>
      </c>
      <c r="C2085" s="116">
        <v>2121.65</v>
      </c>
      <c r="D2085" s="116">
        <v>2112</v>
      </c>
      <c r="E2085" s="116">
        <v>2145.0500000000002</v>
      </c>
      <c r="F2085" s="116">
        <v>2121.65</v>
      </c>
      <c r="G2085">
        <v>9447</v>
      </c>
      <c r="H2085" s="116"/>
      <c r="I2085" s="116"/>
      <c r="L2085" s="169">
        <v>45076</v>
      </c>
      <c r="M2085" s="116">
        <v>2121.25</v>
      </c>
      <c r="N2085" s="116">
        <v>2165.6</v>
      </c>
      <c r="O2085" s="116">
        <v>2110.25</v>
      </c>
      <c r="P2085" s="116">
        <v>2157</v>
      </c>
      <c r="Q2085" s="116">
        <v>2121.25</v>
      </c>
      <c r="R2085">
        <v>59763</v>
      </c>
    </row>
    <row r="2086" spans="1:18" x14ac:dyDescent="0.25">
      <c r="A2086" s="169">
        <v>45077</v>
      </c>
      <c r="B2086" s="116">
        <v>2149.9499999999998</v>
      </c>
      <c r="C2086" s="116">
        <v>2106.75</v>
      </c>
      <c r="D2086" s="116">
        <v>2100</v>
      </c>
      <c r="E2086" s="116">
        <v>2149.9499999999998</v>
      </c>
      <c r="F2086" s="116">
        <v>2106.75</v>
      </c>
      <c r="G2086">
        <v>6682</v>
      </c>
      <c r="H2086" s="116"/>
      <c r="I2086" s="116"/>
      <c r="L2086" s="169">
        <v>45077</v>
      </c>
      <c r="M2086" s="116">
        <v>2104.9499999999998</v>
      </c>
      <c r="N2086" s="116">
        <v>2144</v>
      </c>
      <c r="O2086" s="116">
        <v>2098.5500000000002</v>
      </c>
      <c r="P2086" s="116">
        <v>2144</v>
      </c>
      <c r="Q2086" s="116">
        <v>2104.9499999999998</v>
      </c>
      <c r="R2086">
        <v>44110</v>
      </c>
    </row>
    <row r="2087" spans="1:18" x14ac:dyDescent="0.25">
      <c r="A2087" s="169">
        <v>45078</v>
      </c>
      <c r="B2087" s="116">
        <v>2148.9499999999998</v>
      </c>
      <c r="C2087" s="116">
        <v>2116.6999999999998</v>
      </c>
      <c r="D2087" s="116">
        <v>2107.8000000000002</v>
      </c>
      <c r="E2087" s="116">
        <v>2148.9499999999998</v>
      </c>
      <c r="F2087" s="116">
        <v>2116.6999999999998</v>
      </c>
      <c r="G2087">
        <v>4422</v>
      </c>
      <c r="H2087" s="116"/>
      <c r="I2087" s="116"/>
      <c r="L2087" s="169">
        <v>45078</v>
      </c>
      <c r="M2087" s="116">
        <v>2116.65</v>
      </c>
      <c r="N2087" s="116">
        <v>2143</v>
      </c>
      <c r="O2087" s="116">
        <v>2106.25</v>
      </c>
      <c r="P2087" s="116">
        <v>2114.5</v>
      </c>
      <c r="Q2087" s="116">
        <v>2116.65</v>
      </c>
      <c r="R2087">
        <v>38924</v>
      </c>
    </row>
    <row r="2088" spans="1:18" x14ac:dyDescent="0.25">
      <c r="A2088" s="169">
        <v>45079</v>
      </c>
      <c r="B2088" s="116">
        <v>2163.15</v>
      </c>
      <c r="C2088" s="116">
        <v>2143.4499999999998</v>
      </c>
      <c r="D2088" s="116">
        <v>2123.15</v>
      </c>
      <c r="E2088" s="116">
        <v>2125</v>
      </c>
      <c r="F2088" s="116">
        <v>2143.4499999999998</v>
      </c>
      <c r="G2088">
        <v>9982</v>
      </c>
      <c r="H2088" s="116"/>
      <c r="I2088" s="116"/>
      <c r="L2088" s="169">
        <v>45079</v>
      </c>
      <c r="M2088" s="116">
        <v>2143.9499999999998</v>
      </c>
      <c r="N2088" s="116">
        <v>2163</v>
      </c>
      <c r="O2088" s="116">
        <v>2122.15</v>
      </c>
      <c r="P2088" s="116">
        <v>2126</v>
      </c>
      <c r="Q2088" s="116">
        <v>2143.9499999999998</v>
      </c>
      <c r="R2088">
        <v>50656</v>
      </c>
    </row>
    <row r="2089" spans="1:18" x14ac:dyDescent="0.25">
      <c r="A2089" s="169">
        <v>45082</v>
      </c>
      <c r="B2089" s="116">
        <v>2182.75</v>
      </c>
      <c r="C2089" s="116">
        <v>2170.4</v>
      </c>
      <c r="D2089" s="116">
        <v>2147.0500000000002</v>
      </c>
      <c r="E2089" s="116">
        <v>2147.0500000000002</v>
      </c>
      <c r="F2089" s="116">
        <v>2170.4</v>
      </c>
      <c r="G2089">
        <v>3337</v>
      </c>
      <c r="H2089" s="116"/>
      <c r="I2089" s="116"/>
      <c r="L2089" s="169">
        <v>45082</v>
      </c>
      <c r="M2089" s="116">
        <v>2170.65</v>
      </c>
      <c r="N2089" s="116">
        <v>2183.8000000000002</v>
      </c>
      <c r="O2089" s="116">
        <v>2146.8000000000002</v>
      </c>
      <c r="P2089" s="116">
        <v>2169.9499999999998</v>
      </c>
      <c r="Q2089" s="116">
        <v>2170.65</v>
      </c>
      <c r="R2089">
        <v>51345</v>
      </c>
    </row>
    <row r="2090" spans="1:18" x14ac:dyDescent="0.25">
      <c r="A2090" s="169">
        <v>45083</v>
      </c>
      <c r="B2090" s="116">
        <v>2185</v>
      </c>
      <c r="C2090" s="116">
        <v>2170.25</v>
      </c>
      <c r="D2090" s="116">
        <v>2154.65</v>
      </c>
      <c r="E2090" s="116">
        <v>2185</v>
      </c>
      <c r="F2090" s="116">
        <v>2170.25</v>
      </c>
      <c r="G2090">
        <v>2009</v>
      </c>
      <c r="H2090" s="116"/>
      <c r="I2090" s="116"/>
      <c r="L2090" s="169">
        <v>45083</v>
      </c>
      <c r="M2090" s="116">
        <v>2170.85</v>
      </c>
      <c r="N2090" s="116">
        <v>2184</v>
      </c>
      <c r="O2090" s="116">
        <v>2155</v>
      </c>
      <c r="P2090" s="116">
        <v>2184</v>
      </c>
      <c r="Q2090" s="116">
        <v>2170.85</v>
      </c>
      <c r="R2090">
        <v>33994</v>
      </c>
    </row>
    <row r="2091" spans="1:18" x14ac:dyDescent="0.25">
      <c r="A2091" s="169">
        <v>45084</v>
      </c>
      <c r="B2091" s="116">
        <v>2177.65</v>
      </c>
      <c r="C2091" s="116">
        <v>2168</v>
      </c>
      <c r="D2091" s="116">
        <v>2157.1</v>
      </c>
      <c r="E2091" s="116">
        <v>2165.0500000000002</v>
      </c>
      <c r="F2091" s="116">
        <v>2168</v>
      </c>
      <c r="G2091">
        <v>2627</v>
      </c>
      <c r="H2091" s="116"/>
      <c r="I2091" s="116"/>
      <c r="L2091" s="169">
        <v>45084</v>
      </c>
      <c r="M2091" s="116">
        <v>2168.9</v>
      </c>
      <c r="N2091" s="116">
        <v>2178.35</v>
      </c>
      <c r="O2091" s="116">
        <v>2157</v>
      </c>
      <c r="P2091" s="116">
        <v>2170.85</v>
      </c>
      <c r="Q2091" s="116">
        <v>2168.9</v>
      </c>
      <c r="R2091">
        <v>34525</v>
      </c>
    </row>
    <row r="2092" spans="1:18" x14ac:dyDescent="0.25">
      <c r="A2092" s="169">
        <v>45085</v>
      </c>
      <c r="B2092" s="116">
        <v>2195</v>
      </c>
      <c r="C2092" s="116">
        <v>2179.5</v>
      </c>
      <c r="D2092" s="116">
        <v>2160.0500000000002</v>
      </c>
      <c r="E2092" s="116">
        <v>2160.0500000000002</v>
      </c>
      <c r="F2092" s="116">
        <v>2179.5</v>
      </c>
      <c r="G2092">
        <v>2579</v>
      </c>
      <c r="H2092" s="116"/>
      <c r="I2092" s="116"/>
      <c r="L2092" s="169">
        <v>45085</v>
      </c>
      <c r="M2092" s="116">
        <v>2177.85</v>
      </c>
      <c r="N2092" s="116">
        <v>2197.0500000000002</v>
      </c>
      <c r="O2092" s="116">
        <v>2164</v>
      </c>
      <c r="P2092" s="116">
        <v>2164</v>
      </c>
      <c r="Q2092" s="116">
        <v>2177.85</v>
      </c>
      <c r="R2092">
        <v>59112</v>
      </c>
    </row>
    <row r="2093" spans="1:18" x14ac:dyDescent="0.25">
      <c r="A2093" s="169">
        <v>45086</v>
      </c>
      <c r="B2093" s="116">
        <v>2185.5</v>
      </c>
      <c r="C2093" s="116">
        <v>2155.5</v>
      </c>
      <c r="D2093" s="116">
        <v>2141</v>
      </c>
      <c r="E2093" s="116">
        <v>2180</v>
      </c>
      <c r="F2093" s="116">
        <v>2155.5</v>
      </c>
      <c r="G2093">
        <v>7764</v>
      </c>
      <c r="H2093" s="116"/>
      <c r="I2093" s="116"/>
      <c r="L2093" s="169">
        <v>45086</v>
      </c>
      <c r="M2093" s="116">
        <v>2156.35</v>
      </c>
      <c r="N2093" s="116">
        <v>2188.75</v>
      </c>
      <c r="O2093" s="116">
        <v>2150.1</v>
      </c>
      <c r="P2093" s="116">
        <v>2177.85</v>
      </c>
      <c r="Q2093" s="116">
        <v>2156.35</v>
      </c>
      <c r="R2093">
        <v>27185</v>
      </c>
    </row>
    <row r="2094" spans="1:18" x14ac:dyDescent="0.25">
      <c r="A2094" s="169">
        <v>45089</v>
      </c>
      <c r="B2094" s="116">
        <v>2198.9499999999998</v>
      </c>
      <c r="C2094" s="116">
        <v>2165</v>
      </c>
      <c r="D2094" s="116">
        <v>2150</v>
      </c>
      <c r="E2094" s="116">
        <v>2198.9499999999998</v>
      </c>
      <c r="F2094" s="116">
        <v>2165</v>
      </c>
      <c r="G2094">
        <v>4614</v>
      </c>
      <c r="H2094" s="116"/>
      <c r="I2094" s="116"/>
      <c r="L2094" s="169">
        <v>45089</v>
      </c>
      <c r="M2094" s="116">
        <v>2166.5500000000002</v>
      </c>
      <c r="N2094" s="116">
        <v>2183.9499999999998</v>
      </c>
      <c r="O2094" s="116">
        <v>2149</v>
      </c>
      <c r="P2094" s="116">
        <v>2160.0500000000002</v>
      </c>
      <c r="Q2094" s="116">
        <v>2166.5500000000002</v>
      </c>
      <c r="R2094">
        <v>35389</v>
      </c>
    </row>
    <row r="2095" spans="1:18" x14ac:dyDescent="0.25">
      <c r="A2095" s="169">
        <v>45090</v>
      </c>
      <c r="B2095" s="116">
        <v>2222.0500000000002</v>
      </c>
      <c r="C2095" s="116">
        <v>2198.1999999999998</v>
      </c>
      <c r="D2095" s="116">
        <v>2162.8000000000002</v>
      </c>
      <c r="E2095" s="116">
        <v>2175.4499999999998</v>
      </c>
      <c r="F2095" s="116">
        <v>2198.1999999999998</v>
      </c>
      <c r="G2095">
        <v>5372</v>
      </c>
      <c r="H2095" s="116"/>
      <c r="I2095" s="116"/>
      <c r="L2095" s="169">
        <v>45090</v>
      </c>
      <c r="M2095" s="116">
        <v>2196.85</v>
      </c>
      <c r="N2095" s="116">
        <v>2222.9</v>
      </c>
      <c r="O2095" s="116">
        <v>2163.75</v>
      </c>
      <c r="P2095" s="116">
        <v>2169.9</v>
      </c>
      <c r="Q2095" s="116">
        <v>2196.85</v>
      </c>
      <c r="R2095">
        <v>76087</v>
      </c>
    </row>
    <row r="2096" spans="1:18" x14ac:dyDescent="0.25">
      <c r="A2096" s="169">
        <v>45091</v>
      </c>
      <c r="B2096" s="116">
        <v>2249.9</v>
      </c>
      <c r="C2096" s="116">
        <v>2240.1999999999998</v>
      </c>
      <c r="D2096" s="116">
        <v>2201.0500000000002</v>
      </c>
      <c r="E2096" s="116">
        <v>2201.0500000000002</v>
      </c>
      <c r="F2096" s="116">
        <v>2240.1999999999998</v>
      </c>
      <c r="G2096">
        <v>11614</v>
      </c>
      <c r="H2096" s="116"/>
      <c r="I2096" s="116"/>
      <c r="L2096" s="169">
        <v>45091</v>
      </c>
      <c r="M2096" s="116">
        <v>2241.6</v>
      </c>
      <c r="N2096" s="116">
        <v>2250</v>
      </c>
      <c r="O2096" s="116">
        <v>2201.9</v>
      </c>
      <c r="P2096" s="116">
        <v>2225</v>
      </c>
      <c r="Q2096" s="116">
        <v>2241.6</v>
      </c>
      <c r="R2096">
        <v>82724</v>
      </c>
    </row>
    <row r="2097" spans="1:18" x14ac:dyDescent="0.25">
      <c r="A2097" s="169">
        <v>45092</v>
      </c>
      <c r="B2097" s="116">
        <v>2270</v>
      </c>
      <c r="C2097" s="116">
        <v>2252.3000000000002</v>
      </c>
      <c r="D2097" s="116">
        <v>2229.1</v>
      </c>
      <c r="E2097" s="116">
        <v>2250</v>
      </c>
      <c r="F2097" s="116">
        <v>2252.3000000000002</v>
      </c>
      <c r="G2097">
        <v>3607</v>
      </c>
      <c r="H2097" s="116"/>
      <c r="I2097" s="116"/>
      <c r="L2097" s="169">
        <v>45092</v>
      </c>
      <c r="M2097" s="116">
        <v>2249.1999999999998</v>
      </c>
      <c r="N2097" s="116">
        <v>2275</v>
      </c>
      <c r="O2097" s="116">
        <v>2229.25</v>
      </c>
      <c r="P2097" s="116">
        <v>2255</v>
      </c>
      <c r="Q2097" s="116">
        <v>2249.1999999999998</v>
      </c>
      <c r="R2097">
        <v>69468</v>
      </c>
    </row>
    <row r="2098" spans="1:18" x14ac:dyDescent="0.25">
      <c r="A2098" s="169">
        <v>45093</v>
      </c>
      <c r="B2098" s="116">
        <v>2273.4</v>
      </c>
      <c r="C2098" s="116">
        <v>2260.6999999999998</v>
      </c>
      <c r="D2098" s="116">
        <v>2244.65</v>
      </c>
      <c r="E2098" s="116">
        <v>2265.9499999999998</v>
      </c>
      <c r="F2098" s="116">
        <v>2260.6999999999998</v>
      </c>
      <c r="G2098">
        <v>6969</v>
      </c>
      <c r="H2098" s="116"/>
      <c r="I2098" s="116"/>
      <c r="L2098" s="169">
        <v>45093</v>
      </c>
      <c r="M2098" s="116">
        <v>2261.15</v>
      </c>
      <c r="N2098" s="116">
        <v>2273</v>
      </c>
      <c r="O2098" s="116">
        <v>2243.1</v>
      </c>
      <c r="P2098" s="116">
        <v>2257.9</v>
      </c>
      <c r="Q2098" s="116">
        <v>2261.15</v>
      </c>
      <c r="R2098">
        <v>46560</v>
      </c>
    </row>
    <row r="2099" spans="1:18" x14ac:dyDescent="0.25">
      <c r="A2099" s="169">
        <v>45096</v>
      </c>
      <c r="B2099" s="116">
        <v>2390</v>
      </c>
      <c r="C2099" s="116">
        <v>2369.65</v>
      </c>
      <c r="D2099" s="116">
        <v>2244.0500000000002</v>
      </c>
      <c r="E2099" s="116">
        <v>2244.0500000000002</v>
      </c>
      <c r="F2099" s="116">
        <v>2369.65</v>
      </c>
      <c r="G2099">
        <v>6044</v>
      </c>
      <c r="H2099" s="116"/>
      <c r="I2099" s="116"/>
      <c r="L2099" s="169">
        <v>45096</v>
      </c>
      <c r="M2099" s="116">
        <v>2369.4499999999998</v>
      </c>
      <c r="N2099" s="116">
        <v>2391</v>
      </c>
      <c r="O2099" s="116">
        <v>2266.0500000000002</v>
      </c>
      <c r="P2099" s="116">
        <v>2284.6</v>
      </c>
      <c r="Q2099" s="116">
        <v>2369.4499999999998</v>
      </c>
      <c r="R2099">
        <v>172447</v>
      </c>
    </row>
    <row r="2100" spans="1:18" x14ac:dyDescent="0.25">
      <c r="A2100" s="169">
        <v>45097</v>
      </c>
      <c r="B2100" s="116">
        <v>2444.35</v>
      </c>
      <c r="C2100" s="116">
        <v>2436.6999999999998</v>
      </c>
      <c r="D2100" s="116">
        <v>2375</v>
      </c>
      <c r="E2100" s="116">
        <v>2375</v>
      </c>
      <c r="F2100" s="116">
        <v>2436.6999999999998</v>
      </c>
      <c r="G2100">
        <v>25328</v>
      </c>
      <c r="H2100" s="116"/>
      <c r="I2100" s="116"/>
      <c r="L2100" s="169">
        <v>45097</v>
      </c>
      <c r="M2100" s="116">
        <v>2437.5500000000002</v>
      </c>
      <c r="N2100" s="116">
        <v>2445.9499999999998</v>
      </c>
      <c r="O2100" s="116">
        <v>2371.0500000000002</v>
      </c>
      <c r="P2100" s="116">
        <v>2371.0500000000002</v>
      </c>
      <c r="Q2100" s="116">
        <v>2437.5500000000002</v>
      </c>
      <c r="R2100">
        <v>177515</v>
      </c>
    </row>
    <row r="2101" spans="1:18" x14ac:dyDescent="0.25">
      <c r="A2101" s="169">
        <v>45098</v>
      </c>
      <c r="B2101" s="116">
        <v>2457.6</v>
      </c>
      <c r="C2101" s="116">
        <v>2403.25</v>
      </c>
      <c r="D2101" s="116">
        <v>2387.6999999999998</v>
      </c>
      <c r="E2101" s="116">
        <v>2446</v>
      </c>
      <c r="F2101" s="116">
        <v>2403.25</v>
      </c>
      <c r="G2101">
        <v>5118</v>
      </c>
      <c r="H2101" s="116"/>
      <c r="I2101" s="116"/>
      <c r="L2101" s="169">
        <v>45098</v>
      </c>
      <c r="M2101" s="116">
        <v>2400.65</v>
      </c>
      <c r="N2101" s="116">
        <v>2458.9</v>
      </c>
      <c r="O2101" s="116">
        <v>2385</v>
      </c>
      <c r="P2101" s="116">
        <v>2450.0500000000002</v>
      </c>
      <c r="Q2101" s="116">
        <v>2400.65</v>
      </c>
      <c r="R2101">
        <v>82944</v>
      </c>
    </row>
    <row r="2102" spans="1:18" x14ac:dyDescent="0.25">
      <c r="A2102" s="169">
        <v>45099</v>
      </c>
      <c r="B2102" s="116">
        <v>2395.9499999999998</v>
      </c>
      <c r="C2102" s="116">
        <v>2340.0500000000002</v>
      </c>
      <c r="D2102" s="116">
        <v>2324.9499999999998</v>
      </c>
      <c r="E2102" s="116">
        <v>2390</v>
      </c>
      <c r="F2102" s="116">
        <v>2340.0500000000002</v>
      </c>
      <c r="G2102">
        <v>14133</v>
      </c>
      <c r="H2102" s="116"/>
      <c r="I2102" s="116"/>
      <c r="L2102" s="169">
        <v>45099</v>
      </c>
      <c r="M2102" s="116">
        <v>2338.35</v>
      </c>
      <c r="N2102" s="116">
        <v>2395.4499999999998</v>
      </c>
      <c r="O2102" s="116">
        <v>2325.0500000000002</v>
      </c>
      <c r="P2102" s="116">
        <v>2370.0500000000002</v>
      </c>
      <c r="Q2102" s="116">
        <v>2338.35</v>
      </c>
      <c r="R2102">
        <v>59183</v>
      </c>
    </row>
    <row r="2103" spans="1:18" x14ac:dyDescent="0.25">
      <c r="A2103" s="169">
        <v>45100</v>
      </c>
      <c r="B2103" s="116">
        <v>2349.1999999999998</v>
      </c>
      <c r="C2103" s="116">
        <v>2289.3000000000002</v>
      </c>
      <c r="D2103" s="116">
        <v>2275</v>
      </c>
      <c r="E2103" s="116">
        <v>2340.15</v>
      </c>
      <c r="F2103" s="116">
        <v>2289.3000000000002</v>
      </c>
      <c r="G2103">
        <v>11430</v>
      </c>
      <c r="H2103" s="116"/>
      <c r="I2103" s="116"/>
      <c r="L2103" s="169">
        <v>45100</v>
      </c>
      <c r="M2103" s="116">
        <v>2289.1</v>
      </c>
      <c r="N2103" s="116">
        <v>2355</v>
      </c>
      <c r="O2103" s="116">
        <v>2275.8000000000002</v>
      </c>
      <c r="P2103" s="116">
        <v>2349.9</v>
      </c>
      <c r="Q2103" s="116">
        <v>2289.1</v>
      </c>
      <c r="R2103">
        <v>49964</v>
      </c>
    </row>
    <row r="2104" spans="1:18" x14ac:dyDescent="0.25">
      <c r="A2104" s="169">
        <v>45103</v>
      </c>
      <c r="B2104" s="116">
        <v>2300.0500000000002</v>
      </c>
      <c r="C2104" s="116">
        <v>2251.75</v>
      </c>
      <c r="D2104" s="116">
        <v>2238</v>
      </c>
      <c r="E2104" s="116">
        <v>2300.0500000000002</v>
      </c>
      <c r="F2104" s="116">
        <v>2251.75</v>
      </c>
      <c r="G2104">
        <v>7466</v>
      </c>
      <c r="H2104" s="116"/>
      <c r="I2104" s="116"/>
      <c r="L2104" s="169">
        <v>45103</v>
      </c>
      <c r="M2104" s="116">
        <v>2252.85</v>
      </c>
      <c r="N2104" s="116">
        <v>2304.0500000000002</v>
      </c>
      <c r="O2104" s="116">
        <v>2239</v>
      </c>
      <c r="P2104" s="116">
        <v>2304.0500000000002</v>
      </c>
      <c r="Q2104" s="116">
        <v>2252.85</v>
      </c>
      <c r="R2104">
        <v>48547</v>
      </c>
    </row>
    <row r="2105" spans="1:18" x14ac:dyDescent="0.25">
      <c r="A2105" s="169">
        <v>45104</v>
      </c>
      <c r="B2105" s="116">
        <v>2331.1</v>
      </c>
      <c r="C2105" s="116">
        <v>2321.1</v>
      </c>
      <c r="D2105" s="116">
        <v>2252.0500000000002</v>
      </c>
      <c r="E2105" s="116">
        <v>2252.0500000000002</v>
      </c>
      <c r="F2105" s="116">
        <v>2321.1</v>
      </c>
      <c r="G2105">
        <v>3502</v>
      </c>
      <c r="H2105" s="116"/>
      <c r="I2105" s="116"/>
      <c r="L2105" s="169">
        <v>45104</v>
      </c>
      <c r="M2105" s="116">
        <v>2321</v>
      </c>
      <c r="N2105" s="116">
        <v>2329</v>
      </c>
      <c r="O2105" s="116">
        <v>2259.35</v>
      </c>
      <c r="P2105" s="116">
        <v>2265</v>
      </c>
      <c r="Q2105" s="116">
        <v>2321</v>
      </c>
      <c r="R2105">
        <v>74235</v>
      </c>
    </row>
    <row r="2106" spans="1:18" x14ac:dyDescent="0.25">
      <c r="A2106" s="169">
        <v>45105</v>
      </c>
      <c r="B2106" s="116">
        <v>2355</v>
      </c>
      <c r="C2106" s="116">
        <v>2331.4</v>
      </c>
      <c r="D2106" s="116">
        <v>2320</v>
      </c>
      <c r="E2106" s="116">
        <v>2349.9499999999998</v>
      </c>
      <c r="F2106" s="116">
        <v>2331.4</v>
      </c>
      <c r="G2106">
        <v>6661</v>
      </c>
      <c r="H2106" s="116"/>
      <c r="I2106" s="116"/>
      <c r="L2106" s="169">
        <v>45105</v>
      </c>
      <c r="M2106" s="116">
        <v>2331.0500000000002</v>
      </c>
      <c r="N2106" s="116">
        <v>2356</v>
      </c>
      <c r="O2106" s="116">
        <v>2322</v>
      </c>
      <c r="P2106" s="116">
        <v>2336.6999999999998</v>
      </c>
      <c r="Q2106" s="116">
        <v>2331.0500000000002</v>
      </c>
      <c r="R2106">
        <v>43335</v>
      </c>
    </row>
    <row r="2107" spans="1:18" x14ac:dyDescent="0.25">
      <c r="A2107" s="169">
        <v>45107</v>
      </c>
      <c r="B2107" s="116">
        <v>2355</v>
      </c>
      <c r="C2107" s="116">
        <v>2316.25</v>
      </c>
      <c r="D2107" s="116">
        <v>2312</v>
      </c>
      <c r="E2107" s="116">
        <v>2341.1999999999998</v>
      </c>
      <c r="F2107" s="116">
        <v>2316.25</v>
      </c>
      <c r="G2107">
        <v>6264</v>
      </c>
      <c r="H2107" s="116"/>
      <c r="I2107" s="116"/>
      <c r="L2107" s="169">
        <v>45107</v>
      </c>
      <c r="M2107" s="116">
        <v>2316.5500000000002</v>
      </c>
      <c r="N2107" s="116">
        <v>2358</v>
      </c>
      <c r="O2107" s="116">
        <v>2310</v>
      </c>
      <c r="P2107" s="116">
        <v>2352.4499999999998</v>
      </c>
      <c r="Q2107" s="116">
        <v>2316.5500000000002</v>
      </c>
      <c r="R2107">
        <v>40880</v>
      </c>
    </row>
    <row r="2108" spans="1:18" x14ac:dyDescent="0.25">
      <c r="A2108" s="169">
        <v>45110</v>
      </c>
      <c r="B2108" s="116">
        <v>2350.65</v>
      </c>
      <c r="C2108" s="116">
        <v>2302.85</v>
      </c>
      <c r="D2108" s="116">
        <v>2300.0500000000002</v>
      </c>
      <c r="E2108" s="116">
        <v>2333.85</v>
      </c>
      <c r="F2108" s="116">
        <v>2302.85</v>
      </c>
      <c r="G2108">
        <v>3893</v>
      </c>
      <c r="H2108" s="116"/>
      <c r="I2108" s="116"/>
      <c r="L2108" s="169">
        <v>45110</v>
      </c>
      <c r="M2108" s="116">
        <v>2302.6</v>
      </c>
      <c r="N2108" s="116">
        <v>2350</v>
      </c>
      <c r="O2108" s="116">
        <v>2300</v>
      </c>
      <c r="P2108" s="116">
        <v>2329</v>
      </c>
      <c r="Q2108" s="116">
        <v>2302.6</v>
      </c>
      <c r="R2108">
        <v>51119</v>
      </c>
    </row>
    <row r="2109" spans="1:18" x14ac:dyDescent="0.25">
      <c r="A2109" s="169">
        <v>45111</v>
      </c>
      <c r="B2109" s="116">
        <v>2326.65</v>
      </c>
      <c r="C2109" s="116">
        <v>2285.25</v>
      </c>
      <c r="D2109" s="116">
        <v>2272.4499999999998</v>
      </c>
      <c r="E2109" s="116">
        <v>2326.65</v>
      </c>
      <c r="F2109" s="116">
        <v>2285.25</v>
      </c>
      <c r="G2109">
        <v>7697</v>
      </c>
      <c r="H2109" s="116"/>
      <c r="I2109" s="116"/>
      <c r="L2109" s="169">
        <v>45111</v>
      </c>
      <c r="M2109" s="116">
        <v>2286.1999999999998</v>
      </c>
      <c r="N2109" s="116">
        <v>2315</v>
      </c>
      <c r="O2109" s="116">
        <v>2275</v>
      </c>
      <c r="P2109" s="116">
        <v>2315</v>
      </c>
      <c r="Q2109" s="116">
        <v>2286.1999999999998</v>
      </c>
      <c r="R2109">
        <v>39237</v>
      </c>
    </row>
    <row r="2110" spans="1:18" x14ac:dyDescent="0.25">
      <c r="A2110" s="169">
        <v>45112</v>
      </c>
      <c r="B2110" s="116">
        <v>2299.85</v>
      </c>
      <c r="C2110" s="116">
        <v>2276.0500000000002</v>
      </c>
      <c r="D2110" s="116">
        <v>2263.65</v>
      </c>
      <c r="E2110" s="116">
        <v>2280.0500000000002</v>
      </c>
      <c r="F2110" s="116">
        <v>2276.0500000000002</v>
      </c>
      <c r="G2110">
        <v>2219</v>
      </c>
      <c r="H2110" s="116"/>
      <c r="I2110" s="116"/>
      <c r="L2110" s="169">
        <v>45112</v>
      </c>
      <c r="M2110" s="116">
        <v>2278.1999999999998</v>
      </c>
      <c r="N2110" s="116">
        <v>2301.8000000000002</v>
      </c>
      <c r="O2110" s="116">
        <v>2263</v>
      </c>
      <c r="P2110" s="116">
        <v>2286.1999999999998</v>
      </c>
      <c r="Q2110" s="116">
        <v>2278.1999999999998</v>
      </c>
      <c r="R2110">
        <v>33103</v>
      </c>
    </row>
    <row r="2111" spans="1:18" x14ac:dyDescent="0.25">
      <c r="A2111" s="169">
        <v>45113</v>
      </c>
      <c r="B2111" s="116">
        <v>2298.9</v>
      </c>
      <c r="C2111" s="116">
        <v>2289.1</v>
      </c>
      <c r="D2111" s="116">
        <v>2272.6999999999998</v>
      </c>
      <c r="E2111" s="116">
        <v>2276.0500000000002</v>
      </c>
      <c r="F2111" s="116">
        <v>2289.1</v>
      </c>
      <c r="G2111">
        <v>2654</v>
      </c>
      <c r="H2111" s="116"/>
      <c r="I2111" s="116"/>
      <c r="L2111" s="169">
        <v>45113</v>
      </c>
      <c r="M2111" s="116">
        <v>2290</v>
      </c>
      <c r="N2111" s="116">
        <v>2299.15</v>
      </c>
      <c r="O2111" s="116">
        <v>2270.0500000000002</v>
      </c>
      <c r="P2111" s="116">
        <v>2281</v>
      </c>
      <c r="Q2111" s="116">
        <v>2290</v>
      </c>
      <c r="R2111">
        <v>34211</v>
      </c>
    </row>
    <row r="2112" spans="1:18" x14ac:dyDescent="0.25">
      <c r="A2112" s="169">
        <v>45114</v>
      </c>
      <c r="B2112" s="116">
        <v>2322.8000000000002</v>
      </c>
      <c r="C2112" s="116">
        <v>2301.15</v>
      </c>
      <c r="D2112" s="116">
        <v>2270</v>
      </c>
      <c r="E2112" s="116">
        <v>2316.9499999999998</v>
      </c>
      <c r="F2112" s="116">
        <v>2301.15</v>
      </c>
      <c r="G2112">
        <v>1714</v>
      </c>
      <c r="H2112" s="116"/>
      <c r="I2112" s="116"/>
      <c r="L2112" s="169">
        <v>45114</v>
      </c>
      <c r="M2112" s="116">
        <v>2299.6</v>
      </c>
      <c r="N2112" s="116">
        <v>2327</v>
      </c>
      <c r="O2112" s="116">
        <v>2268.25</v>
      </c>
      <c r="P2112" s="116">
        <v>2280</v>
      </c>
      <c r="Q2112" s="116">
        <v>2299.6</v>
      </c>
      <c r="R2112">
        <v>56027</v>
      </c>
    </row>
    <row r="2113" spans="1:18" x14ac:dyDescent="0.25">
      <c r="A2113" s="169">
        <v>45117</v>
      </c>
      <c r="B2113" s="116">
        <v>2321.9499999999998</v>
      </c>
      <c r="C2113" s="116">
        <v>2235.25</v>
      </c>
      <c r="D2113" s="116">
        <v>2227.3000000000002</v>
      </c>
      <c r="E2113" s="116">
        <v>2321.9499999999998</v>
      </c>
      <c r="F2113" s="116">
        <v>2235.25</v>
      </c>
      <c r="G2113">
        <v>9136</v>
      </c>
      <c r="H2113" s="116"/>
      <c r="I2113" s="116"/>
      <c r="L2113" s="169">
        <v>45117</v>
      </c>
      <c r="M2113" s="116">
        <v>2236</v>
      </c>
      <c r="N2113" s="116">
        <v>2304.9</v>
      </c>
      <c r="O2113" s="116">
        <v>2227</v>
      </c>
      <c r="P2113" s="116">
        <v>2299.6</v>
      </c>
      <c r="Q2113" s="116">
        <v>2236</v>
      </c>
      <c r="R2113">
        <v>53008</v>
      </c>
    </row>
    <row r="2114" spans="1:18" x14ac:dyDescent="0.25">
      <c r="A2114" s="169">
        <v>45118</v>
      </c>
      <c r="B2114" s="116">
        <v>2235.3000000000002</v>
      </c>
      <c r="C2114" s="116">
        <v>2207.8000000000002</v>
      </c>
      <c r="D2114" s="116">
        <v>2202.25</v>
      </c>
      <c r="E2114" s="116">
        <v>2235.3000000000002</v>
      </c>
      <c r="F2114" s="116">
        <v>2207.8000000000002</v>
      </c>
      <c r="G2114">
        <v>2936</v>
      </c>
      <c r="H2114" s="116"/>
      <c r="I2114" s="116"/>
      <c r="L2114" s="169">
        <v>45118</v>
      </c>
      <c r="M2114" s="116">
        <v>2209.1</v>
      </c>
      <c r="N2114" s="116">
        <v>2248.65</v>
      </c>
      <c r="O2114" s="116">
        <v>2201.1</v>
      </c>
      <c r="P2114" s="116">
        <v>2248.65</v>
      </c>
      <c r="Q2114" s="116">
        <v>2209.1</v>
      </c>
      <c r="R2114">
        <v>51124</v>
      </c>
    </row>
    <row r="2115" spans="1:18" x14ac:dyDescent="0.25">
      <c r="A2115" s="169">
        <v>45119</v>
      </c>
      <c r="B2115" s="116">
        <v>2223.0500000000002</v>
      </c>
      <c r="C2115" s="116">
        <v>2186.4</v>
      </c>
      <c r="D2115" s="116">
        <v>2175</v>
      </c>
      <c r="E2115" s="116">
        <v>2202.1999999999998</v>
      </c>
      <c r="F2115" s="116">
        <v>2186.4</v>
      </c>
      <c r="G2115">
        <v>2106</v>
      </c>
      <c r="H2115" s="116"/>
      <c r="I2115" s="116"/>
      <c r="L2115" s="169">
        <v>45119</v>
      </c>
      <c r="M2115" s="116">
        <v>2185.1</v>
      </c>
      <c r="N2115" s="116">
        <v>2230.4499999999998</v>
      </c>
      <c r="O2115" s="116">
        <v>2172</v>
      </c>
      <c r="P2115" s="116">
        <v>2210.9499999999998</v>
      </c>
      <c r="Q2115" s="116">
        <v>2185.1</v>
      </c>
      <c r="R2115">
        <v>57817</v>
      </c>
    </row>
    <row r="2116" spans="1:18" x14ac:dyDescent="0.25">
      <c r="A2116" s="169">
        <v>45120</v>
      </c>
      <c r="B2116" s="116">
        <v>2200.4499999999998</v>
      </c>
      <c r="C2116" s="116">
        <v>2157</v>
      </c>
      <c r="D2116" s="116">
        <v>2153.4</v>
      </c>
      <c r="E2116" s="116">
        <v>2175.0500000000002</v>
      </c>
      <c r="F2116" s="116">
        <v>2157</v>
      </c>
      <c r="G2116">
        <v>9683</v>
      </c>
      <c r="H2116" s="116"/>
      <c r="I2116" s="116"/>
      <c r="L2116" s="169">
        <v>45120</v>
      </c>
      <c r="M2116" s="116">
        <v>2156.35</v>
      </c>
      <c r="N2116" s="116">
        <v>2199</v>
      </c>
      <c r="O2116" s="116">
        <v>2152.1</v>
      </c>
      <c r="P2116" s="116">
        <v>2185.1</v>
      </c>
      <c r="Q2116" s="116">
        <v>2156.35</v>
      </c>
      <c r="R2116">
        <v>47129</v>
      </c>
    </row>
    <row r="2117" spans="1:18" x14ac:dyDescent="0.25">
      <c r="A2117" s="169">
        <v>45121</v>
      </c>
      <c r="B2117" s="116">
        <v>2238</v>
      </c>
      <c r="C2117" s="116">
        <v>2212.4</v>
      </c>
      <c r="D2117" s="116">
        <v>2150</v>
      </c>
      <c r="E2117" s="116">
        <v>2170</v>
      </c>
      <c r="F2117" s="116">
        <v>2212.4</v>
      </c>
      <c r="G2117">
        <v>9210</v>
      </c>
      <c r="H2117" s="116"/>
      <c r="I2117" s="116"/>
      <c r="L2117" s="169">
        <v>45121</v>
      </c>
      <c r="M2117" s="116">
        <v>2215.3000000000002</v>
      </c>
      <c r="N2117" s="116">
        <v>2240</v>
      </c>
      <c r="O2117" s="116">
        <v>2150</v>
      </c>
      <c r="P2117" s="116">
        <v>2156.35</v>
      </c>
      <c r="Q2117" s="116">
        <v>2215.3000000000002</v>
      </c>
      <c r="R2117">
        <v>58869</v>
      </c>
    </row>
    <row r="2118" spans="1:18" x14ac:dyDescent="0.25">
      <c r="A2118" s="169">
        <v>45124</v>
      </c>
      <c r="B2118" s="116">
        <v>2281.65</v>
      </c>
      <c r="C2118" s="116">
        <v>2214.15</v>
      </c>
      <c r="D2118" s="116">
        <v>2197.65</v>
      </c>
      <c r="E2118" s="116">
        <v>2227</v>
      </c>
      <c r="F2118" s="116">
        <v>2214.15</v>
      </c>
      <c r="G2118">
        <v>4143</v>
      </c>
      <c r="H2118" s="116"/>
      <c r="I2118" s="116"/>
      <c r="L2118" s="169">
        <v>45124</v>
      </c>
      <c r="M2118" s="116">
        <v>2210.75</v>
      </c>
      <c r="N2118" s="116">
        <v>2279.6999999999998</v>
      </c>
      <c r="O2118" s="116">
        <v>2197.9499999999998</v>
      </c>
      <c r="P2118" s="116">
        <v>2239</v>
      </c>
      <c r="Q2118" s="116">
        <v>2210.75</v>
      </c>
      <c r="R2118">
        <v>66791</v>
      </c>
    </row>
    <row r="2119" spans="1:18" x14ac:dyDescent="0.25">
      <c r="A2119" s="169">
        <v>45125</v>
      </c>
      <c r="B2119" s="116">
        <v>2231.5</v>
      </c>
      <c r="C2119" s="116">
        <v>2211.8000000000002</v>
      </c>
      <c r="D2119" s="116">
        <v>2186.4</v>
      </c>
      <c r="E2119" s="116">
        <v>2202.0500000000002</v>
      </c>
      <c r="F2119" s="116">
        <v>2211.8000000000002</v>
      </c>
      <c r="G2119">
        <v>5205</v>
      </c>
      <c r="H2119" s="116"/>
      <c r="I2119" s="116"/>
      <c r="L2119" s="169">
        <v>45125</v>
      </c>
      <c r="M2119" s="116">
        <v>2213</v>
      </c>
      <c r="N2119" s="116">
        <v>2233</v>
      </c>
      <c r="O2119" s="116">
        <v>2186</v>
      </c>
      <c r="P2119" s="116">
        <v>2223.9499999999998</v>
      </c>
      <c r="Q2119" s="116">
        <v>2213</v>
      </c>
      <c r="R2119">
        <v>30234</v>
      </c>
    </row>
    <row r="2120" spans="1:18" x14ac:dyDescent="0.25">
      <c r="A2120" s="169">
        <v>45126</v>
      </c>
      <c r="B2120" s="116">
        <v>2233.35</v>
      </c>
      <c r="C2120" s="116">
        <v>2208.4499999999998</v>
      </c>
      <c r="D2120" s="116">
        <v>2205.9</v>
      </c>
      <c r="E2120" s="116">
        <v>2210.0500000000002</v>
      </c>
      <c r="F2120" s="116">
        <v>2208.4499999999998</v>
      </c>
      <c r="G2120">
        <v>1566</v>
      </c>
      <c r="H2120" s="116"/>
      <c r="I2120" s="116"/>
      <c r="L2120" s="169">
        <v>45126</v>
      </c>
      <c r="M2120" s="116">
        <v>2207.5500000000002</v>
      </c>
      <c r="N2120" s="116">
        <v>2235.1</v>
      </c>
      <c r="O2120" s="116">
        <v>2205</v>
      </c>
      <c r="P2120" s="116">
        <v>2224.85</v>
      </c>
      <c r="Q2120" s="116">
        <v>2207.5500000000002</v>
      </c>
      <c r="R2120">
        <v>25981</v>
      </c>
    </row>
    <row r="2121" spans="1:18" x14ac:dyDescent="0.25">
      <c r="A2121" s="169">
        <v>45127</v>
      </c>
      <c r="B2121" s="116">
        <v>2244.8000000000002</v>
      </c>
      <c r="C2121" s="116">
        <v>2214.5</v>
      </c>
      <c r="D2121" s="116">
        <v>2197</v>
      </c>
      <c r="E2121" s="116">
        <v>2229.85</v>
      </c>
      <c r="F2121" s="116">
        <v>2214.5</v>
      </c>
      <c r="G2121">
        <v>5489</v>
      </c>
      <c r="H2121" s="116"/>
      <c r="I2121" s="116"/>
      <c r="L2121" s="169">
        <v>45127</v>
      </c>
      <c r="M2121" s="116">
        <v>2214.1</v>
      </c>
      <c r="N2121" s="116">
        <v>2244</v>
      </c>
      <c r="O2121" s="116">
        <v>2197.4499999999998</v>
      </c>
      <c r="P2121" s="116">
        <v>2208</v>
      </c>
      <c r="Q2121" s="116">
        <v>2214.1</v>
      </c>
      <c r="R2121">
        <v>31074</v>
      </c>
    </row>
    <row r="2122" spans="1:18" x14ac:dyDescent="0.25">
      <c r="A2122" s="169">
        <v>45128</v>
      </c>
      <c r="B2122" s="116">
        <v>2210</v>
      </c>
      <c r="C2122" s="116">
        <v>2192.35</v>
      </c>
      <c r="D2122" s="116">
        <v>2180.1</v>
      </c>
      <c r="E2122" s="116">
        <v>2200.0500000000002</v>
      </c>
      <c r="F2122" s="116">
        <v>2192.35</v>
      </c>
      <c r="G2122">
        <v>6585</v>
      </c>
      <c r="H2122" s="116"/>
      <c r="I2122" s="116"/>
      <c r="L2122" s="169">
        <v>45128</v>
      </c>
      <c r="M2122" s="116">
        <v>2193.0500000000002</v>
      </c>
      <c r="N2122" s="116">
        <v>2213.15</v>
      </c>
      <c r="O2122" s="116">
        <v>2180.35</v>
      </c>
      <c r="P2122" s="116">
        <v>2210</v>
      </c>
      <c r="Q2122" s="116">
        <v>2193.0500000000002</v>
      </c>
      <c r="R2122">
        <v>26818</v>
      </c>
    </row>
    <row r="2123" spans="1:18" x14ac:dyDescent="0.25">
      <c r="A2123" s="169">
        <v>45131</v>
      </c>
      <c r="B2123" s="116">
        <v>2218.35</v>
      </c>
      <c r="C2123" s="116">
        <v>2191.6999999999998</v>
      </c>
      <c r="D2123" s="116">
        <v>2170.8000000000002</v>
      </c>
      <c r="E2123" s="116">
        <v>2200</v>
      </c>
      <c r="F2123" s="116">
        <v>2191.6999999999998</v>
      </c>
      <c r="G2123">
        <v>2263</v>
      </c>
      <c r="H2123" s="116"/>
      <c r="I2123" s="116"/>
      <c r="L2123" s="169">
        <v>45131</v>
      </c>
      <c r="M2123" s="116">
        <v>2193.5500000000002</v>
      </c>
      <c r="N2123" s="116">
        <v>2223.85</v>
      </c>
      <c r="O2123" s="116">
        <v>2171</v>
      </c>
      <c r="P2123" s="116">
        <v>2193.0500000000002</v>
      </c>
      <c r="Q2123" s="116">
        <v>2193.5500000000002</v>
      </c>
      <c r="R2123">
        <v>33921</v>
      </c>
    </row>
    <row r="2124" spans="1:18" x14ac:dyDescent="0.25">
      <c r="A2124" s="169">
        <v>45132</v>
      </c>
      <c r="B2124" s="116">
        <v>2221</v>
      </c>
      <c r="C2124" s="116">
        <v>2194.35</v>
      </c>
      <c r="D2124" s="116">
        <v>2178</v>
      </c>
      <c r="E2124" s="116">
        <v>2193.6</v>
      </c>
      <c r="F2124" s="116">
        <v>2194.35</v>
      </c>
      <c r="G2124">
        <v>2245</v>
      </c>
      <c r="H2124" s="116"/>
      <c r="I2124" s="116"/>
      <c r="L2124" s="169">
        <v>45132</v>
      </c>
      <c r="M2124" s="116">
        <v>2193.0500000000002</v>
      </c>
      <c r="N2124" s="116">
        <v>2220</v>
      </c>
      <c r="O2124" s="116">
        <v>2174</v>
      </c>
      <c r="P2124" s="116">
        <v>2207.65</v>
      </c>
      <c r="Q2124" s="116">
        <v>2193.0500000000002</v>
      </c>
      <c r="R2124">
        <v>34130</v>
      </c>
    </row>
    <row r="2125" spans="1:18" x14ac:dyDescent="0.25">
      <c r="A2125" s="169">
        <v>45133</v>
      </c>
      <c r="B2125" s="116">
        <v>2214.25</v>
      </c>
      <c r="C2125" s="116">
        <v>2184.5</v>
      </c>
      <c r="D2125" s="116">
        <v>2181</v>
      </c>
      <c r="E2125" s="116">
        <v>2194.4</v>
      </c>
      <c r="F2125" s="116">
        <v>2184.5</v>
      </c>
      <c r="G2125">
        <v>4159</v>
      </c>
      <c r="H2125" s="116"/>
      <c r="I2125" s="116"/>
      <c r="L2125" s="169">
        <v>45133</v>
      </c>
      <c r="M2125" s="116">
        <v>2184.75</v>
      </c>
      <c r="N2125" s="116">
        <v>2205.85</v>
      </c>
      <c r="O2125" s="116">
        <v>2178.0500000000002</v>
      </c>
      <c r="P2125" s="116">
        <v>2205.85</v>
      </c>
      <c r="Q2125" s="116">
        <v>2184.75</v>
      </c>
      <c r="R2125">
        <v>20552</v>
      </c>
    </row>
    <row r="2126" spans="1:18" x14ac:dyDescent="0.25">
      <c r="A2126" s="169">
        <v>45134</v>
      </c>
      <c r="B2126" s="116">
        <v>2199</v>
      </c>
      <c r="C2126" s="116">
        <v>2170.85</v>
      </c>
      <c r="D2126" s="116">
        <v>2165.0500000000002</v>
      </c>
      <c r="E2126" s="116">
        <v>2176.65</v>
      </c>
      <c r="F2126" s="116">
        <v>2170.85</v>
      </c>
      <c r="G2126">
        <v>1565</v>
      </c>
      <c r="H2126" s="116"/>
      <c r="I2126" s="116"/>
      <c r="L2126" s="169">
        <v>45134</v>
      </c>
      <c r="M2126" s="116">
        <v>2172</v>
      </c>
      <c r="N2126" s="116">
        <v>2199.9499999999998</v>
      </c>
      <c r="O2126" s="116">
        <v>2165</v>
      </c>
      <c r="P2126" s="116">
        <v>2191</v>
      </c>
      <c r="Q2126" s="116">
        <v>2172</v>
      </c>
      <c r="R2126">
        <v>27496</v>
      </c>
    </row>
    <row r="2127" spans="1:18" x14ac:dyDescent="0.25">
      <c r="A2127" s="169">
        <v>45135</v>
      </c>
      <c r="B2127" s="116">
        <v>2185.5500000000002</v>
      </c>
      <c r="C2127" s="116">
        <v>2176</v>
      </c>
      <c r="D2127" s="116">
        <v>2167</v>
      </c>
      <c r="E2127" s="116">
        <v>2176.9</v>
      </c>
      <c r="F2127" s="116">
        <v>2176</v>
      </c>
      <c r="G2127">
        <v>12369</v>
      </c>
      <c r="H2127" s="116"/>
      <c r="I2127" s="116"/>
      <c r="L2127" s="169">
        <v>45135</v>
      </c>
      <c r="M2127" s="116">
        <v>2177.5</v>
      </c>
      <c r="N2127" s="116">
        <v>2190</v>
      </c>
      <c r="O2127" s="116">
        <v>2167.1</v>
      </c>
      <c r="P2127" s="116">
        <v>2183.25</v>
      </c>
      <c r="Q2127" s="116">
        <v>2177.5</v>
      </c>
      <c r="R2127">
        <v>33888</v>
      </c>
    </row>
    <row r="2128" spans="1:18" x14ac:dyDescent="0.25">
      <c r="A2128" s="169">
        <v>45138</v>
      </c>
      <c r="B2128" s="116">
        <v>2211.6</v>
      </c>
      <c r="C2128" s="116">
        <v>2188.4499999999998</v>
      </c>
      <c r="D2128" s="116">
        <v>2178.85</v>
      </c>
      <c r="E2128" s="116">
        <v>2180.1999999999998</v>
      </c>
      <c r="F2128" s="116">
        <v>2188.4499999999998</v>
      </c>
      <c r="G2128">
        <v>1480</v>
      </c>
      <c r="H2128" s="116"/>
      <c r="I2128" s="116"/>
      <c r="L2128" s="169">
        <v>45138</v>
      </c>
      <c r="M2128" s="116">
        <v>2188.0500000000002</v>
      </c>
      <c r="N2128" s="116">
        <v>2215.9499999999998</v>
      </c>
      <c r="O2128" s="116">
        <v>2178.6</v>
      </c>
      <c r="P2128" s="116">
        <v>2200</v>
      </c>
      <c r="Q2128" s="116">
        <v>2188.0500000000002</v>
      </c>
      <c r="R2128">
        <v>35477</v>
      </c>
    </row>
    <row r="2129" spans="1:18" x14ac:dyDescent="0.25">
      <c r="A2129" s="169">
        <v>45139</v>
      </c>
      <c r="B2129" s="116">
        <v>2211.5</v>
      </c>
      <c r="C2129" s="116">
        <v>2202.65</v>
      </c>
      <c r="D2129" s="116">
        <v>2184.1999999999998</v>
      </c>
      <c r="E2129" s="116">
        <v>2184.1999999999998</v>
      </c>
      <c r="F2129" s="116">
        <v>2202.65</v>
      </c>
      <c r="G2129">
        <v>6471</v>
      </c>
      <c r="H2129" s="116"/>
      <c r="I2129" s="116"/>
      <c r="L2129" s="169">
        <v>45139</v>
      </c>
      <c r="M2129" s="116">
        <v>2203.25</v>
      </c>
      <c r="N2129" s="116">
        <v>2210</v>
      </c>
      <c r="O2129" s="116">
        <v>2185</v>
      </c>
      <c r="P2129" s="116">
        <v>2207.8000000000002</v>
      </c>
      <c r="Q2129" s="116">
        <v>2203.25</v>
      </c>
      <c r="R2129">
        <v>24938</v>
      </c>
    </row>
    <row r="2130" spans="1:18" x14ac:dyDescent="0.25">
      <c r="A2130" s="169">
        <v>45140</v>
      </c>
      <c r="B2130" s="116">
        <v>2268.4499999999998</v>
      </c>
      <c r="C2130" s="116">
        <v>2225.5</v>
      </c>
      <c r="D2130" s="116">
        <v>2189.5</v>
      </c>
      <c r="E2130" s="116">
        <v>2219.4499999999998</v>
      </c>
      <c r="F2130" s="116">
        <v>2225.5</v>
      </c>
      <c r="G2130">
        <v>6029</v>
      </c>
      <c r="H2130" s="116"/>
      <c r="I2130" s="116"/>
      <c r="L2130" s="169">
        <v>45140</v>
      </c>
      <c r="M2130" s="116">
        <v>2224.75</v>
      </c>
      <c r="N2130" s="116">
        <v>2269.9499999999998</v>
      </c>
      <c r="O2130" s="116">
        <v>2188.0500000000002</v>
      </c>
      <c r="P2130" s="116">
        <v>2216</v>
      </c>
      <c r="Q2130" s="116">
        <v>2224.75</v>
      </c>
      <c r="R2130">
        <v>128856</v>
      </c>
    </row>
    <row r="2131" spans="1:18" x14ac:dyDescent="0.25">
      <c r="A2131" s="169">
        <v>45141</v>
      </c>
      <c r="B2131" s="116">
        <v>2252.15</v>
      </c>
      <c r="C2131" s="116">
        <v>2239.65</v>
      </c>
      <c r="D2131" s="116">
        <v>2205</v>
      </c>
      <c r="E2131" s="116">
        <v>2233.9499999999998</v>
      </c>
      <c r="F2131" s="116">
        <v>2239.65</v>
      </c>
      <c r="G2131">
        <v>7704</v>
      </c>
      <c r="H2131" s="116"/>
      <c r="I2131" s="116"/>
      <c r="L2131" s="169">
        <v>45141</v>
      </c>
      <c r="M2131" s="116">
        <v>2240.65</v>
      </c>
      <c r="N2131" s="116">
        <v>2252.85</v>
      </c>
      <c r="O2131" s="116">
        <v>2205.0500000000002</v>
      </c>
      <c r="P2131" s="116">
        <v>2225</v>
      </c>
      <c r="Q2131" s="116">
        <v>2240.65</v>
      </c>
      <c r="R2131">
        <v>41742</v>
      </c>
    </row>
    <row r="2132" spans="1:18" x14ac:dyDescent="0.25">
      <c r="A2132" s="169">
        <v>45142</v>
      </c>
      <c r="B2132" s="116">
        <v>2253.25</v>
      </c>
      <c r="C2132" s="116">
        <v>2234.5500000000002</v>
      </c>
      <c r="D2132" s="116">
        <v>2222.8000000000002</v>
      </c>
      <c r="E2132" s="116">
        <v>2252.6999999999998</v>
      </c>
      <c r="F2132" s="116">
        <v>2234.5500000000002</v>
      </c>
      <c r="G2132">
        <v>3505</v>
      </c>
      <c r="H2132" s="116"/>
      <c r="I2132" s="116"/>
      <c r="L2132" s="169">
        <v>45142</v>
      </c>
      <c r="M2132" s="116">
        <v>2233.1999999999998</v>
      </c>
      <c r="N2132" s="116">
        <v>2264.65</v>
      </c>
      <c r="O2132" s="116">
        <v>2221.9499999999998</v>
      </c>
      <c r="P2132" s="116">
        <v>2264.65</v>
      </c>
      <c r="Q2132" s="116">
        <v>2233.1999999999998</v>
      </c>
      <c r="R2132">
        <v>42901</v>
      </c>
    </row>
    <row r="2133" spans="1:18" x14ac:dyDescent="0.25">
      <c r="A2133" s="169">
        <v>45145</v>
      </c>
      <c r="B2133" s="116">
        <v>2273.9499999999998</v>
      </c>
      <c r="C2133" s="116">
        <v>2223.6</v>
      </c>
      <c r="D2133" s="116">
        <v>2216</v>
      </c>
      <c r="E2133" s="116">
        <v>2235</v>
      </c>
      <c r="F2133" s="116">
        <v>2223.6</v>
      </c>
      <c r="G2133">
        <v>8309</v>
      </c>
      <c r="H2133" s="116"/>
      <c r="I2133" s="116"/>
      <c r="L2133" s="169">
        <v>45145</v>
      </c>
      <c r="M2133" s="116">
        <v>2223.75</v>
      </c>
      <c r="N2133" s="116">
        <v>2275</v>
      </c>
      <c r="O2133" s="116">
        <v>2215.3000000000002</v>
      </c>
      <c r="P2133" s="116">
        <v>2260</v>
      </c>
      <c r="Q2133" s="116">
        <v>2223.75</v>
      </c>
      <c r="R2133">
        <v>34933</v>
      </c>
    </row>
    <row r="2134" spans="1:18" x14ac:dyDescent="0.25">
      <c r="A2134" s="169">
        <v>45146</v>
      </c>
      <c r="B2134" s="116">
        <v>2226.0500000000002</v>
      </c>
      <c r="C2134" s="116">
        <v>2204.9499999999998</v>
      </c>
      <c r="D2134" s="116">
        <v>2199.3000000000002</v>
      </c>
      <c r="E2134" s="116">
        <v>2223.6</v>
      </c>
      <c r="F2134" s="116">
        <v>2204.9499999999998</v>
      </c>
      <c r="G2134">
        <v>2631</v>
      </c>
      <c r="H2134" s="116"/>
      <c r="I2134" s="116"/>
      <c r="L2134" s="169">
        <v>45146</v>
      </c>
      <c r="M2134" s="116">
        <v>2203.15</v>
      </c>
      <c r="N2134" s="116">
        <v>2229.9499999999998</v>
      </c>
      <c r="O2134" s="116">
        <v>2199.8000000000002</v>
      </c>
      <c r="P2134" s="116">
        <v>2223.65</v>
      </c>
      <c r="Q2134" s="116">
        <v>2203.15</v>
      </c>
      <c r="R2134">
        <v>24196</v>
      </c>
    </row>
    <row r="2135" spans="1:18" x14ac:dyDescent="0.25">
      <c r="A2135" s="169">
        <v>45147</v>
      </c>
      <c r="B2135" s="116">
        <v>2219.1</v>
      </c>
      <c r="C2135" s="116">
        <v>2197</v>
      </c>
      <c r="D2135" s="116">
        <v>2193</v>
      </c>
      <c r="E2135" s="116">
        <v>2219.1</v>
      </c>
      <c r="F2135" s="116">
        <v>2197</v>
      </c>
      <c r="G2135">
        <v>5891</v>
      </c>
      <c r="H2135" s="116"/>
      <c r="I2135" s="116"/>
      <c r="L2135" s="169">
        <v>45147</v>
      </c>
      <c r="M2135" s="116">
        <v>2196.4</v>
      </c>
      <c r="N2135" s="116">
        <v>2209.35</v>
      </c>
      <c r="O2135" s="116">
        <v>2191.1999999999998</v>
      </c>
      <c r="P2135" s="116">
        <v>2203.15</v>
      </c>
      <c r="Q2135" s="116">
        <v>2196.4</v>
      </c>
      <c r="R2135">
        <v>16001</v>
      </c>
    </row>
    <row r="2136" spans="1:18" x14ac:dyDescent="0.25">
      <c r="A2136" s="169">
        <v>45148</v>
      </c>
      <c r="B2136" s="116">
        <v>2212</v>
      </c>
      <c r="C2136" s="116">
        <v>2197.6</v>
      </c>
      <c r="D2136" s="116">
        <v>2190.9499999999998</v>
      </c>
      <c r="E2136" s="116">
        <v>2196</v>
      </c>
      <c r="F2136" s="116">
        <v>2197.6</v>
      </c>
      <c r="G2136">
        <v>5689</v>
      </c>
      <c r="H2136" s="116"/>
      <c r="I2136" s="116"/>
      <c r="L2136" s="169">
        <v>45148</v>
      </c>
      <c r="M2136" s="116">
        <v>2199.5</v>
      </c>
      <c r="N2136" s="116">
        <v>2214.6</v>
      </c>
      <c r="O2136" s="116">
        <v>2191.1</v>
      </c>
      <c r="P2136" s="116">
        <v>2196.4</v>
      </c>
      <c r="Q2136" s="116">
        <v>2199.5</v>
      </c>
      <c r="R2136">
        <v>18627</v>
      </c>
    </row>
    <row r="2137" spans="1:18" x14ac:dyDescent="0.25">
      <c r="A2137" s="169">
        <v>45149</v>
      </c>
      <c r="B2137" s="116">
        <v>2222.0500000000002</v>
      </c>
      <c r="C2137" s="116">
        <v>2203.1</v>
      </c>
      <c r="D2137" s="116">
        <v>2191.1</v>
      </c>
      <c r="E2137" s="116">
        <v>2191.1</v>
      </c>
      <c r="F2137" s="116">
        <v>2203.1</v>
      </c>
      <c r="G2137">
        <v>2603</v>
      </c>
      <c r="H2137" s="116"/>
      <c r="I2137" s="116"/>
      <c r="L2137" s="169">
        <v>45149</v>
      </c>
      <c r="M2137" s="116">
        <v>2201.4499999999998</v>
      </c>
      <c r="N2137" s="116">
        <v>2220.5</v>
      </c>
      <c r="O2137" s="116">
        <v>2192.4</v>
      </c>
      <c r="P2137" s="116">
        <v>2204</v>
      </c>
      <c r="Q2137" s="116">
        <v>2201.4499999999998</v>
      </c>
      <c r="R2137">
        <v>26266</v>
      </c>
    </row>
    <row r="2138" spans="1:18" x14ac:dyDescent="0.25">
      <c r="A2138" s="169">
        <v>45152</v>
      </c>
      <c r="B2138" s="116">
        <v>2203.1</v>
      </c>
      <c r="C2138" s="116">
        <v>2182.4499999999998</v>
      </c>
      <c r="D2138" s="116">
        <v>2170.6999999999998</v>
      </c>
      <c r="E2138" s="116">
        <v>2200</v>
      </c>
      <c r="F2138" s="116">
        <v>2182.4499999999998</v>
      </c>
      <c r="G2138">
        <v>6300</v>
      </c>
      <c r="H2138" s="116"/>
      <c r="I2138" s="116"/>
      <c r="L2138" s="169">
        <v>45152</v>
      </c>
      <c r="M2138" s="116">
        <v>2181.9</v>
      </c>
      <c r="N2138" s="116">
        <v>2205</v>
      </c>
      <c r="O2138" s="116">
        <v>2171.9499999999998</v>
      </c>
      <c r="P2138" s="116">
        <v>2204.9499999999998</v>
      </c>
      <c r="Q2138" s="116">
        <v>2181.9</v>
      </c>
      <c r="R2138">
        <v>20686</v>
      </c>
    </row>
    <row r="2139" spans="1:18" x14ac:dyDescent="0.25">
      <c r="A2139" s="169">
        <v>45154</v>
      </c>
      <c r="B2139" s="116">
        <v>2160</v>
      </c>
      <c r="C2139" s="116">
        <v>2107.8000000000002</v>
      </c>
      <c r="D2139" s="116">
        <v>2095.4</v>
      </c>
      <c r="E2139" s="116">
        <v>2154</v>
      </c>
      <c r="F2139" s="116">
        <v>2107.8000000000002</v>
      </c>
      <c r="G2139">
        <v>33066</v>
      </c>
      <c r="H2139" s="116"/>
      <c r="I2139" s="116"/>
      <c r="L2139" s="169">
        <v>45154</v>
      </c>
      <c r="M2139" s="116">
        <v>2107.1</v>
      </c>
      <c r="N2139" s="116">
        <v>2167.75</v>
      </c>
      <c r="O2139" s="116">
        <v>2097</v>
      </c>
      <c r="P2139" s="116">
        <v>2149.1999999999998</v>
      </c>
      <c r="Q2139" s="116">
        <v>2107.1</v>
      </c>
      <c r="R2139">
        <v>201591</v>
      </c>
    </row>
    <row r="2140" spans="1:18" x14ac:dyDescent="0.25">
      <c r="A2140" s="169">
        <v>45155</v>
      </c>
      <c r="B2140" s="116">
        <v>2097.8000000000002</v>
      </c>
      <c r="C2140" s="116">
        <v>2038.15</v>
      </c>
      <c r="D2140" s="116">
        <v>2031</v>
      </c>
      <c r="E2140" s="116">
        <v>2075</v>
      </c>
      <c r="F2140" s="116">
        <v>2038.15</v>
      </c>
      <c r="G2140">
        <v>27808</v>
      </c>
      <c r="H2140" s="116"/>
      <c r="I2140" s="116"/>
      <c r="L2140" s="169">
        <v>45155</v>
      </c>
      <c r="M2140" s="116">
        <v>2038.55</v>
      </c>
      <c r="N2140" s="116">
        <v>2099.5</v>
      </c>
      <c r="O2140" s="116">
        <v>2028.45</v>
      </c>
      <c r="P2140" s="116">
        <v>2062.0500000000002</v>
      </c>
      <c r="Q2140" s="116">
        <v>2038.55</v>
      </c>
      <c r="R2140">
        <v>166315</v>
      </c>
    </row>
    <row r="2141" spans="1:18" x14ac:dyDescent="0.25">
      <c r="A2141" s="169">
        <v>45156</v>
      </c>
      <c r="B2141" s="116">
        <v>2097</v>
      </c>
      <c r="C2141" s="116">
        <v>2078.65</v>
      </c>
      <c r="D2141" s="116">
        <v>2031.05</v>
      </c>
      <c r="E2141" s="116">
        <v>2031.05</v>
      </c>
      <c r="F2141" s="116">
        <v>2078.65</v>
      </c>
      <c r="G2141">
        <v>5249</v>
      </c>
      <c r="H2141" s="116"/>
      <c r="I2141" s="116"/>
      <c r="L2141" s="169">
        <v>45156</v>
      </c>
      <c r="M2141" s="116">
        <v>2077.75</v>
      </c>
      <c r="N2141" s="116">
        <v>2117.9499999999998</v>
      </c>
      <c r="O2141" s="116">
        <v>2002.25</v>
      </c>
      <c r="P2141" s="116">
        <v>2046.05</v>
      </c>
      <c r="Q2141" s="116">
        <v>2077.75</v>
      </c>
      <c r="R2141">
        <v>93952</v>
      </c>
    </row>
    <row r="2142" spans="1:18" x14ac:dyDescent="0.25">
      <c r="A2142" s="169">
        <v>45159</v>
      </c>
      <c r="B2142" s="116">
        <v>2093.3000000000002</v>
      </c>
      <c r="C2142" s="116">
        <v>2069.75</v>
      </c>
      <c r="D2142" s="116">
        <v>2055.65</v>
      </c>
      <c r="E2142" s="116">
        <v>2080</v>
      </c>
      <c r="F2142" s="116">
        <v>2069.75</v>
      </c>
      <c r="G2142">
        <v>6977</v>
      </c>
      <c r="H2142" s="116"/>
      <c r="I2142" s="116"/>
      <c r="L2142" s="169">
        <v>45159</v>
      </c>
      <c r="M2142" s="116">
        <v>2070.3000000000002</v>
      </c>
      <c r="N2142" s="116">
        <v>2092</v>
      </c>
      <c r="O2142" s="116">
        <v>2055.35</v>
      </c>
      <c r="P2142" s="116">
        <v>2087.9499999999998</v>
      </c>
      <c r="Q2142" s="116">
        <v>2070.3000000000002</v>
      </c>
      <c r="R2142">
        <v>28071</v>
      </c>
    </row>
    <row r="2143" spans="1:18" x14ac:dyDescent="0.25">
      <c r="A2143" s="169">
        <v>45160</v>
      </c>
      <c r="B2143" s="116">
        <v>2078.75</v>
      </c>
      <c r="C2143" s="116">
        <v>2070.75</v>
      </c>
      <c r="D2143" s="116">
        <v>2065</v>
      </c>
      <c r="E2143" s="116">
        <v>2075</v>
      </c>
      <c r="F2143" s="116">
        <v>2070.75</v>
      </c>
      <c r="G2143">
        <v>1573</v>
      </c>
      <c r="H2143" s="116"/>
      <c r="I2143" s="116"/>
      <c r="L2143" s="169">
        <v>45160</v>
      </c>
      <c r="M2143" s="116">
        <v>2069.65</v>
      </c>
      <c r="N2143" s="116">
        <v>2080.65</v>
      </c>
      <c r="O2143" s="116">
        <v>2062.0500000000002</v>
      </c>
      <c r="P2143" s="116">
        <v>2070</v>
      </c>
      <c r="Q2143" s="116">
        <v>2069.65</v>
      </c>
      <c r="R2143">
        <v>20063</v>
      </c>
    </row>
    <row r="2144" spans="1:18" x14ac:dyDescent="0.25">
      <c r="A2144" s="169">
        <v>45161</v>
      </c>
      <c r="B2144" s="116">
        <v>2117.0500000000002</v>
      </c>
      <c r="C2144" s="116">
        <v>2091.3000000000002</v>
      </c>
      <c r="D2144" s="116">
        <v>2066.4499999999998</v>
      </c>
      <c r="E2144" s="116">
        <v>2091.9</v>
      </c>
      <c r="F2144" s="116">
        <v>2091.3000000000002</v>
      </c>
      <c r="G2144">
        <v>7467</v>
      </c>
      <c r="H2144" s="116"/>
      <c r="I2144" s="116"/>
      <c r="L2144" s="169">
        <v>45161</v>
      </c>
      <c r="M2144" s="116">
        <v>2090.25</v>
      </c>
      <c r="N2144" s="116">
        <v>2118</v>
      </c>
      <c r="O2144" s="116">
        <v>2068</v>
      </c>
      <c r="P2144" s="116">
        <v>2080.9</v>
      </c>
      <c r="Q2144" s="116">
        <v>2090.25</v>
      </c>
      <c r="R2144">
        <v>35428</v>
      </c>
    </row>
    <row r="2145" spans="1:18" x14ac:dyDescent="0.25">
      <c r="A2145" s="169">
        <v>45162</v>
      </c>
      <c r="B2145" s="116">
        <v>2125</v>
      </c>
      <c r="C2145" s="116">
        <v>2113.15</v>
      </c>
      <c r="D2145" s="116">
        <v>2080.0500000000002</v>
      </c>
      <c r="E2145" s="116">
        <v>2080.0500000000002</v>
      </c>
      <c r="F2145" s="116">
        <v>2113.15</v>
      </c>
      <c r="G2145">
        <v>11126</v>
      </c>
      <c r="H2145" s="116"/>
      <c r="I2145" s="116"/>
      <c r="L2145" s="169">
        <v>45162</v>
      </c>
      <c r="M2145" s="116">
        <v>2116</v>
      </c>
      <c r="N2145" s="116">
        <v>2126.1</v>
      </c>
      <c r="O2145" s="116">
        <v>2086.65</v>
      </c>
      <c r="P2145" s="116">
        <v>2090</v>
      </c>
      <c r="Q2145" s="116">
        <v>2116</v>
      </c>
      <c r="R2145">
        <v>54053</v>
      </c>
    </row>
    <row r="2146" spans="1:18" x14ac:dyDescent="0.25">
      <c r="A2146" s="169">
        <v>45163</v>
      </c>
      <c r="B2146" s="116">
        <v>2135</v>
      </c>
      <c r="C2146" s="116">
        <v>2129.65</v>
      </c>
      <c r="D2146" s="116">
        <v>2098.25</v>
      </c>
      <c r="E2146" s="116">
        <v>2113.15</v>
      </c>
      <c r="F2146" s="116">
        <v>2129.65</v>
      </c>
      <c r="G2146">
        <v>2255</v>
      </c>
      <c r="H2146" s="116"/>
      <c r="I2146" s="116"/>
      <c r="L2146" s="169">
        <v>45163</v>
      </c>
      <c r="M2146" s="116">
        <v>2127.3000000000002</v>
      </c>
      <c r="N2146" s="116">
        <v>2139</v>
      </c>
      <c r="O2146" s="116">
        <v>2095</v>
      </c>
      <c r="P2146" s="116">
        <v>2125</v>
      </c>
      <c r="Q2146" s="116">
        <v>2127.3000000000002</v>
      </c>
      <c r="R2146">
        <v>39690</v>
      </c>
    </row>
    <row r="2147" spans="1:18" x14ac:dyDescent="0.25">
      <c r="A2147" s="169">
        <v>45166</v>
      </c>
      <c r="B2147" s="116">
        <v>2150</v>
      </c>
      <c r="C2147" s="116">
        <v>2144.35</v>
      </c>
      <c r="D2147" s="116">
        <v>2111.25</v>
      </c>
      <c r="E2147" s="116">
        <v>2129.65</v>
      </c>
      <c r="F2147" s="116">
        <v>2144.35</v>
      </c>
      <c r="G2147">
        <v>7728</v>
      </c>
      <c r="H2147" s="116"/>
      <c r="I2147" s="116"/>
      <c r="L2147" s="169">
        <v>45166</v>
      </c>
      <c r="M2147" s="116">
        <v>2145.6999999999998</v>
      </c>
      <c r="N2147" s="116">
        <v>2152</v>
      </c>
      <c r="O2147" s="116">
        <v>2113.85</v>
      </c>
      <c r="P2147" s="116">
        <v>2141.9499999999998</v>
      </c>
      <c r="Q2147" s="116">
        <v>2145.6999999999998</v>
      </c>
      <c r="R2147">
        <v>37911</v>
      </c>
    </row>
    <row r="2148" spans="1:18" x14ac:dyDescent="0.25">
      <c r="A2148" s="169">
        <v>45167</v>
      </c>
      <c r="B2148" s="116">
        <v>2321.85</v>
      </c>
      <c r="C2148" s="116">
        <v>2289.85</v>
      </c>
      <c r="D2148" s="116">
        <v>2148.4</v>
      </c>
      <c r="E2148" s="116">
        <v>2150</v>
      </c>
      <c r="F2148" s="116">
        <v>2289.85</v>
      </c>
      <c r="G2148">
        <v>20091</v>
      </c>
      <c r="H2148" s="116"/>
      <c r="I2148" s="116"/>
      <c r="L2148" s="169">
        <v>45167</v>
      </c>
      <c r="M2148" s="116">
        <v>2291.4</v>
      </c>
      <c r="N2148" s="116">
        <v>2323.75</v>
      </c>
      <c r="O2148" s="116">
        <v>2146.0500000000002</v>
      </c>
      <c r="P2148" s="116">
        <v>2156</v>
      </c>
      <c r="Q2148" s="116">
        <v>2291.4</v>
      </c>
      <c r="R2148">
        <v>407377</v>
      </c>
    </row>
    <row r="2149" spans="1:18" x14ac:dyDescent="0.25">
      <c r="A2149" s="169">
        <v>45168</v>
      </c>
      <c r="B2149" s="116">
        <v>2355</v>
      </c>
      <c r="C2149" s="116">
        <v>2317.6999999999998</v>
      </c>
      <c r="D2149" s="116">
        <v>2300.65</v>
      </c>
      <c r="E2149" s="116">
        <v>2320</v>
      </c>
      <c r="F2149" s="116">
        <v>2317.6999999999998</v>
      </c>
      <c r="G2149">
        <v>13361</v>
      </c>
      <c r="H2149" s="116"/>
      <c r="I2149" s="116"/>
      <c r="L2149" s="169">
        <v>45168</v>
      </c>
      <c r="M2149" s="116">
        <v>2316.8000000000002</v>
      </c>
      <c r="N2149" s="116">
        <v>2356.65</v>
      </c>
      <c r="O2149" s="116">
        <v>2300</v>
      </c>
      <c r="P2149" s="116">
        <v>2319</v>
      </c>
      <c r="Q2149" s="116">
        <v>2316.8000000000002</v>
      </c>
      <c r="R2149">
        <v>233725</v>
      </c>
    </row>
    <row r="2150" spans="1:18" x14ac:dyDescent="0.25">
      <c r="A2150" s="169">
        <v>45169</v>
      </c>
      <c r="B2150" s="116">
        <v>2333.85</v>
      </c>
      <c r="C2150" s="116">
        <v>2242.9499999999998</v>
      </c>
      <c r="D2150" s="116">
        <v>2200.65</v>
      </c>
      <c r="E2150" s="116">
        <v>2322.9</v>
      </c>
      <c r="F2150" s="116">
        <v>2242.9499999999998</v>
      </c>
      <c r="G2150">
        <v>21469</v>
      </c>
      <c r="H2150" s="116"/>
      <c r="I2150" s="116"/>
      <c r="L2150" s="169">
        <v>45169</v>
      </c>
      <c r="M2150" s="116">
        <v>2248</v>
      </c>
      <c r="N2150" s="116">
        <v>2334.3000000000002</v>
      </c>
      <c r="O2150" s="116">
        <v>2235</v>
      </c>
      <c r="P2150" s="116">
        <v>2322</v>
      </c>
      <c r="Q2150" s="116">
        <v>2248</v>
      </c>
      <c r="R2150">
        <v>125850</v>
      </c>
    </row>
    <row r="2151" spans="1:18" x14ac:dyDescent="0.25">
      <c r="A2151" s="169">
        <v>45170</v>
      </c>
      <c r="B2151" s="116">
        <v>2248.9499999999998</v>
      </c>
      <c r="C2151" s="116">
        <v>2229.75</v>
      </c>
      <c r="D2151" s="116">
        <v>2202.1</v>
      </c>
      <c r="E2151" s="116">
        <v>2248.9499999999998</v>
      </c>
      <c r="F2151" s="116">
        <v>2229.75</v>
      </c>
      <c r="G2151">
        <v>5405</v>
      </c>
      <c r="H2151" s="116"/>
      <c r="I2151" s="116"/>
      <c r="L2151" s="169">
        <v>45170</v>
      </c>
      <c r="M2151" s="116">
        <v>2226.8000000000002</v>
      </c>
      <c r="N2151" s="116">
        <v>2247</v>
      </c>
      <c r="O2151" s="116">
        <v>2201</v>
      </c>
      <c r="P2151" s="116">
        <v>2242.15</v>
      </c>
      <c r="Q2151" s="116">
        <v>2226.8000000000002</v>
      </c>
      <c r="R2151">
        <v>125266</v>
      </c>
    </row>
    <row r="2152" spans="1:18" x14ac:dyDescent="0.25">
      <c r="A2152" s="169">
        <v>45173</v>
      </c>
      <c r="B2152" s="116">
        <v>2277.65</v>
      </c>
      <c r="C2152" s="116">
        <v>2249.1</v>
      </c>
      <c r="D2152" s="116">
        <v>2231.6</v>
      </c>
      <c r="E2152" s="116">
        <v>2231.6</v>
      </c>
      <c r="F2152" s="116">
        <v>2249.1</v>
      </c>
      <c r="G2152">
        <v>9244</v>
      </c>
      <c r="H2152" s="116"/>
      <c r="I2152" s="116"/>
      <c r="L2152" s="169">
        <v>45173</v>
      </c>
      <c r="M2152" s="116">
        <v>2249.25</v>
      </c>
      <c r="N2152" s="116">
        <v>2277.15</v>
      </c>
      <c r="O2152" s="116">
        <v>2235</v>
      </c>
      <c r="P2152" s="116">
        <v>2239.9499999999998</v>
      </c>
      <c r="Q2152" s="116">
        <v>2249.25</v>
      </c>
      <c r="R2152">
        <v>52551</v>
      </c>
    </row>
    <row r="2153" spans="1:18" x14ac:dyDescent="0.25">
      <c r="A2153" s="169">
        <v>45174</v>
      </c>
      <c r="B2153" s="116">
        <v>2268.5</v>
      </c>
      <c r="C2153" s="116">
        <v>2223.25</v>
      </c>
      <c r="D2153" s="116">
        <v>2213.65</v>
      </c>
      <c r="E2153" s="116">
        <v>2258.15</v>
      </c>
      <c r="F2153" s="116">
        <v>2223.25</v>
      </c>
      <c r="G2153">
        <v>4763</v>
      </c>
      <c r="H2153" s="116"/>
      <c r="I2153" s="116"/>
      <c r="L2153" s="169">
        <v>45174</v>
      </c>
      <c r="M2153" s="116">
        <v>2224</v>
      </c>
      <c r="N2153" s="116">
        <v>2269.9499999999998</v>
      </c>
      <c r="O2153" s="116">
        <v>2212.6</v>
      </c>
      <c r="P2153" s="116">
        <v>2269</v>
      </c>
      <c r="Q2153" s="116">
        <v>2224</v>
      </c>
      <c r="R2153">
        <v>61864</v>
      </c>
    </row>
    <row r="2154" spans="1:18" x14ac:dyDescent="0.25">
      <c r="A2154" s="169">
        <v>45175</v>
      </c>
      <c r="B2154" s="116">
        <v>2256.0500000000002</v>
      </c>
      <c r="C2154" s="116">
        <v>2224.65</v>
      </c>
      <c r="D2154" s="116">
        <v>2204</v>
      </c>
      <c r="E2154" s="116">
        <v>2245.35</v>
      </c>
      <c r="F2154" s="116">
        <v>2224.65</v>
      </c>
      <c r="G2154">
        <v>4525</v>
      </c>
      <c r="H2154" s="116"/>
      <c r="I2154" s="116"/>
      <c r="L2154" s="169">
        <v>45175</v>
      </c>
      <c r="M2154" s="116">
        <v>2226.5500000000002</v>
      </c>
      <c r="N2154" s="116">
        <v>2258.15</v>
      </c>
      <c r="O2154" s="116">
        <v>2202.1</v>
      </c>
      <c r="P2154" s="116">
        <v>2229</v>
      </c>
      <c r="Q2154" s="116">
        <v>2226.5500000000002</v>
      </c>
      <c r="R2154">
        <v>50101</v>
      </c>
    </row>
    <row r="2155" spans="1:18" x14ac:dyDescent="0.25">
      <c r="A2155" s="169">
        <v>45176</v>
      </c>
      <c r="B2155" s="116">
        <v>2262</v>
      </c>
      <c r="C2155" s="116">
        <v>2244.4499999999998</v>
      </c>
      <c r="D2155" s="116">
        <v>2225.6999999999998</v>
      </c>
      <c r="E2155" s="116">
        <v>2230.6</v>
      </c>
      <c r="F2155" s="116">
        <v>2244.4499999999998</v>
      </c>
      <c r="G2155">
        <v>4197</v>
      </c>
      <c r="H2155" s="116"/>
      <c r="I2155" s="116"/>
      <c r="L2155" s="169">
        <v>45176</v>
      </c>
      <c r="M2155" s="116">
        <v>2245.9499999999998</v>
      </c>
      <c r="N2155" s="116">
        <v>2263.1</v>
      </c>
      <c r="O2155" s="116">
        <v>2226.75</v>
      </c>
      <c r="P2155" s="116">
        <v>2235.9</v>
      </c>
      <c r="Q2155" s="116">
        <v>2245.9499999999998</v>
      </c>
      <c r="R2155">
        <v>42188</v>
      </c>
    </row>
    <row r="2156" spans="1:18" x14ac:dyDescent="0.25">
      <c r="A2156" s="169">
        <v>45177</v>
      </c>
      <c r="B2156" s="116">
        <v>2264</v>
      </c>
      <c r="C2156" s="116">
        <v>2235.1999999999998</v>
      </c>
      <c r="D2156" s="116">
        <v>2224.35</v>
      </c>
      <c r="E2156" s="116">
        <v>2259.9499999999998</v>
      </c>
      <c r="F2156" s="116">
        <v>2235.1999999999998</v>
      </c>
      <c r="G2156">
        <v>4338</v>
      </c>
      <c r="H2156" s="116"/>
      <c r="I2156" s="116"/>
      <c r="L2156" s="169">
        <v>45177</v>
      </c>
      <c r="M2156" s="116">
        <v>2235.75</v>
      </c>
      <c r="N2156" s="116">
        <v>2268.1</v>
      </c>
      <c r="O2156" s="116">
        <v>2222.1</v>
      </c>
      <c r="P2156" s="116">
        <v>2246.9499999999998</v>
      </c>
      <c r="Q2156" s="116">
        <v>2235.75</v>
      </c>
      <c r="R2156">
        <v>56137</v>
      </c>
    </row>
    <row r="2157" spans="1:18" x14ac:dyDescent="0.25">
      <c r="A2157" s="169">
        <v>45180</v>
      </c>
      <c r="B2157" s="116">
        <v>2320.85</v>
      </c>
      <c r="C2157" s="116">
        <v>2288.0500000000002</v>
      </c>
      <c r="D2157" s="116">
        <v>2250</v>
      </c>
      <c r="E2157" s="116">
        <v>2250</v>
      </c>
      <c r="F2157" s="116">
        <v>2288.0500000000002</v>
      </c>
      <c r="G2157">
        <v>8130</v>
      </c>
      <c r="H2157" s="116"/>
      <c r="I2157" s="116"/>
      <c r="L2157" s="169">
        <v>45180</v>
      </c>
      <c r="M2157" s="116">
        <v>2287.15</v>
      </c>
      <c r="N2157" s="116">
        <v>2324</v>
      </c>
      <c r="O2157" s="116">
        <v>2241</v>
      </c>
      <c r="P2157" s="116">
        <v>2250</v>
      </c>
      <c r="Q2157" s="116">
        <v>2287.15</v>
      </c>
      <c r="R2157">
        <v>139759</v>
      </c>
    </row>
    <row r="2158" spans="1:18" x14ac:dyDescent="0.25">
      <c r="A2158" s="169">
        <v>45181</v>
      </c>
      <c r="B2158" s="116">
        <v>2317</v>
      </c>
      <c r="C2158" s="116">
        <v>2217.4499999999998</v>
      </c>
      <c r="D2158" s="116">
        <v>2210</v>
      </c>
      <c r="E2158" s="116">
        <v>2279.9499999999998</v>
      </c>
      <c r="F2158" s="116">
        <v>2217.4499999999998</v>
      </c>
      <c r="G2158">
        <v>12411</v>
      </c>
      <c r="H2158" s="116"/>
      <c r="I2158" s="116"/>
      <c r="L2158" s="169">
        <v>45181</v>
      </c>
      <c r="M2158" s="116">
        <v>2219.3000000000002</v>
      </c>
      <c r="N2158" s="116">
        <v>2317.0500000000002</v>
      </c>
      <c r="O2158" s="116">
        <v>2209.9499999999998</v>
      </c>
      <c r="P2158" s="116">
        <v>2308.25</v>
      </c>
      <c r="Q2158" s="116">
        <v>2219.3000000000002</v>
      </c>
      <c r="R2158">
        <v>84806</v>
      </c>
    </row>
    <row r="2159" spans="1:18" x14ac:dyDescent="0.25">
      <c r="A2159" s="169">
        <v>45182</v>
      </c>
      <c r="B2159" s="116">
        <v>2269.9499999999998</v>
      </c>
      <c r="C2159" s="116">
        <v>2193.1</v>
      </c>
      <c r="D2159" s="116">
        <v>2179</v>
      </c>
      <c r="E2159" s="116">
        <v>2269.9499999999998</v>
      </c>
      <c r="F2159" s="116">
        <v>2193.1</v>
      </c>
      <c r="G2159">
        <v>3545</v>
      </c>
      <c r="H2159" s="116"/>
      <c r="I2159" s="116"/>
      <c r="L2159" s="169">
        <v>45182</v>
      </c>
      <c r="M2159" s="116">
        <v>2192.15</v>
      </c>
      <c r="N2159" s="116">
        <v>2250</v>
      </c>
      <c r="O2159" s="116">
        <v>2178</v>
      </c>
      <c r="P2159" s="116">
        <v>2222</v>
      </c>
      <c r="Q2159" s="116">
        <v>2192.15</v>
      </c>
      <c r="R2159">
        <v>71787</v>
      </c>
    </row>
    <row r="2160" spans="1:18" x14ac:dyDescent="0.25">
      <c r="A2160" s="169">
        <v>45183</v>
      </c>
      <c r="B2160" s="116">
        <v>2245</v>
      </c>
      <c r="C2160" s="116">
        <v>2229.8000000000002</v>
      </c>
      <c r="D2160" s="116">
        <v>2195</v>
      </c>
      <c r="E2160" s="116">
        <v>2219.9499999999998</v>
      </c>
      <c r="F2160" s="116">
        <v>2229.8000000000002</v>
      </c>
      <c r="G2160">
        <v>6287</v>
      </c>
      <c r="H2160" s="116"/>
      <c r="I2160" s="116"/>
      <c r="L2160" s="169">
        <v>45183</v>
      </c>
      <c r="M2160" s="116">
        <v>2229.8000000000002</v>
      </c>
      <c r="N2160" s="116">
        <v>2244.5</v>
      </c>
      <c r="O2160" s="116">
        <v>2202.35</v>
      </c>
      <c r="P2160" s="116">
        <v>2210</v>
      </c>
      <c r="Q2160" s="116">
        <v>2229.8000000000002</v>
      </c>
      <c r="R2160">
        <v>39702</v>
      </c>
    </row>
    <row r="2161" spans="1:18" x14ac:dyDescent="0.25">
      <c r="A2161" s="169">
        <v>45184</v>
      </c>
      <c r="B2161" s="116">
        <v>2255</v>
      </c>
      <c r="C2161" s="116">
        <v>2209.3000000000002</v>
      </c>
      <c r="D2161" s="116">
        <v>2202.25</v>
      </c>
      <c r="E2161" s="116">
        <v>2249.9499999999998</v>
      </c>
      <c r="F2161" s="116">
        <v>2209.3000000000002</v>
      </c>
      <c r="G2161">
        <v>7338</v>
      </c>
      <c r="H2161" s="116"/>
      <c r="I2161" s="116"/>
      <c r="L2161" s="169">
        <v>45184</v>
      </c>
      <c r="M2161" s="116">
        <v>2207.35</v>
      </c>
      <c r="N2161" s="116">
        <v>2259</v>
      </c>
      <c r="O2161" s="116">
        <v>2200</v>
      </c>
      <c r="P2161" s="116">
        <v>2241.85</v>
      </c>
      <c r="Q2161" s="116">
        <v>2207.35</v>
      </c>
      <c r="R2161">
        <v>43848</v>
      </c>
    </row>
    <row r="2162" spans="1:18" x14ac:dyDescent="0.25">
      <c r="A2162" s="169">
        <v>45187</v>
      </c>
      <c r="B2162" s="116">
        <v>2238</v>
      </c>
      <c r="C2162" s="116">
        <v>2225.5</v>
      </c>
      <c r="D2162" s="116">
        <v>2196.0500000000002</v>
      </c>
      <c r="E2162" s="116">
        <v>2196.0500000000002</v>
      </c>
      <c r="F2162" s="116">
        <v>2225.5</v>
      </c>
      <c r="G2162">
        <v>9862</v>
      </c>
      <c r="H2162" s="116"/>
      <c r="I2162" s="116"/>
      <c r="L2162" s="169">
        <v>45187</v>
      </c>
      <c r="M2162" s="116">
        <v>2228.8000000000002</v>
      </c>
      <c r="N2162" s="116">
        <v>2240.9499999999998</v>
      </c>
      <c r="O2162" s="116">
        <v>2201</v>
      </c>
      <c r="P2162" s="116">
        <v>2212.5500000000002</v>
      </c>
      <c r="Q2162" s="116">
        <v>2228.8000000000002</v>
      </c>
      <c r="R2162">
        <v>54438</v>
      </c>
    </row>
    <row r="2163" spans="1:18" x14ac:dyDescent="0.25">
      <c r="A2163" s="169">
        <v>45189</v>
      </c>
      <c r="B2163" s="116">
        <v>2252</v>
      </c>
      <c r="C2163" s="116">
        <v>2248.6</v>
      </c>
      <c r="D2163" s="116">
        <v>2206</v>
      </c>
      <c r="E2163" s="116">
        <v>2250</v>
      </c>
      <c r="F2163" s="116">
        <v>2248.6</v>
      </c>
      <c r="G2163">
        <v>4737</v>
      </c>
      <c r="H2163" s="116"/>
      <c r="I2163" s="116"/>
      <c r="L2163" s="169">
        <v>45189</v>
      </c>
      <c r="M2163" s="116">
        <v>2248.6</v>
      </c>
      <c r="N2163" s="116">
        <v>2254</v>
      </c>
      <c r="O2163" s="116">
        <v>2203.25</v>
      </c>
      <c r="P2163" s="116">
        <v>2248</v>
      </c>
      <c r="Q2163" s="116">
        <v>2248.6</v>
      </c>
      <c r="R2163">
        <v>60568</v>
      </c>
    </row>
    <row r="2164" spans="1:18" x14ac:dyDescent="0.25">
      <c r="A2164" s="169">
        <v>45190</v>
      </c>
      <c r="B2164" s="116">
        <v>2259.9</v>
      </c>
      <c r="C2164" s="116">
        <v>2242.4499999999998</v>
      </c>
      <c r="D2164" s="116">
        <v>2212</v>
      </c>
      <c r="E2164" s="116">
        <v>2259.9</v>
      </c>
      <c r="F2164" s="116">
        <v>2242.4499999999998</v>
      </c>
      <c r="G2164">
        <v>6969</v>
      </c>
      <c r="H2164" s="116"/>
      <c r="I2164" s="116"/>
      <c r="L2164" s="169">
        <v>45190</v>
      </c>
      <c r="M2164" s="116">
        <v>2244.9499999999998</v>
      </c>
      <c r="N2164" s="116">
        <v>2254.0500000000002</v>
      </c>
      <c r="O2164" s="116">
        <v>2213</v>
      </c>
      <c r="P2164" s="116">
        <v>2254.0500000000002</v>
      </c>
      <c r="Q2164" s="116">
        <v>2244.9499999999998</v>
      </c>
      <c r="R2164">
        <v>50834</v>
      </c>
    </row>
    <row r="2165" spans="1:18" x14ac:dyDescent="0.25">
      <c r="A2165" s="169">
        <v>45191</v>
      </c>
      <c r="B2165" s="116">
        <v>2257</v>
      </c>
      <c r="C2165" s="116">
        <v>2234.25</v>
      </c>
      <c r="D2165" s="116">
        <v>2215.0500000000002</v>
      </c>
      <c r="E2165" s="116">
        <v>2241.5500000000002</v>
      </c>
      <c r="F2165" s="116">
        <v>2234.25</v>
      </c>
      <c r="G2165">
        <v>3097</v>
      </c>
      <c r="H2165" s="116"/>
      <c r="I2165" s="116"/>
      <c r="L2165" s="169">
        <v>45191</v>
      </c>
      <c r="M2165" s="116">
        <v>2233.1999999999998</v>
      </c>
      <c r="N2165" s="116">
        <v>2259</v>
      </c>
      <c r="O2165" s="116">
        <v>2214.35</v>
      </c>
      <c r="P2165" s="116">
        <v>2256.1999999999998</v>
      </c>
      <c r="Q2165" s="116">
        <v>2233.1999999999998</v>
      </c>
      <c r="R2165">
        <v>45635</v>
      </c>
    </row>
    <row r="2166" spans="1:18" x14ac:dyDescent="0.25">
      <c r="A2166" s="169">
        <v>45194</v>
      </c>
      <c r="B2166" s="116">
        <v>2250.5</v>
      </c>
      <c r="C2166" s="116">
        <v>2237.9</v>
      </c>
      <c r="D2166" s="116">
        <v>2209.85</v>
      </c>
      <c r="E2166" s="116">
        <v>2238.15</v>
      </c>
      <c r="F2166" s="116">
        <v>2237.9</v>
      </c>
      <c r="G2166">
        <v>7690</v>
      </c>
      <c r="H2166" s="116"/>
      <c r="I2166" s="116"/>
      <c r="L2166" s="169">
        <v>45194</v>
      </c>
      <c r="M2166" s="116">
        <v>2239.1</v>
      </c>
      <c r="N2166" s="116">
        <v>2250.9</v>
      </c>
      <c r="O2166" s="116">
        <v>2210.85</v>
      </c>
      <c r="P2166" s="116">
        <v>2245.15</v>
      </c>
      <c r="Q2166" s="116">
        <v>2239.1</v>
      </c>
      <c r="R2166">
        <v>36277</v>
      </c>
    </row>
    <row r="2167" spans="1:18" x14ac:dyDescent="0.25">
      <c r="A2167" s="169">
        <v>45195</v>
      </c>
      <c r="B2167" s="116">
        <v>2275.3000000000002</v>
      </c>
      <c r="C2167" s="116">
        <v>2246.15</v>
      </c>
      <c r="D2167" s="116">
        <v>2222</v>
      </c>
      <c r="E2167" s="116">
        <v>2275.3000000000002</v>
      </c>
      <c r="F2167" s="116">
        <v>2246.15</v>
      </c>
      <c r="G2167">
        <v>5914</v>
      </c>
      <c r="H2167" s="116"/>
      <c r="I2167" s="116"/>
      <c r="L2167" s="169">
        <v>45195</v>
      </c>
      <c r="M2167" s="116">
        <v>2250.75</v>
      </c>
      <c r="N2167" s="116">
        <v>2258.9499999999998</v>
      </c>
      <c r="O2167" s="116">
        <v>2221</v>
      </c>
      <c r="P2167" s="116">
        <v>2245.4</v>
      </c>
      <c r="Q2167" s="116">
        <v>2250.75</v>
      </c>
      <c r="R2167">
        <v>46648</v>
      </c>
    </row>
    <row r="2168" spans="1:18" x14ac:dyDescent="0.25">
      <c r="A2168" s="169">
        <v>45196</v>
      </c>
      <c r="B2168" s="116">
        <v>2258.8000000000002</v>
      </c>
      <c r="C2168" s="116">
        <v>2240.0500000000002</v>
      </c>
      <c r="D2168" s="116">
        <v>2226.85</v>
      </c>
      <c r="E2168" s="116">
        <v>2246.15</v>
      </c>
      <c r="F2168" s="116">
        <v>2240.0500000000002</v>
      </c>
      <c r="G2168">
        <v>2587</v>
      </c>
      <c r="H2168" s="116"/>
      <c r="I2168" s="116"/>
      <c r="L2168" s="169">
        <v>45196</v>
      </c>
      <c r="M2168" s="116">
        <v>2240.25</v>
      </c>
      <c r="N2168" s="116">
        <v>2259.6</v>
      </c>
      <c r="O2168" s="116">
        <v>2226.25</v>
      </c>
      <c r="P2168" s="116">
        <v>2250.6999999999998</v>
      </c>
      <c r="Q2168" s="116">
        <v>2240.25</v>
      </c>
      <c r="R2168">
        <v>36991</v>
      </c>
    </row>
    <row r="2169" spans="1:18" x14ac:dyDescent="0.25">
      <c r="A2169" s="169">
        <v>45197</v>
      </c>
      <c r="B2169" s="116">
        <v>2274.9499999999998</v>
      </c>
      <c r="C2169" s="116">
        <v>2185</v>
      </c>
      <c r="D2169" s="116">
        <v>2179</v>
      </c>
      <c r="E2169" s="116">
        <v>2274.9499999999998</v>
      </c>
      <c r="F2169" s="116">
        <v>2185</v>
      </c>
      <c r="G2169">
        <v>2246</v>
      </c>
      <c r="H2169" s="116"/>
      <c r="I2169" s="116"/>
      <c r="L2169" s="169">
        <v>45197</v>
      </c>
      <c r="M2169" s="116">
        <v>2184.1</v>
      </c>
      <c r="N2169" s="116">
        <v>2258.9</v>
      </c>
      <c r="O2169" s="116">
        <v>2178.4499999999998</v>
      </c>
      <c r="P2169" s="116">
        <v>2248.15</v>
      </c>
      <c r="Q2169" s="116">
        <v>2184.1</v>
      </c>
      <c r="R2169">
        <v>39801</v>
      </c>
    </row>
    <row r="2170" spans="1:18" x14ac:dyDescent="0.25">
      <c r="A2170" s="169">
        <v>45198</v>
      </c>
      <c r="B2170" s="116">
        <v>2214.9499999999998</v>
      </c>
      <c r="C2170" s="116">
        <v>2173.0500000000002</v>
      </c>
      <c r="D2170" s="116">
        <v>2166.5</v>
      </c>
      <c r="E2170" s="116">
        <v>2189.15</v>
      </c>
      <c r="F2170" s="116">
        <v>2173.0500000000002</v>
      </c>
      <c r="G2170">
        <v>9324</v>
      </c>
      <c r="H2170" s="116"/>
      <c r="I2170" s="116"/>
      <c r="L2170" s="169">
        <v>45198</v>
      </c>
      <c r="M2170" s="116">
        <v>2174.25</v>
      </c>
      <c r="N2170" s="116">
        <v>2214.9499999999998</v>
      </c>
      <c r="O2170" s="116">
        <v>2170</v>
      </c>
      <c r="P2170" s="116">
        <v>2199</v>
      </c>
      <c r="Q2170" s="116">
        <v>2174.25</v>
      </c>
      <c r="R2170">
        <v>37271</v>
      </c>
    </row>
    <row r="2171" spans="1:18" x14ac:dyDescent="0.25">
      <c r="A2171" s="169">
        <v>45202</v>
      </c>
      <c r="B2171" s="116">
        <v>2182</v>
      </c>
      <c r="C2171" s="116">
        <v>2178.75</v>
      </c>
      <c r="D2171" s="116">
        <v>2156.3000000000002</v>
      </c>
      <c r="E2171" s="116">
        <v>2176.0500000000002</v>
      </c>
      <c r="F2171" s="116">
        <v>2178.75</v>
      </c>
      <c r="G2171">
        <v>2723</v>
      </c>
      <c r="H2171" s="116"/>
      <c r="I2171" s="116"/>
      <c r="L2171" s="169">
        <v>45202</v>
      </c>
      <c r="M2171" s="116">
        <v>2176.6</v>
      </c>
      <c r="N2171" s="116">
        <v>2185.4499999999998</v>
      </c>
      <c r="O2171" s="116">
        <v>2155</v>
      </c>
      <c r="P2171" s="116">
        <v>2185.4499999999998</v>
      </c>
      <c r="Q2171" s="116">
        <v>2176.6</v>
      </c>
      <c r="R2171">
        <v>30205</v>
      </c>
    </row>
    <row r="2172" spans="1:18" x14ac:dyDescent="0.25">
      <c r="A2172" s="169">
        <v>45203</v>
      </c>
      <c r="B2172" s="116">
        <v>2225</v>
      </c>
      <c r="C2172" s="116">
        <v>2195.8000000000002</v>
      </c>
      <c r="D2172" s="116">
        <v>2160.35</v>
      </c>
      <c r="E2172" s="116">
        <v>2173.9499999999998</v>
      </c>
      <c r="F2172" s="116">
        <v>2195.8000000000002</v>
      </c>
      <c r="G2172">
        <v>6023</v>
      </c>
      <c r="H2172" s="116"/>
      <c r="I2172" s="116"/>
      <c r="L2172" s="169">
        <v>45203</v>
      </c>
      <c r="M2172" s="116">
        <v>2196.15</v>
      </c>
      <c r="N2172" s="116">
        <v>2230</v>
      </c>
      <c r="O2172" s="116">
        <v>2161.1</v>
      </c>
      <c r="P2172" s="116">
        <v>2165</v>
      </c>
      <c r="Q2172" s="116">
        <v>2196.15</v>
      </c>
      <c r="R2172">
        <v>66170</v>
      </c>
    </row>
    <row r="2173" spans="1:18" x14ac:dyDescent="0.25">
      <c r="A2173" s="169">
        <v>45204</v>
      </c>
      <c r="B2173" s="116">
        <v>2216.5500000000002</v>
      </c>
      <c r="C2173" s="116">
        <v>2214.5500000000002</v>
      </c>
      <c r="D2173" s="116">
        <v>2185</v>
      </c>
      <c r="E2173" s="116">
        <v>2185</v>
      </c>
      <c r="F2173" s="116">
        <v>2214.5500000000002</v>
      </c>
      <c r="G2173">
        <v>1366</v>
      </c>
      <c r="H2173" s="116"/>
      <c r="I2173" s="116"/>
      <c r="L2173" s="169">
        <v>45204</v>
      </c>
      <c r="M2173" s="116">
        <v>2215.4499999999998</v>
      </c>
      <c r="N2173" s="116">
        <v>2218</v>
      </c>
      <c r="O2173" s="116">
        <v>2188.9</v>
      </c>
      <c r="P2173" s="116">
        <v>2196</v>
      </c>
      <c r="Q2173" s="116">
        <v>2215.4499999999998</v>
      </c>
      <c r="R2173">
        <v>37480</v>
      </c>
    </row>
    <row r="2174" spans="1:18" x14ac:dyDescent="0.25">
      <c r="A2174" s="169">
        <v>45205</v>
      </c>
      <c r="B2174" s="116">
        <v>2234.9499999999998</v>
      </c>
      <c r="C2174" s="116">
        <v>2217.9</v>
      </c>
      <c r="D2174" s="116">
        <v>2195.65</v>
      </c>
      <c r="E2174" s="116">
        <v>2234.9499999999998</v>
      </c>
      <c r="F2174" s="116">
        <v>2217.9</v>
      </c>
      <c r="G2174">
        <v>1910</v>
      </c>
      <c r="H2174" s="116"/>
      <c r="I2174" s="116"/>
      <c r="L2174" s="169">
        <v>45205</v>
      </c>
      <c r="M2174" s="116">
        <v>2216.9</v>
      </c>
      <c r="N2174" s="116">
        <v>2223.0500000000002</v>
      </c>
      <c r="O2174" s="116">
        <v>2192.65</v>
      </c>
      <c r="P2174" s="116">
        <v>2215.4499999999998</v>
      </c>
      <c r="Q2174" s="116">
        <v>2216.9</v>
      </c>
      <c r="R2174">
        <v>47930</v>
      </c>
    </row>
    <row r="2175" spans="1:18" x14ac:dyDescent="0.25">
      <c r="A2175" s="169">
        <v>45208</v>
      </c>
      <c r="B2175" s="116">
        <v>2205.3000000000002</v>
      </c>
      <c r="C2175" s="116">
        <v>2192.85</v>
      </c>
      <c r="D2175" s="116">
        <v>2152.0500000000002</v>
      </c>
      <c r="E2175" s="116">
        <v>2152.0500000000002</v>
      </c>
      <c r="F2175" s="116">
        <v>2192.85</v>
      </c>
      <c r="G2175">
        <v>8146</v>
      </c>
      <c r="H2175" s="116"/>
      <c r="I2175" s="116"/>
      <c r="L2175" s="169">
        <v>45208</v>
      </c>
      <c r="M2175" s="116">
        <v>2193.0500000000002</v>
      </c>
      <c r="N2175" s="116">
        <v>2206</v>
      </c>
      <c r="O2175" s="116">
        <v>2166.9</v>
      </c>
      <c r="P2175" s="116">
        <v>2195.0500000000002</v>
      </c>
      <c r="Q2175" s="116">
        <v>2193.0500000000002</v>
      </c>
      <c r="R2175">
        <v>42461</v>
      </c>
    </row>
    <row r="2176" spans="1:18" x14ac:dyDescent="0.25">
      <c r="A2176" s="169">
        <v>45209</v>
      </c>
      <c r="B2176" s="116">
        <v>2215.6</v>
      </c>
      <c r="C2176" s="116">
        <v>2212.5</v>
      </c>
      <c r="D2176" s="116">
        <v>2185.65</v>
      </c>
      <c r="E2176" s="116">
        <v>2198.25</v>
      </c>
      <c r="F2176" s="116">
        <v>2212.5</v>
      </c>
      <c r="G2176">
        <v>1873</v>
      </c>
      <c r="H2176" s="116"/>
      <c r="I2176" s="116"/>
      <c r="L2176" s="169">
        <v>45209</v>
      </c>
      <c r="M2176" s="116">
        <v>2211.65</v>
      </c>
      <c r="N2176" s="116">
        <v>2215</v>
      </c>
      <c r="O2176" s="116">
        <v>2183.1</v>
      </c>
      <c r="P2176" s="116">
        <v>2186</v>
      </c>
      <c r="Q2176" s="116">
        <v>2211.65</v>
      </c>
      <c r="R2176">
        <v>35776</v>
      </c>
    </row>
    <row r="2177" spans="1:18" x14ac:dyDescent="0.25">
      <c r="A2177" s="169">
        <v>45210</v>
      </c>
      <c r="B2177" s="116">
        <v>2238.35</v>
      </c>
      <c r="C2177" s="116">
        <v>2225.5</v>
      </c>
      <c r="D2177" s="116">
        <v>2209.9499999999998</v>
      </c>
      <c r="E2177" s="116">
        <v>2232.8000000000002</v>
      </c>
      <c r="F2177" s="116">
        <v>2225.5</v>
      </c>
      <c r="G2177">
        <v>4444</v>
      </c>
      <c r="H2177" s="116"/>
      <c r="I2177" s="116"/>
      <c r="L2177" s="169">
        <v>45210</v>
      </c>
      <c r="M2177" s="116">
        <v>2231.8000000000002</v>
      </c>
      <c r="N2177" s="116">
        <v>2238</v>
      </c>
      <c r="O2177" s="116">
        <v>2212</v>
      </c>
      <c r="P2177" s="116">
        <v>2215</v>
      </c>
      <c r="Q2177" s="116">
        <v>2231.8000000000002</v>
      </c>
      <c r="R2177">
        <v>36202</v>
      </c>
    </row>
    <row r="2178" spans="1:18" x14ac:dyDescent="0.25">
      <c r="A2178" s="169">
        <v>45211</v>
      </c>
      <c r="B2178" s="116">
        <v>2250</v>
      </c>
      <c r="C2178" s="116">
        <v>2221.1</v>
      </c>
      <c r="D2178" s="116">
        <v>2205.1</v>
      </c>
      <c r="E2178" s="116">
        <v>2243.9499999999998</v>
      </c>
      <c r="F2178" s="116">
        <v>2221.1</v>
      </c>
      <c r="G2178">
        <v>1379</v>
      </c>
      <c r="H2178" s="116"/>
      <c r="I2178" s="116"/>
      <c r="L2178" s="169">
        <v>45211</v>
      </c>
      <c r="M2178" s="116">
        <v>2219.3000000000002</v>
      </c>
      <c r="N2178" s="116">
        <v>2250</v>
      </c>
      <c r="O2178" s="116">
        <v>2205.0500000000002</v>
      </c>
      <c r="P2178" s="116">
        <v>2231.5500000000002</v>
      </c>
      <c r="Q2178" s="116">
        <v>2219.3000000000002</v>
      </c>
      <c r="R2178">
        <v>37528</v>
      </c>
    </row>
    <row r="2179" spans="1:18" x14ac:dyDescent="0.25">
      <c r="A2179" s="169">
        <v>45212</v>
      </c>
      <c r="B2179" s="116">
        <v>2221.65</v>
      </c>
      <c r="C2179" s="116">
        <v>2194.6</v>
      </c>
      <c r="D2179" s="116">
        <v>2190</v>
      </c>
      <c r="E2179" s="116">
        <v>2192.0500000000002</v>
      </c>
      <c r="F2179" s="116">
        <v>2194.6</v>
      </c>
      <c r="G2179">
        <v>3147</v>
      </c>
      <c r="H2179" s="116"/>
      <c r="I2179" s="116"/>
      <c r="L2179" s="169">
        <v>45212</v>
      </c>
      <c r="M2179" s="116">
        <v>2197.1</v>
      </c>
      <c r="N2179" s="116">
        <v>2221.9</v>
      </c>
      <c r="O2179" s="116">
        <v>2190</v>
      </c>
      <c r="P2179" s="116">
        <v>2205</v>
      </c>
      <c r="Q2179" s="116">
        <v>2197.1</v>
      </c>
      <c r="R2179">
        <v>20565</v>
      </c>
    </row>
    <row r="2180" spans="1:18" x14ac:dyDescent="0.25">
      <c r="A2180" s="169">
        <v>45215</v>
      </c>
      <c r="B2180" s="116">
        <v>2224.9499999999998</v>
      </c>
      <c r="C2180" s="116">
        <v>2192.25</v>
      </c>
      <c r="D2180" s="116">
        <v>2188.75</v>
      </c>
      <c r="E2180" s="116">
        <v>2224.9499999999998</v>
      </c>
      <c r="F2180" s="116">
        <v>2192.25</v>
      </c>
      <c r="G2180">
        <v>739</v>
      </c>
      <c r="H2180" s="116"/>
      <c r="I2180" s="116"/>
      <c r="L2180" s="169">
        <v>45215</v>
      </c>
      <c r="M2180" s="116">
        <v>2192.85</v>
      </c>
      <c r="N2180" s="116">
        <v>2209.1</v>
      </c>
      <c r="O2180" s="116">
        <v>2185</v>
      </c>
      <c r="P2180" s="116">
        <v>2199.9499999999998</v>
      </c>
      <c r="Q2180" s="116">
        <v>2192.85</v>
      </c>
      <c r="R2180">
        <v>26444</v>
      </c>
    </row>
    <row r="2181" spans="1:18" x14ac:dyDescent="0.25">
      <c r="A2181" s="169">
        <v>45216</v>
      </c>
      <c r="B2181" s="116">
        <v>2220</v>
      </c>
      <c r="C2181" s="116">
        <v>2194.9499999999998</v>
      </c>
      <c r="D2181" s="116">
        <v>2190.9</v>
      </c>
      <c r="E2181" s="116">
        <v>2220</v>
      </c>
      <c r="F2181" s="116">
        <v>2194.9499999999998</v>
      </c>
      <c r="G2181">
        <v>762</v>
      </c>
      <c r="H2181" s="116"/>
      <c r="I2181" s="116"/>
      <c r="L2181" s="169">
        <v>45216</v>
      </c>
      <c r="M2181" s="116">
        <v>2195.8000000000002</v>
      </c>
      <c r="N2181" s="116">
        <v>2214.65</v>
      </c>
      <c r="O2181" s="116">
        <v>2192</v>
      </c>
      <c r="P2181" s="116">
        <v>2204.25</v>
      </c>
      <c r="Q2181" s="116">
        <v>2195.8000000000002</v>
      </c>
      <c r="R2181">
        <v>12723</v>
      </c>
    </row>
    <row r="2182" spans="1:18" x14ac:dyDescent="0.25">
      <c r="A2182" s="169">
        <v>45217</v>
      </c>
      <c r="B2182" s="116">
        <v>2202.8000000000002</v>
      </c>
      <c r="C2182" s="116">
        <v>2192.5</v>
      </c>
      <c r="D2182" s="116">
        <v>2180.0500000000002</v>
      </c>
      <c r="E2182" s="116">
        <v>2180.0500000000002</v>
      </c>
      <c r="F2182" s="116">
        <v>2192.5</v>
      </c>
      <c r="G2182">
        <v>875</v>
      </c>
      <c r="H2182" s="116"/>
      <c r="I2182" s="116"/>
      <c r="L2182" s="169">
        <v>45217</v>
      </c>
      <c r="M2182" s="116">
        <v>2194.75</v>
      </c>
      <c r="N2182" s="116">
        <v>2206.1999999999998</v>
      </c>
      <c r="O2182" s="116">
        <v>2186.85</v>
      </c>
      <c r="P2182" s="116">
        <v>2195.8000000000002</v>
      </c>
      <c r="Q2182" s="116">
        <v>2194.75</v>
      </c>
      <c r="R2182">
        <v>20372</v>
      </c>
    </row>
    <row r="2183" spans="1:18" x14ac:dyDescent="0.25">
      <c r="A2183" s="169">
        <v>45218</v>
      </c>
      <c r="B2183" s="116">
        <v>2207.75</v>
      </c>
      <c r="C2183" s="116">
        <v>2158.4</v>
      </c>
      <c r="D2183" s="116">
        <v>2128.85</v>
      </c>
      <c r="E2183" s="116">
        <v>2196</v>
      </c>
      <c r="F2183" s="116">
        <v>2158.4</v>
      </c>
      <c r="G2183">
        <v>1255</v>
      </c>
      <c r="H2183" s="116"/>
      <c r="I2183" s="116"/>
      <c r="L2183" s="169">
        <v>45218</v>
      </c>
      <c r="M2183" s="116">
        <v>2160.9499999999998</v>
      </c>
      <c r="N2183" s="116">
        <v>2210.25</v>
      </c>
      <c r="O2183" s="116">
        <v>2128.9</v>
      </c>
      <c r="P2183" s="116">
        <v>2180</v>
      </c>
      <c r="Q2183" s="116">
        <v>2160.9499999999998</v>
      </c>
      <c r="R2183">
        <v>35951</v>
      </c>
    </row>
    <row r="2184" spans="1:18" x14ac:dyDescent="0.25">
      <c r="A2184" s="169">
        <v>45219</v>
      </c>
      <c r="B2184" s="116">
        <v>2161.4</v>
      </c>
      <c r="C2184" s="116">
        <v>2125.75</v>
      </c>
      <c r="D2184" s="116">
        <v>2121</v>
      </c>
      <c r="E2184" s="116">
        <v>2161.4</v>
      </c>
      <c r="F2184" s="116">
        <v>2125.75</v>
      </c>
      <c r="G2184">
        <v>1207</v>
      </c>
      <c r="H2184" s="116"/>
      <c r="I2184" s="116"/>
      <c r="L2184" s="169">
        <v>45219</v>
      </c>
      <c r="M2184" s="116">
        <v>2125.65</v>
      </c>
      <c r="N2184" s="116">
        <v>2177</v>
      </c>
      <c r="O2184" s="116">
        <v>2120</v>
      </c>
      <c r="P2184" s="116">
        <v>2177</v>
      </c>
      <c r="Q2184" s="116">
        <v>2125.65</v>
      </c>
      <c r="R2184">
        <v>25510</v>
      </c>
    </row>
    <row r="2185" spans="1:18" x14ac:dyDescent="0.25">
      <c r="A2185" s="169">
        <v>45222</v>
      </c>
      <c r="B2185" s="116">
        <v>2140.0500000000002</v>
      </c>
      <c r="C2185" s="116">
        <v>2098.4</v>
      </c>
      <c r="D2185" s="116">
        <v>2085</v>
      </c>
      <c r="E2185" s="116">
        <v>2123.3000000000002</v>
      </c>
      <c r="F2185" s="116">
        <v>2098.4</v>
      </c>
      <c r="G2185">
        <v>5950</v>
      </c>
      <c r="H2185" s="116"/>
      <c r="I2185" s="116"/>
      <c r="L2185" s="169">
        <v>45222</v>
      </c>
      <c r="M2185" s="116">
        <v>2101.3000000000002</v>
      </c>
      <c r="N2185" s="116">
        <v>2139</v>
      </c>
      <c r="O2185" s="116">
        <v>2091.0500000000002</v>
      </c>
      <c r="P2185" s="116">
        <v>2129.9</v>
      </c>
      <c r="Q2185" s="116">
        <v>2101.3000000000002</v>
      </c>
      <c r="R2185">
        <v>24300</v>
      </c>
    </row>
    <row r="2186" spans="1:18" x14ac:dyDescent="0.25">
      <c r="A2186" s="169">
        <v>45224</v>
      </c>
      <c r="B2186" s="116">
        <v>2115</v>
      </c>
      <c r="C2186" s="116">
        <v>2054.9</v>
      </c>
      <c r="D2186" s="116">
        <v>2049.3000000000002</v>
      </c>
      <c r="E2186" s="116">
        <v>2098.4</v>
      </c>
      <c r="F2186" s="116">
        <v>2054.9</v>
      </c>
      <c r="G2186">
        <v>2019</v>
      </c>
      <c r="H2186" s="116"/>
      <c r="I2186" s="116"/>
      <c r="L2186" s="169">
        <v>45224</v>
      </c>
      <c r="M2186" s="116">
        <v>2055</v>
      </c>
      <c r="N2186" s="116">
        <v>2121.75</v>
      </c>
      <c r="O2186" s="116">
        <v>2046.35</v>
      </c>
      <c r="P2186" s="116">
        <v>2101.3000000000002</v>
      </c>
      <c r="Q2186" s="116">
        <v>2055</v>
      </c>
      <c r="R2186">
        <v>42016</v>
      </c>
    </row>
    <row r="2187" spans="1:18" x14ac:dyDescent="0.25">
      <c r="A2187" s="169">
        <v>45225</v>
      </c>
      <c r="B2187" s="116">
        <v>2085.75</v>
      </c>
      <c r="C2187" s="116">
        <v>2032</v>
      </c>
      <c r="D2187" s="116">
        <v>2011</v>
      </c>
      <c r="E2187" s="116">
        <v>2085.75</v>
      </c>
      <c r="F2187" s="116">
        <v>2032</v>
      </c>
      <c r="G2187">
        <v>2029</v>
      </c>
      <c r="H2187" s="116"/>
      <c r="I2187" s="116"/>
      <c r="L2187" s="169">
        <v>45225</v>
      </c>
      <c r="M2187" s="116">
        <v>2030.15</v>
      </c>
      <c r="N2187" s="116">
        <v>2056</v>
      </c>
      <c r="O2187" s="116">
        <v>2008.65</v>
      </c>
      <c r="P2187" s="116">
        <v>2055</v>
      </c>
      <c r="Q2187" s="116">
        <v>2030.15</v>
      </c>
      <c r="R2187">
        <v>42443</v>
      </c>
    </row>
    <row r="2188" spans="1:18" x14ac:dyDescent="0.25">
      <c r="A2188" s="169">
        <v>45226</v>
      </c>
      <c r="B2188" s="116">
        <v>2108.8000000000002</v>
      </c>
      <c r="C2188" s="116">
        <v>2094.85</v>
      </c>
      <c r="D2188" s="116">
        <v>2045.5</v>
      </c>
      <c r="E2188" s="116">
        <v>2051.4</v>
      </c>
      <c r="F2188" s="116">
        <v>2094.85</v>
      </c>
      <c r="G2188">
        <v>4626</v>
      </c>
      <c r="H2188" s="116"/>
      <c r="I2188" s="116"/>
      <c r="L2188" s="169">
        <v>45226</v>
      </c>
      <c r="M2188" s="116">
        <v>2093.0500000000002</v>
      </c>
      <c r="N2188" s="116">
        <v>2105</v>
      </c>
      <c r="O2188" s="116">
        <v>2031</v>
      </c>
      <c r="P2188" s="116">
        <v>2031</v>
      </c>
      <c r="Q2188" s="116">
        <v>2093.0500000000002</v>
      </c>
      <c r="R2188">
        <v>22781</v>
      </c>
    </row>
    <row r="2189" spans="1:18" x14ac:dyDescent="0.25">
      <c r="A2189" s="169">
        <v>45229</v>
      </c>
      <c r="B2189" s="116">
        <v>2094.85</v>
      </c>
      <c r="C2189" s="116">
        <v>2038.75</v>
      </c>
      <c r="D2189" s="116">
        <v>2030.3</v>
      </c>
      <c r="E2189" s="116">
        <v>2093</v>
      </c>
      <c r="F2189" s="116">
        <v>2038.75</v>
      </c>
      <c r="G2189">
        <v>5888</v>
      </c>
      <c r="H2189" s="116"/>
      <c r="I2189" s="116"/>
      <c r="L2189" s="169">
        <v>45229</v>
      </c>
      <c r="M2189" s="116">
        <v>2038.65</v>
      </c>
      <c r="N2189" s="116">
        <v>2099.9</v>
      </c>
      <c r="O2189" s="116">
        <v>2033.1</v>
      </c>
      <c r="P2189" s="116">
        <v>2099.9</v>
      </c>
      <c r="Q2189" s="116">
        <v>2038.65</v>
      </c>
      <c r="R2189">
        <v>29091</v>
      </c>
    </row>
    <row r="2190" spans="1:18" x14ac:dyDescent="0.25">
      <c r="A2190" s="169">
        <v>45230</v>
      </c>
      <c r="B2190" s="116">
        <v>2069.9499999999998</v>
      </c>
      <c r="C2190" s="116">
        <v>2043.1</v>
      </c>
      <c r="D2190" s="116">
        <v>2032.75</v>
      </c>
      <c r="E2190" s="116">
        <v>2069.9499999999998</v>
      </c>
      <c r="F2190" s="116">
        <v>2043.1</v>
      </c>
      <c r="G2190">
        <v>3700</v>
      </c>
      <c r="H2190" s="116"/>
      <c r="I2190" s="116"/>
      <c r="L2190" s="169">
        <v>45230</v>
      </c>
      <c r="M2190" s="116">
        <v>2045.65</v>
      </c>
      <c r="N2190" s="116">
        <v>2050</v>
      </c>
      <c r="O2190" s="116">
        <v>2032.05</v>
      </c>
      <c r="P2190" s="116">
        <v>2048.35</v>
      </c>
      <c r="Q2190" s="116">
        <v>2045.65</v>
      </c>
      <c r="R2190">
        <v>17838</v>
      </c>
    </row>
    <row r="2191" spans="1:18" x14ac:dyDescent="0.25">
      <c r="A2191" s="169">
        <v>45231</v>
      </c>
      <c r="B2191" s="116">
        <v>2049.0500000000002</v>
      </c>
      <c r="C2191" s="116">
        <v>2034.25</v>
      </c>
      <c r="D2191" s="116">
        <v>2030.1</v>
      </c>
      <c r="E2191" s="116">
        <v>2047.9</v>
      </c>
      <c r="F2191" s="116">
        <v>2034.25</v>
      </c>
      <c r="G2191">
        <v>1120</v>
      </c>
      <c r="H2191" s="116"/>
      <c r="I2191" s="116"/>
      <c r="L2191" s="169">
        <v>45231</v>
      </c>
      <c r="M2191" s="116">
        <v>2034.85</v>
      </c>
      <c r="N2191" s="116">
        <v>2050</v>
      </c>
      <c r="O2191" s="116">
        <v>2030</v>
      </c>
      <c r="P2191" s="116">
        <v>2049.9499999999998</v>
      </c>
      <c r="Q2191" s="116">
        <v>2034.85</v>
      </c>
      <c r="R2191">
        <v>14967</v>
      </c>
    </row>
    <row r="2192" spans="1:18" x14ac:dyDescent="0.25">
      <c r="A2192" s="169">
        <v>45232</v>
      </c>
      <c r="B2192" s="116">
        <v>2064.1999999999998</v>
      </c>
      <c r="C2192" s="116">
        <v>2044.25</v>
      </c>
      <c r="D2192" s="116">
        <v>2016</v>
      </c>
      <c r="E2192" s="116">
        <v>2054.4</v>
      </c>
      <c r="F2192" s="116">
        <v>2044.25</v>
      </c>
      <c r="G2192">
        <v>2170</v>
      </c>
      <c r="H2192" s="116"/>
      <c r="I2192" s="116"/>
      <c r="L2192" s="169">
        <v>45232</v>
      </c>
      <c r="M2192" s="116">
        <v>2045.2</v>
      </c>
      <c r="N2192" s="116">
        <v>2069</v>
      </c>
      <c r="O2192" s="116">
        <v>2020</v>
      </c>
      <c r="P2192" s="116">
        <v>2045</v>
      </c>
      <c r="Q2192" s="116">
        <v>2045.2</v>
      </c>
      <c r="R2192">
        <v>29921</v>
      </c>
    </row>
    <row r="2193" spans="1:18" x14ac:dyDescent="0.25">
      <c r="A2193" s="169">
        <v>45233</v>
      </c>
      <c r="B2193" s="116">
        <v>2075.6</v>
      </c>
      <c r="C2193" s="116">
        <v>2042.5</v>
      </c>
      <c r="D2193" s="116">
        <v>2041</v>
      </c>
      <c r="E2193" s="116">
        <v>2075.6</v>
      </c>
      <c r="F2193" s="116">
        <v>2042.5</v>
      </c>
      <c r="G2193">
        <v>687</v>
      </c>
      <c r="H2193" s="116"/>
      <c r="I2193" s="116"/>
      <c r="L2193" s="169">
        <v>45233</v>
      </c>
      <c r="M2193" s="116">
        <v>2041.7</v>
      </c>
      <c r="N2193" s="116">
        <v>2067.85</v>
      </c>
      <c r="O2193" s="116">
        <v>2040.2</v>
      </c>
      <c r="P2193" s="116">
        <v>2057.5</v>
      </c>
      <c r="Q2193" s="116">
        <v>2041.7</v>
      </c>
      <c r="R2193">
        <v>13951</v>
      </c>
    </row>
    <row r="2194" spans="1:18" x14ac:dyDescent="0.25">
      <c r="A2194" s="169">
        <v>45236</v>
      </c>
      <c r="B2194" s="116">
        <v>2119.4</v>
      </c>
      <c r="C2194" s="116">
        <v>2077.6</v>
      </c>
      <c r="D2194" s="116">
        <v>2044</v>
      </c>
      <c r="E2194" s="116">
        <v>2050.0500000000002</v>
      </c>
      <c r="F2194" s="116">
        <v>2077.6</v>
      </c>
      <c r="G2194">
        <v>6225</v>
      </c>
      <c r="H2194" s="116"/>
      <c r="I2194" s="116"/>
      <c r="L2194" s="169">
        <v>45236</v>
      </c>
      <c r="M2194" s="116">
        <v>2088.9499999999998</v>
      </c>
      <c r="N2194" s="116">
        <v>2110</v>
      </c>
      <c r="O2194" s="116">
        <v>2043.75</v>
      </c>
      <c r="P2194" s="116">
        <v>2061.85</v>
      </c>
      <c r="Q2194" s="116">
        <v>2088.9499999999998</v>
      </c>
      <c r="R2194">
        <v>54127</v>
      </c>
    </row>
    <row r="2195" spans="1:18" x14ac:dyDescent="0.25">
      <c r="A2195" s="169">
        <v>45237</v>
      </c>
      <c r="B2195" s="116">
        <v>2118.9499999999998</v>
      </c>
      <c r="C2195" s="116">
        <v>2076.25</v>
      </c>
      <c r="D2195" s="116">
        <v>2069.15</v>
      </c>
      <c r="E2195" s="116">
        <v>2118.9499999999998</v>
      </c>
      <c r="F2195" s="116">
        <v>2076.25</v>
      </c>
      <c r="G2195">
        <v>1194</v>
      </c>
      <c r="H2195" s="116"/>
      <c r="I2195" s="116"/>
      <c r="L2195" s="169">
        <v>45237</v>
      </c>
      <c r="M2195" s="116">
        <v>2075.85</v>
      </c>
      <c r="N2195" s="116">
        <v>2097.65</v>
      </c>
      <c r="O2195" s="116">
        <v>2065</v>
      </c>
      <c r="P2195" s="116">
        <v>2089.8000000000002</v>
      </c>
      <c r="Q2195" s="116">
        <v>2075.85</v>
      </c>
      <c r="R2195">
        <v>22935</v>
      </c>
    </row>
    <row r="2196" spans="1:18" x14ac:dyDescent="0.25">
      <c r="A2196" s="169">
        <v>45238</v>
      </c>
      <c r="B2196" s="116">
        <v>2128.8000000000002</v>
      </c>
      <c r="C2196" s="116">
        <v>2063.65</v>
      </c>
      <c r="D2196" s="116">
        <v>2051.4</v>
      </c>
      <c r="E2196" s="116">
        <v>2072.25</v>
      </c>
      <c r="F2196" s="116">
        <v>2063.65</v>
      </c>
      <c r="G2196">
        <v>7386</v>
      </c>
      <c r="H2196" s="116"/>
      <c r="I2196" s="116"/>
      <c r="L2196" s="169">
        <v>45238</v>
      </c>
      <c r="M2196" s="116">
        <v>2064.4499999999998</v>
      </c>
      <c r="N2196" s="116">
        <v>2109</v>
      </c>
      <c r="O2196" s="116">
        <v>2059.65</v>
      </c>
      <c r="P2196" s="116">
        <v>2075.85</v>
      </c>
      <c r="Q2196" s="116">
        <v>2064.4499999999998</v>
      </c>
      <c r="R2196">
        <v>41529</v>
      </c>
    </row>
    <row r="2197" spans="1:18" x14ac:dyDescent="0.25">
      <c r="A2197" s="169">
        <v>45239</v>
      </c>
      <c r="B2197" s="116">
        <v>2031.05</v>
      </c>
      <c r="C2197" s="116">
        <v>2009.25</v>
      </c>
      <c r="D2197" s="116">
        <v>2003.6</v>
      </c>
      <c r="E2197" s="116">
        <v>2015.05</v>
      </c>
      <c r="F2197" s="116">
        <v>2009.25</v>
      </c>
      <c r="G2197">
        <v>4813</v>
      </c>
      <c r="H2197" s="116"/>
      <c r="I2197" s="116"/>
      <c r="L2197" s="169">
        <v>45239</v>
      </c>
      <c r="M2197" s="116">
        <v>2010.7</v>
      </c>
      <c r="N2197" s="116">
        <v>2030</v>
      </c>
      <c r="O2197" s="116">
        <v>2005.25</v>
      </c>
      <c r="P2197" s="116">
        <v>2030</v>
      </c>
      <c r="Q2197" s="116">
        <v>2010.7</v>
      </c>
      <c r="R2197">
        <v>72181</v>
      </c>
    </row>
    <row r="2198" spans="1:18" x14ac:dyDescent="0.25">
      <c r="A2198" s="169">
        <v>45240</v>
      </c>
      <c r="B2198" s="116">
        <v>2052.5</v>
      </c>
      <c r="C2198" s="116">
        <v>2028.2</v>
      </c>
      <c r="D2198" s="116">
        <v>2002</v>
      </c>
      <c r="E2198" s="116">
        <v>2019.95</v>
      </c>
      <c r="F2198" s="116">
        <v>2028.2</v>
      </c>
      <c r="G2198">
        <v>2306</v>
      </c>
      <c r="H2198" s="116"/>
      <c r="I2198" s="116"/>
      <c r="L2198" s="169">
        <v>45240</v>
      </c>
      <c r="M2198" s="116">
        <v>2025</v>
      </c>
      <c r="N2198" s="116">
        <v>2053.4</v>
      </c>
      <c r="O2198" s="116">
        <v>2000</v>
      </c>
      <c r="P2198" s="116">
        <v>2000</v>
      </c>
      <c r="Q2198" s="116">
        <v>2025</v>
      </c>
      <c r="R2198">
        <v>46964</v>
      </c>
    </row>
    <row r="2199" spans="1:18" x14ac:dyDescent="0.25">
      <c r="A2199" s="169">
        <v>45242</v>
      </c>
      <c r="B2199" s="116">
        <v>2055.65</v>
      </c>
      <c r="C2199" s="116">
        <v>2041.4</v>
      </c>
      <c r="D2199" s="116">
        <v>2030.7</v>
      </c>
      <c r="E2199" s="116">
        <v>2038.8</v>
      </c>
      <c r="F2199" s="116">
        <v>2041.4</v>
      </c>
      <c r="G2199">
        <v>2081</v>
      </c>
      <c r="H2199" s="116"/>
      <c r="I2199" s="116"/>
      <c r="L2199" s="169">
        <v>45242</v>
      </c>
      <c r="M2199" s="116">
        <v>2041</v>
      </c>
      <c r="N2199" s="116">
        <v>2054.9499999999998</v>
      </c>
      <c r="O2199" s="116">
        <v>2033.2</v>
      </c>
      <c r="P2199" s="116">
        <v>2054.9499999999998</v>
      </c>
      <c r="Q2199" s="116">
        <v>2041</v>
      </c>
      <c r="R2199">
        <v>7323</v>
      </c>
    </row>
    <row r="2200" spans="1:18" x14ac:dyDescent="0.25">
      <c r="A2200" s="169">
        <v>45243</v>
      </c>
      <c r="B2200" s="116">
        <v>2065</v>
      </c>
      <c r="C2200" s="116">
        <v>2030.05</v>
      </c>
      <c r="D2200" s="116">
        <v>2015</v>
      </c>
      <c r="E2200" s="116">
        <v>2058.9499999999998</v>
      </c>
      <c r="F2200" s="116">
        <v>2030.05</v>
      </c>
      <c r="G2200">
        <v>6012</v>
      </c>
      <c r="H2200" s="116"/>
      <c r="I2200" s="116"/>
      <c r="L2200" s="169">
        <v>45243</v>
      </c>
      <c r="M2200" s="116">
        <v>2031.75</v>
      </c>
      <c r="N2200" s="116">
        <v>2066</v>
      </c>
      <c r="O2200" s="116">
        <v>2016.85</v>
      </c>
      <c r="P2200" s="116">
        <v>2041</v>
      </c>
      <c r="Q2200" s="116">
        <v>2031.75</v>
      </c>
      <c r="R2200">
        <v>28612</v>
      </c>
    </row>
    <row r="2201" spans="1:18" x14ac:dyDescent="0.25">
      <c r="A2201" s="169">
        <v>45245</v>
      </c>
      <c r="B2201" s="116">
        <v>2046.15</v>
      </c>
      <c r="C2201" s="116">
        <v>2028.2</v>
      </c>
      <c r="D2201" s="116">
        <v>2015</v>
      </c>
      <c r="E2201" s="116">
        <v>2036.05</v>
      </c>
      <c r="F2201" s="116">
        <v>2028.2</v>
      </c>
      <c r="G2201">
        <v>3735</v>
      </c>
      <c r="H2201" s="116"/>
      <c r="I2201" s="116"/>
      <c r="L2201" s="169">
        <v>45245</v>
      </c>
      <c r="M2201" s="116">
        <v>2024.6</v>
      </c>
      <c r="N2201" s="116">
        <v>2050</v>
      </c>
      <c r="O2201" s="116">
        <v>2015</v>
      </c>
      <c r="P2201" s="116">
        <v>2044</v>
      </c>
      <c r="Q2201" s="116">
        <v>2024.6</v>
      </c>
      <c r="R2201">
        <v>41140</v>
      </c>
    </row>
    <row r="2202" spans="1:18" x14ac:dyDescent="0.25">
      <c r="A2202" s="169">
        <v>45246</v>
      </c>
      <c r="B2202" s="116">
        <v>2079.9499999999998</v>
      </c>
      <c r="C2202" s="116">
        <v>2037.6</v>
      </c>
      <c r="D2202" s="116">
        <v>2017.05</v>
      </c>
      <c r="E2202" s="116">
        <v>2017.05</v>
      </c>
      <c r="F2202" s="116">
        <v>2037.6</v>
      </c>
      <c r="G2202">
        <v>8418</v>
      </c>
      <c r="H2202" s="116"/>
      <c r="I2202" s="116"/>
      <c r="L2202" s="169">
        <v>45246</v>
      </c>
      <c r="M2202" s="116">
        <v>2035.35</v>
      </c>
      <c r="N2202" s="116">
        <v>2079</v>
      </c>
      <c r="O2202" s="116">
        <v>2024.6</v>
      </c>
      <c r="P2202" s="116">
        <v>2024.6</v>
      </c>
      <c r="Q2202" s="116">
        <v>2035.35</v>
      </c>
      <c r="R2202">
        <v>49238</v>
      </c>
    </row>
    <row r="2203" spans="1:18" x14ac:dyDescent="0.25">
      <c r="A2203" s="169">
        <v>45247</v>
      </c>
      <c r="B2203" s="116">
        <v>2074.9499999999998</v>
      </c>
      <c r="C2203" s="116">
        <v>2045.15</v>
      </c>
      <c r="D2203" s="116">
        <v>2021</v>
      </c>
      <c r="E2203" s="116">
        <v>2074.9499999999998</v>
      </c>
      <c r="F2203" s="116">
        <v>2045.15</v>
      </c>
      <c r="G2203">
        <v>8806</v>
      </c>
      <c r="H2203" s="116"/>
      <c r="I2203" s="116"/>
      <c r="L2203" s="169">
        <v>45247</v>
      </c>
      <c r="M2203" s="116">
        <v>2046.1</v>
      </c>
      <c r="N2203" s="116">
        <v>2060.5500000000002</v>
      </c>
      <c r="O2203" s="116">
        <v>2005.1</v>
      </c>
      <c r="P2203" s="116">
        <v>2048.9499999999998</v>
      </c>
      <c r="Q2203" s="116">
        <v>2046.1</v>
      </c>
      <c r="R2203">
        <v>40927</v>
      </c>
    </row>
    <row r="2204" spans="1:18" x14ac:dyDescent="0.25">
      <c r="A2204" s="169">
        <v>45250</v>
      </c>
      <c r="B2204" s="116">
        <v>2068.15</v>
      </c>
      <c r="C2204" s="116">
        <v>2031.5</v>
      </c>
      <c r="D2204" s="116">
        <v>2024</v>
      </c>
      <c r="E2204" s="116">
        <v>2050</v>
      </c>
      <c r="F2204" s="116">
        <v>2031.5</v>
      </c>
      <c r="G2204">
        <v>1988</v>
      </c>
      <c r="H2204" s="116"/>
      <c r="I2204" s="116"/>
      <c r="L2204" s="169">
        <v>45250</v>
      </c>
      <c r="M2204" s="116">
        <v>2029.6</v>
      </c>
      <c r="N2204" s="116">
        <v>2067.9499999999998</v>
      </c>
      <c r="O2204" s="116">
        <v>2022</v>
      </c>
      <c r="P2204" s="116">
        <v>2050</v>
      </c>
      <c r="Q2204" s="116">
        <v>2029.6</v>
      </c>
      <c r="R2204">
        <v>37389</v>
      </c>
    </row>
    <row r="2205" spans="1:18" x14ac:dyDescent="0.25">
      <c r="A2205" s="169">
        <v>45251</v>
      </c>
      <c r="B2205" s="116">
        <v>2047</v>
      </c>
      <c r="C2205" s="116">
        <v>2029.25</v>
      </c>
      <c r="D2205" s="116">
        <v>2025</v>
      </c>
      <c r="E2205" s="116">
        <v>2031.05</v>
      </c>
      <c r="F2205" s="116">
        <v>2029.25</v>
      </c>
      <c r="G2205">
        <v>2768</v>
      </c>
      <c r="H2205" s="116"/>
      <c r="I2205" s="116"/>
      <c r="L2205" s="169">
        <v>45251</v>
      </c>
      <c r="M2205" s="116">
        <v>2030.1</v>
      </c>
      <c r="N2205" s="116">
        <v>2049</v>
      </c>
      <c r="O2205" s="116">
        <v>2027.05</v>
      </c>
      <c r="P2205" s="116">
        <v>2044.85</v>
      </c>
      <c r="Q2205" s="116">
        <v>2030.1</v>
      </c>
      <c r="R2205">
        <v>18456</v>
      </c>
    </row>
    <row r="2206" spans="1:18" x14ac:dyDescent="0.25">
      <c r="A2206" s="169">
        <v>45252</v>
      </c>
      <c r="B2206" s="116">
        <v>2038</v>
      </c>
      <c r="C2206" s="116">
        <v>2031.05</v>
      </c>
      <c r="D2206" s="116">
        <v>2017.3</v>
      </c>
      <c r="E2206" s="116">
        <v>2022.05</v>
      </c>
      <c r="F2206" s="116">
        <v>2031.05</v>
      </c>
      <c r="G2206">
        <v>2197</v>
      </c>
      <c r="H2206" s="116"/>
      <c r="I2206" s="116"/>
      <c r="L2206" s="169">
        <v>45252</v>
      </c>
      <c r="M2206" s="116">
        <v>2029.7</v>
      </c>
      <c r="N2206" s="116">
        <v>2039</v>
      </c>
      <c r="O2206" s="116">
        <v>2017.95</v>
      </c>
      <c r="P2206" s="116">
        <v>2030.95</v>
      </c>
      <c r="Q2206" s="116">
        <v>2029.7</v>
      </c>
      <c r="R2206">
        <v>26349</v>
      </c>
    </row>
    <row r="2207" spans="1:18" x14ac:dyDescent="0.25">
      <c r="A2207" s="169">
        <v>45253</v>
      </c>
      <c r="B2207" s="116">
        <v>2039.35</v>
      </c>
      <c r="C2207" s="116">
        <v>2019.4</v>
      </c>
      <c r="D2207" s="116">
        <v>2017</v>
      </c>
      <c r="E2207" s="116">
        <v>2026.05</v>
      </c>
      <c r="F2207" s="116">
        <v>2019.4</v>
      </c>
      <c r="G2207">
        <v>5336</v>
      </c>
      <c r="H2207" s="116"/>
      <c r="I2207" s="116"/>
      <c r="L2207" s="169">
        <v>45253</v>
      </c>
      <c r="M2207" s="116">
        <v>2018.85</v>
      </c>
      <c r="N2207" s="116">
        <v>2040</v>
      </c>
      <c r="O2207" s="116">
        <v>2015</v>
      </c>
      <c r="P2207" s="116">
        <v>2039.95</v>
      </c>
      <c r="Q2207" s="116">
        <v>2018.85</v>
      </c>
      <c r="R2207">
        <v>31359</v>
      </c>
    </row>
    <row r="2208" spans="1:18" x14ac:dyDescent="0.25">
      <c r="A2208" s="169">
        <v>45254</v>
      </c>
      <c r="B2208" s="116">
        <v>2049.9</v>
      </c>
      <c r="C2208" s="116">
        <v>2020.05</v>
      </c>
      <c r="D2208" s="116">
        <v>2009</v>
      </c>
      <c r="E2208" s="116">
        <v>2049.9</v>
      </c>
      <c r="F2208" s="116">
        <v>2020.05</v>
      </c>
      <c r="G2208">
        <v>4332</v>
      </c>
      <c r="H2208" s="116"/>
      <c r="I2208" s="116"/>
      <c r="L2208" s="169">
        <v>45254</v>
      </c>
      <c r="M2208" s="116">
        <v>2019.4</v>
      </c>
      <c r="N2208" s="116">
        <v>2034.25</v>
      </c>
      <c r="O2208" s="116">
        <v>2017</v>
      </c>
      <c r="P2208" s="116">
        <v>2020.1</v>
      </c>
      <c r="Q2208" s="116">
        <v>2019.4</v>
      </c>
      <c r="R2208">
        <v>19732</v>
      </c>
    </row>
    <row r="2209" spans="1:18" x14ac:dyDescent="0.25">
      <c r="A2209" s="169">
        <v>45258</v>
      </c>
      <c r="B2209" s="116">
        <v>2034.7</v>
      </c>
      <c r="C2209" s="116">
        <v>2015.45</v>
      </c>
      <c r="D2209" s="116">
        <v>2012</v>
      </c>
      <c r="E2209" s="116">
        <v>2020.05</v>
      </c>
      <c r="F2209" s="116">
        <v>2015.45</v>
      </c>
      <c r="G2209">
        <v>6875</v>
      </c>
      <c r="H2209" s="116"/>
      <c r="I2209" s="116"/>
      <c r="L2209" s="169">
        <v>45258</v>
      </c>
      <c r="M2209" s="116">
        <v>2015.05</v>
      </c>
      <c r="N2209" s="116">
        <v>2040</v>
      </c>
      <c r="O2209" s="116">
        <v>2005.05</v>
      </c>
      <c r="P2209" s="116">
        <v>2024.95</v>
      </c>
      <c r="Q2209" s="116">
        <v>2015.05</v>
      </c>
      <c r="R2209">
        <v>32630</v>
      </c>
    </row>
    <row r="2210" spans="1:18" x14ac:dyDescent="0.25">
      <c r="A2210" s="169">
        <v>45259</v>
      </c>
      <c r="B2210" s="116">
        <v>2031.15</v>
      </c>
      <c r="C2210" s="116">
        <v>2018.35</v>
      </c>
      <c r="D2210" s="116">
        <v>2008.1</v>
      </c>
      <c r="E2210" s="116">
        <v>2017.95</v>
      </c>
      <c r="F2210" s="116">
        <v>2018.35</v>
      </c>
      <c r="G2210">
        <v>6332</v>
      </c>
      <c r="H2210" s="116"/>
      <c r="I2210" s="116"/>
      <c r="L2210" s="169">
        <v>45259</v>
      </c>
      <c r="M2210" s="116">
        <v>2018.6</v>
      </c>
      <c r="N2210" s="116">
        <v>2028.9</v>
      </c>
      <c r="O2210" s="116">
        <v>2011.15</v>
      </c>
      <c r="P2210" s="116">
        <v>2015.45</v>
      </c>
      <c r="Q2210" s="116">
        <v>2018.6</v>
      </c>
      <c r="R2210">
        <v>27695</v>
      </c>
    </row>
    <row r="2211" spans="1:18" x14ac:dyDescent="0.25">
      <c r="A2211" s="169">
        <v>45260</v>
      </c>
      <c r="B2211" s="116">
        <v>2049.6999999999998</v>
      </c>
      <c r="C2211" s="116">
        <v>2015.25</v>
      </c>
      <c r="D2211" s="116">
        <v>2012</v>
      </c>
      <c r="E2211" s="116">
        <v>2049.6999999999998</v>
      </c>
      <c r="F2211" s="116">
        <v>2015.25</v>
      </c>
      <c r="G2211">
        <v>2255</v>
      </c>
      <c r="H2211" s="116"/>
      <c r="I2211" s="116"/>
      <c r="L2211" s="169">
        <v>45260</v>
      </c>
      <c r="M2211" s="116">
        <v>2016.8</v>
      </c>
      <c r="N2211" s="116">
        <v>2031</v>
      </c>
      <c r="O2211" s="116">
        <v>2013.1</v>
      </c>
      <c r="P2211" s="116">
        <v>2030</v>
      </c>
      <c r="Q2211" s="116">
        <v>2016.8</v>
      </c>
      <c r="R2211">
        <v>29202</v>
      </c>
    </row>
    <row r="2212" spans="1:18" x14ac:dyDescent="0.25">
      <c r="A2212" s="169">
        <v>45261</v>
      </c>
      <c r="B2212" s="116">
        <v>2045.55</v>
      </c>
      <c r="C2212" s="116">
        <v>2018.25</v>
      </c>
      <c r="D2212" s="116">
        <v>2014</v>
      </c>
      <c r="E2212" s="116">
        <v>2045.55</v>
      </c>
      <c r="F2212" s="116">
        <v>2018.25</v>
      </c>
      <c r="G2212">
        <v>1908</v>
      </c>
      <c r="H2212" s="116"/>
      <c r="I2212" s="116"/>
      <c r="L2212" s="169">
        <v>45261</v>
      </c>
      <c r="M2212" s="116">
        <v>2017.7</v>
      </c>
      <c r="N2212" s="116">
        <v>2037.8</v>
      </c>
      <c r="O2212" s="116">
        <v>2008.6</v>
      </c>
      <c r="P2212" s="116">
        <v>2030</v>
      </c>
      <c r="Q2212" s="116">
        <v>2017.7</v>
      </c>
      <c r="R2212">
        <v>30507</v>
      </c>
    </row>
    <row r="2213" spans="1:18" x14ac:dyDescent="0.25">
      <c r="A2213" s="169">
        <v>45264</v>
      </c>
      <c r="B2213" s="116">
        <v>2042.9</v>
      </c>
      <c r="C2213" s="116">
        <v>2021.6</v>
      </c>
      <c r="D2213" s="116">
        <v>2016.05</v>
      </c>
      <c r="E2213" s="116">
        <v>2016.05</v>
      </c>
      <c r="F2213" s="116">
        <v>2021.6</v>
      </c>
      <c r="G2213">
        <v>7710</v>
      </c>
      <c r="H2213" s="116"/>
      <c r="I2213" s="116"/>
      <c r="L2213" s="169">
        <v>45264</v>
      </c>
      <c r="M2213" s="116">
        <v>2022</v>
      </c>
      <c r="N2213" s="116">
        <v>2042</v>
      </c>
      <c r="O2213" s="116">
        <v>2019</v>
      </c>
      <c r="P2213" s="116">
        <v>2041.95</v>
      </c>
      <c r="Q2213" s="116">
        <v>2022</v>
      </c>
      <c r="R2213">
        <v>27921</v>
      </c>
    </row>
    <row r="2214" spans="1:18" x14ac:dyDescent="0.25">
      <c r="A2214" s="169">
        <v>45265</v>
      </c>
      <c r="B2214" s="116">
        <v>2072.65</v>
      </c>
      <c r="C2214" s="116">
        <v>2057.65</v>
      </c>
      <c r="D2214" s="116">
        <v>2020.05</v>
      </c>
      <c r="E2214" s="116">
        <v>2020.05</v>
      </c>
      <c r="F2214" s="116">
        <v>2057.65</v>
      </c>
      <c r="G2214">
        <v>5542</v>
      </c>
      <c r="H2214" s="116"/>
      <c r="I2214" s="116"/>
      <c r="L2214" s="169">
        <v>45265</v>
      </c>
      <c r="M2214" s="116">
        <v>2056.8000000000002</v>
      </c>
      <c r="N2214" s="116">
        <v>2073.25</v>
      </c>
      <c r="O2214" s="116">
        <v>2025</v>
      </c>
      <c r="P2214" s="116">
        <v>2025</v>
      </c>
      <c r="Q2214" s="116">
        <v>2056.8000000000002</v>
      </c>
      <c r="R2214">
        <v>82707</v>
      </c>
    </row>
    <row r="2215" spans="1:18" x14ac:dyDescent="0.25">
      <c r="A2215" s="169">
        <v>45266</v>
      </c>
      <c r="B2215" s="116">
        <v>2375</v>
      </c>
      <c r="C2215" s="116">
        <v>2306.8000000000002</v>
      </c>
      <c r="D2215" s="116">
        <v>2060</v>
      </c>
      <c r="E2215" s="116">
        <v>2060</v>
      </c>
      <c r="F2215" s="116">
        <v>2306.8000000000002</v>
      </c>
      <c r="G2215">
        <v>127641</v>
      </c>
      <c r="H2215" s="116"/>
      <c r="I2215" s="116"/>
      <c r="L2215" s="169">
        <v>45266</v>
      </c>
      <c r="M2215" s="116">
        <v>2307.6</v>
      </c>
      <c r="N2215" s="116">
        <v>2375</v>
      </c>
      <c r="O2215" s="116">
        <v>2061</v>
      </c>
      <c r="P2215" s="116">
        <v>2069.25</v>
      </c>
      <c r="Q2215" s="116">
        <v>2307.6</v>
      </c>
      <c r="R2215">
        <v>1769793</v>
      </c>
    </row>
    <row r="2216" spans="1:18" x14ac:dyDescent="0.25">
      <c r="A2216" s="169">
        <v>45267</v>
      </c>
      <c r="B2216" s="116">
        <v>2367.3000000000002</v>
      </c>
      <c r="C2216" s="116">
        <v>2350.4</v>
      </c>
      <c r="D2216" s="116">
        <v>2234.65</v>
      </c>
      <c r="E2216" s="116">
        <v>2298.8000000000002</v>
      </c>
      <c r="F2216" s="116">
        <v>2350.4</v>
      </c>
      <c r="G2216">
        <v>27397</v>
      </c>
      <c r="H2216" s="116"/>
      <c r="I2216" s="116"/>
      <c r="L2216" s="169">
        <v>45267</v>
      </c>
      <c r="M2216" s="116">
        <v>2347.25</v>
      </c>
      <c r="N2216" s="116">
        <v>2368.9499999999998</v>
      </c>
      <c r="O2216" s="116">
        <v>2258.0500000000002</v>
      </c>
      <c r="P2216" s="116">
        <v>2290</v>
      </c>
      <c r="Q2216" s="116">
        <v>2347.25</v>
      </c>
      <c r="R2216">
        <v>346907</v>
      </c>
    </row>
    <row r="2217" spans="1:18" x14ac:dyDescent="0.25">
      <c r="A2217" s="169">
        <v>45268</v>
      </c>
      <c r="B2217" s="116">
        <v>2368.65</v>
      </c>
      <c r="C2217" s="116">
        <v>2280.75</v>
      </c>
      <c r="D2217" s="116">
        <v>2250</v>
      </c>
      <c r="E2217" s="116">
        <v>2368.65</v>
      </c>
      <c r="F2217" s="116">
        <v>2280.75</v>
      </c>
      <c r="G2217">
        <v>22590</v>
      </c>
      <c r="H2217" s="116"/>
      <c r="I2217" s="116"/>
      <c r="L2217" s="169">
        <v>45268</v>
      </c>
      <c r="M2217" s="116">
        <v>2296.8000000000002</v>
      </c>
      <c r="N2217" s="116">
        <v>2361.4</v>
      </c>
      <c r="O2217" s="116">
        <v>2270.6</v>
      </c>
      <c r="P2217" s="116">
        <v>2350</v>
      </c>
      <c r="Q2217" s="116">
        <v>2296.8000000000002</v>
      </c>
      <c r="R2217">
        <v>115221</v>
      </c>
    </row>
    <row r="2218" spans="1:18" x14ac:dyDescent="0.25">
      <c r="A2218" s="169">
        <v>45271</v>
      </c>
      <c r="B2218" s="116">
        <v>2303.15</v>
      </c>
      <c r="C2218" s="116">
        <v>2264.3000000000002</v>
      </c>
      <c r="D2218" s="116">
        <v>2240.4</v>
      </c>
      <c r="E2218" s="116">
        <v>2290</v>
      </c>
      <c r="F2218" s="116">
        <v>2264.3000000000002</v>
      </c>
      <c r="G2218">
        <v>6208</v>
      </c>
      <c r="H2218" s="116"/>
      <c r="I2218" s="116"/>
      <c r="L2218" s="169">
        <v>45271</v>
      </c>
      <c r="M2218" s="116">
        <v>2267.25</v>
      </c>
      <c r="N2218" s="116">
        <v>2300</v>
      </c>
      <c r="O2218" s="116">
        <v>2240</v>
      </c>
      <c r="P2218" s="116">
        <v>2299.9</v>
      </c>
      <c r="Q2218" s="116">
        <v>2267.25</v>
      </c>
      <c r="R2218">
        <v>98062</v>
      </c>
    </row>
    <row r="2219" spans="1:18" x14ac:dyDescent="0.25">
      <c r="A2219" s="169">
        <v>45272</v>
      </c>
      <c r="B2219" s="116">
        <v>2294.85</v>
      </c>
      <c r="C2219" s="116">
        <v>2232.15</v>
      </c>
      <c r="D2219" s="116">
        <v>2222</v>
      </c>
      <c r="E2219" s="116">
        <v>2265.65</v>
      </c>
      <c r="F2219" s="116">
        <v>2232.15</v>
      </c>
      <c r="G2219">
        <v>3523</v>
      </c>
      <c r="H2219" s="116"/>
      <c r="I2219" s="116"/>
      <c r="L2219" s="169">
        <v>45272</v>
      </c>
      <c r="M2219" s="116">
        <v>2232.65</v>
      </c>
      <c r="N2219" s="116">
        <v>2294</v>
      </c>
      <c r="O2219" s="116">
        <v>2221.4499999999998</v>
      </c>
      <c r="P2219" s="116">
        <v>2267.9499999999998</v>
      </c>
      <c r="Q2219" s="116">
        <v>2232.65</v>
      </c>
      <c r="R2219">
        <v>72500</v>
      </c>
    </row>
    <row r="2220" spans="1:18" x14ac:dyDescent="0.25">
      <c r="A2220" s="169">
        <v>45273</v>
      </c>
      <c r="B2220" s="116">
        <v>2271.9499999999998</v>
      </c>
      <c r="C2220" s="116">
        <v>2233.75</v>
      </c>
      <c r="D2220" s="116">
        <v>2203.65</v>
      </c>
      <c r="E2220" s="116">
        <v>2271.9499999999998</v>
      </c>
      <c r="F2220" s="116">
        <v>2233.75</v>
      </c>
      <c r="G2220">
        <v>2476</v>
      </c>
      <c r="H2220" s="116"/>
      <c r="I2220" s="116"/>
      <c r="L2220" s="169">
        <v>45273</v>
      </c>
      <c r="M2220" s="116">
        <v>2235.85</v>
      </c>
      <c r="N2220" s="116">
        <v>2249.8000000000002</v>
      </c>
      <c r="O2220" s="116">
        <v>2203.25</v>
      </c>
      <c r="P2220" s="116">
        <v>2243.8000000000002</v>
      </c>
      <c r="Q2220" s="116">
        <v>2235.85</v>
      </c>
      <c r="R2220">
        <v>48245</v>
      </c>
    </row>
    <row r="2221" spans="1:18" x14ac:dyDescent="0.25">
      <c r="A2221" s="169">
        <v>45274</v>
      </c>
      <c r="B2221" s="116">
        <v>2275.1999999999998</v>
      </c>
      <c r="C2221" s="116">
        <v>2223.6</v>
      </c>
      <c r="D2221" s="116">
        <v>2218.6999999999998</v>
      </c>
      <c r="E2221" s="116">
        <v>2248</v>
      </c>
      <c r="F2221" s="116">
        <v>2223.6</v>
      </c>
      <c r="G2221">
        <v>2198</v>
      </c>
      <c r="H2221" s="116"/>
      <c r="I2221" s="116"/>
      <c r="L2221" s="169">
        <v>45274</v>
      </c>
      <c r="M2221" s="116">
        <v>2224.3000000000002</v>
      </c>
      <c r="N2221" s="116">
        <v>2279</v>
      </c>
      <c r="O2221" s="116">
        <v>2220</v>
      </c>
      <c r="P2221" s="116">
        <v>2250</v>
      </c>
      <c r="Q2221" s="116">
        <v>2224.3000000000002</v>
      </c>
      <c r="R2221">
        <v>51791</v>
      </c>
    </row>
    <row r="2222" spans="1:18" x14ac:dyDescent="0.25">
      <c r="A2222" s="169">
        <v>45275</v>
      </c>
      <c r="B2222" s="116">
        <v>2387.75</v>
      </c>
      <c r="C2222" s="116">
        <v>2344.3000000000002</v>
      </c>
      <c r="D2222" s="116">
        <v>2215.1</v>
      </c>
      <c r="E2222" s="116">
        <v>2215.1</v>
      </c>
      <c r="F2222" s="116">
        <v>2344.3000000000002</v>
      </c>
      <c r="G2222">
        <v>15966</v>
      </c>
      <c r="H2222" s="116"/>
      <c r="I2222" s="116"/>
      <c r="L2222" s="169">
        <v>45275</v>
      </c>
      <c r="M2222" s="116">
        <v>2345.35</v>
      </c>
      <c r="N2222" s="116">
        <v>2390</v>
      </c>
      <c r="O2222" s="116">
        <v>2224.9499999999998</v>
      </c>
      <c r="P2222" s="116">
        <v>2224.9499999999998</v>
      </c>
      <c r="Q2222" s="116">
        <v>2345.35</v>
      </c>
      <c r="R2222">
        <v>465839</v>
      </c>
    </row>
    <row r="2223" spans="1:18" x14ac:dyDescent="0.25">
      <c r="A2223" s="169">
        <v>45278</v>
      </c>
      <c r="B2223" s="116">
        <v>2445.1999999999998</v>
      </c>
      <c r="C2223" s="116">
        <v>2400.1999999999998</v>
      </c>
      <c r="D2223" s="116">
        <v>2357.6</v>
      </c>
      <c r="E2223" s="116">
        <v>2367.9</v>
      </c>
      <c r="F2223" s="116">
        <v>2400.1999999999998</v>
      </c>
      <c r="G2223">
        <v>11031</v>
      </c>
      <c r="H2223" s="116"/>
      <c r="I2223" s="116"/>
      <c r="L2223" s="169">
        <v>45278</v>
      </c>
      <c r="M2223" s="116">
        <v>2398.9</v>
      </c>
      <c r="N2223" s="116">
        <v>2449.9</v>
      </c>
      <c r="O2223" s="116">
        <v>2352.5500000000002</v>
      </c>
      <c r="P2223" s="116">
        <v>2358.8000000000002</v>
      </c>
      <c r="Q2223" s="116">
        <v>2398.9</v>
      </c>
      <c r="R2223">
        <v>315176</v>
      </c>
    </row>
    <row r="2224" spans="1:18" x14ac:dyDescent="0.25">
      <c r="A2224" s="169">
        <v>45279</v>
      </c>
      <c r="B2224" s="116">
        <v>2462.8000000000002</v>
      </c>
      <c r="C2224" s="116">
        <v>2409.9</v>
      </c>
      <c r="D2224" s="116">
        <v>2400</v>
      </c>
      <c r="E2224" s="116">
        <v>2439.4</v>
      </c>
      <c r="F2224" s="116">
        <v>2409.9</v>
      </c>
      <c r="G2224">
        <v>17155</v>
      </c>
      <c r="H2224" s="116"/>
      <c r="I2224" s="116"/>
      <c r="L2224" s="169">
        <v>45279</v>
      </c>
      <c r="M2224" s="116">
        <v>2412.8000000000002</v>
      </c>
      <c r="N2224" s="116">
        <v>2462</v>
      </c>
      <c r="O2224" s="116">
        <v>2400</v>
      </c>
      <c r="P2224" s="116">
        <v>2421</v>
      </c>
      <c r="Q2224" s="116">
        <v>2412.8000000000002</v>
      </c>
      <c r="R2224">
        <v>117708</v>
      </c>
    </row>
    <row r="2225" spans="1:18" x14ac:dyDescent="0.25">
      <c r="A2225" s="169">
        <v>45280</v>
      </c>
      <c r="B2225" s="116">
        <v>2436.6</v>
      </c>
      <c r="C2225" s="116">
        <v>2270.4499999999998</v>
      </c>
      <c r="D2225" s="116">
        <v>2262</v>
      </c>
      <c r="E2225" s="116">
        <v>2424.6999999999998</v>
      </c>
      <c r="F2225" s="116">
        <v>2270.4499999999998</v>
      </c>
      <c r="G2225">
        <v>8675</v>
      </c>
      <c r="H2225" s="116"/>
      <c r="I2225" s="116"/>
      <c r="L2225" s="169">
        <v>45280</v>
      </c>
      <c r="M2225" s="116">
        <v>2272.6999999999998</v>
      </c>
      <c r="N2225" s="116">
        <v>2440</v>
      </c>
      <c r="O2225" s="116">
        <v>2250.0500000000002</v>
      </c>
      <c r="P2225" s="116">
        <v>2412.9</v>
      </c>
      <c r="Q2225" s="116">
        <v>2272.6999999999998</v>
      </c>
      <c r="R2225">
        <v>155537</v>
      </c>
    </row>
    <row r="2226" spans="1:18" x14ac:dyDescent="0.25">
      <c r="A2226" s="169">
        <v>45281</v>
      </c>
      <c r="B2226" s="116">
        <v>2384.3000000000002</v>
      </c>
      <c r="C2226" s="116">
        <v>2367.5</v>
      </c>
      <c r="D2226" s="116">
        <v>2238.25</v>
      </c>
      <c r="E2226" s="116">
        <v>2240.85</v>
      </c>
      <c r="F2226" s="116">
        <v>2367.5</v>
      </c>
      <c r="G2226">
        <v>6852</v>
      </c>
      <c r="H2226" s="116"/>
      <c r="I2226" s="116"/>
      <c r="L2226" s="169">
        <v>45281</v>
      </c>
      <c r="M2226" s="116">
        <v>2365.5500000000002</v>
      </c>
      <c r="N2226" s="116">
        <v>2386.5</v>
      </c>
      <c r="O2226" s="116">
        <v>2229</v>
      </c>
      <c r="P2226" s="116">
        <v>2268</v>
      </c>
      <c r="Q2226" s="116">
        <v>2365.5500000000002</v>
      </c>
      <c r="R2226">
        <v>125373</v>
      </c>
    </row>
    <row r="2227" spans="1:18" x14ac:dyDescent="0.25">
      <c r="A2227" s="169">
        <v>45282</v>
      </c>
      <c r="B2227" s="116">
        <v>2415.5</v>
      </c>
      <c r="C2227" s="116">
        <v>2366.5500000000002</v>
      </c>
      <c r="D2227" s="116">
        <v>2327.5</v>
      </c>
      <c r="E2227" s="116">
        <v>2397.3000000000002</v>
      </c>
      <c r="F2227" s="116">
        <v>2366.5500000000002</v>
      </c>
      <c r="G2227">
        <v>9437</v>
      </c>
      <c r="H2227" s="116"/>
      <c r="I2227" s="116"/>
      <c r="L2227" s="169">
        <v>45282</v>
      </c>
      <c r="M2227" s="116">
        <v>2365.1999999999998</v>
      </c>
      <c r="N2227" s="116">
        <v>2415</v>
      </c>
      <c r="O2227" s="116">
        <v>2325.8000000000002</v>
      </c>
      <c r="P2227" s="116">
        <v>2390</v>
      </c>
      <c r="Q2227" s="116">
        <v>2365.1999999999998</v>
      </c>
      <c r="R2227">
        <v>67027</v>
      </c>
    </row>
    <row r="2228" spans="1:18" x14ac:dyDescent="0.25">
      <c r="A2228" s="169">
        <v>45286</v>
      </c>
      <c r="B2228" s="116">
        <v>2649</v>
      </c>
      <c r="C2228" s="116">
        <v>2612.75</v>
      </c>
      <c r="D2228" s="116">
        <v>2396.9</v>
      </c>
      <c r="E2228" s="116">
        <v>2400.6999999999998</v>
      </c>
      <c r="F2228" s="116">
        <v>2612.75</v>
      </c>
      <c r="G2228">
        <v>103528</v>
      </c>
      <c r="H2228" s="116"/>
      <c r="I2228" s="116"/>
      <c r="L2228" s="169">
        <v>45286</v>
      </c>
      <c r="M2228" s="116">
        <v>2614.6</v>
      </c>
      <c r="N2228" s="116">
        <v>2650</v>
      </c>
      <c r="O2228" s="116">
        <v>2395.5</v>
      </c>
      <c r="P2228" s="116">
        <v>2410</v>
      </c>
      <c r="Q2228" s="116">
        <v>2614.6</v>
      </c>
      <c r="R2228">
        <v>1412772</v>
      </c>
    </row>
    <row r="2229" spans="1:18" x14ac:dyDescent="0.25">
      <c r="A2229" s="169">
        <v>45287</v>
      </c>
      <c r="B2229" s="116">
        <v>2721.2</v>
      </c>
      <c r="C2229" s="116">
        <v>2674.1</v>
      </c>
      <c r="D2229" s="116">
        <v>2617.6999999999998</v>
      </c>
      <c r="E2229" s="116">
        <v>2649.75</v>
      </c>
      <c r="F2229" s="116">
        <v>2674.1</v>
      </c>
      <c r="G2229">
        <v>36606</v>
      </c>
      <c r="H2229" s="116"/>
      <c r="I2229" s="116"/>
      <c r="L2229" s="169">
        <v>45287</v>
      </c>
      <c r="M2229" s="116">
        <v>2669.95</v>
      </c>
      <c r="N2229" s="116">
        <v>2725</v>
      </c>
      <c r="O2229" s="116">
        <v>2615</v>
      </c>
      <c r="P2229" s="116">
        <v>2645</v>
      </c>
      <c r="Q2229" s="116">
        <v>2669.95</v>
      </c>
      <c r="R2229">
        <v>729154</v>
      </c>
    </row>
    <row r="2230" spans="1:18" x14ac:dyDescent="0.25">
      <c r="A2230" s="169">
        <v>45288</v>
      </c>
      <c r="B2230" s="116">
        <v>2665.9</v>
      </c>
      <c r="C2230" s="116">
        <v>2606.65</v>
      </c>
      <c r="D2230" s="116">
        <v>2589.1</v>
      </c>
      <c r="E2230" s="116">
        <v>2665</v>
      </c>
      <c r="F2230" s="116">
        <v>2606.65</v>
      </c>
      <c r="G2230">
        <v>36700</v>
      </c>
      <c r="H2230" s="116"/>
      <c r="I2230" s="116"/>
      <c r="L2230" s="169">
        <v>45288</v>
      </c>
      <c r="M2230" s="116">
        <v>2608.1999999999998</v>
      </c>
      <c r="N2230" s="116">
        <v>2669.95</v>
      </c>
      <c r="O2230" s="116">
        <v>2591.1</v>
      </c>
      <c r="P2230" s="116">
        <v>2669.95</v>
      </c>
      <c r="Q2230" s="116">
        <v>2608.1999999999998</v>
      </c>
      <c r="R2230">
        <v>223938</v>
      </c>
    </row>
    <row r="2231" spans="1:18" x14ac:dyDescent="0.25">
      <c r="A2231" s="169">
        <v>45289</v>
      </c>
      <c r="B2231" s="116">
        <v>2688</v>
      </c>
      <c r="C2231" s="116">
        <v>2668.4</v>
      </c>
      <c r="D2231" s="116">
        <v>2588.5500000000002</v>
      </c>
      <c r="E2231" s="116">
        <v>2607.1</v>
      </c>
      <c r="F2231" s="116">
        <v>2668.4</v>
      </c>
      <c r="G2231">
        <v>14559</v>
      </c>
      <c r="H2231" s="116"/>
      <c r="I2231" s="116"/>
      <c r="L2231" s="169">
        <v>45289</v>
      </c>
      <c r="M2231" s="116">
        <v>2668.5</v>
      </c>
      <c r="N2231" s="116">
        <v>2689.9</v>
      </c>
      <c r="O2231" s="116">
        <v>2585.1</v>
      </c>
      <c r="P2231" s="116">
        <v>2620</v>
      </c>
      <c r="Q2231" s="116">
        <v>2668.5</v>
      </c>
      <c r="R2231">
        <v>309097</v>
      </c>
    </row>
    <row r="2232" spans="1:18" x14ac:dyDescent="0.25">
      <c r="A2232" s="169">
        <v>45292</v>
      </c>
      <c r="B2232" s="116">
        <v>2736.35</v>
      </c>
      <c r="C2232" s="116">
        <v>2695.8</v>
      </c>
      <c r="D2232" s="116">
        <v>2660</v>
      </c>
      <c r="E2232" s="116">
        <v>2709.9</v>
      </c>
      <c r="F2232" s="116">
        <v>2695.8</v>
      </c>
      <c r="G2232">
        <v>12273</v>
      </c>
      <c r="H2232" s="116"/>
      <c r="I2232" s="116"/>
      <c r="L2232" s="169">
        <v>45292</v>
      </c>
      <c r="M2232" s="116">
        <v>2697.65</v>
      </c>
      <c r="N2232" s="116">
        <v>2735</v>
      </c>
      <c r="O2232" s="116">
        <v>2657.3</v>
      </c>
      <c r="P2232" s="116">
        <v>2675</v>
      </c>
      <c r="Q2232" s="116">
        <v>2697.65</v>
      </c>
      <c r="R2232">
        <v>237557</v>
      </c>
    </row>
    <row r="2233" spans="1:18" x14ac:dyDescent="0.25">
      <c r="A2233" s="169">
        <v>45293</v>
      </c>
      <c r="B2233" s="116">
        <v>2716.5</v>
      </c>
      <c r="C2233" s="116">
        <v>2613.1</v>
      </c>
      <c r="D2233" s="116">
        <v>2592.0500000000002</v>
      </c>
      <c r="E2233" s="116">
        <v>2706.15</v>
      </c>
      <c r="F2233" s="116">
        <v>2613.1</v>
      </c>
      <c r="G2233">
        <v>10579</v>
      </c>
      <c r="H2233" s="116"/>
      <c r="I2233" s="116"/>
      <c r="L2233" s="169">
        <v>45293</v>
      </c>
      <c r="M2233" s="116">
        <v>2611.35</v>
      </c>
      <c r="N2233" s="116">
        <v>2719.5</v>
      </c>
      <c r="O2233" s="116">
        <v>2590</v>
      </c>
      <c r="P2233" s="116">
        <v>2697.65</v>
      </c>
      <c r="Q2233" s="116">
        <v>2611.35</v>
      </c>
      <c r="R2233">
        <v>236949</v>
      </c>
    </row>
    <row r="2234" spans="1:18" x14ac:dyDescent="0.25">
      <c r="A2234" s="169">
        <v>45294</v>
      </c>
      <c r="B2234" s="116">
        <v>2624.95</v>
      </c>
      <c r="C2234" s="116">
        <v>2596.6</v>
      </c>
      <c r="D2234" s="116">
        <v>2579.6</v>
      </c>
      <c r="E2234" s="116">
        <v>2620.5</v>
      </c>
      <c r="F2234" s="116">
        <v>2596.6</v>
      </c>
      <c r="G2234">
        <v>14298</v>
      </c>
      <c r="H2234" s="116"/>
      <c r="I2234" s="116"/>
      <c r="L2234" s="169">
        <v>45294</v>
      </c>
      <c r="M2234" s="116">
        <v>2591.6999999999998</v>
      </c>
      <c r="N2234" s="116">
        <v>2625.95</v>
      </c>
      <c r="O2234" s="116">
        <v>2580.25</v>
      </c>
      <c r="P2234" s="116">
        <v>2625</v>
      </c>
      <c r="Q2234" s="116">
        <v>2591.6999999999998</v>
      </c>
      <c r="R2234">
        <v>83053</v>
      </c>
    </row>
    <row r="2235" spans="1:18" x14ac:dyDescent="0.25">
      <c r="A2235" s="169">
        <v>45295</v>
      </c>
      <c r="B2235" s="116">
        <v>2709.35</v>
      </c>
      <c r="C2235" s="116">
        <v>2671.55</v>
      </c>
      <c r="D2235" s="116">
        <v>2590.4</v>
      </c>
      <c r="E2235" s="116">
        <v>2590.4</v>
      </c>
      <c r="F2235" s="116">
        <v>2671.55</v>
      </c>
      <c r="G2235">
        <v>22893</v>
      </c>
      <c r="H2235" s="116"/>
      <c r="I2235" s="116"/>
      <c r="L2235" s="169">
        <v>45295</v>
      </c>
      <c r="M2235" s="116">
        <v>2672.2</v>
      </c>
      <c r="N2235" s="116">
        <v>2710</v>
      </c>
      <c r="O2235" s="116">
        <v>2595.0500000000002</v>
      </c>
      <c r="P2235" s="116">
        <v>2608</v>
      </c>
      <c r="Q2235" s="116">
        <v>2672.2</v>
      </c>
      <c r="R2235">
        <v>257622</v>
      </c>
    </row>
    <row r="2236" spans="1:18" x14ac:dyDescent="0.25">
      <c r="A2236" s="169">
        <v>45296</v>
      </c>
      <c r="B2236" s="116">
        <v>2698.7</v>
      </c>
      <c r="C2236" s="116">
        <v>2628.5</v>
      </c>
      <c r="D2236" s="116">
        <v>2607</v>
      </c>
      <c r="E2236" s="116">
        <v>2680.15</v>
      </c>
      <c r="F2236" s="116">
        <v>2628.5</v>
      </c>
      <c r="G2236">
        <v>6517</v>
      </c>
      <c r="H2236" s="116"/>
      <c r="I2236" s="116"/>
      <c r="L2236" s="169">
        <v>45296</v>
      </c>
      <c r="M2236" s="116">
        <v>2630.35</v>
      </c>
      <c r="N2236" s="116">
        <v>2689</v>
      </c>
      <c r="O2236" s="116">
        <v>2607.9499999999998</v>
      </c>
      <c r="P2236" s="116">
        <v>2689</v>
      </c>
      <c r="Q2236" s="116">
        <v>2630.35</v>
      </c>
      <c r="R2236">
        <v>103094</v>
      </c>
    </row>
    <row r="2237" spans="1:18" x14ac:dyDescent="0.25">
      <c r="A2237" s="169">
        <v>45299</v>
      </c>
      <c r="B2237" s="116">
        <v>2648</v>
      </c>
      <c r="C2237" s="116">
        <v>2573.85</v>
      </c>
      <c r="D2237" s="116">
        <v>2557</v>
      </c>
      <c r="E2237" s="116">
        <v>2648</v>
      </c>
      <c r="F2237" s="116">
        <v>2573.85</v>
      </c>
      <c r="G2237">
        <v>6705</v>
      </c>
      <c r="H2237" s="116"/>
      <c r="I2237" s="116"/>
      <c r="L2237" s="169">
        <v>45299</v>
      </c>
      <c r="M2237" s="116">
        <v>2572.6</v>
      </c>
      <c r="N2237" s="116">
        <v>2649.9</v>
      </c>
      <c r="O2237" s="116">
        <v>2555</v>
      </c>
      <c r="P2237" s="116">
        <v>2649.9</v>
      </c>
      <c r="Q2237" s="116">
        <v>2572.6</v>
      </c>
      <c r="R2237">
        <v>92867</v>
      </c>
    </row>
    <row r="2238" spans="1:18" x14ac:dyDescent="0.25">
      <c r="A2238" s="169">
        <v>45300</v>
      </c>
      <c r="B2238" s="116">
        <v>2629.25</v>
      </c>
      <c r="C2238" s="116">
        <v>2525.15</v>
      </c>
      <c r="D2238" s="116">
        <v>2504.4</v>
      </c>
      <c r="E2238" s="116">
        <v>2599.85</v>
      </c>
      <c r="F2238" s="116">
        <v>2525.15</v>
      </c>
      <c r="G2238">
        <v>12731</v>
      </c>
      <c r="H2238" s="116"/>
      <c r="I2238" s="116"/>
      <c r="L2238" s="169">
        <v>45300</v>
      </c>
      <c r="M2238" s="116">
        <v>2526.9</v>
      </c>
      <c r="N2238" s="116">
        <v>2630.5</v>
      </c>
      <c r="O2238" s="116">
        <v>2510.35</v>
      </c>
      <c r="P2238" s="116">
        <v>2600.4499999999998</v>
      </c>
      <c r="Q2238" s="116">
        <v>2526.9</v>
      </c>
      <c r="R2238">
        <v>91240</v>
      </c>
    </row>
    <row r="2239" spans="1:18" x14ac:dyDescent="0.25">
      <c r="A2239" s="169">
        <v>45301</v>
      </c>
      <c r="B2239" s="116">
        <v>2542.5</v>
      </c>
      <c r="C2239" s="116">
        <v>2505.5</v>
      </c>
      <c r="D2239" s="116">
        <v>2490</v>
      </c>
      <c r="E2239" s="116">
        <v>2527.3000000000002</v>
      </c>
      <c r="F2239" s="116">
        <v>2505.5</v>
      </c>
      <c r="G2239">
        <v>7088</v>
      </c>
      <c r="H2239" s="116"/>
      <c r="I2239" s="116"/>
      <c r="L2239" s="169">
        <v>45301</v>
      </c>
      <c r="M2239" s="116">
        <v>2507.4499999999998</v>
      </c>
      <c r="N2239" s="116">
        <v>2540</v>
      </c>
      <c r="O2239" s="116">
        <v>2488</v>
      </c>
      <c r="P2239" s="116">
        <v>2529.9499999999998</v>
      </c>
      <c r="Q2239" s="116">
        <v>2507.4499999999998</v>
      </c>
      <c r="R2239">
        <v>83772</v>
      </c>
    </row>
    <row r="2240" spans="1:18" x14ac:dyDescent="0.25">
      <c r="A2240" s="169">
        <v>45302</v>
      </c>
      <c r="B2240" s="116">
        <v>2549.15</v>
      </c>
      <c r="C2240" s="116">
        <v>2494</v>
      </c>
      <c r="D2240" s="116">
        <v>2478.8000000000002</v>
      </c>
      <c r="E2240" s="116">
        <v>2549.15</v>
      </c>
      <c r="F2240" s="116">
        <v>2494</v>
      </c>
      <c r="G2240">
        <v>5899</v>
      </c>
      <c r="H2240" s="116"/>
      <c r="I2240" s="116"/>
      <c r="L2240" s="169">
        <v>45302</v>
      </c>
      <c r="M2240" s="116">
        <v>2496.65</v>
      </c>
      <c r="N2240" s="116">
        <v>2532.1</v>
      </c>
      <c r="O2240" s="116">
        <v>2480.6999999999998</v>
      </c>
      <c r="P2240" s="116">
        <v>2525</v>
      </c>
      <c r="Q2240" s="116">
        <v>2496.65</v>
      </c>
      <c r="R2240">
        <v>48967</v>
      </c>
    </row>
    <row r="2241" spans="1:18" x14ac:dyDescent="0.25">
      <c r="A2241" s="169">
        <v>45303</v>
      </c>
      <c r="B2241" s="116">
        <v>2584.65</v>
      </c>
      <c r="C2241" s="116">
        <v>2551.35</v>
      </c>
      <c r="D2241" s="116">
        <v>2494.0500000000002</v>
      </c>
      <c r="E2241" s="116">
        <v>2494.15</v>
      </c>
      <c r="F2241" s="116">
        <v>2551.35</v>
      </c>
      <c r="G2241">
        <v>7197</v>
      </c>
      <c r="H2241" s="116"/>
      <c r="I2241" s="116"/>
      <c r="L2241" s="169">
        <v>45303</v>
      </c>
      <c r="M2241" s="116">
        <v>2554.35</v>
      </c>
      <c r="N2241" s="116">
        <v>2586</v>
      </c>
      <c r="O2241" s="116">
        <v>2503.6</v>
      </c>
      <c r="P2241" s="116">
        <v>2510.4</v>
      </c>
      <c r="Q2241" s="116">
        <v>2554.35</v>
      </c>
      <c r="R2241">
        <v>109057</v>
      </c>
    </row>
    <row r="2242" spans="1:18" x14ac:dyDescent="0.25">
      <c r="A2242" s="169">
        <v>45306</v>
      </c>
      <c r="B2242" s="116">
        <v>2599.9</v>
      </c>
      <c r="C2242" s="116">
        <v>2505.65</v>
      </c>
      <c r="D2242" s="116">
        <v>2499</v>
      </c>
      <c r="E2242" s="116">
        <v>2599.9</v>
      </c>
      <c r="F2242" s="116">
        <v>2505.65</v>
      </c>
      <c r="G2242">
        <v>4229</v>
      </c>
      <c r="H2242" s="116"/>
      <c r="I2242" s="116"/>
      <c r="L2242" s="169">
        <v>45306</v>
      </c>
      <c r="M2242" s="116">
        <v>2504.6</v>
      </c>
      <c r="N2242" s="116">
        <v>2587.6999999999998</v>
      </c>
      <c r="O2242" s="116">
        <v>2498.0500000000002</v>
      </c>
      <c r="P2242" s="116">
        <v>2580</v>
      </c>
      <c r="Q2242" s="116">
        <v>2504.6</v>
      </c>
      <c r="R2242">
        <v>64258</v>
      </c>
    </row>
    <row r="2243" spans="1:18" x14ac:dyDescent="0.25">
      <c r="A2243" s="169">
        <v>45307</v>
      </c>
      <c r="B2243" s="116">
        <v>2528</v>
      </c>
      <c r="C2243" s="116">
        <v>2489.65</v>
      </c>
      <c r="D2243" s="116">
        <v>2441.1</v>
      </c>
      <c r="E2243" s="116">
        <v>2515.1</v>
      </c>
      <c r="F2243" s="116">
        <v>2489.65</v>
      </c>
      <c r="G2243">
        <v>14903</v>
      </c>
      <c r="H2243" s="116"/>
      <c r="I2243" s="116"/>
      <c r="L2243" s="169">
        <v>45307</v>
      </c>
      <c r="M2243" s="116">
        <v>2491.65</v>
      </c>
      <c r="N2243" s="116">
        <v>2528.6</v>
      </c>
      <c r="O2243" s="116">
        <v>2440</v>
      </c>
      <c r="P2243" s="116">
        <v>2525</v>
      </c>
      <c r="Q2243" s="116">
        <v>2491.65</v>
      </c>
      <c r="R2243">
        <v>73260</v>
      </c>
    </row>
    <row r="2244" spans="1:18" x14ac:dyDescent="0.25">
      <c r="A2244" s="169">
        <v>45308</v>
      </c>
      <c r="B2244" s="116">
        <v>2483</v>
      </c>
      <c r="C2244" s="116">
        <v>2457.4499999999998</v>
      </c>
      <c r="D2244" s="116">
        <v>2440.1</v>
      </c>
      <c r="E2244" s="116">
        <v>2440.1</v>
      </c>
      <c r="F2244" s="116">
        <v>2457.4499999999998</v>
      </c>
      <c r="G2244">
        <v>5494</v>
      </c>
      <c r="H2244" s="116"/>
      <c r="I2244" s="116"/>
      <c r="L2244" s="169">
        <v>45308</v>
      </c>
      <c r="M2244" s="116">
        <v>2454.6</v>
      </c>
      <c r="N2244" s="116">
        <v>2484.1999999999998</v>
      </c>
      <c r="O2244" s="116">
        <v>2441</v>
      </c>
      <c r="P2244" s="116">
        <v>2456.1999999999998</v>
      </c>
      <c r="Q2244" s="116">
        <v>2454.6</v>
      </c>
      <c r="R2244">
        <v>50995</v>
      </c>
    </row>
    <row r="2245" spans="1:18" x14ac:dyDescent="0.25">
      <c r="A2245" s="169">
        <v>45309</v>
      </c>
      <c r="B2245" s="116">
        <v>2480</v>
      </c>
      <c r="C2245" s="116">
        <v>2395.1</v>
      </c>
      <c r="D2245" s="116">
        <v>2354.6</v>
      </c>
      <c r="E2245" s="116">
        <v>2469.9</v>
      </c>
      <c r="F2245" s="116">
        <v>2395.1</v>
      </c>
      <c r="G2245">
        <v>26754</v>
      </c>
      <c r="H2245" s="116"/>
      <c r="I2245" s="116"/>
      <c r="L2245" s="169">
        <v>45309</v>
      </c>
      <c r="M2245" s="116">
        <v>2395.6999999999998</v>
      </c>
      <c r="N2245" s="116">
        <v>2482.9</v>
      </c>
      <c r="O2245" s="116">
        <v>2334</v>
      </c>
      <c r="P2245" s="116">
        <v>2467.65</v>
      </c>
      <c r="Q2245" s="116">
        <v>2395.6999999999998</v>
      </c>
      <c r="R2245">
        <v>110044</v>
      </c>
    </row>
    <row r="2246" spans="1:18" x14ac:dyDescent="0.25">
      <c r="A2246" s="169">
        <v>45310</v>
      </c>
      <c r="B2246" s="116">
        <v>2506.5</v>
      </c>
      <c r="C2246" s="116">
        <v>2476.0500000000002</v>
      </c>
      <c r="D2246" s="116">
        <v>2419</v>
      </c>
      <c r="E2246" s="116">
        <v>2419</v>
      </c>
      <c r="F2246" s="116">
        <v>2476.0500000000002</v>
      </c>
      <c r="G2246">
        <v>4262</v>
      </c>
      <c r="H2246" s="116"/>
      <c r="I2246" s="116"/>
      <c r="L2246" s="169">
        <v>45310</v>
      </c>
      <c r="M2246" s="116">
        <v>2475.65</v>
      </c>
      <c r="N2246" s="116">
        <v>2508.6999999999998</v>
      </c>
      <c r="O2246" s="116">
        <v>2417.6</v>
      </c>
      <c r="P2246" s="116">
        <v>2424</v>
      </c>
      <c r="Q2246" s="116">
        <v>2475.65</v>
      </c>
      <c r="R2246">
        <v>59242</v>
      </c>
    </row>
    <row r="2247" spans="1:18" x14ac:dyDescent="0.25">
      <c r="A2247" s="169">
        <v>45311</v>
      </c>
      <c r="B2247" s="116">
        <v>2534.9499999999998</v>
      </c>
      <c r="C2247" s="116">
        <v>2451.85</v>
      </c>
      <c r="D2247" s="116">
        <v>2442</v>
      </c>
      <c r="E2247" s="116">
        <v>2480.0500000000002</v>
      </c>
      <c r="F2247" s="116">
        <v>2451.85</v>
      </c>
      <c r="G2247">
        <v>9092</v>
      </c>
      <c r="H2247" s="116"/>
      <c r="I2247" s="116"/>
      <c r="L2247" s="169">
        <v>45311</v>
      </c>
      <c r="M2247" s="116">
        <v>2452.5500000000002</v>
      </c>
      <c r="N2247" s="116">
        <v>2534.65</v>
      </c>
      <c r="O2247" s="116">
        <v>2444</v>
      </c>
      <c r="P2247" s="116">
        <v>2490.0500000000002</v>
      </c>
      <c r="Q2247" s="116">
        <v>2452.5500000000002</v>
      </c>
      <c r="R2247">
        <v>40401</v>
      </c>
    </row>
    <row r="2248" spans="1:18" x14ac:dyDescent="0.25">
      <c r="A2248" s="169">
        <v>45314</v>
      </c>
      <c r="B2248" s="116">
        <v>2474.9</v>
      </c>
      <c r="C2248" s="116">
        <v>2361.1</v>
      </c>
      <c r="D2248" s="116">
        <v>2355.75</v>
      </c>
      <c r="E2248" s="116">
        <v>2467.65</v>
      </c>
      <c r="F2248" s="116">
        <v>2361.1</v>
      </c>
      <c r="G2248">
        <v>6212</v>
      </c>
      <c r="H2248" s="116"/>
      <c r="I2248" s="116"/>
      <c r="L2248" s="169">
        <v>45314</v>
      </c>
      <c r="M2248" s="116">
        <v>2360.4</v>
      </c>
      <c r="N2248" s="116">
        <v>2474.6999999999998</v>
      </c>
      <c r="O2248" s="116">
        <v>2355</v>
      </c>
      <c r="P2248" s="116">
        <v>2467.0500000000002</v>
      </c>
      <c r="Q2248" s="116">
        <v>2360.4</v>
      </c>
      <c r="R2248">
        <v>80226</v>
      </c>
    </row>
    <row r="2249" spans="1:18" x14ac:dyDescent="0.25">
      <c r="A2249" s="169">
        <v>45315</v>
      </c>
      <c r="B2249" s="116">
        <v>2415.25</v>
      </c>
      <c r="C2249" s="116">
        <v>2389.0500000000002</v>
      </c>
      <c r="D2249" s="116">
        <v>2317.65</v>
      </c>
      <c r="E2249" s="116">
        <v>2370.4</v>
      </c>
      <c r="F2249" s="116">
        <v>2389.0500000000002</v>
      </c>
      <c r="G2249">
        <v>9967</v>
      </c>
      <c r="H2249" s="116"/>
      <c r="I2249" s="116"/>
      <c r="L2249" s="169">
        <v>45315</v>
      </c>
      <c r="M2249" s="116">
        <v>2387.9499999999998</v>
      </c>
      <c r="N2249" s="116">
        <v>2412.3000000000002</v>
      </c>
      <c r="O2249" s="116">
        <v>2317.5500000000002</v>
      </c>
      <c r="P2249" s="116">
        <v>2375.3000000000002</v>
      </c>
      <c r="Q2249" s="116">
        <v>2387.9499999999998</v>
      </c>
      <c r="R2249">
        <v>62033</v>
      </c>
    </row>
    <row r="2250" spans="1:18" x14ac:dyDescent="0.25">
      <c r="A2250" s="169">
        <v>45316</v>
      </c>
      <c r="B2250" s="116">
        <v>2402.6</v>
      </c>
      <c r="C2250" s="116">
        <v>2364.85</v>
      </c>
      <c r="D2250" s="116">
        <v>2356.1</v>
      </c>
      <c r="E2250" s="116">
        <v>2382</v>
      </c>
      <c r="F2250" s="116">
        <v>2364.85</v>
      </c>
      <c r="G2250">
        <v>5718</v>
      </c>
      <c r="H2250" s="116"/>
      <c r="I2250" s="116"/>
      <c r="L2250" s="169">
        <v>45316</v>
      </c>
      <c r="M2250" s="116">
        <v>2366.4499999999998</v>
      </c>
      <c r="N2250" s="116">
        <v>2405</v>
      </c>
      <c r="O2250" s="116">
        <v>2359.1</v>
      </c>
      <c r="P2250" s="116">
        <v>2403.6999999999998</v>
      </c>
      <c r="Q2250" s="116">
        <v>2366.4499999999998</v>
      </c>
      <c r="R2250">
        <v>25877</v>
      </c>
    </row>
    <row r="2251" spans="1:18" x14ac:dyDescent="0.25">
      <c r="A2251" s="169">
        <v>45320</v>
      </c>
      <c r="B2251" s="116">
        <v>2381.4499999999998</v>
      </c>
      <c r="C2251" s="116">
        <v>2346.65</v>
      </c>
      <c r="D2251" s="116">
        <v>2337.5</v>
      </c>
      <c r="E2251" s="116">
        <v>2375.75</v>
      </c>
      <c r="F2251" s="116">
        <v>2346.65</v>
      </c>
      <c r="G2251">
        <v>4347</v>
      </c>
      <c r="H2251" s="116"/>
      <c r="I2251" s="116"/>
      <c r="L2251" s="169">
        <v>45320</v>
      </c>
      <c r="M2251" s="116">
        <v>2349.85</v>
      </c>
      <c r="N2251" s="116">
        <v>2380</v>
      </c>
      <c r="O2251" s="116">
        <v>2336.1999999999998</v>
      </c>
      <c r="P2251" s="116">
        <v>2378.6</v>
      </c>
      <c r="Q2251" s="116">
        <v>2349.85</v>
      </c>
      <c r="R2251">
        <v>34971</v>
      </c>
    </row>
    <row r="2252" spans="1:18" x14ac:dyDescent="0.25">
      <c r="A2252" s="169">
        <v>45321</v>
      </c>
      <c r="B2252" s="116">
        <v>2354.15</v>
      </c>
      <c r="C2252" s="116">
        <v>2300.3000000000002</v>
      </c>
      <c r="D2252" s="116">
        <v>2285</v>
      </c>
      <c r="E2252" s="116">
        <v>2348.1</v>
      </c>
      <c r="F2252" s="116">
        <v>2300.3000000000002</v>
      </c>
      <c r="G2252">
        <v>3371</v>
      </c>
      <c r="H2252" s="116"/>
      <c r="I2252" s="116"/>
      <c r="L2252" s="169">
        <v>45321</v>
      </c>
      <c r="M2252" s="116">
        <v>2299.25</v>
      </c>
      <c r="N2252" s="116">
        <v>2360.4</v>
      </c>
      <c r="O2252" s="116">
        <v>2290</v>
      </c>
      <c r="P2252" s="116">
        <v>2351</v>
      </c>
      <c r="Q2252" s="116">
        <v>2299.25</v>
      </c>
      <c r="R2252">
        <v>42846</v>
      </c>
    </row>
    <row r="2253" spans="1:18" x14ac:dyDescent="0.25">
      <c r="A2253" s="169">
        <v>45322</v>
      </c>
      <c r="B2253" s="116">
        <v>2485.4499999999998</v>
      </c>
      <c r="C2253" s="116">
        <v>2437.1999999999998</v>
      </c>
      <c r="D2253" s="116">
        <v>2281.4499999999998</v>
      </c>
      <c r="E2253" s="116">
        <v>2300</v>
      </c>
      <c r="F2253" s="116">
        <v>2437.1999999999998</v>
      </c>
      <c r="G2253">
        <v>24872</v>
      </c>
      <c r="H2253" s="116"/>
      <c r="I2253" s="116"/>
      <c r="L2253" s="169">
        <v>45322</v>
      </c>
      <c r="M2253" s="116">
        <v>2438.6999999999998</v>
      </c>
      <c r="N2253" s="116">
        <v>2494.9499999999998</v>
      </c>
      <c r="O2253" s="116">
        <v>2279</v>
      </c>
      <c r="P2253" s="116">
        <v>2299.5</v>
      </c>
      <c r="Q2253" s="116">
        <v>2438.6999999999998</v>
      </c>
      <c r="R2253">
        <v>217630</v>
      </c>
    </row>
    <row r="2254" spans="1:18" x14ac:dyDescent="0.25">
      <c r="A2254" s="169">
        <v>45323</v>
      </c>
      <c r="B2254" s="116">
        <v>2440</v>
      </c>
      <c r="C2254" s="116">
        <v>2390.6999999999998</v>
      </c>
      <c r="D2254" s="116">
        <v>2358.1999999999998</v>
      </c>
      <c r="E2254" s="116">
        <v>2401.9499999999998</v>
      </c>
      <c r="F2254" s="116">
        <v>2390.6999999999998</v>
      </c>
      <c r="G2254">
        <v>4514</v>
      </c>
      <c r="H2254" s="116"/>
      <c r="I2254" s="116"/>
      <c r="L2254" s="169">
        <v>45323</v>
      </c>
      <c r="M2254" s="116">
        <v>2387.9</v>
      </c>
      <c r="N2254" s="116">
        <v>2440.4499999999998</v>
      </c>
      <c r="O2254" s="116">
        <v>2355</v>
      </c>
      <c r="P2254" s="116">
        <v>2399</v>
      </c>
      <c r="Q2254" s="116">
        <v>2387.9</v>
      </c>
      <c r="R2254">
        <v>74698</v>
      </c>
    </row>
    <row r="2255" spans="1:18" x14ac:dyDescent="0.25">
      <c r="A2255" s="169">
        <v>45324</v>
      </c>
      <c r="B2255" s="116">
        <v>2407.9</v>
      </c>
      <c r="C2255" s="116">
        <v>2325</v>
      </c>
      <c r="D2255" s="116">
        <v>2318.0500000000002</v>
      </c>
      <c r="E2255" s="116">
        <v>2390.6999999999998</v>
      </c>
      <c r="F2255" s="116">
        <v>2325</v>
      </c>
      <c r="G2255">
        <v>11863</v>
      </c>
      <c r="H2255" s="116"/>
      <c r="I2255" s="116"/>
      <c r="L2255" s="169">
        <v>45324</v>
      </c>
      <c r="M2255" s="116">
        <v>2326.65</v>
      </c>
      <c r="N2255" s="116">
        <v>2409.6999999999998</v>
      </c>
      <c r="O2255" s="116">
        <v>2320</v>
      </c>
      <c r="P2255" s="116">
        <v>2389.4499999999998</v>
      </c>
      <c r="Q2255" s="116">
        <v>2326.65</v>
      </c>
      <c r="R2255">
        <v>56848</v>
      </c>
    </row>
    <row r="2256" spans="1:18" x14ac:dyDescent="0.25">
      <c r="A2256" s="169">
        <v>45327</v>
      </c>
      <c r="B2256" s="116">
        <v>2326</v>
      </c>
      <c r="C2256" s="116">
        <v>2260.5500000000002</v>
      </c>
      <c r="D2256" s="116">
        <v>2232.6</v>
      </c>
      <c r="E2256" s="116">
        <v>2326</v>
      </c>
      <c r="F2256" s="116">
        <v>2260.5500000000002</v>
      </c>
      <c r="G2256">
        <v>4543</v>
      </c>
      <c r="H2256" s="116"/>
      <c r="I2256" s="116"/>
      <c r="L2256" s="169">
        <v>45327</v>
      </c>
      <c r="M2256" s="116">
        <v>2252.1</v>
      </c>
      <c r="N2256" s="116">
        <v>2324.35</v>
      </c>
      <c r="O2256" s="116">
        <v>2230.85</v>
      </c>
      <c r="P2256" s="116">
        <v>2321</v>
      </c>
      <c r="Q2256" s="116">
        <v>2252.1</v>
      </c>
      <c r="R2256">
        <v>81023</v>
      </c>
    </row>
    <row r="2257" spans="1:18" x14ac:dyDescent="0.25">
      <c r="A2257" s="169">
        <v>45328</v>
      </c>
      <c r="B2257" s="116">
        <v>2303.9</v>
      </c>
      <c r="C2257" s="116">
        <v>2277.6</v>
      </c>
      <c r="D2257" s="116">
        <v>2240.1</v>
      </c>
      <c r="E2257" s="116">
        <v>2247.75</v>
      </c>
      <c r="F2257" s="116">
        <v>2277.6</v>
      </c>
      <c r="G2257">
        <v>12310</v>
      </c>
      <c r="H2257" s="116"/>
      <c r="I2257" s="116"/>
      <c r="L2257" s="169">
        <v>45328</v>
      </c>
      <c r="M2257" s="116">
        <v>2277.1</v>
      </c>
      <c r="N2257" s="116">
        <v>2305</v>
      </c>
      <c r="O2257" s="116">
        <v>2242</v>
      </c>
      <c r="P2257" s="116">
        <v>2250</v>
      </c>
      <c r="Q2257" s="116">
        <v>2277.1</v>
      </c>
      <c r="R2257">
        <v>50318</v>
      </c>
    </row>
    <row r="2258" spans="1:18" x14ac:dyDescent="0.25">
      <c r="A2258" s="169">
        <v>45329</v>
      </c>
      <c r="B2258" s="116">
        <v>2292.3000000000002</v>
      </c>
      <c r="C2258" s="116">
        <v>2259.9499999999998</v>
      </c>
      <c r="D2258" s="116">
        <v>2250</v>
      </c>
      <c r="E2258" s="116">
        <v>2277.65</v>
      </c>
      <c r="F2258" s="116">
        <v>2259.9499999999998</v>
      </c>
      <c r="G2258">
        <v>11381</v>
      </c>
      <c r="H2258" s="116"/>
      <c r="I2258" s="116"/>
      <c r="L2258" s="169">
        <v>45329</v>
      </c>
      <c r="M2258" s="116">
        <v>2259.4499999999998</v>
      </c>
      <c r="N2258" s="116">
        <v>2292.85</v>
      </c>
      <c r="O2258" s="116">
        <v>2248</v>
      </c>
      <c r="P2258" s="116">
        <v>2277.1</v>
      </c>
      <c r="Q2258" s="116">
        <v>2259.4499999999998</v>
      </c>
      <c r="R2258">
        <v>36882</v>
      </c>
    </row>
    <row r="2259" spans="1:18" x14ac:dyDescent="0.25">
      <c r="A2259" s="169">
        <v>45330</v>
      </c>
      <c r="B2259" s="116">
        <v>2331.0500000000002</v>
      </c>
      <c r="C2259" s="116">
        <v>2263.3000000000002</v>
      </c>
      <c r="D2259" s="116">
        <v>2244.9</v>
      </c>
      <c r="E2259" s="116">
        <v>2259.9499999999998</v>
      </c>
      <c r="F2259" s="116">
        <v>2263.3000000000002</v>
      </c>
      <c r="G2259">
        <v>8086</v>
      </c>
      <c r="H2259" s="116"/>
      <c r="I2259" s="116"/>
      <c r="L2259" s="169">
        <v>45330</v>
      </c>
      <c r="M2259" s="116">
        <v>2260.5</v>
      </c>
      <c r="N2259" s="116">
        <v>2337.85</v>
      </c>
      <c r="O2259" s="116">
        <v>2241</v>
      </c>
      <c r="P2259" s="116">
        <v>2259.4499999999998</v>
      </c>
      <c r="Q2259" s="116">
        <v>2260.5</v>
      </c>
      <c r="R2259">
        <v>59108</v>
      </c>
    </row>
    <row r="2260" spans="1:18" x14ac:dyDescent="0.25">
      <c r="A2260" s="169">
        <v>45331</v>
      </c>
      <c r="B2260" s="116">
        <v>2275</v>
      </c>
      <c r="C2260" s="116">
        <v>2200.4499999999998</v>
      </c>
      <c r="D2260" s="116">
        <v>2168.9</v>
      </c>
      <c r="E2260" s="116">
        <v>2263.25</v>
      </c>
      <c r="F2260" s="116">
        <v>2200.4499999999998</v>
      </c>
      <c r="G2260">
        <v>17757</v>
      </c>
      <c r="H2260" s="116"/>
      <c r="I2260" s="116"/>
      <c r="L2260" s="169">
        <v>45331</v>
      </c>
      <c r="M2260" s="116">
        <v>2200.8000000000002</v>
      </c>
      <c r="N2260" s="116">
        <v>2279</v>
      </c>
      <c r="O2260" s="116">
        <v>2173</v>
      </c>
      <c r="P2260" s="116">
        <v>2260.5</v>
      </c>
      <c r="Q2260" s="116">
        <v>2200.8000000000002</v>
      </c>
      <c r="R2260">
        <v>71685</v>
      </c>
    </row>
    <row r="2261" spans="1:18" x14ac:dyDescent="0.25">
      <c r="A2261" s="169">
        <v>45334</v>
      </c>
      <c r="B2261" s="116">
        <v>2234.1999999999998</v>
      </c>
      <c r="C2261" s="116">
        <v>2176.4499999999998</v>
      </c>
      <c r="D2261" s="116">
        <v>2164.5500000000002</v>
      </c>
      <c r="E2261" s="116">
        <v>2200.4499999999998</v>
      </c>
      <c r="F2261" s="116">
        <v>2176.4499999999998</v>
      </c>
      <c r="G2261">
        <v>4663</v>
      </c>
      <c r="H2261" s="116"/>
      <c r="I2261" s="116"/>
      <c r="L2261" s="169">
        <v>45334</v>
      </c>
      <c r="M2261" s="116">
        <v>2182.8000000000002</v>
      </c>
      <c r="N2261" s="116">
        <v>2233</v>
      </c>
      <c r="O2261" s="116">
        <v>2175</v>
      </c>
      <c r="P2261" s="116">
        <v>2202.35</v>
      </c>
      <c r="Q2261" s="116">
        <v>2182.8000000000002</v>
      </c>
      <c r="R2261">
        <v>55019</v>
      </c>
    </row>
    <row r="2262" spans="1:18" x14ac:dyDescent="0.25">
      <c r="A2262" s="169">
        <v>45335</v>
      </c>
      <c r="B2262" s="116">
        <v>2189.8000000000002</v>
      </c>
      <c r="C2262" s="116">
        <v>2180.9</v>
      </c>
      <c r="D2262" s="116">
        <v>2132</v>
      </c>
      <c r="E2262" s="116">
        <v>2176.15</v>
      </c>
      <c r="F2262" s="116">
        <v>2180.9</v>
      </c>
      <c r="G2262">
        <v>3268</v>
      </c>
      <c r="H2262" s="116"/>
      <c r="I2262" s="116"/>
      <c r="L2262" s="169">
        <v>45335</v>
      </c>
      <c r="M2262" s="116">
        <v>2182.5500000000002</v>
      </c>
      <c r="N2262" s="116">
        <v>2196.75</v>
      </c>
      <c r="O2262" s="116">
        <v>2132.4</v>
      </c>
      <c r="P2262" s="116">
        <v>2187</v>
      </c>
      <c r="Q2262" s="116">
        <v>2182.5500000000002</v>
      </c>
      <c r="R2262">
        <v>42654</v>
      </c>
    </row>
    <row r="2263" spans="1:18" x14ac:dyDescent="0.25">
      <c r="A2263" s="169">
        <v>45336</v>
      </c>
      <c r="B2263" s="116">
        <v>2174.4</v>
      </c>
      <c r="C2263" s="116">
        <v>2172.4499999999998</v>
      </c>
      <c r="D2263" s="116">
        <v>2147.4499999999998</v>
      </c>
      <c r="E2263" s="116">
        <v>2164.85</v>
      </c>
      <c r="F2263" s="116">
        <v>2172.4499999999998</v>
      </c>
      <c r="G2263">
        <v>2482</v>
      </c>
      <c r="H2263" s="116"/>
      <c r="I2263" s="116"/>
      <c r="L2263" s="169">
        <v>45336</v>
      </c>
      <c r="M2263" s="116">
        <v>2169.4499999999998</v>
      </c>
      <c r="N2263" s="116">
        <v>2178</v>
      </c>
      <c r="O2263" s="116">
        <v>2141.8000000000002</v>
      </c>
      <c r="P2263" s="116">
        <v>2156</v>
      </c>
      <c r="Q2263" s="116">
        <v>2169.4499999999998</v>
      </c>
      <c r="R2263">
        <v>41918</v>
      </c>
    </row>
    <row r="2264" spans="1:18" x14ac:dyDescent="0.25">
      <c r="A2264" s="169">
        <v>45337</v>
      </c>
      <c r="B2264" s="116">
        <v>2275</v>
      </c>
      <c r="C2264" s="116">
        <v>2234.6999999999998</v>
      </c>
      <c r="D2264" s="116">
        <v>2172</v>
      </c>
      <c r="E2264" s="116">
        <v>2177.35</v>
      </c>
      <c r="F2264" s="116">
        <v>2234.6999999999998</v>
      </c>
      <c r="G2264">
        <v>12257</v>
      </c>
      <c r="H2264" s="116"/>
      <c r="I2264" s="116"/>
      <c r="L2264" s="169">
        <v>45337</v>
      </c>
      <c r="M2264" s="116">
        <v>2234.5500000000002</v>
      </c>
      <c r="N2264" s="116">
        <v>2278.9499999999998</v>
      </c>
      <c r="O2264" s="116">
        <v>2172.3000000000002</v>
      </c>
      <c r="P2264" s="116">
        <v>2180</v>
      </c>
      <c r="Q2264" s="116">
        <v>2234.5500000000002</v>
      </c>
      <c r="R2264">
        <v>75884</v>
      </c>
    </row>
    <row r="2265" spans="1:18" x14ac:dyDescent="0.25">
      <c r="A2265" s="169">
        <v>45338</v>
      </c>
      <c r="B2265" s="116">
        <v>2310</v>
      </c>
      <c r="C2265" s="116">
        <v>2265.9499999999998</v>
      </c>
      <c r="D2265" s="116">
        <v>2235</v>
      </c>
      <c r="E2265" s="116">
        <v>2276.9</v>
      </c>
      <c r="F2265" s="116">
        <v>2265.9499999999998</v>
      </c>
      <c r="G2265">
        <v>10288</v>
      </c>
      <c r="H2265" s="116"/>
      <c r="I2265" s="116"/>
      <c r="L2265" s="169">
        <v>45338</v>
      </c>
      <c r="M2265" s="116">
        <v>2266.3000000000002</v>
      </c>
      <c r="N2265" s="116">
        <v>2336.9499999999998</v>
      </c>
      <c r="O2265" s="116">
        <v>2234</v>
      </c>
      <c r="P2265" s="116">
        <v>2271</v>
      </c>
      <c r="Q2265" s="116">
        <v>2266.3000000000002</v>
      </c>
      <c r="R2265">
        <v>73839</v>
      </c>
    </row>
    <row r="2266" spans="1:18" x14ac:dyDescent="0.25">
      <c r="A2266" s="169">
        <v>45341</v>
      </c>
      <c r="B2266" s="116">
        <v>2317.35</v>
      </c>
      <c r="C2266" s="116">
        <v>2289.35</v>
      </c>
      <c r="D2266" s="116">
        <v>2250.85</v>
      </c>
      <c r="E2266" s="116">
        <v>2271.6999999999998</v>
      </c>
      <c r="F2266" s="116">
        <v>2289.35</v>
      </c>
      <c r="G2266">
        <v>3026</v>
      </c>
      <c r="H2266" s="116"/>
      <c r="I2266" s="116"/>
      <c r="L2266" s="169">
        <v>45341</v>
      </c>
      <c r="M2266" s="116">
        <v>2291.0500000000002</v>
      </c>
      <c r="N2266" s="116">
        <v>2324.75</v>
      </c>
      <c r="O2266" s="116">
        <v>2247.0500000000002</v>
      </c>
      <c r="P2266" s="116">
        <v>2268.85</v>
      </c>
      <c r="Q2266" s="116">
        <v>2291.0500000000002</v>
      </c>
      <c r="R2266">
        <v>52394</v>
      </c>
    </row>
    <row r="2267" spans="1:18" x14ac:dyDescent="0.25">
      <c r="A2267" s="169">
        <v>45342</v>
      </c>
      <c r="B2267" s="116">
        <v>2318.5</v>
      </c>
      <c r="C2267" s="116">
        <v>2297.75</v>
      </c>
      <c r="D2267" s="116">
        <v>2277.8000000000002</v>
      </c>
      <c r="E2267" s="116">
        <v>2287.15</v>
      </c>
      <c r="F2267" s="116">
        <v>2297.75</v>
      </c>
      <c r="G2267">
        <v>1773</v>
      </c>
      <c r="H2267" s="116"/>
      <c r="I2267" s="116"/>
      <c r="L2267" s="169">
        <v>45342</v>
      </c>
      <c r="M2267" s="116">
        <v>2303.1999999999998</v>
      </c>
      <c r="N2267" s="116">
        <v>2319.65</v>
      </c>
      <c r="O2267" s="116">
        <v>2275</v>
      </c>
      <c r="P2267" s="116">
        <v>2289.9499999999998</v>
      </c>
      <c r="Q2267" s="116">
        <v>2303.1999999999998</v>
      </c>
      <c r="R2267">
        <v>34747</v>
      </c>
    </row>
    <row r="2268" spans="1:18" x14ac:dyDescent="0.25">
      <c r="A2268" s="169">
        <v>45343</v>
      </c>
      <c r="B2268" s="116">
        <v>2345.3000000000002</v>
      </c>
      <c r="C2268" s="116">
        <v>2292.5500000000002</v>
      </c>
      <c r="D2268" s="116">
        <v>2278.0500000000002</v>
      </c>
      <c r="E2268" s="116">
        <v>2324.8000000000002</v>
      </c>
      <c r="F2268" s="116">
        <v>2292.5500000000002</v>
      </c>
      <c r="G2268">
        <v>2531</v>
      </c>
      <c r="H2268" s="116"/>
      <c r="I2268" s="116"/>
      <c r="L2268" s="169">
        <v>45343</v>
      </c>
      <c r="M2268" s="116">
        <v>2292.5</v>
      </c>
      <c r="N2268" s="116">
        <v>2345</v>
      </c>
      <c r="O2268" s="116">
        <v>2277.1999999999998</v>
      </c>
      <c r="P2268" s="116">
        <v>2312</v>
      </c>
      <c r="Q2268" s="116">
        <v>2292.5</v>
      </c>
      <c r="R2268">
        <v>60787</v>
      </c>
    </row>
    <row r="2269" spans="1:18" x14ac:dyDescent="0.25">
      <c r="A2269" s="169">
        <v>45344</v>
      </c>
      <c r="B2269" s="116">
        <v>2298.6</v>
      </c>
      <c r="C2269" s="116">
        <v>2265.8000000000002</v>
      </c>
      <c r="D2269" s="116">
        <v>2260</v>
      </c>
      <c r="E2269" s="116">
        <v>2292.5500000000002</v>
      </c>
      <c r="F2269" s="116">
        <v>2265.8000000000002</v>
      </c>
      <c r="G2269">
        <v>5122</v>
      </c>
      <c r="H2269" s="116"/>
      <c r="I2269" s="116"/>
      <c r="L2269" s="169">
        <v>45344</v>
      </c>
      <c r="M2269" s="116">
        <v>2267.85</v>
      </c>
      <c r="N2269" s="116">
        <v>2300.6999999999998</v>
      </c>
      <c r="O2269" s="116">
        <v>2260</v>
      </c>
      <c r="P2269" s="116">
        <v>2292.5</v>
      </c>
      <c r="Q2269" s="116">
        <v>2267.85</v>
      </c>
      <c r="R2269">
        <v>19872</v>
      </c>
    </row>
    <row r="2270" spans="1:18" x14ac:dyDescent="0.25">
      <c r="A2270" s="169">
        <v>45345</v>
      </c>
      <c r="B2270" s="116">
        <v>2292.9499999999998</v>
      </c>
      <c r="C2270" s="116">
        <v>2234.25</v>
      </c>
      <c r="D2270" s="116">
        <v>2225</v>
      </c>
      <c r="E2270" s="116">
        <v>2292.9499999999998</v>
      </c>
      <c r="F2270" s="116">
        <v>2234.25</v>
      </c>
      <c r="G2270">
        <v>1938</v>
      </c>
      <c r="H2270" s="116"/>
      <c r="I2270" s="116"/>
      <c r="L2270" s="169">
        <v>45345</v>
      </c>
      <c r="M2270" s="116">
        <v>2238.0500000000002</v>
      </c>
      <c r="N2270" s="116">
        <v>2280.15</v>
      </c>
      <c r="O2270" s="116">
        <v>2225</v>
      </c>
      <c r="P2270" s="116">
        <v>2270.0500000000002</v>
      </c>
      <c r="Q2270" s="116">
        <v>2238.0500000000002</v>
      </c>
      <c r="R2270">
        <v>37834</v>
      </c>
    </row>
    <row r="2271" spans="1:18" x14ac:dyDescent="0.25">
      <c r="A2271" s="169">
        <v>45348</v>
      </c>
      <c r="B2271" s="116">
        <v>2299.9499999999998</v>
      </c>
      <c r="C2271" s="116">
        <v>2245.0500000000002</v>
      </c>
      <c r="D2271" s="116">
        <v>2204.0500000000002</v>
      </c>
      <c r="E2271" s="116">
        <v>2299.9499999999998</v>
      </c>
      <c r="F2271" s="116">
        <v>2245.0500000000002</v>
      </c>
      <c r="G2271">
        <v>4508</v>
      </c>
      <c r="H2271" s="116"/>
      <c r="I2271" s="116"/>
      <c r="L2271" s="169">
        <v>45348</v>
      </c>
      <c r="M2271" s="116">
        <v>2246.4499999999998</v>
      </c>
      <c r="N2271" s="116">
        <v>2259</v>
      </c>
      <c r="O2271" s="116">
        <v>2205</v>
      </c>
      <c r="P2271" s="116">
        <v>2259</v>
      </c>
      <c r="Q2271" s="116">
        <v>2246.4499999999998</v>
      </c>
      <c r="R2271">
        <v>45869</v>
      </c>
    </row>
    <row r="2272" spans="1:18" x14ac:dyDescent="0.25">
      <c r="A2272" s="169">
        <v>45349</v>
      </c>
      <c r="B2272" s="116">
        <v>2262</v>
      </c>
      <c r="C2272" s="116">
        <v>2218.1999999999998</v>
      </c>
      <c r="D2272" s="116">
        <v>2208.25</v>
      </c>
      <c r="E2272" s="116">
        <v>2239.75</v>
      </c>
      <c r="F2272" s="116">
        <v>2218.1999999999998</v>
      </c>
      <c r="G2272">
        <v>1714</v>
      </c>
      <c r="H2272" s="116"/>
      <c r="I2272" s="116"/>
      <c r="L2272" s="169">
        <v>45349</v>
      </c>
      <c r="M2272" s="116">
        <v>2216.5500000000002</v>
      </c>
      <c r="N2272" s="116">
        <v>2265</v>
      </c>
      <c r="O2272" s="116">
        <v>2204.4499999999998</v>
      </c>
      <c r="P2272" s="116">
        <v>2217.15</v>
      </c>
      <c r="Q2272" s="116">
        <v>2216.5500000000002</v>
      </c>
      <c r="R2272">
        <v>35517</v>
      </c>
    </row>
    <row r="2273" spans="1:18" x14ac:dyDescent="0.25">
      <c r="A2273" s="169">
        <v>45350</v>
      </c>
      <c r="B2273" s="116">
        <v>2229.1</v>
      </c>
      <c r="C2273" s="116">
        <v>2185.5500000000002</v>
      </c>
      <c r="D2273" s="116">
        <v>2180</v>
      </c>
      <c r="E2273" s="116">
        <v>2214.0500000000002</v>
      </c>
      <c r="F2273" s="116">
        <v>2185.5500000000002</v>
      </c>
      <c r="G2273">
        <v>5490</v>
      </c>
      <c r="H2273" s="116"/>
      <c r="I2273" s="116"/>
      <c r="L2273" s="169">
        <v>45350</v>
      </c>
      <c r="M2273" s="116">
        <v>2185.65</v>
      </c>
      <c r="N2273" s="116">
        <v>2229.15</v>
      </c>
      <c r="O2273" s="116">
        <v>2180</v>
      </c>
      <c r="P2273" s="116">
        <v>2216.5500000000002</v>
      </c>
      <c r="Q2273" s="116">
        <v>2185.65</v>
      </c>
      <c r="R2273">
        <v>24201</v>
      </c>
    </row>
    <row r="2274" spans="1:18" x14ac:dyDescent="0.25">
      <c r="A2274" s="169">
        <v>45351</v>
      </c>
      <c r="B2274" s="116">
        <v>2198.8000000000002</v>
      </c>
      <c r="C2274" s="116">
        <v>2180.1</v>
      </c>
      <c r="D2274" s="116">
        <v>2153.4499999999998</v>
      </c>
      <c r="E2274" s="116">
        <v>2184.9499999999998</v>
      </c>
      <c r="F2274" s="116">
        <v>2180.1</v>
      </c>
      <c r="G2274">
        <v>2217</v>
      </c>
      <c r="H2274" s="116"/>
      <c r="I2274" s="116"/>
      <c r="L2274" s="169">
        <v>45351</v>
      </c>
      <c r="M2274" s="116">
        <v>2173.75</v>
      </c>
      <c r="N2274" s="116">
        <v>2194</v>
      </c>
      <c r="O2274" s="116">
        <v>2152</v>
      </c>
      <c r="P2274" s="116">
        <v>2176</v>
      </c>
      <c r="Q2274" s="116">
        <v>2173.75</v>
      </c>
      <c r="R2274">
        <v>29538</v>
      </c>
    </row>
    <row r="2275" spans="1:18" x14ac:dyDescent="0.25">
      <c r="A2275" s="169">
        <v>45352</v>
      </c>
      <c r="B2275" s="116">
        <v>2219.9</v>
      </c>
      <c r="C2275" s="116">
        <v>2198.9</v>
      </c>
      <c r="D2275" s="116">
        <v>2177.5500000000002</v>
      </c>
      <c r="E2275" s="116">
        <v>2199.9499999999998</v>
      </c>
      <c r="F2275" s="116">
        <v>2198.9</v>
      </c>
      <c r="G2275">
        <v>5991</v>
      </c>
      <c r="H2275" s="116"/>
      <c r="I2275" s="116"/>
      <c r="L2275" s="169">
        <v>45352</v>
      </c>
      <c r="M2275" s="116">
        <v>2195.85</v>
      </c>
      <c r="N2275" s="116">
        <v>2220.1999999999998</v>
      </c>
      <c r="O2275" s="116">
        <v>2175.9</v>
      </c>
      <c r="P2275" s="116">
        <v>2194</v>
      </c>
      <c r="Q2275" s="116">
        <v>2195.85</v>
      </c>
      <c r="R2275">
        <v>30915</v>
      </c>
    </row>
    <row r="2276" spans="1:18" x14ac:dyDescent="0.25">
      <c r="A2276" s="169">
        <v>45353</v>
      </c>
      <c r="B2276" s="116">
        <v>2260</v>
      </c>
      <c r="C2276" s="116">
        <v>2224.75</v>
      </c>
      <c r="D2276" s="116">
        <v>2165</v>
      </c>
      <c r="E2276" s="116">
        <v>2178.0500000000002</v>
      </c>
      <c r="F2276" s="116">
        <v>2224.75</v>
      </c>
      <c r="G2276">
        <v>1887</v>
      </c>
      <c r="H2276" s="116"/>
      <c r="I2276" s="116"/>
      <c r="L2276" s="169">
        <v>45353</v>
      </c>
      <c r="M2276" s="116">
        <v>2227.4</v>
      </c>
      <c r="N2276" s="116">
        <v>2263.9499999999998</v>
      </c>
      <c r="O2276" s="116">
        <v>2210</v>
      </c>
      <c r="P2276" s="116">
        <v>2210</v>
      </c>
      <c r="Q2276" s="116">
        <v>2227.4</v>
      </c>
      <c r="R2276">
        <v>19573</v>
      </c>
    </row>
    <row r="2277" spans="1:18" x14ac:dyDescent="0.25">
      <c r="A2277" s="169">
        <v>45355</v>
      </c>
      <c r="B2277" s="116">
        <v>2231.9499999999998</v>
      </c>
      <c r="C2277" s="116">
        <v>2197.15</v>
      </c>
      <c r="D2277" s="116">
        <v>2185</v>
      </c>
      <c r="E2277" s="116">
        <v>2202.35</v>
      </c>
      <c r="F2277" s="116">
        <v>2197.15</v>
      </c>
      <c r="G2277">
        <v>1977</v>
      </c>
      <c r="H2277" s="116"/>
      <c r="I2277" s="116"/>
      <c r="L2277" s="169">
        <v>45355</v>
      </c>
      <c r="M2277" s="116">
        <v>2196.35</v>
      </c>
      <c r="N2277" s="116">
        <v>2239.0500000000002</v>
      </c>
      <c r="O2277" s="116">
        <v>2186</v>
      </c>
      <c r="P2277" s="116">
        <v>2205.15</v>
      </c>
      <c r="Q2277" s="116">
        <v>2196.35</v>
      </c>
      <c r="R2277">
        <v>33463</v>
      </c>
    </row>
    <row r="2278" spans="1:18" x14ac:dyDescent="0.25">
      <c r="A2278" s="169">
        <v>45356</v>
      </c>
      <c r="B2278" s="116">
        <v>2420</v>
      </c>
      <c r="C2278" s="116">
        <v>2395.6999999999998</v>
      </c>
      <c r="D2278" s="116">
        <v>2190.0500000000002</v>
      </c>
      <c r="E2278" s="116">
        <v>2238.6</v>
      </c>
      <c r="F2278" s="116">
        <v>2395.6999999999998</v>
      </c>
      <c r="G2278">
        <v>61841</v>
      </c>
      <c r="H2278" s="116"/>
      <c r="I2278" s="116"/>
      <c r="L2278" s="169">
        <v>45356</v>
      </c>
      <c r="M2278" s="116">
        <v>2393.9</v>
      </c>
      <c r="N2278" s="116">
        <v>2426.9499999999998</v>
      </c>
      <c r="O2278" s="116">
        <v>2189.5</v>
      </c>
      <c r="P2278" s="116">
        <v>2209.75</v>
      </c>
      <c r="Q2278" s="116">
        <v>2393.9</v>
      </c>
      <c r="R2278">
        <v>1279540</v>
      </c>
    </row>
    <row r="2279" spans="1:18" x14ac:dyDescent="0.25">
      <c r="A2279" s="169">
        <v>45357</v>
      </c>
      <c r="B2279" s="116">
        <v>2430</v>
      </c>
      <c r="C2279" s="116">
        <v>2319.6999999999998</v>
      </c>
      <c r="D2279" s="116">
        <v>2301.6</v>
      </c>
      <c r="E2279" s="116">
        <v>2421.25</v>
      </c>
      <c r="F2279" s="116">
        <v>2319.6999999999998</v>
      </c>
      <c r="G2279">
        <v>22867</v>
      </c>
      <c r="H2279" s="116"/>
      <c r="I2279" s="116"/>
      <c r="L2279" s="169">
        <v>45357</v>
      </c>
      <c r="M2279" s="116">
        <v>2317.1999999999998</v>
      </c>
      <c r="N2279" s="116">
        <v>2431.9499999999998</v>
      </c>
      <c r="O2279" s="116">
        <v>2301.15</v>
      </c>
      <c r="P2279" s="116">
        <v>2402.0500000000002</v>
      </c>
      <c r="Q2279" s="116">
        <v>2317.1999999999998</v>
      </c>
      <c r="R2279">
        <v>233353</v>
      </c>
    </row>
    <row r="2280" spans="1:18" x14ac:dyDescent="0.25">
      <c r="A2280" s="169">
        <v>45358</v>
      </c>
      <c r="B2280" s="116">
        <v>2375</v>
      </c>
      <c r="C2280" s="116">
        <v>2340.3000000000002</v>
      </c>
      <c r="D2280" s="116">
        <v>2320</v>
      </c>
      <c r="E2280" s="116">
        <v>2328.9499999999998</v>
      </c>
      <c r="F2280" s="116">
        <v>2340.3000000000002</v>
      </c>
      <c r="G2280">
        <v>11244</v>
      </c>
      <c r="H2280" s="116"/>
      <c r="I2280" s="116"/>
      <c r="L2280" s="169">
        <v>45358</v>
      </c>
      <c r="M2280" s="116">
        <v>2337.15</v>
      </c>
      <c r="N2280" s="116">
        <v>2375.5</v>
      </c>
      <c r="O2280" s="116">
        <v>2318.0500000000002</v>
      </c>
      <c r="P2280" s="116">
        <v>2318.0500000000002</v>
      </c>
      <c r="Q2280" s="116">
        <v>2337.15</v>
      </c>
      <c r="R2280">
        <v>88123</v>
      </c>
    </row>
    <row r="2281" spans="1:18" x14ac:dyDescent="0.25">
      <c r="A2281" s="169">
        <v>45362</v>
      </c>
      <c r="B2281" s="116">
        <v>2344.65</v>
      </c>
      <c r="C2281" s="116">
        <v>2226.5500000000002</v>
      </c>
      <c r="D2281" s="116">
        <v>2210.3000000000002</v>
      </c>
      <c r="E2281" s="116">
        <v>2344.65</v>
      </c>
      <c r="F2281" s="116">
        <v>2226.5500000000002</v>
      </c>
      <c r="G2281">
        <v>16920</v>
      </c>
      <c r="H2281" s="116"/>
      <c r="I2281" s="116"/>
      <c r="L2281" s="169">
        <v>45362</v>
      </c>
      <c r="M2281" s="116">
        <v>2223.6</v>
      </c>
      <c r="N2281" s="116">
        <v>2337.85</v>
      </c>
      <c r="O2281" s="116">
        <v>2202</v>
      </c>
      <c r="P2281" s="116">
        <v>2337.85</v>
      </c>
      <c r="Q2281" s="116">
        <v>2223.6</v>
      </c>
      <c r="R2281">
        <v>77590</v>
      </c>
    </row>
    <row r="2282" spans="1:18" x14ac:dyDescent="0.25">
      <c r="A2282" s="169">
        <v>45363</v>
      </c>
      <c r="B2282" s="116">
        <v>2228.6</v>
      </c>
      <c r="C2282" s="116">
        <v>2158.0500000000002</v>
      </c>
      <c r="D2282" s="116">
        <v>2130.75</v>
      </c>
      <c r="E2282" s="116">
        <v>2220</v>
      </c>
      <c r="F2282" s="116">
        <v>2158.0500000000002</v>
      </c>
      <c r="G2282">
        <v>14273</v>
      </c>
      <c r="H2282" s="116"/>
      <c r="I2282" s="116"/>
      <c r="L2282" s="169">
        <v>45363</v>
      </c>
      <c r="M2282" s="116">
        <v>2156.35</v>
      </c>
      <c r="N2282" s="116">
        <v>2230.15</v>
      </c>
      <c r="O2282" s="116">
        <v>2131.0500000000002</v>
      </c>
      <c r="P2282" s="116">
        <v>2223.6999999999998</v>
      </c>
      <c r="Q2282" s="116">
        <v>2156.35</v>
      </c>
      <c r="R2282">
        <v>79167</v>
      </c>
    </row>
    <row r="2283" spans="1:18" x14ac:dyDescent="0.25">
      <c r="A2283" s="169">
        <v>45364</v>
      </c>
      <c r="B2283" s="116">
        <v>2165.0500000000002</v>
      </c>
      <c r="C2283" s="116">
        <v>2041.85</v>
      </c>
      <c r="D2283" s="116">
        <v>2031</v>
      </c>
      <c r="E2283" s="116">
        <v>2141.3000000000002</v>
      </c>
      <c r="F2283" s="116">
        <v>2041.85</v>
      </c>
      <c r="G2283">
        <v>28063</v>
      </c>
      <c r="H2283" s="116"/>
      <c r="I2283" s="116"/>
      <c r="L2283" s="169">
        <v>45364</v>
      </c>
      <c r="M2283" s="116">
        <v>2041.05</v>
      </c>
      <c r="N2283" s="116">
        <v>2165.6</v>
      </c>
      <c r="O2283" s="116">
        <v>2030</v>
      </c>
      <c r="P2283" s="116">
        <v>2157.9499999999998</v>
      </c>
      <c r="Q2283" s="116">
        <v>2041.05</v>
      </c>
      <c r="R2283">
        <v>136704</v>
      </c>
    </row>
    <row r="2284" spans="1:18" x14ac:dyDescent="0.25">
      <c r="A2284" s="169">
        <v>45365</v>
      </c>
      <c r="B2284" s="116">
        <v>2100</v>
      </c>
      <c r="C2284" s="116">
        <v>2056.9499999999998</v>
      </c>
      <c r="D2284" s="116">
        <v>2010</v>
      </c>
      <c r="E2284" s="116">
        <v>2031.05</v>
      </c>
      <c r="F2284" s="116">
        <v>2056.9499999999998</v>
      </c>
      <c r="G2284">
        <v>13350</v>
      </c>
      <c r="H2284" s="116"/>
      <c r="I2284" s="116"/>
      <c r="L2284" s="169">
        <v>45365</v>
      </c>
      <c r="M2284" s="116">
        <v>2057.65</v>
      </c>
      <c r="N2284" s="116">
        <v>2099</v>
      </c>
      <c r="O2284" s="116">
        <v>2009.2</v>
      </c>
      <c r="P2284" s="116">
        <v>2041.05</v>
      </c>
      <c r="Q2284" s="116">
        <v>2057.65</v>
      </c>
      <c r="R2284">
        <v>84568</v>
      </c>
    </row>
    <row r="2285" spans="1:18" x14ac:dyDescent="0.25">
      <c r="A2285" s="169">
        <v>45366</v>
      </c>
      <c r="B2285" s="116">
        <v>2124</v>
      </c>
      <c r="C2285" s="116">
        <v>2101.9499999999998</v>
      </c>
      <c r="D2285" s="116">
        <v>2064.6</v>
      </c>
      <c r="E2285" s="116">
        <v>2069.6</v>
      </c>
      <c r="F2285" s="116">
        <v>2101.9499999999998</v>
      </c>
      <c r="G2285">
        <v>5683</v>
      </c>
      <c r="H2285" s="116"/>
      <c r="I2285" s="116"/>
      <c r="L2285" s="169">
        <v>45366</v>
      </c>
      <c r="M2285" s="116">
        <v>2100.9499999999998</v>
      </c>
      <c r="N2285" s="116">
        <v>2129.6999999999998</v>
      </c>
      <c r="O2285" s="116">
        <v>2058</v>
      </c>
      <c r="P2285" s="116">
        <v>2058.75</v>
      </c>
      <c r="Q2285" s="116">
        <v>2100.9499999999998</v>
      </c>
      <c r="R2285">
        <v>69139</v>
      </c>
    </row>
    <row r="2286" spans="1:18" x14ac:dyDescent="0.25">
      <c r="A2286" s="169">
        <v>45369</v>
      </c>
      <c r="B2286" s="116">
        <v>2130.65</v>
      </c>
      <c r="C2286" s="116">
        <v>2085.35</v>
      </c>
      <c r="D2286" s="116">
        <v>2072.5</v>
      </c>
      <c r="E2286" s="116">
        <v>2123.65</v>
      </c>
      <c r="F2286" s="116">
        <v>2085.35</v>
      </c>
      <c r="G2286">
        <v>8105</v>
      </c>
      <c r="H2286" s="116"/>
      <c r="I2286" s="116"/>
      <c r="L2286" s="169">
        <v>45369</v>
      </c>
      <c r="M2286" s="116">
        <v>2081.75</v>
      </c>
      <c r="N2286" s="116">
        <v>2129.6999999999998</v>
      </c>
      <c r="O2286" s="116">
        <v>2072</v>
      </c>
      <c r="P2286" s="116">
        <v>2105</v>
      </c>
      <c r="Q2286" s="116">
        <v>2081.75</v>
      </c>
      <c r="R2286">
        <v>39908</v>
      </c>
    </row>
    <row r="2287" spans="1:18" x14ac:dyDescent="0.25">
      <c r="A2287" s="169">
        <v>45370</v>
      </c>
      <c r="B2287" s="116">
        <v>2114.5500000000002</v>
      </c>
      <c r="C2287" s="116">
        <v>2057.9</v>
      </c>
      <c r="D2287" s="116">
        <v>2052.0500000000002</v>
      </c>
      <c r="E2287" s="116">
        <v>2079.0500000000002</v>
      </c>
      <c r="F2287" s="116">
        <v>2057.9</v>
      </c>
      <c r="G2287">
        <v>5826</v>
      </c>
      <c r="H2287" s="116"/>
      <c r="I2287" s="116"/>
      <c r="L2287" s="169">
        <v>45370</v>
      </c>
      <c r="M2287" s="116">
        <v>2058.1999999999998</v>
      </c>
      <c r="N2287" s="116">
        <v>2114.6999999999998</v>
      </c>
      <c r="O2287" s="116">
        <v>2053.75</v>
      </c>
      <c r="P2287" s="116">
        <v>2081.75</v>
      </c>
      <c r="Q2287" s="116">
        <v>2058.1999999999998</v>
      </c>
      <c r="R2287">
        <v>37688</v>
      </c>
    </row>
    <row r="2288" spans="1:18" x14ac:dyDescent="0.25">
      <c r="A2288" s="169">
        <v>45371</v>
      </c>
      <c r="B2288" s="116">
        <v>2075</v>
      </c>
      <c r="C2288" s="116">
        <v>2033.7</v>
      </c>
      <c r="D2288" s="116">
        <v>2030</v>
      </c>
      <c r="E2288" s="116">
        <v>2053.6</v>
      </c>
      <c r="F2288" s="116">
        <v>2033.7</v>
      </c>
      <c r="G2288">
        <v>2610</v>
      </c>
      <c r="H2288" s="116"/>
      <c r="I2288" s="116"/>
      <c r="L2288" s="169">
        <v>45371</v>
      </c>
      <c r="M2288" s="116">
        <v>2036.7</v>
      </c>
      <c r="N2288" s="116">
        <v>2076.9499999999998</v>
      </c>
      <c r="O2288" s="116">
        <v>2032</v>
      </c>
      <c r="P2288" s="116">
        <v>2058.1999999999998</v>
      </c>
      <c r="Q2288" s="116">
        <v>2036.7</v>
      </c>
      <c r="R2288">
        <v>33895</v>
      </c>
    </row>
    <row r="2289" spans="1:18" x14ac:dyDescent="0.25">
      <c r="A2289" s="169">
        <v>45372</v>
      </c>
      <c r="B2289" s="116">
        <v>2085</v>
      </c>
      <c r="C2289" s="116">
        <v>2062.35</v>
      </c>
      <c r="D2289" s="116">
        <v>2059</v>
      </c>
      <c r="E2289" s="116">
        <v>2076</v>
      </c>
      <c r="F2289" s="116">
        <v>2062.35</v>
      </c>
      <c r="G2289">
        <v>2208</v>
      </c>
      <c r="H2289" s="116"/>
      <c r="I2289" s="116"/>
      <c r="L2289" s="169">
        <v>45372</v>
      </c>
      <c r="M2289" s="116">
        <v>2062.35</v>
      </c>
      <c r="N2289" s="116">
        <v>2086.6</v>
      </c>
      <c r="O2289" s="116">
        <v>2055</v>
      </c>
      <c r="P2289" s="116">
        <v>2076.4</v>
      </c>
      <c r="Q2289" s="116">
        <v>2062.35</v>
      </c>
      <c r="R2289">
        <v>39570</v>
      </c>
    </row>
    <row r="2290" spans="1:18" x14ac:dyDescent="0.25">
      <c r="A2290" s="169">
        <v>45373</v>
      </c>
      <c r="B2290" s="116">
        <v>2161.9</v>
      </c>
      <c r="C2290" s="116">
        <v>2108.3000000000002</v>
      </c>
      <c r="D2290" s="116">
        <v>2083.4</v>
      </c>
      <c r="E2290" s="116">
        <v>2099.9</v>
      </c>
      <c r="F2290" s="116">
        <v>2108.3000000000002</v>
      </c>
      <c r="G2290">
        <v>12146</v>
      </c>
      <c r="H2290" s="116"/>
      <c r="I2290" s="116"/>
      <c r="L2290" s="169">
        <v>45373</v>
      </c>
      <c r="M2290" s="116">
        <v>2106.6999999999998</v>
      </c>
      <c r="N2290" s="116">
        <v>2165</v>
      </c>
      <c r="O2290" s="116">
        <v>2066</v>
      </c>
      <c r="P2290" s="116">
        <v>2066</v>
      </c>
      <c r="Q2290" s="116">
        <v>2106.6999999999998</v>
      </c>
      <c r="R2290">
        <v>181950</v>
      </c>
    </row>
    <row r="2291" spans="1:18" x14ac:dyDescent="0.25">
      <c r="A2291" s="169">
        <v>45377</v>
      </c>
      <c r="B2291" s="116">
        <v>2105</v>
      </c>
      <c r="C2291" s="116">
        <v>2049.75</v>
      </c>
      <c r="D2291" s="116">
        <v>2045.05</v>
      </c>
      <c r="E2291" s="116">
        <v>2105</v>
      </c>
      <c r="F2291" s="116">
        <v>2049.75</v>
      </c>
      <c r="G2291">
        <v>16562</v>
      </c>
      <c r="H2291" s="116"/>
      <c r="I2291" s="116"/>
      <c r="L2291" s="169">
        <v>45377</v>
      </c>
      <c r="M2291" s="116">
        <v>2051.9499999999998</v>
      </c>
      <c r="N2291" s="116">
        <v>2106.6999999999998</v>
      </c>
      <c r="O2291" s="116">
        <v>2045</v>
      </c>
      <c r="P2291" s="116">
        <v>2100.0500000000002</v>
      </c>
      <c r="Q2291" s="116">
        <v>2051.9499999999998</v>
      </c>
      <c r="R2291">
        <v>92896</v>
      </c>
    </row>
    <row r="2292" spans="1:18" x14ac:dyDescent="0.25">
      <c r="A2292" s="169">
        <v>45378</v>
      </c>
      <c r="B2292" s="116">
        <v>2097.15</v>
      </c>
      <c r="C2292" s="116">
        <v>2063.8000000000002</v>
      </c>
      <c r="D2292" s="116">
        <v>2051.5500000000002</v>
      </c>
      <c r="E2292" s="116">
        <v>2074.9499999999998</v>
      </c>
      <c r="F2292" s="116">
        <v>2063.8000000000002</v>
      </c>
      <c r="G2292">
        <v>7765</v>
      </c>
      <c r="H2292" s="116"/>
      <c r="I2292" s="116"/>
      <c r="L2292" s="169">
        <v>45378</v>
      </c>
      <c r="M2292" s="116">
        <v>2066.0500000000002</v>
      </c>
      <c r="N2292" s="116">
        <v>2097.5</v>
      </c>
      <c r="O2292" s="116">
        <v>2050.1</v>
      </c>
      <c r="P2292" s="116">
        <v>2050.1</v>
      </c>
      <c r="Q2292" s="116">
        <v>2066.0500000000002</v>
      </c>
      <c r="R2292">
        <v>108869</v>
      </c>
    </row>
    <row r="2293" spans="1:18" x14ac:dyDescent="0.25">
      <c r="A2293" s="169">
        <v>45379</v>
      </c>
      <c r="B2293" s="116">
        <v>2087.4499999999998</v>
      </c>
      <c r="C2293" s="116">
        <v>2043.9</v>
      </c>
      <c r="D2293" s="116">
        <v>2028.95</v>
      </c>
      <c r="E2293" s="116">
        <v>2050.6</v>
      </c>
      <c r="F2293" s="116">
        <v>2043.9</v>
      </c>
      <c r="G2293">
        <v>6301</v>
      </c>
      <c r="H2293" s="116"/>
      <c r="I2293" s="116"/>
      <c r="L2293" s="169">
        <v>45379</v>
      </c>
      <c r="M2293" s="116">
        <v>2045.25</v>
      </c>
      <c r="N2293" s="116">
        <v>2085.9499999999998</v>
      </c>
      <c r="O2293" s="116">
        <v>2033.3</v>
      </c>
      <c r="P2293" s="116">
        <v>2078</v>
      </c>
      <c r="Q2293" s="116">
        <v>2045.25</v>
      </c>
      <c r="R2293">
        <v>74636</v>
      </c>
    </row>
    <row r="2294" spans="1:18" x14ac:dyDescent="0.25">
      <c r="A2294" s="169">
        <v>45383</v>
      </c>
      <c r="B2294" s="116">
        <v>2120</v>
      </c>
      <c r="C2294" s="116">
        <v>2098.5</v>
      </c>
      <c r="D2294" s="116">
        <v>2044.5</v>
      </c>
      <c r="E2294" s="116">
        <v>2044.5</v>
      </c>
      <c r="F2294" s="116">
        <v>2098.5</v>
      </c>
      <c r="G2294">
        <v>3611</v>
      </c>
      <c r="H2294" s="116"/>
      <c r="I2294" s="116"/>
      <c r="L2294" s="169">
        <v>45383</v>
      </c>
      <c r="M2294" s="116">
        <v>2098.4499999999998</v>
      </c>
      <c r="N2294" s="116">
        <v>2119</v>
      </c>
      <c r="O2294" s="116">
        <v>2049</v>
      </c>
      <c r="P2294" s="116">
        <v>2050</v>
      </c>
      <c r="Q2294" s="116">
        <v>2098.4499999999998</v>
      </c>
      <c r="R2294">
        <v>61458</v>
      </c>
    </row>
    <row r="2295" spans="1:18" x14ac:dyDescent="0.25">
      <c r="A2295" s="169">
        <v>45384</v>
      </c>
      <c r="B2295" s="116">
        <v>2138</v>
      </c>
      <c r="C2295" s="116">
        <v>2124.1999999999998</v>
      </c>
      <c r="D2295" s="116">
        <v>2082.5</v>
      </c>
      <c r="E2295" s="116">
        <v>2098.0500000000002</v>
      </c>
      <c r="F2295" s="116">
        <v>2124.1999999999998</v>
      </c>
      <c r="G2295">
        <v>5998</v>
      </c>
      <c r="H2295" s="116"/>
      <c r="I2295" s="116"/>
      <c r="L2295" s="169">
        <v>45384</v>
      </c>
      <c r="M2295" s="116">
        <v>2120.9499999999998</v>
      </c>
      <c r="N2295" s="116">
        <v>2138</v>
      </c>
      <c r="O2295" s="116">
        <v>2080</v>
      </c>
      <c r="P2295" s="116">
        <v>2110</v>
      </c>
      <c r="Q2295" s="116">
        <v>2120.9499999999998</v>
      </c>
      <c r="R2295">
        <v>45367</v>
      </c>
    </row>
    <row r="2296" spans="1:18" x14ac:dyDescent="0.25">
      <c r="A2296" s="169">
        <v>45385</v>
      </c>
      <c r="B2296" s="116">
        <v>2165.9499999999998</v>
      </c>
      <c r="C2296" s="116">
        <v>2123.85</v>
      </c>
      <c r="D2296" s="116">
        <v>2115.5</v>
      </c>
      <c r="E2296" s="116">
        <v>2137.65</v>
      </c>
      <c r="F2296" s="116">
        <v>2123.85</v>
      </c>
      <c r="G2296">
        <v>9195</v>
      </c>
      <c r="H2296" s="116"/>
      <c r="I2296" s="116"/>
      <c r="L2296" s="169">
        <v>45385</v>
      </c>
      <c r="M2296" s="116">
        <v>2123.6</v>
      </c>
      <c r="N2296" s="116">
        <v>2164.6999999999998</v>
      </c>
      <c r="O2296" s="116">
        <v>2115</v>
      </c>
      <c r="P2296" s="116">
        <v>2134</v>
      </c>
      <c r="Q2296" s="116">
        <v>2123.6</v>
      </c>
      <c r="R2296">
        <v>55586</v>
      </c>
    </row>
    <row r="2297" spans="1:18" x14ac:dyDescent="0.25">
      <c r="A2297" s="169">
        <v>45386</v>
      </c>
      <c r="B2297" s="116">
        <v>2315.15</v>
      </c>
      <c r="C2297" s="116">
        <v>2270.65</v>
      </c>
      <c r="D2297" s="116">
        <v>2141.15</v>
      </c>
      <c r="E2297" s="116">
        <v>2149</v>
      </c>
      <c r="F2297" s="116">
        <v>2270.65</v>
      </c>
      <c r="G2297">
        <v>48903</v>
      </c>
      <c r="H2297" s="116"/>
      <c r="I2297" s="116"/>
      <c r="L2297" s="169">
        <v>45386</v>
      </c>
      <c r="M2297" s="116">
        <v>2273.6999999999998</v>
      </c>
      <c r="N2297" s="116">
        <v>2317.0500000000002</v>
      </c>
      <c r="O2297" s="116">
        <v>2135.5500000000002</v>
      </c>
      <c r="P2297" s="116">
        <v>2151.85</v>
      </c>
      <c r="Q2297" s="116">
        <v>2273.6999999999998</v>
      </c>
      <c r="R2297">
        <v>587175</v>
      </c>
    </row>
    <row r="2298" spans="1:18" x14ac:dyDescent="0.25">
      <c r="A2298" s="169">
        <v>45387</v>
      </c>
      <c r="B2298" s="116">
        <v>2301.75</v>
      </c>
      <c r="C2298" s="116">
        <v>2241.25</v>
      </c>
      <c r="D2298" s="116">
        <v>2227.1999999999998</v>
      </c>
      <c r="E2298" s="116">
        <v>2289.35</v>
      </c>
      <c r="F2298" s="116">
        <v>2241.25</v>
      </c>
      <c r="G2298">
        <v>7675</v>
      </c>
      <c r="H2298" s="116"/>
      <c r="I2298" s="116"/>
      <c r="L2298" s="169">
        <v>45387</v>
      </c>
      <c r="M2298" s="116">
        <v>2238.4</v>
      </c>
      <c r="N2298" s="116">
        <v>2302.4499999999998</v>
      </c>
      <c r="O2298" s="116">
        <v>2210</v>
      </c>
      <c r="P2298" s="116">
        <v>2273.8000000000002</v>
      </c>
      <c r="Q2298" s="116">
        <v>2238.4</v>
      </c>
      <c r="R2298">
        <v>111973</v>
      </c>
    </row>
    <row r="2299" spans="1:18" x14ac:dyDescent="0.25">
      <c r="A2299" s="169">
        <v>45390</v>
      </c>
      <c r="B2299" s="116">
        <v>2255.5</v>
      </c>
      <c r="C2299" s="116">
        <v>2180.1</v>
      </c>
      <c r="D2299" s="116">
        <v>2168.5500000000002</v>
      </c>
      <c r="E2299" s="116">
        <v>2241.3000000000002</v>
      </c>
      <c r="F2299" s="116">
        <v>2180.1</v>
      </c>
      <c r="G2299">
        <v>11808</v>
      </c>
      <c r="H2299" s="116"/>
      <c r="I2299" s="116"/>
      <c r="L2299" s="169">
        <v>45390</v>
      </c>
      <c r="M2299" s="116">
        <v>2182.1</v>
      </c>
      <c r="N2299" s="116">
        <v>2258.1</v>
      </c>
      <c r="O2299" s="116">
        <v>2171</v>
      </c>
      <c r="P2299" s="116">
        <v>2255.9</v>
      </c>
      <c r="Q2299" s="116">
        <v>2182.1</v>
      </c>
      <c r="R2299">
        <v>70965</v>
      </c>
    </row>
    <row r="2300" spans="1:18" x14ac:dyDescent="0.25">
      <c r="A2300" s="169">
        <v>45391</v>
      </c>
      <c r="B2300" s="116">
        <v>2324.5500000000002</v>
      </c>
      <c r="C2300" s="116">
        <v>2268.8000000000002</v>
      </c>
      <c r="D2300" s="116">
        <v>2180</v>
      </c>
      <c r="E2300" s="116">
        <v>2180</v>
      </c>
      <c r="F2300" s="116">
        <v>2268.8000000000002</v>
      </c>
      <c r="G2300">
        <v>11616</v>
      </c>
      <c r="H2300" s="116"/>
      <c r="I2300" s="116"/>
      <c r="L2300" s="169">
        <v>45391</v>
      </c>
      <c r="M2300" s="116">
        <v>2268.35</v>
      </c>
      <c r="N2300" s="116">
        <v>2323.9499999999998</v>
      </c>
      <c r="O2300" s="116">
        <v>2182.1</v>
      </c>
      <c r="P2300" s="116">
        <v>2182.1</v>
      </c>
      <c r="Q2300" s="116">
        <v>2268.35</v>
      </c>
      <c r="R2300">
        <v>242686</v>
      </c>
    </row>
    <row r="2301" spans="1:18" x14ac:dyDescent="0.25">
      <c r="A2301" s="169">
        <v>45392</v>
      </c>
      <c r="B2301" s="116">
        <v>2326</v>
      </c>
      <c r="C2301" s="116">
        <v>2294.65</v>
      </c>
      <c r="D2301" s="116">
        <v>2224</v>
      </c>
      <c r="E2301" s="116">
        <v>2270.5500000000002</v>
      </c>
      <c r="F2301" s="116">
        <v>2294.65</v>
      </c>
      <c r="G2301">
        <v>31464</v>
      </c>
      <c r="H2301" s="116"/>
      <c r="I2301" s="116"/>
      <c r="L2301" s="169">
        <v>45392</v>
      </c>
      <c r="M2301" s="116">
        <v>2298.5500000000002</v>
      </c>
      <c r="N2301" s="116">
        <v>2327.75</v>
      </c>
      <c r="O2301" s="116">
        <v>2225</v>
      </c>
      <c r="P2301" s="116">
        <v>2277</v>
      </c>
      <c r="Q2301" s="116">
        <v>2298.5500000000002</v>
      </c>
      <c r="R2301">
        <v>254669</v>
      </c>
    </row>
    <row r="2302" spans="1:18" x14ac:dyDescent="0.25">
      <c r="A2302" s="169">
        <v>45394</v>
      </c>
      <c r="B2302" s="116">
        <v>2315.85</v>
      </c>
      <c r="C2302" s="116">
        <v>2269.5500000000002</v>
      </c>
      <c r="D2302" s="116">
        <v>2250.1999999999998</v>
      </c>
      <c r="E2302" s="116">
        <v>2303.4499999999998</v>
      </c>
      <c r="F2302" s="116">
        <v>2269.5500000000002</v>
      </c>
      <c r="G2302">
        <v>4565</v>
      </c>
      <c r="H2302" s="116"/>
      <c r="I2302" s="116"/>
      <c r="L2302" s="169">
        <v>45394</v>
      </c>
      <c r="M2302" s="116">
        <v>2269.15</v>
      </c>
      <c r="N2302" s="116">
        <v>2317.9499999999998</v>
      </c>
      <c r="O2302" s="116">
        <v>2250</v>
      </c>
      <c r="P2302" s="116">
        <v>2298.5500000000002</v>
      </c>
      <c r="Q2302" s="116">
        <v>2269.15</v>
      </c>
      <c r="R2302">
        <v>79806</v>
      </c>
    </row>
    <row r="2303" spans="1:18" x14ac:dyDescent="0.25">
      <c r="A2303" s="169">
        <v>45397</v>
      </c>
      <c r="B2303" s="116">
        <v>2251.4</v>
      </c>
      <c r="C2303" s="116">
        <v>2194.75</v>
      </c>
      <c r="D2303" s="116">
        <v>2100.0500000000002</v>
      </c>
      <c r="E2303" s="116">
        <v>2100.0500000000002</v>
      </c>
      <c r="F2303" s="116">
        <v>2194.75</v>
      </c>
      <c r="G2303">
        <v>18783</v>
      </c>
      <c r="H2303" s="116"/>
      <c r="I2303" s="116"/>
      <c r="L2303" s="169">
        <v>45397</v>
      </c>
      <c r="M2303" s="116">
        <v>2194.75</v>
      </c>
      <c r="N2303" s="116">
        <v>2253.5</v>
      </c>
      <c r="O2303" s="116">
        <v>2157.3000000000002</v>
      </c>
      <c r="P2303" s="116">
        <v>2250</v>
      </c>
      <c r="Q2303" s="116">
        <v>2194.75</v>
      </c>
      <c r="R2303">
        <v>69895</v>
      </c>
    </row>
    <row r="2304" spans="1:18" x14ac:dyDescent="0.25">
      <c r="A2304" s="169">
        <v>45398</v>
      </c>
      <c r="B2304" s="116">
        <v>2244.5500000000002</v>
      </c>
      <c r="C2304" s="116">
        <v>2226.85</v>
      </c>
      <c r="D2304" s="116">
        <v>2167.5500000000002</v>
      </c>
      <c r="E2304" s="116">
        <v>2187.75</v>
      </c>
      <c r="F2304" s="116">
        <v>2226.85</v>
      </c>
      <c r="G2304">
        <v>8716</v>
      </c>
      <c r="H2304" s="116"/>
      <c r="I2304" s="116"/>
      <c r="L2304" s="169">
        <v>45398</v>
      </c>
      <c r="M2304" s="116">
        <v>2228.5</v>
      </c>
      <c r="N2304" s="116">
        <v>2248.3000000000002</v>
      </c>
      <c r="O2304" s="116">
        <v>2173.3000000000002</v>
      </c>
      <c r="P2304" s="116">
        <v>2173.3000000000002</v>
      </c>
      <c r="Q2304" s="116">
        <v>2228.5</v>
      </c>
      <c r="R2304">
        <v>46741</v>
      </c>
    </row>
    <row r="2305" spans="1:18" x14ac:dyDescent="0.25">
      <c r="A2305" s="169">
        <v>45400</v>
      </c>
      <c r="B2305" s="116">
        <v>2258.0500000000002</v>
      </c>
      <c r="C2305" s="116">
        <v>2203.8000000000002</v>
      </c>
      <c r="D2305" s="116">
        <v>2200</v>
      </c>
      <c r="E2305" s="116">
        <v>2257.9499999999998</v>
      </c>
      <c r="F2305" s="116">
        <v>2203.8000000000002</v>
      </c>
      <c r="G2305">
        <v>4006</v>
      </c>
      <c r="H2305" s="116"/>
      <c r="I2305" s="116"/>
      <c r="L2305" s="169">
        <v>45400</v>
      </c>
      <c r="M2305" s="116">
        <v>2204.4</v>
      </c>
      <c r="N2305" s="116">
        <v>2259.9499999999998</v>
      </c>
      <c r="O2305" s="116">
        <v>2200</v>
      </c>
      <c r="P2305" s="116">
        <v>2248.0500000000002</v>
      </c>
      <c r="Q2305" s="116">
        <v>2204.4</v>
      </c>
      <c r="R2305">
        <v>41009</v>
      </c>
    </row>
    <row r="2306" spans="1:18" x14ac:dyDescent="0.25">
      <c r="A2306" s="169">
        <v>45401</v>
      </c>
      <c r="B2306" s="116">
        <v>2237.5500000000002</v>
      </c>
      <c r="C2306" s="116">
        <v>2172.9499999999998</v>
      </c>
      <c r="D2306" s="116">
        <v>2150</v>
      </c>
      <c r="E2306" s="116">
        <v>2237.5500000000002</v>
      </c>
      <c r="F2306" s="116">
        <v>2172.9499999999998</v>
      </c>
      <c r="G2306">
        <v>3117</v>
      </c>
      <c r="H2306" s="116"/>
      <c r="I2306" s="116"/>
      <c r="L2306" s="169">
        <v>45401</v>
      </c>
      <c r="M2306" s="116">
        <v>2172.9499999999998</v>
      </c>
      <c r="N2306" s="116">
        <v>2193</v>
      </c>
      <c r="O2306" s="116">
        <v>2153.5</v>
      </c>
      <c r="P2306" s="116">
        <v>2160.0500000000002</v>
      </c>
      <c r="Q2306" s="116">
        <v>2172.9499999999998</v>
      </c>
      <c r="R2306">
        <v>41342</v>
      </c>
    </row>
    <row r="2307" spans="1:18" x14ac:dyDescent="0.25">
      <c r="A2307" s="169">
        <v>45404</v>
      </c>
      <c r="B2307" s="116">
        <v>2243.9</v>
      </c>
      <c r="C2307" s="116">
        <v>2190.6999999999998</v>
      </c>
      <c r="D2307" s="116">
        <v>2175.0500000000002</v>
      </c>
      <c r="E2307" s="116">
        <v>2178</v>
      </c>
      <c r="F2307" s="116">
        <v>2190.6999999999998</v>
      </c>
      <c r="G2307">
        <v>6973</v>
      </c>
      <c r="H2307" s="116"/>
      <c r="I2307" s="116"/>
      <c r="L2307" s="169">
        <v>45404</v>
      </c>
      <c r="M2307" s="116">
        <v>2189.1</v>
      </c>
      <c r="N2307" s="116">
        <v>2243.9499999999998</v>
      </c>
      <c r="O2307" s="116">
        <v>2175.0500000000002</v>
      </c>
      <c r="P2307" s="116">
        <v>2194.9499999999998</v>
      </c>
      <c r="Q2307" s="116">
        <v>2189.1</v>
      </c>
      <c r="R2307">
        <v>36814</v>
      </c>
    </row>
    <row r="2308" spans="1:18" x14ac:dyDescent="0.25">
      <c r="A2308" s="169">
        <v>45405</v>
      </c>
      <c r="B2308" s="116">
        <v>2255.4</v>
      </c>
      <c r="C2308" s="116">
        <v>2227.85</v>
      </c>
      <c r="D2308" s="116">
        <v>2200</v>
      </c>
      <c r="E2308" s="116">
        <v>2239.0500000000002</v>
      </c>
      <c r="F2308" s="116">
        <v>2227.85</v>
      </c>
      <c r="G2308">
        <v>6852</v>
      </c>
      <c r="H2308" s="116"/>
      <c r="I2308" s="116"/>
      <c r="L2308" s="169">
        <v>45405</v>
      </c>
      <c r="M2308" s="116">
        <v>2228.1</v>
      </c>
      <c r="N2308" s="116">
        <v>2255</v>
      </c>
      <c r="O2308" s="116">
        <v>2198.9499999999998</v>
      </c>
      <c r="P2308" s="116">
        <v>2204</v>
      </c>
      <c r="Q2308" s="116">
        <v>2228.1</v>
      </c>
      <c r="R2308">
        <v>52596</v>
      </c>
    </row>
    <row r="2309" spans="1:18" x14ac:dyDescent="0.25">
      <c r="A2309" s="169">
        <v>45406</v>
      </c>
      <c r="B2309" s="116">
        <v>2289.9499999999998</v>
      </c>
      <c r="C2309" s="116">
        <v>2246.0500000000002</v>
      </c>
      <c r="D2309" s="116">
        <v>2230</v>
      </c>
      <c r="E2309" s="116">
        <v>2289.9499999999998</v>
      </c>
      <c r="F2309" s="116">
        <v>2246.0500000000002</v>
      </c>
      <c r="G2309">
        <v>2968</v>
      </c>
      <c r="H2309" s="116"/>
      <c r="I2309" s="116"/>
      <c r="L2309" s="169">
        <v>45406</v>
      </c>
      <c r="M2309" s="116">
        <v>2244.5500000000002</v>
      </c>
      <c r="N2309" s="116">
        <v>2280</v>
      </c>
      <c r="O2309" s="116">
        <v>2228.35</v>
      </c>
      <c r="P2309" s="116">
        <v>2280</v>
      </c>
      <c r="Q2309" s="116">
        <v>2244.5500000000002</v>
      </c>
      <c r="R2309">
        <v>56125</v>
      </c>
    </row>
    <row r="2310" spans="1:18" x14ac:dyDescent="0.25">
      <c r="A2310" s="169">
        <v>45407</v>
      </c>
      <c r="B2310" s="116">
        <v>2257.9499999999998</v>
      </c>
      <c r="C2310" s="116">
        <v>2236.15</v>
      </c>
      <c r="D2310" s="116">
        <v>2219.8000000000002</v>
      </c>
      <c r="E2310" s="116">
        <v>2250.85</v>
      </c>
      <c r="F2310" s="116">
        <v>2236.15</v>
      </c>
      <c r="G2310">
        <v>5800</v>
      </c>
      <c r="H2310" s="116"/>
      <c r="I2310" s="116"/>
      <c r="L2310" s="169">
        <v>45407</v>
      </c>
      <c r="M2310" s="116">
        <v>2236.15</v>
      </c>
      <c r="N2310" s="116">
        <v>2260</v>
      </c>
      <c r="O2310" s="116">
        <v>2215.5500000000002</v>
      </c>
      <c r="P2310" s="116">
        <v>2238</v>
      </c>
      <c r="Q2310" s="116">
        <v>2236.15</v>
      </c>
      <c r="R2310">
        <v>28129</v>
      </c>
    </row>
    <row r="2311" spans="1:18" x14ac:dyDescent="0.25">
      <c r="A2311" s="169">
        <v>45408</v>
      </c>
      <c r="B2311" s="116">
        <v>2255.6999999999998</v>
      </c>
      <c r="C2311" s="116">
        <v>2220.3000000000002</v>
      </c>
      <c r="D2311" s="116">
        <v>2210.0500000000002</v>
      </c>
      <c r="E2311" s="116">
        <v>2242.35</v>
      </c>
      <c r="F2311" s="116">
        <v>2220.3000000000002</v>
      </c>
      <c r="G2311">
        <v>10248</v>
      </c>
      <c r="H2311" s="116"/>
      <c r="I2311" s="116"/>
      <c r="L2311" s="169">
        <v>45408</v>
      </c>
      <c r="M2311" s="116">
        <v>2221.35</v>
      </c>
      <c r="N2311" s="116">
        <v>2256.9499999999998</v>
      </c>
      <c r="O2311" s="116">
        <v>2210</v>
      </c>
      <c r="P2311" s="116">
        <v>2256.9499999999998</v>
      </c>
      <c r="Q2311" s="116">
        <v>2221.35</v>
      </c>
      <c r="R2311">
        <v>26646</v>
      </c>
    </row>
    <row r="2312" spans="1:18" x14ac:dyDescent="0.25">
      <c r="A2312" s="169">
        <v>45411</v>
      </c>
      <c r="B2312" s="116">
        <v>2242.5</v>
      </c>
      <c r="C2312" s="116">
        <v>2203.9499999999998</v>
      </c>
      <c r="D2312" s="116">
        <v>2197.65</v>
      </c>
      <c r="E2312" s="116">
        <v>2220</v>
      </c>
      <c r="F2312" s="116">
        <v>2203.9499999999998</v>
      </c>
      <c r="G2312">
        <v>1883</v>
      </c>
      <c r="H2312" s="116"/>
      <c r="I2312" s="116"/>
      <c r="L2312" s="169">
        <v>45411</v>
      </c>
      <c r="M2312" s="116">
        <v>2202.9</v>
      </c>
      <c r="N2312" s="116">
        <v>2242.4499999999998</v>
      </c>
      <c r="O2312" s="116">
        <v>2196</v>
      </c>
      <c r="P2312" s="116">
        <v>2211.0500000000002</v>
      </c>
      <c r="Q2312" s="116">
        <v>2202.9</v>
      </c>
      <c r="R2312">
        <v>41387</v>
      </c>
    </row>
    <row r="2313" spans="1:18" x14ac:dyDescent="0.25">
      <c r="A2313" s="169">
        <v>45412</v>
      </c>
      <c r="B2313" s="116">
        <v>2217.85</v>
      </c>
      <c r="C2313" s="116">
        <v>2191.15</v>
      </c>
      <c r="D2313" s="116">
        <v>2188.0500000000002</v>
      </c>
      <c r="E2313" s="116">
        <v>2211</v>
      </c>
      <c r="F2313" s="116">
        <v>2191.15</v>
      </c>
      <c r="G2313">
        <v>5805</v>
      </c>
      <c r="H2313" s="116"/>
      <c r="I2313" s="116"/>
      <c r="L2313" s="169">
        <v>45412</v>
      </c>
      <c r="M2313" s="116">
        <v>2192.35</v>
      </c>
      <c r="N2313" s="116">
        <v>2219.75</v>
      </c>
      <c r="O2313" s="116">
        <v>2188</v>
      </c>
      <c r="P2313" s="116">
        <v>2210</v>
      </c>
      <c r="Q2313" s="116">
        <v>2192.35</v>
      </c>
      <c r="R2313">
        <v>28541</v>
      </c>
    </row>
    <row r="2314" spans="1:18" x14ac:dyDescent="0.25">
      <c r="A2314" s="169">
        <v>45414</v>
      </c>
      <c r="B2314" s="116">
        <v>2194.1</v>
      </c>
      <c r="C2314" s="116">
        <v>2174.85</v>
      </c>
      <c r="D2314" s="116">
        <v>2171.8000000000002</v>
      </c>
      <c r="E2314" s="116">
        <v>2188.0500000000002</v>
      </c>
      <c r="F2314" s="116">
        <v>2174.85</v>
      </c>
      <c r="G2314">
        <v>2366</v>
      </c>
      <c r="H2314" s="116"/>
      <c r="I2314" s="116"/>
      <c r="L2314" s="169">
        <v>45414</v>
      </c>
      <c r="M2314" s="116">
        <v>2175.6999999999998</v>
      </c>
      <c r="N2314" s="116">
        <v>2199.6</v>
      </c>
      <c r="O2314" s="116">
        <v>2171</v>
      </c>
      <c r="P2314" s="116">
        <v>2193.9</v>
      </c>
      <c r="Q2314" s="116">
        <v>2175.6999999999998</v>
      </c>
      <c r="R2314">
        <v>22544</v>
      </c>
    </row>
    <row r="2315" spans="1:18" x14ac:dyDescent="0.25">
      <c r="A2315" s="169">
        <v>45415</v>
      </c>
      <c r="B2315" s="116">
        <v>2205.3000000000002</v>
      </c>
      <c r="C2315" s="116">
        <v>2153.15</v>
      </c>
      <c r="D2315" s="116">
        <v>2142</v>
      </c>
      <c r="E2315" s="116">
        <v>2170.0500000000002</v>
      </c>
      <c r="F2315" s="116">
        <v>2153.15</v>
      </c>
      <c r="G2315">
        <v>2424</v>
      </c>
      <c r="H2315" s="116"/>
      <c r="I2315" s="116"/>
      <c r="L2315" s="169">
        <v>45415</v>
      </c>
      <c r="M2315" s="116">
        <v>2153.4499999999998</v>
      </c>
      <c r="N2315" s="116">
        <v>2205</v>
      </c>
      <c r="O2315" s="116">
        <v>2140.4</v>
      </c>
      <c r="P2315" s="116">
        <v>2187.35</v>
      </c>
      <c r="Q2315" s="116">
        <v>2153.4499999999998</v>
      </c>
      <c r="R2315">
        <v>46823</v>
      </c>
    </row>
    <row r="2316" spans="1:18" x14ac:dyDescent="0.25">
      <c r="A2316" s="169">
        <v>45418</v>
      </c>
      <c r="B2316" s="116">
        <v>2177.9499999999998</v>
      </c>
      <c r="C2316" s="116">
        <v>2125.75</v>
      </c>
      <c r="D2316" s="116">
        <v>2110.65</v>
      </c>
      <c r="E2316" s="116">
        <v>2153.5</v>
      </c>
      <c r="F2316" s="116">
        <v>2125.75</v>
      </c>
      <c r="G2316">
        <v>2733</v>
      </c>
      <c r="H2316" s="116"/>
      <c r="I2316" s="116"/>
      <c r="L2316" s="169">
        <v>45418</v>
      </c>
      <c r="M2316" s="116">
        <v>2127.0500000000002</v>
      </c>
      <c r="N2316" s="116">
        <v>2180</v>
      </c>
      <c r="O2316" s="116">
        <v>2111</v>
      </c>
      <c r="P2316" s="116">
        <v>2156.9</v>
      </c>
      <c r="Q2316" s="116">
        <v>2127.0500000000002</v>
      </c>
      <c r="R2316">
        <v>47629</v>
      </c>
    </row>
    <row r="2317" spans="1:18" x14ac:dyDescent="0.25">
      <c r="A2317" s="169">
        <v>45419</v>
      </c>
      <c r="B2317" s="116">
        <v>2166.5500000000002</v>
      </c>
      <c r="C2317" s="116">
        <v>2091.0500000000002</v>
      </c>
      <c r="D2317" s="116">
        <v>2075</v>
      </c>
      <c r="E2317" s="116">
        <v>2166.5500000000002</v>
      </c>
      <c r="F2317" s="116">
        <v>2091.0500000000002</v>
      </c>
      <c r="G2317">
        <v>1864</v>
      </c>
      <c r="H2317" s="116"/>
      <c r="I2317" s="116"/>
      <c r="L2317" s="169">
        <v>45419</v>
      </c>
      <c r="M2317" s="116">
        <v>2090.3000000000002</v>
      </c>
      <c r="N2317" s="116">
        <v>2141.1</v>
      </c>
      <c r="O2317" s="116">
        <v>2074.0500000000002</v>
      </c>
      <c r="P2317" s="116">
        <v>2130</v>
      </c>
      <c r="Q2317" s="116">
        <v>2090.3000000000002</v>
      </c>
      <c r="R2317">
        <v>48384</v>
      </c>
    </row>
    <row r="2318" spans="1:18" x14ac:dyDescent="0.25">
      <c r="A2318" s="169">
        <v>45420</v>
      </c>
      <c r="B2318" s="116">
        <v>2422.4499999999998</v>
      </c>
      <c r="C2318" s="116">
        <v>2299.0500000000002</v>
      </c>
      <c r="D2318" s="116">
        <v>2070.0500000000002</v>
      </c>
      <c r="E2318" s="116">
        <v>2090</v>
      </c>
      <c r="F2318" s="116">
        <v>2299.0500000000002</v>
      </c>
      <c r="G2318">
        <v>44079</v>
      </c>
      <c r="H2318" s="116"/>
      <c r="I2318" s="116"/>
      <c r="L2318" s="169">
        <v>45420</v>
      </c>
      <c r="M2318" s="116">
        <v>2296.9</v>
      </c>
      <c r="N2318" s="116">
        <v>2424</v>
      </c>
      <c r="O2318" s="116">
        <v>2070.3000000000002</v>
      </c>
      <c r="P2318" s="116">
        <v>2090.3000000000002</v>
      </c>
      <c r="Q2318" s="116">
        <v>2296.9</v>
      </c>
      <c r="R2318">
        <v>893083</v>
      </c>
    </row>
    <row r="2319" spans="1:18" x14ac:dyDescent="0.25">
      <c r="A2319" s="169">
        <v>45421</v>
      </c>
      <c r="B2319" s="116">
        <v>2309.65</v>
      </c>
      <c r="C2319" s="116">
        <v>2184.4499999999998</v>
      </c>
      <c r="D2319" s="116">
        <v>2171.85</v>
      </c>
      <c r="E2319" s="116">
        <v>2309.65</v>
      </c>
      <c r="F2319" s="116">
        <v>2184.4499999999998</v>
      </c>
      <c r="G2319">
        <v>24776</v>
      </c>
      <c r="H2319" s="116"/>
      <c r="I2319" s="116"/>
      <c r="L2319" s="169">
        <v>45421</v>
      </c>
      <c r="M2319" s="116">
        <v>2186.3000000000002</v>
      </c>
      <c r="N2319" s="116">
        <v>2300</v>
      </c>
      <c r="O2319" s="116">
        <v>2174.1</v>
      </c>
      <c r="P2319" s="116">
        <v>2300</v>
      </c>
      <c r="Q2319" s="116">
        <v>2186.3000000000002</v>
      </c>
      <c r="R2319">
        <v>205604</v>
      </c>
    </row>
    <row r="2320" spans="1:18" x14ac:dyDescent="0.25">
      <c r="A2320" s="169">
        <v>45422</v>
      </c>
      <c r="B2320" s="116">
        <v>2250.0500000000002</v>
      </c>
      <c r="C2320" s="116">
        <v>2191.0500000000002</v>
      </c>
      <c r="D2320" s="116">
        <v>2144</v>
      </c>
      <c r="E2320" s="116">
        <v>2185.0500000000002</v>
      </c>
      <c r="F2320" s="116">
        <v>2191.0500000000002</v>
      </c>
      <c r="G2320">
        <v>5807</v>
      </c>
      <c r="H2320" s="116"/>
      <c r="I2320" s="116"/>
      <c r="L2320" s="169">
        <v>45422</v>
      </c>
      <c r="M2320" s="116">
        <v>2185.5</v>
      </c>
      <c r="N2320" s="116">
        <v>2249.85</v>
      </c>
      <c r="O2320" s="116">
        <v>2141</v>
      </c>
      <c r="P2320" s="116">
        <v>2192.6999999999998</v>
      </c>
      <c r="Q2320" s="116">
        <v>2185.5</v>
      </c>
      <c r="R2320">
        <v>95496</v>
      </c>
    </row>
    <row r="2321" spans="1:18" x14ac:dyDescent="0.25">
      <c r="A2321" s="169">
        <v>45425</v>
      </c>
      <c r="B2321" s="116">
        <v>2216.0500000000002</v>
      </c>
      <c r="C2321" s="116">
        <v>2190.4</v>
      </c>
      <c r="D2321" s="116">
        <v>2140.8000000000002</v>
      </c>
      <c r="E2321" s="116">
        <v>2173.9499999999998</v>
      </c>
      <c r="F2321" s="116">
        <v>2190.4</v>
      </c>
      <c r="G2321">
        <v>10062</v>
      </c>
      <c r="H2321" s="116"/>
      <c r="I2321" s="116"/>
      <c r="L2321" s="169">
        <v>45425</v>
      </c>
      <c r="M2321" s="116">
        <v>2191.9499999999998</v>
      </c>
      <c r="N2321" s="116">
        <v>2220</v>
      </c>
      <c r="O2321" s="116">
        <v>2142.35</v>
      </c>
      <c r="P2321" s="116">
        <v>2150</v>
      </c>
      <c r="Q2321" s="116">
        <v>2191.9499999999998</v>
      </c>
      <c r="R2321">
        <v>80452</v>
      </c>
    </row>
    <row r="2322" spans="1:18" x14ac:dyDescent="0.25">
      <c r="A2322" s="169">
        <v>45426</v>
      </c>
      <c r="B2322" s="116">
        <v>2215.9499999999998</v>
      </c>
      <c r="C2322" s="116">
        <v>2154.8000000000002</v>
      </c>
      <c r="D2322" s="116">
        <v>2146.0500000000002</v>
      </c>
      <c r="E2322" s="116">
        <v>2212.65</v>
      </c>
      <c r="F2322" s="116">
        <v>2154.8000000000002</v>
      </c>
      <c r="G2322">
        <v>3096</v>
      </c>
      <c r="H2322" s="116"/>
      <c r="I2322" s="116"/>
      <c r="L2322" s="169">
        <v>45426</v>
      </c>
      <c r="M2322" s="116">
        <v>2156.5</v>
      </c>
      <c r="N2322" s="116">
        <v>2221.9</v>
      </c>
      <c r="O2322" s="116">
        <v>2145</v>
      </c>
      <c r="P2322" s="116">
        <v>2201.4</v>
      </c>
      <c r="Q2322" s="116">
        <v>2156.5</v>
      </c>
      <c r="R2322">
        <v>68465</v>
      </c>
    </row>
    <row r="2323" spans="1:18" x14ac:dyDescent="0.25">
      <c r="A2323" s="169">
        <v>45427</v>
      </c>
      <c r="B2323" s="116">
        <v>2214.4</v>
      </c>
      <c r="C2323" s="116">
        <v>2166.4</v>
      </c>
      <c r="D2323" s="116">
        <v>2156.5</v>
      </c>
      <c r="E2323" s="116">
        <v>2190.4</v>
      </c>
      <c r="F2323" s="116">
        <v>2166.4</v>
      </c>
      <c r="G2323">
        <v>2764</v>
      </c>
      <c r="H2323" s="116"/>
      <c r="I2323" s="116"/>
      <c r="L2323" s="169">
        <v>45427</v>
      </c>
      <c r="M2323" s="116">
        <v>2167.6</v>
      </c>
      <c r="N2323" s="116">
        <v>2219.9499999999998</v>
      </c>
      <c r="O2323" s="116">
        <v>2154</v>
      </c>
      <c r="P2323" s="116">
        <v>2161</v>
      </c>
      <c r="Q2323" s="116">
        <v>2167.6</v>
      </c>
      <c r="R2323">
        <v>55990</v>
      </c>
    </row>
    <row r="2324" spans="1:18" x14ac:dyDescent="0.25">
      <c r="A2324" s="169">
        <v>45428</v>
      </c>
      <c r="B2324" s="116">
        <v>2207.9499999999998</v>
      </c>
      <c r="C2324" s="116">
        <v>2181.6</v>
      </c>
      <c r="D2324" s="116">
        <v>2150.0500000000002</v>
      </c>
      <c r="E2324" s="116">
        <v>2150.0500000000002</v>
      </c>
      <c r="F2324" s="116">
        <v>2181.6</v>
      </c>
      <c r="G2324">
        <v>2495</v>
      </c>
      <c r="H2324" s="116"/>
      <c r="I2324" s="116"/>
      <c r="L2324" s="169">
        <v>45428</v>
      </c>
      <c r="M2324" s="116">
        <v>2179.4</v>
      </c>
      <c r="N2324" s="116">
        <v>2209</v>
      </c>
      <c r="O2324" s="116">
        <v>2170</v>
      </c>
      <c r="P2324" s="116">
        <v>2170.9499999999998</v>
      </c>
      <c r="Q2324" s="116">
        <v>2179.4</v>
      </c>
      <c r="R2324">
        <v>38179</v>
      </c>
    </row>
    <row r="2325" spans="1:18" x14ac:dyDescent="0.25">
      <c r="A2325" s="169">
        <v>45429</v>
      </c>
      <c r="B2325" s="116">
        <v>2230</v>
      </c>
      <c r="C2325" s="116">
        <v>2210.1</v>
      </c>
      <c r="D2325" s="116">
        <v>2176.6</v>
      </c>
      <c r="E2325" s="116">
        <v>2176.6</v>
      </c>
      <c r="F2325" s="116">
        <v>2210.1</v>
      </c>
      <c r="G2325">
        <v>5315</v>
      </c>
      <c r="H2325" s="116"/>
      <c r="I2325" s="116"/>
      <c r="L2325" s="169">
        <v>45429</v>
      </c>
      <c r="M2325" s="116">
        <v>2211.6</v>
      </c>
      <c r="N2325" s="116">
        <v>2232</v>
      </c>
      <c r="O2325" s="116">
        <v>2185.85</v>
      </c>
      <c r="P2325" s="116">
        <v>2189.9499999999998</v>
      </c>
      <c r="Q2325" s="116">
        <v>2211.6</v>
      </c>
      <c r="R2325">
        <v>39511</v>
      </c>
    </row>
    <row r="2326" spans="1:18" x14ac:dyDescent="0.25">
      <c r="A2326" s="169">
        <v>45430</v>
      </c>
      <c r="B2326" s="116">
        <v>2300</v>
      </c>
      <c r="C2326" s="116">
        <v>2280.5</v>
      </c>
      <c r="D2326" s="116">
        <v>2225</v>
      </c>
      <c r="E2326" s="116">
        <v>2225</v>
      </c>
      <c r="F2326" s="116">
        <v>2280.5</v>
      </c>
      <c r="G2326">
        <v>2499</v>
      </c>
      <c r="H2326" s="116"/>
      <c r="I2326" s="116"/>
      <c r="L2326" s="169">
        <v>45430</v>
      </c>
      <c r="M2326" s="116">
        <v>2277.3000000000002</v>
      </c>
      <c r="N2326" s="116">
        <v>2301</v>
      </c>
      <c r="O2326" s="116">
        <v>2193.1999999999998</v>
      </c>
      <c r="P2326" s="116">
        <v>2233</v>
      </c>
      <c r="Q2326" s="116">
        <v>2277.3000000000002</v>
      </c>
      <c r="R2326">
        <v>44182</v>
      </c>
    </row>
    <row r="2327" spans="1:18" x14ac:dyDescent="0.25">
      <c r="A2327" s="169">
        <v>45433</v>
      </c>
      <c r="B2327" s="116">
        <v>2293.6999999999998</v>
      </c>
      <c r="C2327" s="116">
        <v>2262.25</v>
      </c>
      <c r="D2327" s="116">
        <v>2242.15</v>
      </c>
      <c r="E2327" s="116">
        <v>2278.4</v>
      </c>
      <c r="F2327" s="116">
        <v>2262.25</v>
      </c>
      <c r="G2327">
        <v>8928</v>
      </c>
      <c r="H2327" s="116"/>
      <c r="I2327" s="116"/>
      <c r="L2327" s="169">
        <v>45433</v>
      </c>
      <c r="M2327" s="116">
        <v>2263.3000000000002</v>
      </c>
      <c r="N2327" s="116">
        <v>2292.9</v>
      </c>
      <c r="O2327" s="116">
        <v>2244</v>
      </c>
      <c r="P2327" s="116">
        <v>2277.3000000000002</v>
      </c>
      <c r="Q2327" s="116">
        <v>2263.3000000000002</v>
      </c>
      <c r="R2327">
        <v>49819</v>
      </c>
    </row>
    <row r="2328" spans="1:18" x14ac:dyDescent="0.25">
      <c r="A2328" s="169">
        <v>45434</v>
      </c>
      <c r="B2328" s="116">
        <v>2284.0500000000002</v>
      </c>
      <c r="C2328" s="116">
        <v>2240.25</v>
      </c>
      <c r="D2328" s="116">
        <v>2233</v>
      </c>
      <c r="E2328" s="116">
        <v>2262.25</v>
      </c>
      <c r="F2328" s="116">
        <v>2240.25</v>
      </c>
      <c r="G2328">
        <v>1524</v>
      </c>
      <c r="H2328" s="116"/>
      <c r="I2328" s="116"/>
      <c r="L2328" s="169">
        <v>45434</v>
      </c>
      <c r="M2328" s="116">
        <v>2238.35</v>
      </c>
      <c r="N2328" s="116">
        <v>2285.9499999999998</v>
      </c>
      <c r="O2328" s="116">
        <v>2230</v>
      </c>
      <c r="P2328" s="116">
        <v>2263.3000000000002</v>
      </c>
      <c r="Q2328" s="116">
        <v>2238.35</v>
      </c>
      <c r="R2328">
        <v>34326</v>
      </c>
    </row>
    <row r="2329" spans="1:18" x14ac:dyDescent="0.25">
      <c r="A2329" s="169">
        <v>45435</v>
      </c>
      <c r="B2329" s="116">
        <v>2273.9499999999998</v>
      </c>
      <c r="C2329" s="116">
        <v>2214.25</v>
      </c>
      <c r="D2329" s="116">
        <v>2204.75</v>
      </c>
      <c r="E2329" s="116">
        <v>2250</v>
      </c>
      <c r="F2329" s="116">
        <v>2214.25</v>
      </c>
      <c r="G2329">
        <v>6404</v>
      </c>
      <c r="H2329" s="116"/>
      <c r="I2329" s="116"/>
      <c r="L2329" s="169">
        <v>45435</v>
      </c>
      <c r="M2329" s="116">
        <v>2213.35</v>
      </c>
      <c r="N2329" s="116">
        <v>2278.9499999999998</v>
      </c>
      <c r="O2329" s="116">
        <v>2210</v>
      </c>
      <c r="P2329" s="116">
        <v>2260</v>
      </c>
      <c r="Q2329" s="116">
        <v>2213.35</v>
      </c>
      <c r="R2329">
        <v>28729</v>
      </c>
    </row>
    <row r="2330" spans="1:18" x14ac:dyDescent="0.25">
      <c r="A2330" s="169">
        <v>45436</v>
      </c>
      <c r="B2330" s="116">
        <v>2253.9499999999998</v>
      </c>
      <c r="C2330" s="116">
        <v>2190.85</v>
      </c>
      <c r="D2330" s="116">
        <v>2182.0500000000002</v>
      </c>
      <c r="E2330" s="116">
        <v>2216.0500000000002</v>
      </c>
      <c r="F2330" s="116">
        <v>2190.85</v>
      </c>
      <c r="G2330">
        <v>7643</v>
      </c>
      <c r="H2330" s="116"/>
      <c r="I2330" s="116"/>
      <c r="L2330" s="169">
        <v>45436</v>
      </c>
      <c r="M2330" s="116">
        <v>2191.3000000000002</v>
      </c>
      <c r="N2330" s="116">
        <v>2253.4499999999998</v>
      </c>
      <c r="O2330" s="116">
        <v>2185.1</v>
      </c>
      <c r="P2330" s="116">
        <v>2230.5500000000002</v>
      </c>
      <c r="Q2330" s="116">
        <v>2191.3000000000002</v>
      </c>
      <c r="R2330">
        <v>36559</v>
      </c>
    </row>
    <row r="2331" spans="1:18" x14ac:dyDescent="0.25">
      <c r="A2331" s="169">
        <v>45439</v>
      </c>
      <c r="B2331" s="116">
        <v>2199.65</v>
      </c>
      <c r="C2331" s="116">
        <v>2175.9</v>
      </c>
      <c r="D2331" s="116">
        <v>2164</v>
      </c>
      <c r="E2331" s="116">
        <v>2164</v>
      </c>
      <c r="F2331" s="116">
        <v>2175.9</v>
      </c>
      <c r="G2331">
        <v>2098</v>
      </c>
      <c r="H2331" s="116"/>
      <c r="I2331" s="116"/>
      <c r="L2331" s="169">
        <v>45439</v>
      </c>
      <c r="M2331" s="116">
        <v>2176.9</v>
      </c>
      <c r="N2331" s="116">
        <v>2200.5</v>
      </c>
      <c r="O2331" s="116">
        <v>2165</v>
      </c>
      <c r="P2331" s="116">
        <v>2191.3000000000002</v>
      </c>
      <c r="Q2331" s="116">
        <v>2176.9</v>
      </c>
      <c r="R2331">
        <v>28466</v>
      </c>
    </row>
    <row r="2332" spans="1:18" x14ac:dyDescent="0.25">
      <c r="A2332" s="169">
        <v>45440</v>
      </c>
      <c r="B2332" s="116">
        <v>2203.9499999999998</v>
      </c>
      <c r="C2332" s="116">
        <v>2144.85</v>
      </c>
      <c r="D2332" s="116">
        <v>2135.4499999999998</v>
      </c>
      <c r="E2332" s="116">
        <v>2175</v>
      </c>
      <c r="F2332" s="116">
        <v>2144.85</v>
      </c>
      <c r="G2332">
        <v>2597</v>
      </c>
      <c r="H2332" s="116"/>
      <c r="I2332" s="116"/>
      <c r="L2332" s="169">
        <v>45440</v>
      </c>
      <c r="M2332" s="116">
        <v>2146.15</v>
      </c>
      <c r="N2332" s="116">
        <v>2204.8000000000002</v>
      </c>
      <c r="O2332" s="116">
        <v>2135.5</v>
      </c>
      <c r="P2332" s="116">
        <v>2185</v>
      </c>
      <c r="Q2332" s="116">
        <v>2146.15</v>
      </c>
      <c r="R2332">
        <v>38512</v>
      </c>
    </row>
    <row r="2333" spans="1:18" x14ac:dyDescent="0.25">
      <c r="A2333" s="169">
        <v>45441</v>
      </c>
      <c r="B2333" s="116">
        <v>2176.4499999999998</v>
      </c>
      <c r="C2333" s="116">
        <v>2154.6</v>
      </c>
      <c r="D2333" s="116">
        <v>2140</v>
      </c>
      <c r="E2333" s="116">
        <v>2140</v>
      </c>
      <c r="F2333" s="116">
        <v>2154.6</v>
      </c>
      <c r="G2333">
        <v>2520</v>
      </c>
      <c r="H2333" s="116"/>
      <c r="I2333" s="116"/>
      <c r="L2333" s="169">
        <v>45441</v>
      </c>
      <c r="M2333" s="116">
        <v>2151.3000000000002</v>
      </c>
      <c r="N2333" s="116">
        <v>2178.6</v>
      </c>
      <c r="O2333" s="116">
        <v>2138</v>
      </c>
      <c r="P2333" s="116">
        <v>2160</v>
      </c>
      <c r="Q2333" s="116">
        <v>2151.3000000000002</v>
      </c>
      <c r="R2333">
        <v>26502</v>
      </c>
    </row>
    <row r="2334" spans="1:18" x14ac:dyDescent="0.25">
      <c r="A2334" s="169">
        <v>45442</v>
      </c>
      <c r="B2334" s="116">
        <v>2157.9</v>
      </c>
      <c r="C2334" s="116">
        <v>2111.35</v>
      </c>
      <c r="D2334" s="116">
        <v>2108</v>
      </c>
      <c r="E2334" s="116">
        <v>2115.0500000000002</v>
      </c>
      <c r="F2334" s="116">
        <v>2111.35</v>
      </c>
      <c r="G2334">
        <v>6209</v>
      </c>
      <c r="H2334" s="116"/>
      <c r="I2334" s="116"/>
      <c r="L2334" s="169">
        <v>45442</v>
      </c>
      <c r="M2334" s="116">
        <v>2112</v>
      </c>
      <c r="N2334" s="116">
        <v>2165</v>
      </c>
      <c r="O2334" s="116">
        <v>2108.65</v>
      </c>
      <c r="P2334" s="116">
        <v>2150.8000000000002</v>
      </c>
      <c r="Q2334" s="116">
        <v>2112</v>
      </c>
      <c r="R2334">
        <v>23252</v>
      </c>
    </row>
    <row r="2335" spans="1:18" x14ac:dyDescent="0.25">
      <c r="A2335" s="169">
        <v>45443</v>
      </c>
      <c r="B2335" s="116">
        <v>2150</v>
      </c>
      <c r="C2335" s="116">
        <v>2090.9</v>
      </c>
      <c r="D2335" s="116">
        <v>2081</v>
      </c>
      <c r="E2335" s="116">
        <v>2150</v>
      </c>
      <c r="F2335" s="116">
        <v>2090.9</v>
      </c>
      <c r="G2335">
        <v>2373</v>
      </c>
      <c r="H2335" s="116"/>
      <c r="I2335" s="116"/>
      <c r="L2335" s="169">
        <v>45443</v>
      </c>
      <c r="M2335" s="116">
        <v>2093.25</v>
      </c>
      <c r="N2335" s="116">
        <v>2133.9</v>
      </c>
      <c r="O2335" s="116">
        <v>2081.3000000000002</v>
      </c>
      <c r="P2335" s="116">
        <v>2129</v>
      </c>
      <c r="Q2335" s="116">
        <v>2093.25</v>
      </c>
      <c r="R2335">
        <v>49095</v>
      </c>
    </row>
    <row r="2336" spans="1:18" x14ac:dyDescent="0.25">
      <c r="A2336" s="169">
        <v>45446</v>
      </c>
      <c r="B2336" s="116">
        <v>2144.5500000000002</v>
      </c>
      <c r="C2336" s="116">
        <v>2100.9499999999998</v>
      </c>
      <c r="D2336" s="116">
        <v>2091.3000000000002</v>
      </c>
      <c r="E2336" s="116">
        <v>2100</v>
      </c>
      <c r="F2336" s="116">
        <v>2100.9499999999998</v>
      </c>
      <c r="G2336">
        <v>2404</v>
      </c>
      <c r="H2336" s="116"/>
      <c r="I2336" s="116"/>
      <c r="L2336" s="169">
        <v>45446</v>
      </c>
      <c r="M2336" s="116">
        <v>2099.9499999999998</v>
      </c>
      <c r="N2336" s="116">
        <v>2168.9499999999998</v>
      </c>
      <c r="O2336" s="116">
        <v>2090.6</v>
      </c>
      <c r="P2336" s="116">
        <v>2139</v>
      </c>
      <c r="Q2336" s="116">
        <v>2099.9499999999998</v>
      </c>
      <c r="R2336">
        <v>44299</v>
      </c>
    </row>
    <row r="2337" spans="1:18" x14ac:dyDescent="0.25">
      <c r="A2337" s="169">
        <v>45447</v>
      </c>
      <c r="B2337" s="116">
        <v>2115</v>
      </c>
      <c r="C2337" s="116">
        <v>2044.8</v>
      </c>
      <c r="D2337" s="116">
        <v>1965.05</v>
      </c>
      <c r="E2337" s="116">
        <v>2095.0500000000002</v>
      </c>
      <c r="F2337" s="116">
        <v>2044.8</v>
      </c>
      <c r="G2337">
        <v>19853</v>
      </c>
      <c r="H2337" s="116"/>
      <c r="I2337" s="116"/>
      <c r="L2337" s="169">
        <v>45447</v>
      </c>
      <c r="M2337" s="116">
        <v>2045.25</v>
      </c>
      <c r="N2337" s="116">
        <v>2119.5500000000002</v>
      </c>
      <c r="O2337" s="116">
        <v>1960</v>
      </c>
      <c r="P2337" s="116">
        <v>2099.9499999999998</v>
      </c>
      <c r="Q2337" s="116">
        <v>2045.25</v>
      </c>
      <c r="R2337">
        <v>88471</v>
      </c>
    </row>
    <row r="2338" spans="1:18" x14ac:dyDescent="0.25">
      <c r="A2338" s="169">
        <v>45448</v>
      </c>
      <c r="B2338" s="116">
        <v>2120.0500000000002</v>
      </c>
      <c r="C2338" s="116">
        <v>2110.15</v>
      </c>
      <c r="D2338" s="116">
        <v>2044.8</v>
      </c>
      <c r="E2338" s="116">
        <v>2044.8</v>
      </c>
      <c r="F2338" s="116">
        <v>2110.15</v>
      </c>
      <c r="G2338">
        <v>1462</v>
      </c>
      <c r="H2338" s="116"/>
      <c r="I2338" s="116"/>
      <c r="L2338" s="169">
        <v>45448</v>
      </c>
      <c r="M2338" s="116">
        <v>2109.1</v>
      </c>
      <c r="N2338" s="116">
        <v>2140</v>
      </c>
      <c r="O2338" s="116">
        <v>2041.55</v>
      </c>
      <c r="P2338" s="116">
        <v>2046</v>
      </c>
      <c r="Q2338" s="116">
        <v>2109.1</v>
      </c>
      <c r="R2338">
        <v>40977</v>
      </c>
    </row>
    <row r="2339" spans="1:18" x14ac:dyDescent="0.25">
      <c r="A2339" s="169">
        <v>45449</v>
      </c>
      <c r="B2339" s="116">
        <v>2144.9499999999998</v>
      </c>
      <c r="C2339" s="116">
        <v>2124.5</v>
      </c>
      <c r="D2339" s="116">
        <v>2115.1</v>
      </c>
      <c r="E2339" s="116">
        <v>2115.1</v>
      </c>
      <c r="F2339" s="116">
        <v>2124.5</v>
      </c>
      <c r="G2339">
        <v>5953</v>
      </c>
      <c r="H2339" s="116"/>
      <c r="I2339" s="116"/>
      <c r="L2339" s="169">
        <v>45449</v>
      </c>
      <c r="M2339" s="116">
        <v>2124.65</v>
      </c>
      <c r="N2339" s="116">
        <v>2149.4499999999998</v>
      </c>
      <c r="O2339" s="116">
        <v>2118.1999999999998</v>
      </c>
      <c r="P2339" s="116">
        <v>2140</v>
      </c>
      <c r="Q2339" s="116">
        <v>2124.65</v>
      </c>
      <c r="R2339">
        <v>21629</v>
      </c>
    </row>
    <row r="2340" spans="1:18" x14ac:dyDescent="0.25">
      <c r="A2340" s="169">
        <v>45450</v>
      </c>
      <c r="B2340" s="116">
        <v>2180.9</v>
      </c>
      <c r="C2340" s="116">
        <v>2152</v>
      </c>
      <c r="D2340" s="116">
        <v>2131.65</v>
      </c>
      <c r="E2340" s="116">
        <v>2142</v>
      </c>
      <c r="F2340" s="116">
        <v>2152</v>
      </c>
      <c r="G2340">
        <v>13490</v>
      </c>
      <c r="H2340" s="116"/>
      <c r="I2340" s="116"/>
      <c r="L2340" s="169">
        <v>45450</v>
      </c>
      <c r="M2340" s="116">
        <v>2153.75</v>
      </c>
      <c r="N2340" s="116">
        <v>2185</v>
      </c>
      <c r="O2340" s="116">
        <v>2124.6999999999998</v>
      </c>
      <c r="P2340" s="116">
        <v>2136.1</v>
      </c>
      <c r="Q2340" s="116">
        <v>2153.75</v>
      </c>
      <c r="R2340">
        <v>64209</v>
      </c>
    </row>
    <row r="2341" spans="1:18" x14ac:dyDescent="0.25">
      <c r="A2341" s="169">
        <v>45453</v>
      </c>
      <c r="B2341" s="116">
        <v>2212.1999999999998</v>
      </c>
      <c r="C2341" s="116">
        <v>2183</v>
      </c>
      <c r="D2341" s="116">
        <v>2160.1</v>
      </c>
      <c r="E2341" s="116">
        <v>2170</v>
      </c>
      <c r="F2341" s="116">
        <v>2183</v>
      </c>
      <c r="G2341">
        <v>3478</v>
      </c>
      <c r="H2341" s="116"/>
      <c r="I2341" s="116"/>
      <c r="L2341" s="169">
        <v>45453</v>
      </c>
      <c r="M2341" s="116">
        <v>2182.8000000000002</v>
      </c>
      <c r="N2341" s="116">
        <v>2218.65</v>
      </c>
      <c r="O2341" s="116">
        <v>2160.25</v>
      </c>
      <c r="P2341" s="116">
        <v>2170.9499999999998</v>
      </c>
      <c r="Q2341" s="116">
        <v>2182.8000000000002</v>
      </c>
      <c r="R2341">
        <v>51905</v>
      </c>
    </row>
    <row r="2342" spans="1:18" x14ac:dyDescent="0.25">
      <c r="A2342" s="169">
        <v>45454</v>
      </c>
      <c r="B2342" s="116">
        <v>2217.0500000000002</v>
      </c>
      <c r="C2342" s="116">
        <v>2199.9499999999998</v>
      </c>
      <c r="D2342" s="116">
        <v>2183.0500000000002</v>
      </c>
      <c r="E2342" s="116">
        <v>2209.9499999999998</v>
      </c>
      <c r="F2342" s="116">
        <v>2199.9499999999998</v>
      </c>
      <c r="G2342">
        <v>7517</v>
      </c>
      <c r="H2342" s="116"/>
      <c r="I2342" s="116"/>
      <c r="L2342" s="169">
        <v>45454</v>
      </c>
      <c r="M2342" s="116">
        <v>2199.9</v>
      </c>
      <c r="N2342" s="116">
        <v>2225</v>
      </c>
      <c r="O2342" s="116">
        <v>2183.15</v>
      </c>
      <c r="P2342" s="116">
        <v>2199.9499999999998</v>
      </c>
      <c r="Q2342" s="116">
        <v>2199.9</v>
      </c>
      <c r="R2342">
        <v>29504</v>
      </c>
    </row>
    <row r="2343" spans="1:18" x14ac:dyDescent="0.25">
      <c r="A2343" s="169">
        <v>45455</v>
      </c>
      <c r="B2343" s="116">
        <v>2213.1</v>
      </c>
      <c r="C2343" s="116">
        <v>2184.0500000000002</v>
      </c>
      <c r="D2343" s="116">
        <v>2179.6</v>
      </c>
      <c r="E2343" s="116">
        <v>2182</v>
      </c>
      <c r="F2343" s="116">
        <v>2184.0500000000002</v>
      </c>
      <c r="G2343">
        <v>11270</v>
      </c>
      <c r="H2343" s="116"/>
      <c r="I2343" s="116"/>
      <c r="L2343" s="169">
        <v>45455</v>
      </c>
      <c r="M2343" s="116">
        <v>2188.4499999999998</v>
      </c>
      <c r="N2343" s="116">
        <v>2220.9</v>
      </c>
      <c r="O2343" s="116">
        <v>2180</v>
      </c>
      <c r="P2343" s="116">
        <v>2203</v>
      </c>
      <c r="Q2343" s="116">
        <v>2188.4499999999998</v>
      </c>
      <c r="R2343">
        <v>35635</v>
      </c>
    </row>
    <row r="2344" spans="1:18" x14ac:dyDescent="0.25">
      <c r="A2344" s="169">
        <v>45456</v>
      </c>
      <c r="B2344" s="116">
        <v>2250</v>
      </c>
      <c r="C2344" s="116">
        <v>2246.85</v>
      </c>
      <c r="D2344" s="116">
        <v>2183.35</v>
      </c>
      <c r="E2344" s="116">
        <v>2193.75</v>
      </c>
      <c r="F2344" s="116">
        <v>2246.85</v>
      </c>
      <c r="G2344">
        <v>4637</v>
      </c>
      <c r="H2344" s="116"/>
      <c r="I2344" s="116"/>
      <c r="L2344" s="169">
        <v>45456</v>
      </c>
      <c r="M2344" s="116">
        <v>2245.9</v>
      </c>
      <c r="N2344" s="116">
        <v>2250</v>
      </c>
      <c r="O2344" s="116">
        <v>2180</v>
      </c>
      <c r="P2344" s="116">
        <v>2195</v>
      </c>
      <c r="Q2344" s="116">
        <v>2245.9</v>
      </c>
      <c r="R2344">
        <v>86699</v>
      </c>
    </row>
    <row r="2345" spans="1:18" x14ac:dyDescent="0.25">
      <c r="A2345" s="169">
        <v>45457</v>
      </c>
      <c r="B2345" s="116">
        <v>2266.9499999999998</v>
      </c>
      <c r="C2345" s="116">
        <v>2222.6</v>
      </c>
      <c r="D2345" s="116">
        <v>2217.5</v>
      </c>
      <c r="E2345" s="116">
        <v>2253.4</v>
      </c>
      <c r="F2345" s="116">
        <v>2222.6</v>
      </c>
      <c r="G2345">
        <v>8631</v>
      </c>
      <c r="H2345" s="116"/>
      <c r="I2345" s="116"/>
      <c r="L2345" s="169">
        <v>45457</v>
      </c>
      <c r="M2345" s="116">
        <v>2224.25</v>
      </c>
      <c r="N2345" s="116">
        <v>2267.5</v>
      </c>
      <c r="O2345" s="116">
        <v>2220</v>
      </c>
      <c r="P2345" s="116">
        <v>2250</v>
      </c>
      <c r="Q2345" s="116">
        <v>2224.25</v>
      </c>
      <c r="R2345">
        <v>51172</v>
      </c>
    </row>
    <row r="2346" spans="1:18" x14ac:dyDescent="0.25">
      <c r="A2346" s="169">
        <v>45461</v>
      </c>
      <c r="B2346" s="116">
        <v>2281</v>
      </c>
      <c r="C2346" s="116">
        <v>2246.1</v>
      </c>
      <c r="D2346" s="116">
        <v>2211.15</v>
      </c>
      <c r="E2346" s="116">
        <v>2218</v>
      </c>
      <c r="F2346" s="116">
        <v>2246.1</v>
      </c>
      <c r="G2346">
        <v>4797</v>
      </c>
      <c r="H2346" s="116"/>
      <c r="I2346" s="116"/>
      <c r="L2346" s="169">
        <v>45461</v>
      </c>
      <c r="M2346" s="116">
        <v>2246.9</v>
      </c>
      <c r="N2346" s="116">
        <v>2299.75</v>
      </c>
      <c r="O2346" s="116">
        <v>2214.9</v>
      </c>
      <c r="P2346" s="116">
        <v>2225</v>
      </c>
      <c r="Q2346" s="116">
        <v>2246.9</v>
      </c>
      <c r="R2346">
        <v>90979</v>
      </c>
    </row>
    <row r="2347" spans="1:18" x14ac:dyDescent="0.25">
      <c r="A2347" s="169">
        <v>45462</v>
      </c>
      <c r="B2347" s="116">
        <v>2288.9499999999998</v>
      </c>
      <c r="C2347" s="116">
        <v>2241.9499999999998</v>
      </c>
      <c r="D2347" s="116">
        <v>2218.35</v>
      </c>
      <c r="E2347" s="116">
        <v>2222.65</v>
      </c>
      <c r="F2347" s="116">
        <v>2241.9499999999998</v>
      </c>
      <c r="G2347">
        <v>4673</v>
      </c>
      <c r="H2347" s="116"/>
      <c r="I2347" s="116"/>
      <c r="L2347" s="169">
        <v>45462</v>
      </c>
      <c r="M2347" s="116">
        <v>2243.65</v>
      </c>
      <c r="N2347" s="116">
        <v>2289.85</v>
      </c>
      <c r="O2347" s="116">
        <v>2217</v>
      </c>
      <c r="P2347" s="116">
        <v>2260</v>
      </c>
      <c r="Q2347" s="116">
        <v>2243.65</v>
      </c>
      <c r="R2347">
        <v>105017</v>
      </c>
    </row>
    <row r="2348" spans="1:18" x14ac:dyDescent="0.25">
      <c r="A2348" s="169">
        <v>45463</v>
      </c>
      <c r="B2348" s="116">
        <v>2418.1999999999998</v>
      </c>
      <c r="C2348" s="116">
        <v>2398.15</v>
      </c>
      <c r="D2348" s="116">
        <v>2221</v>
      </c>
      <c r="E2348" s="116">
        <v>2221</v>
      </c>
      <c r="F2348" s="116">
        <v>2398.15</v>
      </c>
      <c r="G2348">
        <v>28622</v>
      </c>
      <c r="H2348" s="116"/>
      <c r="I2348" s="116"/>
      <c r="L2348" s="169">
        <v>45463</v>
      </c>
      <c r="M2348" s="116">
        <v>2397.4499999999998</v>
      </c>
      <c r="N2348" s="116">
        <v>2419</v>
      </c>
      <c r="O2348" s="116">
        <v>2234.4</v>
      </c>
      <c r="P2348" s="116">
        <v>2250</v>
      </c>
      <c r="Q2348" s="116">
        <v>2397.4499999999998</v>
      </c>
      <c r="R2348">
        <v>617614</v>
      </c>
    </row>
    <row r="2349" spans="1:18" x14ac:dyDescent="0.25">
      <c r="A2349" s="169">
        <v>45464</v>
      </c>
      <c r="B2349" s="116">
        <v>2508.5</v>
      </c>
      <c r="C2349" s="116">
        <v>2402</v>
      </c>
      <c r="D2349" s="116">
        <v>2359</v>
      </c>
      <c r="E2349" s="116">
        <v>2424</v>
      </c>
      <c r="F2349" s="116">
        <v>2402</v>
      </c>
      <c r="G2349">
        <v>46216</v>
      </c>
      <c r="H2349" s="116"/>
      <c r="I2349" s="116"/>
      <c r="L2349" s="169">
        <v>45464</v>
      </c>
      <c r="M2349" s="116">
        <v>2398.6</v>
      </c>
      <c r="N2349" s="116">
        <v>2507</v>
      </c>
      <c r="O2349" s="116">
        <v>2358.6999999999998</v>
      </c>
      <c r="P2349" s="116">
        <v>2425</v>
      </c>
      <c r="Q2349" s="116">
        <v>2398.6</v>
      </c>
      <c r="R2349">
        <v>381465</v>
      </c>
    </row>
    <row r="2350" spans="1:18" x14ac:dyDescent="0.25">
      <c r="A2350" s="169">
        <v>45467</v>
      </c>
      <c r="B2350" s="116">
        <v>2420</v>
      </c>
      <c r="C2350" s="116">
        <v>2356.85</v>
      </c>
      <c r="D2350" s="116">
        <v>2351.6999999999998</v>
      </c>
      <c r="E2350" s="116">
        <v>2400.0500000000002</v>
      </c>
      <c r="F2350" s="116">
        <v>2356.85</v>
      </c>
      <c r="G2350">
        <v>13911</v>
      </c>
      <c r="H2350" s="116"/>
      <c r="I2350" s="116"/>
      <c r="L2350" s="169">
        <v>45467</v>
      </c>
      <c r="M2350" s="116">
        <v>2357.4499999999998</v>
      </c>
      <c r="N2350" s="116">
        <v>2435</v>
      </c>
      <c r="O2350" s="116">
        <v>2351</v>
      </c>
      <c r="P2350" s="116">
        <v>2412</v>
      </c>
      <c r="Q2350" s="116">
        <v>2357.4499999999998</v>
      </c>
      <c r="R2350">
        <v>103043</v>
      </c>
    </row>
    <row r="2351" spans="1:18" x14ac:dyDescent="0.25">
      <c r="A2351" s="169">
        <v>45468</v>
      </c>
      <c r="B2351" s="116">
        <v>2374.9</v>
      </c>
      <c r="C2351" s="116">
        <v>2330.9499999999998</v>
      </c>
      <c r="D2351" s="116">
        <v>2321</v>
      </c>
      <c r="E2351" s="116">
        <v>2325</v>
      </c>
      <c r="F2351" s="116">
        <v>2330.9499999999998</v>
      </c>
      <c r="G2351">
        <v>4941</v>
      </c>
      <c r="H2351" s="116"/>
      <c r="I2351" s="116"/>
      <c r="L2351" s="169">
        <v>45468</v>
      </c>
      <c r="M2351" s="116">
        <v>2328.5500000000002</v>
      </c>
      <c r="N2351" s="116">
        <v>2373.15</v>
      </c>
      <c r="O2351" s="116">
        <v>2320</v>
      </c>
      <c r="P2351" s="116">
        <v>2360</v>
      </c>
      <c r="Q2351" s="116">
        <v>2328.5500000000002</v>
      </c>
      <c r="R2351">
        <v>62298</v>
      </c>
    </row>
    <row r="2352" spans="1:18" x14ac:dyDescent="0.25">
      <c r="A2352" s="169">
        <v>45469</v>
      </c>
      <c r="B2352" s="116">
        <v>2395</v>
      </c>
      <c r="C2352" s="116">
        <v>2328.9499999999998</v>
      </c>
      <c r="D2352" s="116">
        <v>2291.15</v>
      </c>
      <c r="E2352" s="116">
        <v>2344</v>
      </c>
      <c r="F2352" s="116">
        <v>2328.9499999999998</v>
      </c>
      <c r="G2352">
        <v>16311</v>
      </c>
      <c r="H2352" s="116"/>
      <c r="I2352" s="116"/>
      <c r="L2352" s="169">
        <v>45469</v>
      </c>
      <c r="M2352" s="116">
        <v>2324.5</v>
      </c>
      <c r="N2352" s="116">
        <v>2397.15</v>
      </c>
      <c r="O2352" s="116">
        <v>2266.25</v>
      </c>
      <c r="P2352" s="116">
        <v>2330</v>
      </c>
      <c r="Q2352" s="116">
        <v>2324.5</v>
      </c>
      <c r="R2352">
        <v>101695</v>
      </c>
    </row>
    <row r="2353" spans="1:18" x14ac:dyDescent="0.25">
      <c r="A2353" s="169">
        <v>45470</v>
      </c>
      <c r="B2353" s="116">
        <v>2379.9499999999998</v>
      </c>
      <c r="C2353" s="116">
        <v>2304.85</v>
      </c>
      <c r="D2353" s="116">
        <v>2298</v>
      </c>
      <c r="E2353" s="116">
        <v>2360</v>
      </c>
      <c r="F2353" s="116">
        <v>2304.85</v>
      </c>
      <c r="G2353">
        <v>11678</v>
      </c>
      <c r="H2353" s="116"/>
      <c r="I2353" s="116"/>
      <c r="L2353" s="169">
        <v>45470</v>
      </c>
      <c r="M2353" s="116">
        <v>2304.85</v>
      </c>
      <c r="N2353" s="116">
        <v>2382.1999999999998</v>
      </c>
      <c r="O2353" s="116">
        <v>2295.35</v>
      </c>
      <c r="P2353" s="116">
        <v>2324.5</v>
      </c>
      <c r="Q2353" s="116">
        <v>2304.85</v>
      </c>
      <c r="R2353">
        <v>81805</v>
      </c>
    </row>
    <row r="2354" spans="1:18" x14ac:dyDescent="0.25">
      <c r="A2354" s="169">
        <v>45471</v>
      </c>
      <c r="B2354" s="116">
        <v>2328.9499999999998</v>
      </c>
      <c r="C2354" s="116">
        <v>2290.65</v>
      </c>
      <c r="D2354" s="116">
        <v>2275.0500000000002</v>
      </c>
      <c r="E2354" s="116">
        <v>2328.9499999999998</v>
      </c>
      <c r="F2354" s="116">
        <v>2290.65</v>
      </c>
      <c r="G2354">
        <v>7609</v>
      </c>
      <c r="H2354" s="116"/>
      <c r="I2354" s="116"/>
      <c r="L2354" s="169">
        <v>45471</v>
      </c>
      <c r="M2354" s="116">
        <v>2289.5500000000002</v>
      </c>
      <c r="N2354" s="116">
        <v>2326.65</v>
      </c>
      <c r="O2354" s="116">
        <v>2275</v>
      </c>
      <c r="P2354" s="116">
        <v>2305</v>
      </c>
      <c r="Q2354" s="116">
        <v>2289.5500000000002</v>
      </c>
      <c r="R2354">
        <v>47778</v>
      </c>
    </row>
    <row r="2355" spans="1:18" x14ac:dyDescent="0.25">
      <c r="A2355" s="169">
        <v>45474</v>
      </c>
      <c r="B2355" s="116">
        <v>2399</v>
      </c>
      <c r="C2355" s="116">
        <v>2371.4</v>
      </c>
      <c r="D2355" s="116">
        <v>2290</v>
      </c>
      <c r="E2355" s="116">
        <v>2310</v>
      </c>
      <c r="F2355" s="116">
        <v>2371.4</v>
      </c>
      <c r="G2355">
        <v>15122</v>
      </c>
      <c r="H2355" s="116"/>
      <c r="I2355" s="116"/>
      <c r="L2355" s="169">
        <v>45474</v>
      </c>
      <c r="M2355" s="116">
        <v>2372.0500000000002</v>
      </c>
      <c r="N2355" s="116">
        <v>2400</v>
      </c>
      <c r="O2355" s="116">
        <v>2289.6</v>
      </c>
      <c r="P2355" s="116">
        <v>2300</v>
      </c>
      <c r="Q2355" s="116">
        <v>2372.0500000000002</v>
      </c>
      <c r="R2355">
        <v>113161</v>
      </c>
    </row>
    <row r="2356" spans="1:18" x14ac:dyDescent="0.25">
      <c r="A2356" s="169">
        <v>45475</v>
      </c>
      <c r="B2356" s="116">
        <v>2459.9499999999998</v>
      </c>
      <c r="C2356" s="116">
        <v>2424.5</v>
      </c>
      <c r="D2356" s="116">
        <v>2392.35</v>
      </c>
      <c r="E2356" s="116">
        <v>2395</v>
      </c>
      <c r="F2356" s="116">
        <v>2424.5</v>
      </c>
      <c r="G2356">
        <v>9283</v>
      </c>
      <c r="H2356" s="116"/>
      <c r="I2356" s="116"/>
      <c r="L2356" s="169">
        <v>45475</v>
      </c>
      <c r="M2356" s="116">
        <v>2421.8000000000002</v>
      </c>
      <c r="N2356" s="116">
        <v>2460</v>
      </c>
      <c r="O2356" s="116">
        <v>2390.0500000000002</v>
      </c>
      <c r="P2356" s="116">
        <v>2398.5</v>
      </c>
      <c r="Q2356" s="116">
        <v>2421.8000000000002</v>
      </c>
      <c r="R2356">
        <v>196281</v>
      </c>
    </row>
    <row r="2357" spans="1:18" x14ac:dyDescent="0.25">
      <c r="A2357" s="169">
        <v>45476</v>
      </c>
      <c r="B2357" s="116">
        <v>2448.3000000000002</v>
      </c>
      <c r="C2357" s="116">
        <v>2426.5</v>
      </c>
      <c r="D2357" s="116">
        <v>2401</v>
      </c>
      <c r="E2357" s="116">
        <v>2448.3000000000002</v>
      </c>
      <c r="F2357" s="116">
        <v>2426.5</v>
      </c>
      <c r="G2357">
        <v>10476</v>
      </c>
      <c r="H2357" s="116"/>
      <c r="I2357" s="116"/>
      <c r="L2357" s="169">
        <v>45476</v>
      </c>
      <c r="M2357" s="116">
        <v>2428.25</v>
      </c>
      <c r="N2357" s="116">
        <v>2448.8000000000002</v>
      </c>
      <c r="O2357" s="116">
        <v>2401.8000000000002</v>
      </c>
      <c r="P2357" s="116">
        <v>2436.8000000000002</v>
      </c>
      <c r="Q2357" s="116">
        <v>2428.25</v>
      </c>
      <c r="R2357">
        <v>65676</v>
      </c>
    </row>
    <row r="2358" spans="1:18" x14ac:dyDescent="0.25">
      <c r="A2358" s="169">
        <v>45477</v>
      </c>
      <c r="B2358" s="116">
        <v>2444.4499999999998</v>
      </c>
      <c r="C2358" s="116">
        <v>2406.6</v>
      </c>
      <c r="D2358" s="116">
        <v>2380.5500000000002</v>
      </c>
      <c r="E2358" s="116">
        <v>2426.5</v>
      </c>
      <c r="F2358" s="116">
        <v>2406.6</v>
      </c>
      <c r="G2358">
        <v>7827</v>
      </c>
      <c r="H2358" s="116"/>
      <c r="I2358" s="116"/>
      <c r="L2358" s="169">
        <v>45477</v>
      </c>
      <c r="M2358" s="116">
        <v>2407</v>
      </c>
      <c r="N2358" s="116">
        <v>2444.4</v>
      </c>
      <c r="O2358" s="116">
        <v>2380.1</v>
      </c>
      <c r="P2358" s="116">
        <v>2417.0500000000002</v>
      </c>
      <c r="Q2358" s="116">
        <v>2407</v>
      </c>
      <c r="R2358">
        <v>78435</v>
      </c>
    </row>
    <row r="2359" spans="1:18" x14ac:dyDescent="0.25">
      <c r="A2359" s="169">
        <v>45478</v>
      </c>
      <c r="B2359" s="116">
        <v>2450</v>
      </c>
      <c r="C2359" s="116">
        <v>2378.5</v>
      </c>
      <c r="D2359" s="116">
        <v>2373.25</v>
      </c>
      <c r="E2359" s="116">
        <v>2450</v>
      </c>
      <c r="F2359" s="116">
        <v>2378.5</v>
      </c>
      <c r="G2359">
        <v>8036</v>
      </c>
      <c r="H2359" s="116"/>
      <c r="I2359" s="116"/>
      <c r="L2359" s="169">
        <v>45478</v>
      </c>
      <c r="M2359" s="116">
        <v>2377.85</v>
      </c>
      <c r="N2359" s="116">
        <v>2428.9</v>
      </c>
      <c r="O2359" s="116">
        <v>2370.65</v>
      </c>
      <c r="P2359" s="116">
        <v>2428.9</v>
      </c>
      <c r="Q2359" s="116">
        <v>2377.85</v>
      </c>
      <c r="R2359">
        <v>70453</v>
      </c>
    </row>
    <row r="2360" spans="1:18" x14ac:dyDescent="0.25">
      <c r="A2360" s="169">
        <v>45481</v>
      </c>
      <c r="B2360" s="116">
        <v>2398</v>
      </c>
      <c r="C2360" s="116">
        <v>2330.6</v>
      </c>
      <c r="D2360" s="116">
        <v>2320.5500000000002</v>
      </c>
      <c r="E2360" s="116">
        <v>2380</v>
      </c>
      <c r="F2360" s="116">
        <v>2330.6</v>
      </c>
      <c r="G2360">
        <v>12715</v>
      </c>
      <c r="H2360" s="116"/>
      <c r="I2360" s="116"/>
      <c r="L2360" s="169">
        <v>45481</v>
      </c>
      <c r="M2360" s="116">
        <v>2330.75</v>
      </c>
      <c r="N2360" s="116">
        <v>2400</v>
      </c>
      <c r="O2360" s="116">
        <v>2322</v>
      </c>
      <c r="P2360" s="116">
        <v>2399.9499999999998</v>
      </c>
      <c r="Q2360" s="116">
        <v>2330.75</v>
      </c>
      <c r="R2360">
        <v>55530</v>
      </c>
    </row>
    <row r="2361" spans="1:18" x14ac:dyDescent="0.25">
      <c r="A2361" s="169">
        <v>45482</v>
      </c>
      <c r="B2361" s="116">
        <v>2362</v>
      </c>
      <c r="C2361" s="116">
        <v>2351.1999999999998</v>
      </c>
      <c r="D2361" s="116">
        <v>2313.9499999999998</v>
      </c>
      <c r="E2361" s="116">
        <v>2325</v>
      </c>
      <c r="F2361" s="116">
        <v>2351.1999999999998</v>
      </c>
      <c r="G2361">
        <v>8718</v>
      </c>
      <c r="H2361" s="116"/>
      <c r="I2361" s="116"/>
      <c r="L2361" s="169">
        <v>45482</v>
      </c>
      <c r="M2361" s="116">
        <v>2348.9</v>
      </c>
      <c r="N2361" s="116">
        <v>2364.9499999999998</v>
      </c>
      <c r="O2361" s="116">
        <v>2314</v>
      </c>
      <c r="P2361" s="116">
        <v>2338</v>
      </c>
      <c r="Q2361" s="116">
        <v>2348.9</v>
      </c>
      <c r="R2361">
        <v>57648</v>
      </c>
    </row>
    <row r="2362" spans="1:18" x14ac:dyDescent="0.25">
      <c r="A2362" s="169">
        <v>45483</v>
      </c>
      <c r="B2362" s="116">
        <v>2363.35</v>
      </c>
      <c r="C2362" s="116">
        <v>2324.6999999999998</v>
      </c>
      <c r="D2362" s="116">
        <v>2281.6999999999998</v>
      </c>
      <c r="E2362" s="116">
        <v>2350</v>
      </c>
      <c r="F2362" s="116">
        <v>2324.6999999999998</v>
      </c>
      <c r="G2362">
        <v>7767</v>
      </c>
      <c r="H2362" s="116"/>
      <c r="I2362" s="116"/>
      <c r="L2362" s="169">
        <v>45483</v>
      </c>
      <c r="M2362" s="116">
        <v>2323.9</v>
      </c>
      <c r="N2362" s="116">
        <v>2366.9499999999998</v>
      </c>
      <c r="O2362" s="116">
        <v>2280</v>
      </c>
      <c r="P2362" s="116">
        <v>2360</v>
      </c>
      <c r="Q2362" s="116">
        <v>2323.9</v>
      </c>
      <c r="R2362">
        <v>47473</v>
      </c>
    </row>
    <row r="2363" spans="1:18" x14ac:dyDescent="0.25">
      <c r="A2363" s="169">
        <v>45484</v>
      </c>
      <c r="B2363" s="116">
        <v>2370.9499999999998</v>
      </c>
      <c r="C2363" s="116">
        <v>2325.35</v>
      </c>
      <c r="D2363" s="116">
        <v>2319.25</v>
      </c>
      <c r="E2363" s="116">
        <v>2370.9499999999998</v>
      </c>
      <c r="F2363" s="116">
        <v>2325.35</v>
      </c>
      <c r="G2363">
        <v>12062</v>
      </c>
      <c r="H2363" s="116"/>
      <c r="I2363" s="116"/>
      <c r="L2363" s="169">
        <v>45484</v>
      </c>
      <c r="M2363" s="116">
        <v>2326.15</v>
      </c>
      <c r="N2363" s="116">
        <v>2365</v>
      </c>
      <c r="O2363" s="116">
        <v>2320</v>
      </c>
      <c r="P2363" s="116">
        <v>2365</v>
      </c>
      <c r="Q2363" s="116">
        <v>2326.15</v>
      </c>
      <c r="R2363">
        <v>37807</v>
      </c>
    </row>
    <row r="2364" spans="1:18" x14ac:dyDescent="0.25">
      <c r="A2364" s="169">
        <v>45485</v>
      </c>
      <c r="B2364" s="116">
        <v>2420.4</v>
      </c>
      <c r="C2364" s="116">
        <v>2368.6</v>
      </c>
      <c r="D2364" s="116">
        <v>2325.4</v>
      </c>
      <c r="E2364" s="116">
        <v>2325.4</v>
      </c>
      <c r="F2364" s="116">
        <v>2368.6</v>
      </c>
      <c r="G2364">
        <v>5508</v>
      </c>
      <c r="H2364" s="116"/>
      <c r="I2364" s="116"/>
      <c r="L2364" s="169">
        <v>45485</v>
      </c>
      <c r="M2364" s="116">
        <v>2360.9499999999998</v>
      </c>
      <c r="N2364" s="116">
        <v>2420.85</v>
      </c>
      <c r="O2364" s="116">
        <v>2329.85</v>
      </c>
      <c r="P2364" s="116">
        <v>2329.85</v>
      </c>
      <c r="Q2364" s="116">
        <v>2360.9499999999998</v>
      </c>
      <c r="R2364">
        <v>112443</v>
      </c>
    </row>
    <row r="2365" spans="1:18" x14ac:dyDescent="0.25">
      <c r="A2365" s="169">
        <v>45488</v>
      </c>
      <c r="B2365" s="116">
        <v>2391.5</v>
      </c>
      <c r="C2365" s="116">
        <v>2378.3000000000002</v>
      </c>
      <c r="D2365" s="116">
        <v>2330.9499999999998</v>
      </c>
      <c r="E2365" s="116">
        <v>2379.6</v>
      </c>
      <c r="F2365" s="116">
        <v>2378.3000000000002</v>
      </c>
      <c r="G2365">
        <v>9981</v>
      </c>
      <c r="H2365" s="116"/>
      <c r="I2365" s="116"/>
      <c r="L2365" s="169">
        <v>45488</v>
      </c>
      <c r="M2365" s="116">
        <v>2378.3000000000002</v>
      </c>
      <c r="N2365" s="116">
        <v>2396</v>
      </c>
      <c r="O2365" s="116">
        <v>2331</v>
      </c>
      <c r="P2365" s="116">
        <v>2368</v>
      </c>
      <c r="Q2365" s="116">
        <v>2378.3000000000002</v>
      </c>
      <c r="R2365">
        <v>63300</v>
      </c>
    </row>
    <row r="2366" spans="1:18" x14ac:dyDescent="0.25">
      <c r="A2366" s="169">
        <v>45489</v>
      </c>
      <c r="B2366" s="116">
        <v>2425.4</v>
      </c>
      <c r="C2366" s="116">
        <v>2337.35</v>
      </c>
      <c r="D2366" s="116">
        <v>2323.8000000000002</v>
      </c>
      <c r="E2366" s="116">
        <v>2400</v>
      </c>
      <c r="F2366" s="116">
        <v>2337.35</v>
      </c>
      <c r="G2366">
        <v>11813</v>
      </c>
      <c r="H2366" s="116"/>
      <c r="I2366" s="116"/>
      <c r="L2366" s="169">
        <v>45489</v>
      </c>
      <c r="M2366" s="116">
        <v>2336.9499999999998</v>
      </c>
      <c r="N2366" s="116">
        <v>2430</v>
      </c>
      <c r="O2366" s="116">
        <v>2304</v>
      </c>
      <c r="P2366" s="116">
        <v>2399.4499999999998</v>
      </c>
      <c r="Q2366" s="116">
        <v>2336.9499999999998</v>
      </c>
      <c r="R2366">
        <v>90025</v>
      </c>
    </row>
    <row r="2367" spans="1:18" x14ac:dyDescent="0.25">
      <c r="A2367" s="169">
        <v>45491</v>
      </c>
      <c r="B2367" s="116">
        <v>2359.9499999999998</v>
      </c>
      <c r="C2367" s="116">
        <v>2315.0500000000002</v>
      </c>
      <c r="D2367" s="116">
        <v>2302.0500000000002</v>
      </c>
      <c r="E2367" s="116">
        <v>2359.9499999999998</v>
      </c>
      <c r="F2367" s="116">
        <v>2315.0500000000002</v>
      </c>
      <c r="G2367">
        <v>8806</v>
      </c>
      <c r="H2367" s="116"/>
      <c r="I2367" s="116"/>
      <c r="L2367" s="169">
        <v>45491</v>
      </c>
      <c r="M2367" s="116">
        <v>2317.4499999999998</v>
      </c>
      <c r="N2367" s="116">
        <v>2355.6999999999998</v>
      </c>
      <c r="O2367" s="116">
        <v>2304</v>
      </c>
      <c r="P2367" s="116">
        <v>2348.65</v>
      </c>
      <c r="Q2367" s="116">
        <v>2317.4499999999998</v>
      </c>
      <c r="R2367">
        <v>38472</v>
      </c>
    </row>
    <row r="2368" spans="1:18" x14ac:dyDescent="0.25">
      <c r="A2368" s="169">
        <v>45492</v>
      </c>
      <c r="B2368" s="116">
        <v>2328.65</v>
      </c>
      <c r="C2368" s="116">
        <v>2266.9499999999998</v>
      </c>
      <c r="D2368" s="116">
        <v>2250</v>
      </c>
      <c r="E2368" s="116">
        <v>2310.4499999999998</v>
      </c>
      <c r="F2368" s="116">
        <v>2266.9499999999998</v>
      </c>
      <c r="G2368">
        <v>7279</v>
      </c>
      <c r="H2368" s="116"/>
      <c r="I2368" s="116"/>
      <c r="L2368" s="169">
        <v>45492</v>
      </c>
      <c r="M2368" s="116">
        <v>2263.9499999999998</v>
      </c>
      <c r="N2368" s="116">
        <v>2345</v>
      </c>
      <c r="O2368" s="116">
        <v>2248</v>
      </c>
      <c r="P2368" s="116">
        <v>2329.9499999999998</v>
      </c>
      <c r="Q2368" s="116">
        <v>2263.9499999999998</v>
      </c>
      <c r="R2368">
        <v>49713</v>
      </c>
    </row>
    <row r="2369" spans="1:18" x14ac:dyDescent="0.25">
      <c r="A2369" s="169">
        <v>45495</v>
      </c>
      <c r="B2369" s="116">
        <v>2309.6999999999998</v>
      </c>
      <c r="C2369" s="116">
        <v>2279.1999999999998</v>
      </c>
      <c r="D2369" s="116">
        <v>2200</v>
      </c>
      <c r="E2369" s="116">
        <v>2242</v>
      </c>
      <c r="F2369" s="116">
        <v>2279.1999999999998</v>
      </c>
      <c r="G2369">
        <v>12965</v>
      </c>
      <c r="H2369" s="116"/>
      <c r="I2369" s="116"/>
      <c r="L2369" s="169">
        <v>45495</v>
      </c>
      <c r="M2369" s="116">
        <v>2279.5</v>
      </c>
      <c r="N2369" s="116">
        <v>2309.9499999999998</v>
      </c>
      <c r="O2369" s="116">
        <v>2173.4</v>
      </c>
      <c r="P2369" s="116">
        <v>2173.4</v>
      </c>
      <c r="Q2369" s="116">
        <v>2279.5</v>
      </c>
      <c r="R2369">
        <v>58359</v>
      </c>
    </row>
    <row r="2370" spans="1:18" x14ac:dyDescent="0.25">
      <c r="A2370" s="169">
        <v>45496</v>
      </c>
      <c r="B2370" s="116">
        <v>2317.6</v>
      </c>
      <c r="C2370" s="116">
        <v>2283</v>
      </c>
      <c r="D2370" s="116">
        <v>2199.9499999999998</v>
      </c>
      <c r="E2370" s="116">
        <v>2281.8000000000002</v>
      </c>
      <c r="F2370" s="116">
        <v>2283</v>
      </c>
      <c r="G2370">
        <v>5492</v>
      </c>
      <c r="H2370" s="116"/>
      <c r="I2370" s="116"/>
      <c r="L2370" s="169">
        <v>45496</v>
      </c>
      <c r="M2370" s="116">
        <v>2286.6</v>
      </c>
      <c r="N2370" s="116">
        <v>2322</v>
      </c>
      <c r="O2370" s="116">
        <v>2200</v>
      </c>
      <c r="P2370" s="116">
        <v>2262.0500000000002</v>
      </c>
      <c r="Q2370" s="116">
        <v>2286.6</v>
      </c>
      <c r="R2370">
        <v>73858</v>
      </c>
    </row>
    <row r="2371" spans="1:18" x14ac:dyDescent="0.25">
      <c r="A2371" s="169">
        <v>45497</v>
      </c>
      <c r="B2371" s="116">
        <v>2337.8000000000002</v>
      </c>
      <c r="C2371" s="116">
        <v>2290.1999999999998</v>
      </c>
      <c r="D2371" s="116">
        <v>2270</v>
      </c>
      <c r="E2371" s="116">
        <v>2294.1</v>
      </c>
      <c r="F2371" s="116">
        <v>2290.1999999999998</v>
      </c>
      <c r="G2371">
        <v>3294</v>
      </c>
      <c r="H2371" s="116"/>
      <c r="I2371" s="116"/>
      <c r="L2371" s="169">
        <v>45497</v>
      </c>
      <c r="M2371" s="116">
        <v>2290.3000000000002</v>
      </c>
      <c r="N2371" s="116">
        <v>2340</v>
      </c>
      <c r="O2371" s="116">
        <v>2262.35</v>
      </c>
      <c r="P2371" s="116">
        <v>2307</v>
      </c>
      <c r="Q2371" s="116">
        <v>2290.3000000000002</v>
      </c>
      <c r="R2371">
        <v>76416</v>
      </c>
    </row>
    <row r="2372" spans="1:18" x14ac:dyDescent="0.25">
      <c r="A2372" s="169">
        <v>45498</v>
      </c>
      <c r="B2372" s="116">
        <v>2305</v>
      </c>
      <c r="C2372" s="116">
        <v>2272.4499999999998</v>
      </c>
      <c r="D2372" s="116">
        <v>2260</v>
      </c>
      <c r="E2372" s="116">
        <v>2285</v>
      </c>
      <c r="F2372" s="116">
        <v>2272.4499999999998</v>
      </c>
      <c r="G2372">
        <v>2326</v>
      </c>
      <c r="H2372" s="116"/>
      <c r="I2372" s="116"/>
      <c r="L2372" s="169">
        <v>45498</v>
      </c>
      <c r="M2372" s="116">
        <v>2272.9499999999998</v>
      </c>
      <c r="N2372" s="116">
        <v>2307.25</v>
      </c>
      <c r="O2372" s="116">
        <v>2255.9499999999998</v>
      </c>
      <c r="P2372" s="116">
        <v>2255.9499999999998</v>
      </c>
      <c r="Q2372" s="116">
        <v>2272.9499999999998</v>
      </c>
      <c r="R2372">
        <v>33555</v>
      </c>
    </row>
    <row r="2373" spans="1:18" x14ac:dyDescent="0.25">
      <c r="A2373" s="169">
        <v>45499</v>
      </c>
      <c r="B2373" s="116">
        <v>2448.6</v>
      </c>
      <c r="C2373" s="116">
        <v>2370.25</v>
      </c>
      <c r="D2373" s="116">
        <v>2286.75</v>
      </c>
      <c r="E2373" s="116">
        <v>2289.9499999999998</v>
      </c>
      <c r="F2373" s="116">
        <v>2370.25</v>
      </c>
      <c r="G2373">
        <v>12779</v>
      </c>
      <c r="H2373" s="116"/>
      <c r="I2373" s="116"/>
      <c r="L2373" s="169">
        <v>45499</v>
      </c>
      <c r="M2373" s="116">
        <v>2368.6</v>
      </c>
      <c r="N2373" s="116">
        <v>2448</v>
      </c>
      <c r="O2373" s="116">
        <v>2284.4499999999998</v>
      </c>
      <c r="P2373" s="116">
        <v>2300</v>
      </c>
      <c r="Q2373" s="116">
        <v>2368.6</v>
      </c>
      <c r="R2373">
        <v>318694</v>
      </c>
    </row>
    <row r="2374" spans="1:18" x14ac:dyDescent="0.25">
      <c r="A2374" s="169">
        <v>45502</v>
      </c>
      <c r="B2374" s="116">
        <v>2488</v>
      </c>
      <c r="C2374" s="116">
        <v>2408.0500000000002</v>
      </c>
      <c r="D2374" s="116">
        <v>2391.9499999999998</v>
      </c>
      <c r="E2374" s="116">
        <v>2392</v>
      </c>
      <c r="F2374" s="116">
        <v>2408.0500000000002</v>
      </c>
      <c r="G2374">
        <v>23302</v>
      </c>
      <c r="H2374" s="116"/>
      <c r="I2374" s="116"/>
      <c r="L2374" s="169">
        <v>45502</v>
      </c>
      <c r="M2374" s="116">
        <v>2409.4</v>
      </c>
      <c r="N2374" s="116">
        <v>2488</v>
      </c>
      <c r="O2374" s="116">
        <v>2393.9499999999998</v>
      </c>
      <c r="P2374" s="116">
        <v>2394</v>
      </c>
      <c r="Q2374" s="116">
        <v>2409.4</v>
      </c>
      <c r="R2374">
        <v>165334</v>
      </c>
    </row>
    <row r="2375" spans="1:18" x14ac:dyDescent="0.25">
      <c r="A2375" s="169">
        <v>45503</v>
      </c>
      <c r="B2375" s="116">
        <v>2530</v>
      </c>
      <c r="C2375" s="116">
        <v>2466.35</v>
      </c>
      <c r="D2375" s="116">
        <v>2383.5</v>
      </c>
      <c r="E2375" s="116">
        <v>2434.35</v>
      </c>
      <c r="F2375" s="116">
        <v>2466.35</v>
      </c>
      <c r="G2375">
        <v>12201</v>
      </c>
      <c r="H2375" s="116"/>
      <c r="I2375" s="116"/>
      <c r="L2375" s="169">
        <v>45503</v>
      </c>
      <c r="M2375" s="116">
        <v>2462.5</v>
      </c>
      <c r="N2375" s="116">
        <v>2534</v>
      </c>
      <c r="O2375" s="116">
        <v>2384</v>
      </c>
      <c r="P2375" s="116">
        <v>2387</v>
      </c>
      <c r="Q2375" s="116">
        <v>2462.5</v>
      </c>
      <c r="R2375">
        <v>230088</v>
      </c>
    </row>
    <row r="2376" spans="1:18" x14ac:dyDescent="0.25">
      <c r="A2376" s="169">
        <v>45504</v>
      </c>
      <c r="B2376" s="116">
        <v>2509.85</v>
      </c>
      <c r="C2376" s="116">
        <v>2499.6</v>
      </c>
      <c r="D2376" s="116">
        <v>2445.1999999999998</v>
      </c>
      <c r="E2376" s="116">
        <v>2499</v>
      </c>
      <c r="F2376" s="116">
        <v>2499.6</v>
      </c>
      <c r="G2376">
        <v>19504</v>
      </c>
      <c r="H2376" s="116"/>
      <c r="I2376" s="116"/>
      <c r="L2376" s="169">
        <v>45504</v>
      </c>
      <c r="M2376" s="116">
        <v>2499.75</v>
      </c>
      <c r="N2376" s="116">
        <v>2509.9499999999998</v>
      </c>
      <c r="O2376" s="116">
        <v>2449.0500000000002</v>
      </c>
      <c r="P2376" s="116">
        <v>2485</v>
      </c>
      <c r="Q2376" s="116">
        <v>2499.75</v>
      </c>
      <c r="R2376">
        <v>129412</v>
      </c>
    </row>
    <row r="2377" spans="1:18" x14ac:dyDescent="0.25">
      <c r="A2377" s="169">
        <v>45505</v>
      </c>
      <c r="B2377" s="116">
        <v>2550.15</v>
      </c>
      <c r="C2377" s="116">
        <v>2463.15</v>
      </c>
      <c r="D2377" s="116">
        <v>2454.85</v>
      </c>
      <c r="E2377" s="116">
        <v>2514.35</v>
      </c>
      <c r="F2377" s="116">
        <v>2463.15</v>
      </c>
      <c r="G2377">
        <v>6654</v>
      </c>
      <c r="H2377" s="116"/>
      <c r="I2377" s="116"/>
      <c r="L2377" s="169">
        <v>45505</v>
      </c>
      <c r="M2377" s="116">
        <v>2462.25</v>
      </c>
      <c r="N2377" s="116">
        <v>2549.75</v>
      </c>
      <c r="O2377" s="116">
        <v>2451.0500000000002</v>
      </c>
      <c r="P2377" s="116">
        <v>2511.25</v>
      </c>
      <c r="Q2377" s="116">
        <v>2462.25</v>
      </c>
      <c r="R2377">
        <v>121989</v>
      </c>
    </row>
    <row r="2378" spans="1:18" x14ac:dyDescent="0.25">
      <c r="A2378" s="169">
        <v>45506</v>
      </c>
      <c r="B2378" s="116">
        <v>2478.35</v>
      </c>
      <c r="C2378" s="116">
        <v>2439.5</v>
      </c>
      <c r="D2378" s="116">
        <v>2411.6</v>
      </c>
      <c r="E2378" s="116">
        <v>2429.1</v>
      </c>
      <c r="F2378" s="116">
        <v>2439.5</v>
      </c>
      <c r="G2378">
        <v>9595</v>
      </c>
      <c r="H2378" s="116"/>
      <c r="I2378" s="116"/>
      <c r="L2378" s="169">
        <v>45506</v>
      </c>
      <c r="M2378" s="116">
        <v>2439.65</v>
      </c>
      <c r="N2378" s="116">
        <v>2480</v>
      </c>
      <c r="O2378" s="116">
        <v>2415.0500000000002</v>
      </c>
      <c r="P2378" s="116">
        <v>2448</v>
      </c>
      <c r="Q2378" s="116">
        <v>2439.65</v>
      </c>
      <c r="R2378">
        <v>66008</v>
      </c>
    </row>
    <row r="2379" spans="1:18" x14ac:dyDescent="0.25">
      <c r="A2379" s="169">
        <v>45509</v>
      </c>
      <c r="B2379" s="116">
        <v>2379.9499999999998</v>
      </c>
      <c r="C2379" s="116">
        <v>2287.4</v>
      </c>
      <c r="D2379" s="116">
        <v>2275.0500000000002</v>
      </c>
      <c r="E2379" s="116">
        <v>2379.9499999999998</v>
      </c>
      <c r="F2379" s="116">
        <v>2287.4</v>
      </c>
      <c r="G2379">
        <v>7219</v>
      </c>
      <c r="H2379" s="116"/>
      <c r="I2379" s="116"/>
      <c r="L2379" s="169">
        <v>45509</v>
      </c>
      <c r="M2379" s="116">
        <v>2283.4</v>
      </c>
      <c r="N2379" s="116">
        <v>2381.4</v>
      </c>
      <c r="O2379" s="116">
        <v>2275</v>
      </c>
      <c r="P2379" s="116">
        <v>2342.0500000000002</v>
      </c>
      <c r="Q2379" s="116">
        <v>2283.4</v>
      </c>
      <c r="R2379">
        <v>140417</v>
      </c>
    </row>
    <row r="2380" spans="1:18" x14ac:dyDescent="0.25">
      <c r="A2380" s="169">
        <v>45510</v>
      </c>
      <c r="B2380" s="116">
        <v>2375</v>
      </c>
      <c r="C2380" s="116">
        <v>2290.35</v>
      </c>
      <c r="D2380" s="116">
        <v>2277.85</v>
      </c>
      <c r="E2380" s="116">
        <v>2285.1</v>
      </c>
      <c r="F2380" s="116">
        <v>2290.35</v>
      </c>
      <c r="G2380">
        <v>13793</v>
      </c>
      <c r="H2380" s="116"/>
      <c r="I2380" s="116"/>
      <c r="L2380" s="169">
        <v>45510</v>
      </c>
      <c r="M2380" s="116">
        <v>2292.6</v>
      </c>
      <c r="N2380" s="116">
        <v>2375</v>
      </c>
      <c r="O2380" s="116">
        <v>2280.0500000000002</v>
      </c>
      <c r="P2380" s="116">
        <v>2299.9</v>
      </c>
      <c r="Q2380" s="116">
        <v>2292.6</v>
      </c>
      <c r="R2380">
        <v>72113</v>
      </c>
    </row>
    <row r="2381" spans="1:18" x14ac:dyDescent="0.25">
      <c r="A2381" s="169">
        <v>45511</v>
      </c>
      <c r="B2381" s="116">
        <v>2412.6</v>
      </c>
      <c r="C2381" s="116">
        <v>2392.5</v>
      </c>
      <c r="D2381" s="116">
        <v>2311.85</v>
      </c>
      <c r="E2381" s="116">
        <v>2345</v>
      </c>
      <c r="F2381" s="116">
        <v>2392.5</v>
      </c>
      <c r="G2381">
        <v>7225</v>
      </c>
      <c r="H2381" s="116"/>
      <c r="I2381" s="116"/>
      <c r="L2381" s="169">
        <v>45511</v>
      </c>
      <c r="M2381" s="116">
        <v>2388.65</v>
      </c>
      <c r="N2381" s="116">
        <v>2415</v>
      </c>
      <c r="O2381" s="116">
        <v>2309.5</v>
      </c>
      <c r="P2381" s="116">
        <v>2359</v>
      </c>
      <c r="Q2381" s="116">
        <v>2388.65</v>
      </c>
      <c r="R2381">
        <v>109995</v>
      </c>
    </row>
    <row r="2382" spans="1:18" x14ac:dyDescent="0.25">
      <c r="A2382" s="169">
        <v>45512</v>
      </c>
      <c r="B2382" s="116">
        <v>2320.1999999999998</v>
      </c>
      <c r="C2382" s="116">
        <v>2220.4</v>
      </c>
      <c r="D2382" s="116">
        <v>2210</v>
      </c>
      <c r="E2382" s="116">
        <v>2291</v>
      </c>
      <c r="F2382" s="116">
        <v>2220.4</v>
      </c>
      <c r="G2382">
        <v>41520</v>
      </c>
      <c r="H2382" s="116"/>
      <c r="I2382" s="116"/>
      <c r="L2382" s="169">
        <v>45512</v>
      </c>
      <c r="M2382" s="116">
        <v>2222.3000000000002</v>
      </c>
      <c r="N2382" s="116">
        <v>2319</v>
      </c>
      <c r="O2382" s="116">
        <v>2209</v>
      </c>
      <c r="P2382" s="116">
        <v>2286.9</v>
      </c>
      <c r="Q2382" s="116">
        <v>2222.3000000000002</v>
      </c>
      <c r="R2382">
        <v>377215</v>
      </c>
    </row>
    <row r="2383" spans="1:18" x14ac:dyDescent="0.25">
      <c r="A2383" s="169">
        <v>45513</v>
      </c>
      <c r="B2383" s="116">
        <v>2264.5500000000002</v>
      </c>
      <c r="C2383" s="116">
        <v>2225.1</v>
      </c>
      <c r="D2383" s="116">
        <v>2213.9</v>
      </c>
      <c r="E2383" s="116">
        <v>2264.5500000000002</v>
      </c>
      <c r="F2383" s="116">
        <v>2225.1</v>
      </c>
      <c r="G2383">
        <v>5059</v>
      </c>
      <c r="H2383" s="116"/>
      <c r="I2383" s="116"/>
      <c r="L2383" s="169">
        <v>45513</v>
      </c>
      <c r="M2383" s="116">
        <v>2222.35</v>
      </c>
      <c r="N2383" s="116">
        <v>2255.6</v>
      </c>
      <c r="O2383" s="116">
        <v>2206.0500000000002</v>
      </c>
      <c r="P2383" s="116">
        <v>2250</v>
      </c>
      <c r="Q2383" s="116">
        <v>2222.35</v>
      </c>
      <c r="R2383">
        <v>83333</v>
      </c>
    </row>
    <row r="2384" spans="1:18" x14ac:dyDescent="0.25">
      <c r="A2384" s="169">
        <v>45516</v>
      </c>
      <c r="B2384" s="116">
        <v>2224.4</v>
      </c>
      <c r="C2384" s="116">
        <v>2192.6999999999998</v>
      </c>
      <c r="D2384" s="116">
        <v>2172.6999999999998</v>
      </c>
      <c r="E2384" s="116">
        <v>2205</v>
      </c>
      <c r="F2384" s="116">
        <v>2192.6999999999998</v>
      </c>
      <c r="G2384">
        <v>12538</v>
      </c>
      <c r="H2384" s="116"/>
      <c r="I2384" s="116"/>
      <c r="L2384" s="169">
        <v>45516</v>
      </c>
      <c r="M2384" s="116">
        <v>2193.3000000000002</v>
      </c>
      <c r="N2384" s="116">
        <v>2234</v>
      </c>
      <c r="O2384" s="116">
        <v>2171.6</v>
      </c>
      <c r="P2384" s="116">
        <v>2234</v>
      </c>
      <c r="Q2384" s="116">
        <v>2193.3000000000002</v>
      </c>
      <c r="R2384">
        <v>63035</v>
      </c>
    </row>
    <row r="2385" spans="1:18" x14ac:dyDescent="0.25">
      <c r="A2385" s="169">
        <v>45517</v>
      </c>
      <c r="B2385" s="116">
        <v>2194.25</v>
      </c>
      <c r="C2385" s="116">
        <v>2134.8000000000002</v>
      </c>
      <c r="D2385" s="116">
        <v>2104.85</v>
      </c>
      <c r="E2385" s="116">
        <v>2175</v>
      </c>
      <c r="F2385" s="116">
        <v>2134.8000000000002</v>
      </c>
      <c r="G2385">
        <v>7285</v>
      </c>
      <c r="H2385" s="116"/>
      <c r="I2385" s="116"/>
      <c r="L2385" s="169">
        <v>45517</v>
      </c>
      <c r="M2385" s="116">
        <v>2123.75</v>
      </c>
      <c r="N2385" s="116">
        <v>2202</v>
      </c>
      <c r="O2385" s="116">
        <v>2106</v>
      </c>
      <c r="P2385" s="116">
        <v>2200</v>
      </c>
      <c r="Q2385" s="116">
        <v>2123.75</v>
      </c>
      <c r="R2385">
        <v>87722</v>
      </c>
    </row>
    <row r="2386" spans="1:18" x14ac:dyDescent="0.25">
      <c r="A2386" s="169">
        <v>45518</v>
      </c>
      <c r="B2386" s="116">
        <v>2164.4499999999998</v>
      </c>
      <c r="C2386" s="116">
        <v>2119.85</v>
      </c>
      <c r="D2386" s="116">
        <v>2088.85</v>
      </c>
      <c r="E2386" s="116">
        <v>2101.25</v>
      </c>
      <c r="F2386" s="116">
        <v>2119.85</v>
      </c>
      <c r="G2386">
        <v>15337</v>
      </c>
      <c r="H2386" s="116"/>
      <c r="I2386" s="116"/>
      <c r="L2386" s="169">
        <v>45518</v>
      </c>
      <c r="M2386" s="116">
        <v>2118.65</v>
      </c>
      <c r="N2386" s="116">
        <v>2168.5</v>
      </c>
      <c r="O2386" s="116">
        <v>2089.25</v>
      </c>
      <c r="P2386" s="116">
        <v>2124</v>
      </c>
      <c r="Q2386" s="116">
        <v>2118.65</v>
      </c>
      <c r="R2386">
        <v>89353</v>
      </c>
    </row>
    <row r="2387" spans="1:18" x14ac:dyDescent="0.25">
      <c r="A2387" s="169">
        <v>45520</v>
      </c>
      <c r="B2387" s="116">
        <v>2180.35</v>
      </c>
      <c r="C2387" s="116">
        <v>2173.5500000000002</v>
      </c>
      <c r="D2387" s="116">
        <v>2150</v>
      </c>
      <c r="E2387" s="116">
        <v>2162.3000000000002</v>
      </c>
      <c r="F2387" s="116">
        <v>2173.5500000000002</v>
      </c>
      <c r="G2387">
        <v>7660</v>
      </c>
      <c r="H2387" s="116"/>
      <c r="I2387" s="116"/>
      <c r="L2387" s="169">
        <v>45520</v>
      </c>
      <c r="M2387" s="116">
        <v>2174</v>
      </c>
      <c r="N2387" s="116">
        <v>2184.75</v>
      </c>
      <c r="O2387" s="116">
        <v>2149</v>
      </c>
      <c r="P2387" s="116">
        <v>2184.75</v>
      </c>
      <c r="Q2387" s="116">
        <v>2174</v>
      </c>
      <c r="R2387">
        <v>56611</v>
      </c>
    </row>
    <row r="2388" spans="1:18" x14ac:dyDescent="0.25">
      <c r="A2388" s="169">
        <v>45523</v>
      </c>
      <c r="B2388" s="116">
        <v>2200</v>
      </c>
      <c r="C2388" s="116">
        <v>2153.6</v>
      </c>
      <c r="D2388" s="116">
        <v>2148</v>
      </c>
      <c r="E2388" s="116">
        <v>2179.9</v>
      </c>
      <c r="F2388" s="116">
        <v>2153.6</v>
      </c>
      <c r="G2388">
        <v>3418</v>
      </c>
      <c r="H2388" s="116"/>
      <c r="I2388" s="116"/>
      <c r="L2388" s="169">
        <v>45523</v>
      </c>
      <c r="M2388" s="116">
        <v>2152.5500000000002</v>
      </c>
      <c r="N2388" s="116">
        <v>2209.1</v>
      </c>
      <c r="O2388" s="116">
        <v>2148</v>
      </c>
      <c r="P2388" s="116">
        <v>2174</v>
      </c>
      <c r="Q2388" s="116">
        <v>2152.5500000000002</v>
      </c>
      <c r="R2388">
        <v>60579</v>
      </c>
    </row>
    <row r="2389" spans="1:18" x14ac:dyDescent="0.25">
      <c r="A2389" s="169">
        <v>45524</v>
      </c>
      <c r="B2389" s="116">
        <v>2178.9499999999998</v>
      </c>
      <c r="C2389" s="116">
        <v>2152.8000000000002</v>
      </c>
      <c r="D2389" s="116">
        <v>2148</v>
      </c>
      <c r="E2389" s="116">
        <v>2178.9499999999998</v>
      </c>
      <c r="F2389" s="116">
        <v>2152.8000000000002</v>
      </c>
      <c r="G2389">
        <v>5791</v>
      </c>
      <c r="H2389" s="116"/>
      <c r="I2389" s="116"/>
      <c r="L2389" s="169">
        <v>45524</v>
      </c>
      <c r="M2389" s="116">
        <v>2151.65</v>
      </c>
      <c r="N2389" s="116">
        <v>2200</v>
      </c>
      <c r="O2389" s="116">
        <v>2146.65</v>
      </c>
      <c r="P2389" s="116">
        <v>2153</v>
      </c>
      <c r="Q2389" s="116">
        <v>2151.65</v>
      </c>
      <c r="R2389">
        <v>57302</v>
      </c>
    </row>
    <row r="2390" spans="1:18" x14ac:dyDescent="0.25">
      <c r="A2390" s="169">
        <v>45525</v>
      </c>
      <c r="B2390" s="116">
        <v>2159.9499999999998</v>
      </c>
      <c r="C2390" s="116">
        <v>2146.75</v>
      </c>
      <c r="D2390" s="116">
        <v>2128</v>
      </c>
      <c r="E2390" s="116">
        <v>2146</v>
      </c>
      <c r="F2390" s="116">
        <v>2146.75</v>
      </c>
      <c r="G2390">
        <v>6627</v>
      </c>
      <c r="H2390" s="116"/>
      <c r="I2390" s="116"/>
      <c r="L2390" s="169">
        <v>45525</v>
      </c>
      <c r="M2390" s="116">
        <v>2146.3000000000002</v>
      </c>
      <c r="N2390" s="116">
        <v>2159.1</v>
      </c>
      <c r="O2390" s="116">
        <v>2125</v>
      </c>
      <c r="P2390" s="116">
        <v>2125</v>
      </c>
      <c r="Q2390" s="116">
        <v>2146.3000000000002</v>
      </c>
      <c r="R2390">
        <v>56176</v>
      </c>
    </row>
    <row r="2391" spans="1:18" x14ac:dyDescent="0.25">
      <c r="A2391" s="169">
        <v>45526</v>
      </c>
      <c r="B2391" s="116">
        <v>2238.3000000000002</v>
      </c>
      <c r="C2391" s="116">
        <v>2182.75</v>
      </c>
      <c r="D2391" s="116">
        <v>2128</v>
      </c>
      <c r="E2391" s="116">
        <v>2175</v>
      </c>
      <c r="F2391" s="116">
        <v>2182.75</v>
      </c>
      <c r="G2391">
        <v>11206</v>
      </c>
      <c r="H2391" s="116"/>
      <c r="I2391" s="116"/>
      <c r="L2391" s="169">
        <v>45526</v>
      </c>
      <c r="M2391" s="116">
        <v>2182.6</v>
      </c>
      <c r="N2391" s="116">
        <v>2237.5</v>
      </c>
      <c r="O2391" s="116">
        <v>2156</v>
      </c>
      <c r="P2391" s="116">
        <v>2157.1</v>
      </c>
      <c r="Q2391" s="116">
        <v>2182.6</v>
      </c>
      <c r="R2391">
        <v>125838</v>
      </c>
    </row>
    <row r="2392" spans="1:18" x14ac:dyDescent="0.25">
      <c r="A2392" s="169">
        <v>45527</v>
      </c>
      <c r="B2392" s="116">
        <v>2200</v>
      </c>
      <c r="C2392" s="116">
        <v>2178.6</v>
      </c>
      <c r="D2392" s="116">
        <v>2164</v>
      </c>
      <c r="E2392" s="116">
        <v>2199.5</v>
      </c>
      <c r="F2392" s="116">
        <v>2178.6</v>
      </c>
      <c r="G2392">
        <v>5146</v>
      </c>
      <c r="H2392" s="116"/>
      <c r="I2392" s="116"/>
      <c r="L2392" s="169">
        <v>45527</v>
      </c>
      <c r="M2392" s="116">
        <v>2180.5500000000002</v>
      </c>
      <c r="N2392" s="116">
        <v>2203.15</v>
      </c>
      <c r="O2392" s="116">
        <v>2164</v>
      </c>
      <c r="P2392" s="116">
        <v>2199.6999999999998</v>
      </c>
      <c r="Q2392" s="116">
        <v>2180.5500000000002</v>
      </c>
      <c r="R2392">
        <v>56289</v>
      </c>
    </row>
    <row r="2393" spans="1:18" x14ac:dyDescent="0.25">
      <c r="A2393" s="169">
        <v>45530</v>
      </c>
      <c r="B2393" s="116">
        <v>2199.9499999999998</v>
      </c>
      <c r="C2393" s="116">
        <v>2172.65</v>
      </c>
      <c r="D2393" s="116">
        <v>2166.1999999999998</v>
      </c>
      <c r="E2393" s="116">
        <v>2199.9499999999998</v>
      </c>
      <c r="F2393" s="116">
        <v>2172.65</v>
      </c>
      <c r="G2393">
        <v>2375</v>
      </c>
      <c r="H2393" s="116"/>
      <c r="I2393" s="116"/>
      <c r="L2393" s="169">
        <v>45530</v>
      </c>
      <c r="M2393" s="116">
        <v>2172.4499999999998</v>
      </c>
      <c r="N2393" s="116">
        <v>2209</v>
      </c>
      <c r="O2393" s="116">
        <v>2165</v>
      </c>
      <c r="P2393" s="116">
        <v>2209</v>
      </c>
      <c r="Q2393" s="116">
        <v>2172.4499999999998</v>
      </c>
      <c r="R2393">
        <v>49814</v>
      </c>
    </row>
    <row r="2394" spans="1:18" x14ac:dyDescent="0.25">
      <c r="A2394" s="169">
        <v>45531</v>
      </c>
      <c r="B2394" s="116">
        <v>2228.9499999999998</v>
      </c>
      <c r="C2394" s="116">
        <v>2224.0500000000002</v>
      </c>
      <c r="D2394" s="116">
        <v>2156.0500000000002</v>
      </c>
      <c r="E2394" s="116">
        <v>2156.0500000000002</v>
      </c>
      <c r="F2394" s="116">
        <v>2224.0500000000002</v>
      </c>
      <c r="G2394">
        <v>12098</v>
      </c>
      <c r="H2394" s="116"/>
      <c r="I2394" s="116"/>
      <c r="L2394" s="169">
        <v>45531</v>
      </c>
      <c r="M2394" s="116">
        <v>2223.0500000000002</v>
      </c>
      <c r="N2394" s="116">
        <v>2229.9499999999998</v>
      </c>
      <c r="O2394" s="116">
        <v>2174.3000000000002</v>
      </c>
      <c r="P2394" s="116">
        <v>2184.35</v>
      </c>
      <c r="Q2394" s="116">
        <v>2223.0500000000002</v>
      </c>
      <c r="R2394">
        <v>83965</v>
      </c>
    </row>
    <row r="2395" spans="1:18" x14ac:dyDescent="0.25">
      <c r="A2395" s="169">
        <v>45532</v>
      </c>
      <c r="B2395" s="116">
        <v>2240</v>
      </c>
      <c r="C2395" s="116">
        <v>2193.4</v>
      </c>
      <c r="D2395" s="116">
        <v>2188.4499999999998</v>
      </c>
      <c r="E2395" s="116">
        <v>2224.0500000000002</v>
      </c>
      <c r="F2395" s="116">
        <v>2193.4</v>
      </c>
      <c r="G2395">
        <v>6454</v>
      </c>
      <c r="H2395" s="116"/>
      <c r="I2395" s="116"/>
      <c r="L2395" s="169">
        <v>45532</v>
      </c>
      <c r="M2395" s="116">
        <v>2193.6999999999998</v>
      </c>
      <c r="N2395" s="116">
        <v>2241</v>
      </c>
      <c r="O2395" s="116">
        <v>2188.0500000000002</v>
      </c>
      <c r="P2395" s="116">
        <v>2223.0500000000002</v>
      </c>
      <c r="Q2395" s="116">
        <v>2193.6999999999998</v>
      </c>
      <c r="R2395">
        <v>32870</v>
      </c>
    </row>
    <row r="2396" spans="1:18" x14ac:dyDescent="0.25">
      <c r="A2396" s="169">
        <v>45533</v>
      </c>
      <c r="B2396" s="116">
        <v>2244.9499999999998</v>
      </c>
      <c r="C2396" s="116">
        <v>2206.75</v>
      </c>
      <c r="D2396" s="116">
        <v>2187.6</v>
      </c>
      <c r="E2396" s="116">
        <v>2206.9499999999998</v>
      </c>
      <c r="F2396" s="116">
        <v>2206.75</v>
      </c>
      <c r="G2396">
        <v>4674</v>
      </c>
      <c r="H2396" s="116"/>
      <c r="I2396" s="116"/>
      <c r="L2396" s="169">
        <v>45533</v>
      </c>
      <c r="M2396" s="116">
        <v>2208.3000000000002</v>
      </c>
      <c r="N2396" s="116">
        <v>2249</v>
      </c>
      <c r="O2396" s="116">
        <v>2184</v>
      </c>
      <c r="P2396" s="116">
        <v>2209.6999999999998</v>
      </c>
      <c r="Q2396" s="116">
        <v>2208.3000000000002</v>
      </c>
      <c r="R2396">
        <v>95989</v>
      </c>
    </row>
    <row r="2397" spans="1:18" x14ac:dyDescent="0.25">
      <c r="A2397" s="169">
        <v>45534</v>
      </c>
      <c r="B2397" s="116">
        <v>2230</v>
      </c>
      <c r="C2397" s="116">
        <v>2224.35</v>
      </c>
      <c r="D2397" s="116">
        <v>2203.6999999999998</v>
      </c>
      <c r="E2397" s="116">
        <v>2215.6</v>
      </c>
      <c r="F2397" s="116">
        <v>2224.35</v>
      </c>
      <c r="G2397">
        <v>1958</v>
      </c>
      <c r="H2397" s="116"/>
      <c r="I2397" s="116"/>
      <c r="L2397" s="169">
        <v>45534</v>
      </c>
      <c r="M2397" s="116">
        <v>2224.35</v>
      </c>
      <c r="N2397" s="116">
        <v>2231.4</v>
      </c>
      <c r="O2397" s="116">
        <v>2200</v>
      </c>
      <c r="P2397" s="116">
        <v>2220.0500000000002</v>
      </c>
      <c r="Q2397" s="116">
        <v>2224.35</v>
      </c>
      <c r="R2397">
        <v>34692</v>
      </c>
    </row>
    <row r="2398" spans="1:18" x14ac:dyDescent="0.25">
      <c r="A2398" s="169">
        <v>45537</v>
      </c>
      <c r="B2398" s="116">
        <v>2240</v>
      </c>
      <c r="C2398" s="116">
        <v>2197.6999999999998</v>
      </c>
      <c r="D2398" s="116">
        <v>2191.85</v>
      </c>
      <c r="E2398" s="116">
        <v>2225.4</v>
      </c>
      <c r="F2398" s="116">
        <v>2197.6999999999998</v>
      </c>
      <c r="G2398">
        <v>6563</v>
      </c>
      <c r="H2398" s="116"/>
      <c r="I2398" s="116"/>
      <c r="L2398" s="169">
        <v>45537</v>
      </c>
      <c r="M2398" s="116">
        <v>2198.15</v>
      </c>
      <c r="N2398" s="116">
        <v>2245.1999999999998</v>
      </c>
      <c r="O2398" s="116">
        <v>2190.1</v>
      </c>
      <c r="P2398" s="116">
        <v>2245.1999999999998</v>
      </c>
      <c r="Q2398" s="116">
        <v>2198.15</v>
      </c>
      <c r="R2398">
        <v>30908</v>
      </c>
    </row>
    <row r="2399" spans="1:18" x14ac:dyDescent="0.25">
      <c r="A2399" s="169">
        <v>45538</v>
      </c>
      <c r="B2399" s="116">
        <v>2220</v>
      </c>
      <c r="C2399" s="116">
        <v>2197.1</v>
      </c>
      <c r="D2399" s="116">
        <v>2190.35</v>
      </c>
      <c r="E2399" s="116">
        <v>2194</v>
      </c>
      <c r="F2399" s="116">
        <v>2197.1</v>
      </c>
      <c r="G2399">
        <v>1520</v>
      </c>
      <c r="H2399" s="116"/>
      <c r="I2399" s="116"/>
      <c r="L2399" s="169">
        <v>45538</v>
      </c>
      <c r="M2399" s="116">
        <v>2197.4499999999998</v>
      </c>
      <c r="N2399" s="116">
        <v>2224</v>
      </c>
      <c r="O2399" s="116">
        <v>2190.0500000000002</v>
      </c>
      <c r="P2399" s="116">
        <v>2215</v>
      </c>
      <c r="Q2399" s="116">
        <v>2197.4499999999998</v>
      </c>
      <c r="R2399">
        <v>31220</v>
      </c>
    </row>
    <row r="2400" spans="1:18" x14ac:dyDescent="0.25">
      <c r="A2400" s="169">
        <v>45539</v>
      </c>
      <c r="B2400" s="116">
        <v>2239.5500000000002</v>
      </c>
      <c r="C2400" s="116">
        <v>2206.75</v>
      </c>
      <c r="D2400" s="116">
        <v>2145.6999999999998</v>
      </c>
      <c r="E2400" s="116">
        <v>2145.6999999999998</v>
      </c>
      <c r="F2400" s="116">
        <v>2206.75</v>
      </c>
      <c r="G2400">
        <v>2628</v>
      </c>
      <c r="H2400" s="116"/>
      <c r="I2400" s="116"/>
      <c r="L2400" s="169">
        <v>45539</v>
      </c>
      <c r="M2400" s="116">
        <v>2206.0500000000002</v>
      </c>
      <c r="N2400" s="116">
        <v>2239</v>
      </c>
      <c r="O2400" s="116">
        <v>2181</v>
      </c>
      <c r="P2400" s="116">
        <v>2190</v>
      </c>
      <c r="Q2400" s="116">
        <v>2206.0500000000002</v>
      </c>
      <c r="R2400">
        <v>68736</v>
      </c>
    </row>
    <row r="2401" spans="1:18" x14ac:dyDescent="0.25">
      <c r="A2401" s="169">
        <v>45540</v>
      </c>
      <c r="B2401" s="116">
        <v>2245</v>
      </c>
      <c r="C2401" s="116">
        <v>2218.6999999999998</v>
      </c>
      <c r="D2401" s="116">
        <v>2215.0500000000002</v>
      </c>
      <c r="E2401" s="116">
        <v>2222.9499999999998</v>
      </c>
      <c r="F2401" s="116">
        <v>2218.6999999999998</v>
      </c>
      <c r="G2401">
        <v>5258</v>
      </c>
      <c r="H2401" s="116"/>
      <c r="I2401" s="116"/>
      <c r="L2401" s="169">
        <v>45540</v>
      </c>
      <c r="M2401" s="116">
        <v>2219.4499999999998</v>
      </c>
      <c r="N2401" s="116">
        <v>2247</v>
      </c>
      <c r="O2401" s="116">
        <v>2208</v>
      </c>
      <c r="P2401" s="116">
        <v>2208</v>
      </c>
      <c r="Q2401" s="116">
        <v>2219.4499999999998</v>
      </c>
      <c r="R2401">
        <v>44083</v>
      </c>
    </row>
    <row r="2402" spans="1:18" x14ac:dyDescent="0.25">
      <c r="A2402" s="169">
        <v>45541</v>
      </c>
      <c r="B2402" s="116">
        <v>2295.25</v>
      </c>
      <c r="C2402" s="116">
        <v>2236</v>
      </c>
      <c r="D2402" s="116">
        <v>2215.0500000000002</v>
      </c>
      <c r="E2402" s="116">
        <v>2215.0500000000002</v>
      </c>
      <c r="F2402" s="116">
        <v>2236</v>
      </c>
      <c r="G2402">
        <v>5995</v>
      </c>
      <c r="H2402" s="116"/>
      <c r="I2402" s="116"/>
      <c r="L2402" s="169">
        <v>45541</v>
      </c>
      <c r="M2402" s="116">
        <v>2235</v>
      </c>
      <c r="N2402" s="116">
        <v>2293.5</v>
      </c>
      <c r="O2402" s="116">
        <v>2220</v>
      </c>
      <c r="P2402" s="116">
        <v>2223.9</v>
      </c>
      <c r="Q2402" s="116">
        <v>2235</v>
      </c>
      <c r="R2402">
        <v>150759</v>
      </c>
    </row>
    <row r="2403" spans="1:18" x14ac:dyDescent="0.25">
      <c r="A2403" s="169">
        <v>45544</v>
      </c>
      <c r="B2403" s="116">
        <v>2247.0500000000002</v>
      </c>
      <c r="C2403" s="116">
        <v>2218.8000000000002</v>
      </c>
      <c r="D2403" s="116">
        <v>2204.85</v>
      </c>
      <c r="E2403" s="116">
        <v>2236</v>
      </c>
      <c r="F2403" s="116">
        <v>2218.8000000000002</v>
      </c>
      <c r="G2403">
        <v>5242</v>
      </c>
      <c r="H2403" s="116"/>
      <c r="I2403" s="116"/>
      <c r="L2403" s="169">
        <v>45544</v>
      </c>
      <c r="M2403" s="116">
        <v>2220.5500000000002</v>
      </c>
      <c r="N2403" s="116">
        <v>2250.9</v>
      </c>
      <c r="O2403" s="116">
        <v>2205.15</v>
      </c>
      <c r="P2403" s="116">
        <v>2250</v>
      </c>
      <c r="Q2403" s="116">
        <v>2220.5500000000002</v>
      </c>
      <c r="R2403">
        <v>32928</v>
      </c>
    </row>
    <row r="2404" spans="1:18" x14ac:dyDescent="0.25">
      <c r="A2404" s="169">
        <v>45545</v>
      </c>
      <c r="B2404" s="116">
        <v>2320</v>
      </c>
      <c r="C2404" s="116">
        <v>2304.9499999999998</v>
      </c>
      <c r="D2404" s="116">
        <v>2220.5500000000002</v>
      </c>
      <c r="E2404" s="116">
        <v>2220.5500000000002</v>
      </c>
      <c r="F2404" s="116">
        <v>2304.9499999999998</v>
      </c>
      <c r="G2404">
        <v>6599</v>
      </c>
      <c r="H2404" s="116"/>
      <c r="I2404" s="116"/>
      <c r="L2404" s="169">
        <v>45545</v>
      </c>
      <c r="M2404" s="116">
        <v>2298.1</v>
      </c>
      <c r="N2404" s="116">
        <v>2318.5500000000002</v>
      </c>
      <c r="O2404" s="116">
        <v>2229.0500000000002</v>
      </c>
      <c r="P2404" s="116">
        <v>2229.1</v>
      </c>
      <c r="Q2404" s="116">
        <v>2298.1</v>
      </c>
      <c r="R2404">
        <v>98211</v>
      </c>
    </row>
    <row r="2405" spans="1:18" x14ac:dyDescent="0.25">
      <c r="A2405" s="169">
        <v>45546</v>
      </c>
      <c r="B2405" s="116">
        <v>2350</v>
      </c>
      <c r="C2405" s="116">
        <v>2291.8000000000002</v>
      </c>
      <c r="D2405" s="116">
        <v>2268.65</v>
      </c>
      <c r="E2405" s="116">
        <v>2331.1999999999998</v>
      </c>
      <c r="F2405" s="116">
        <v>2291.8000000000002</v>
      </c>
      <c r="G2405">
        <v>11116</v>
      </c>
      <c r="H2405" s="116"/>
      <c r="I2405" s="116"/>
      <c r="L2405" s="169">
        <v>45546</v>
      </c>
      <c r="M2405" s="116">
        <v>2291.4499999999998</v>
      </c>
      <c r="N2405" s="116">
        <v>2350.0500000000002</v>
      </c>
      <c r="O2405" s="116">
        <v>2266.5500000000002</v>
      </c>
      <c r="P2405" s="116">
        <v>2350</v>
      </c>
      <c r="Q2405" s="116">
        <v>2291.4499999999998</v>
      </c>
      <c r="R2405">
        <v>64414</v>
      </c>
    </row>
    <row r="2406" spans="1:18" x14ac:dyDescent="0.25">
      <c r="A2406" s="169">
        <v>45547</v>
      </c>
      <c r="B2406" s="116">
        <v>2321.75</v>
      </c>
      <c r="C2406" s="116">
        <v>2264.9499999999998</v>
      </c>
      <c r="D2406" s="116">
        <v>2255.9499999999998</v>
      </c>
      <c r="E2406" s="116">
        <v>2315.0500000000002</v>
      </c>
      <c r="F2406" s="116">
        <v>2264.9499999999998</v>
      </c>
      <c r="G2406">
        <v>5312</v>
      </c>
      <c r="H2406" s="116"/>
      <c r="I2406" s="116"/>
      <c r="L2406" s="169">
        <v>45547</v>
      </c>
      <c r="M2406" s="116">
        <v>2266.5500000000002</v>
      </c>
      <c r="N2406" s="116">
        <v>2318</v>
      </c>
      <c r="O2406" s="116">
        <v>2255</v>
      </c>
      <c r="P2406" s="116">
        <v>2296.5</v>
      </c>
      <c r="Q2406" s="116">
        <v>2266.5500000000002</v>
      </c>
      <c r="R2406">
        <v>34807</v>
      </c>
    </row>
    <row r="2407" spans="1:18" x14ac:dyDescent="0.25">
      <c r="A2407" s="169">
        <v>45548</v>
      </c>
      <c r="B2407" s="116">
        <v>2303.3000000000002</v>
      </c>
      <c r="C2407" s="116">
        <v>2272.9</v>
      </c>
      <c r="D2407" s="116">
        <v>2251.4499999999998</v>
      </c>
      <c r="E2407" s="116">
        <v>2251.4499999999998</v>
      </c>
      <c r="F2407" s="116">
        <v>2272.9</v>
      </c>
      <c r="G2407">
        <v>2271</v>
      </c>
      <c r="H2407" s="116"/>
      <c r="I2407" s="116"/>
      <c r="L2407" s="169">
        <v>45548</v>
      </c>
      <c r="M2407" s="116">
        <v>2274.35</v>
      </c>
      <c r="N2407" s="116">
        <v>2306.4</v>
      </c>
      <c r="O2407" s="116">
        <v>2266.5500000000002</v>
      </c>
      <c r="P2407" s="116">
        <v>2266.5500000000002</v>
      </c>
      <c r="Q2407" s="116">
        <v>2274.35</v>
      </c>
      <c r="R2407">
        <v>37347</v>
      </c>
    </row>
    <row r="2408" spans="1:18" x14ac:dyDescent="0.25">
      <c r="A2408" s="169">
        <v>45551</v>
      </c>
      <c r="B2408" s="116">
        <v>2322.15</v>
      </c>
      <c r="C2408" s="116">
        <v>2292.3000000000002</v>
      </c>
      <c r="D2408" s="116">
        <v>2274.0500000000002</v>
      </c>
      <c r="E2408" s="116">
        <v>2274.0500000000002</v>
      </c>
      <c r="F2408" s="116">
        <v>2292.3000000000002</v>
      </c>
      <c r="G2408">
        <v>2434</v>
      </c>
      <c r="H2408" s="116"/>
      <c r="I2408" s="116"/>
      <c r="L2408" s="169">
        <v>45551</v>
      </c>
      <c r="M2408" s="116">
        <v>2290</v>
      </c>
      <c r="N2408" s="116">
        <v>2324</v>
      </c>
      <c r="O2408" s="116">
        <v>2278</v>
      </c>
      <c r="P2408" s="116">
        <v>2286.0500000000002</v>
      </c>
      <c r="Q2408" s="116">
        <v>2290</v>
      </c>
      <c r="R2408">
        <v>48881</v>
      </c>
    </row>
    <row r="2409" spans="1:18" x14ac:dyDescent="0.25">
      <c r="A2409" s="169">
        <v>45552</v>
      </c>
      <c r="B2409" s="116">
        <v>2310</v>
      </c>
      <c r="C2409" s="116">
        <v>2301.9499999999998</v>
      </c>
      <c r="D2409" s="116">
        <v>2266.65</v>
      </c>
      <c r="E2409" s="116">
        <v>2275</v>
      </c>
      <c r="F2409" s="116">
        <v>2301.9499999999998</v>
      </c>
      <c r="G2409">
        <v>9239</v>
      </c>
      <c r="H2409" s="116"/>
      <c r="I2409" s="116"/>
      <c r="L2409" s="169">
        <v>45552</v>
      </c>
      <c r="M2409" s="116">
        <v>2301.5500000000002</v>
      </c>
      <c r="N2409" s="116">
        <v>2309.9</v>
      </c>
      <c r="O2409" s="116">
        <v>2266.85</v>
      </c>
      <c r="P2409" s="116">
        <v>2270</v>
      </c>
      <c r="Q2409" s="116">
        <v>2301.5500000000002</v>
      </c>
      <c r="R2409">
        <v>39821</v>
      </c>
    </row>
    <row r="2410" spans="1:18" x14ac:dyDescent="0.25">
      <c r="A2410" s="169">
        <v>45553</v>
      </c>
      <c r="B2410" s="116">
        <v>2431.6999999999998</v>
      </c>
      <c r="C2410" s="116">
        <v>2346.4499999999998</v>
      </c>
      <c r="D2410" s="116">
        <v>2300.0500000000002</v>
      </c>
      <c r="E2410" s="116">
        <v>2300.0500000000002</v>
      </c>
      <c r="F2410" s="116">
        <v>2346.4499999999998</v>
      </c>
      <c r="G2410">
        <v>48887</v>
      </c>
      <c r="H2410" s="116"/>
      <c r="I2410" s="116"/>
      <c r="L2410" s="169">
        <v>45553</v>
      </c>
      <c r="M2410" s="116">
        <v>2345.35</v>
      </c>
      <c r="N2410" s="116">
        <v>2433</v>
      </c>
      <c r="O2410" s="116">
        <v>2302.0500000000002</v>
      </c>
      <c r="P2410" s="116">
        <v>2313.0500000000002</v>
      </c>
      <c r="Q2410" s="116">
        <v>2345.35</v>
      </c>
      <c r="R2410">
        <v>485980</v>
      </c>
    </row>
    <row r="2411" spans="1:18" x14ac:dyDescent="0.25">
      <c r="A2411" s="169">
        <v>45554</v>
      </c>
      <c r="B2411" s="116">
        <v>2425</v>
      </c>
      <c r="C2411" s="116">
        <v>2347.5</v>
      </c>
      <c r="D2411" s="116">
        <v>2302.6</v>
      </c>
      <c r="E2411" s="116">
        <v>2386.85</v>
      </c>
      <c r="F2411" s="116">
        <v>2347.5</v>
      </c>
      <c r="G2411">
        <v>17800</v>
      </c>
      <c r="H2411" s="116"/>
      <c r="I2411" s="116"/>
      <c r="L2411" s="169">
        <v>45554</v>
      </c>
      <c r="M2411" s="116">
        <v>2349.25</v>
      </c>
      <c r="N2411" s="116">
        <v>2425.0500000000002</v>
      </c>
      <c r="O2411" s="116">
        <v>2305</v>
      </c>
      <c r="P2411" s="116">
        <v>2376</v>
      </c>
      <c r="Q2411" s="116">
        <v>2349.25</v>
      </c>
      <c r="R2411">
        <v>147552</v>
      </c>
    </row>
    <row r="2412" spans="1:18" x14ac:dyDescent="0.25">
      <c r="A2412" s="169">
        <v>45555</v>
      </c>
      <c r="B2412" s="116">
        <v>2364.75</v>
      </c>
      <c r="C2412" s="116">
        <v>2306.9499999999998</v>
      </c>
      <c r="D2412" s="116">
        <v>2297.8000000000002</v>
      </c>
      <c r="E2412" s="116">
        <v>2319.9499999999998</v>
      </c>
      <c r="F2412" s="116">
        <v>2306.9499999999998</v>
      </c>
      <c r="G2412">
        <v>2865</v>
      </c>
      <c r="H2412" s="116"/>
      <c r="I2412" s="116"/>
      <c r="L2412" s="169">
        <v>45555</v>
      </c>
      <c r="M2412" s="116">
        <v>2306.25</v>
      </c>
      <c r="N2412" s="116">
        <v>2376.8000000000002</v>
      </c>
      <c r="O2412" s="116">
        <v>2296.1999999999998</v>
      </c>
      <c r="P2412" s="116">
        <v>2376.8000000000002</v>
      </c>
      <c r="Q2412" s="116">
        <v>2306.25</v>
      </c>
      <c r="R2412">
        <v>93217</v>
      </c>
    </row>
    <row r="2413" spans="1:18" x14ac:dyDescent="0.25">
      <c r="A2413" s="169">
        <v>45558</v>
      </c>
      <c r="B2413" s="116">
        <v>2328.5</v>
      </c>
      <c r="C2413" s="116">
        <v>2315.85</v>
      </c>
      <c r="D2413" s="116">
        <v>2278.1</v>
      </c>
      <c r="E2413" s="116">
        <v>2305.0500000000002</v>
      </c>
      <c r="F2413" s="116">
        <v>2315.85</v>
      </c>
      <c r="G2413">
        <v>9082</v>
      </c>
      <c r="H2413" s="116"/>
      <c r="I2413" s="116"/>
      <c r="L2413" s="169">
        <v>45558</v>
      </c>
      <c r="M2413" s="116">
        <v>2314.9</v>
      </c>
      <c r="N2413" s="116">
        <v>2326.5</v>
      </c>
      <c r="O2413" s="116">
        <v>2280</v>
      </c>
      <c r="P2413" s="116">
        <v>2309.9499999999998</v>
      </c>
      <c r="Q2413" s="116">
        <v>2314.9</v>
      </c>
      <c r="R2413">
        <v>54379</v>
      </c>
    </row>
    <row r="2414" spans="1:18" x14ac:dyDescent="0.25">
      <c r="A2414" s="169">
        <v>45559</v>
      </c>
      <c r="B2414" s="116">
        <v>2385.1999999999998</v>
      </c>
      <c r="C2414" s="116">
        <v>2310.6999999999998</v>
      </c>
      <c r="D2414" s="116">
        <v>2305.3000000000002</v>
      </c>
      <c r="E2414" s="116">
        <v>2320</v>
      </c>
      <c r="F2414" s="116">
        <v>2310.6999999999998</v>
      </c>
      <c r="G2414">
        <v>12288</v>
      </c>
      <c r="H2414" s="116"/>
      <c r="I2414" s="116"/>
      <c r="L2414" s="169">
        <v>45559</v>
      </c>
      <c r="M2414" s="116">
        <v>2312.4</v>
      </c>
      <c r="N2414" s="116">
        <v>2385.3000000000002</v>
      </c>
      <c r="O2414" s="116">
        <v>2305.5500000000002</v>
      </c>
      <c r="P2414" s="116">
        <v>2317.9499999999998</v>
      </c>
      <c r="Q2414" s="116">
        <v>2312.4</v>
      </c>
      <c r="R2414">
        <v>103014</v>
      </c>
    </row>
    <row r="2415" spans="1:18" x14ac:dyDescent="0.25">
      <c r="A2415" s="169">
        <v>45560</v>
      </c>
      <c r="B2415" s="116">
        <v>2332.5500000000002</v>
      </c>
      <c r="C2415" s="116">
        <v>2298.5</v>
      </c>
      <c r="D2415" s="116">
        <v>2287.5500000000002</v>
      </c>
      <c r="E2415" s="116">
        <v>2330</v>
      </c>
      <c r="F2415" s="116">
        <v>2298.5</v>
      </c>
      <c r="G2415">
        <v>2007</v>
      </c>
      <c r="H2415" s="116"/>
      <c r="I2415" s="116"/>
      <c r="L2415" s="169">
        <v>45560</v>
      </c>
      <c r="M2415" s="116">
        <v>2297.5500000000002</v>
      </c>
      <c r="N2415" s="116">
        <v>2341.6</v>
      </c>
      <c r="O2415" s="116">
        <v>2286.25</v>
      </c>
      <c r="P2415" s="116">
        <v>2330</v>
      </c>
      <c r="Q2415" s="116">
        <v>2297.5500000000002</v>
      </c>
      <c r="R2415">
        <v>45176</v>
      </c>
    </row>
    <row r="2416" spans="1:18" x14ac:dyDescent="0.25">
      <c r="A2416" s="169">
        <v>45561</v>
      </c>
      <c r="B2416" s="116">
        <v>2309</v>
      </c>
      <c r="C2416" s="116">
        <v>2285.65</v>
      </c>
      <c r="D2416" s="116">
        <v>2280.35</v>
      </c>
      <c r="E2416" s="116">
        <v>2290</v>
      </c>
      <c r="F2416" s="116">
        <v>2285.65</v>
      </c>
      <c r="G2416">
        <v>5754</v>
      </c>
      <c r="H2416" s="116"/>
      <c r="I2416" s="116"/>
      <c r="L2416" s="169">
        <v>45561</v>
      </c>
      <c r="M2416" s="116">
        <v>2286.6</v>
      </c>
      <c r="N2416" s="116">
        <v>2310</v>
      </c>
      <c r="O2416" s="116">
        <v>2281</v>
      </c>
      <c r="P2416" s="116">
        <v>2301.25</v>
      </c>
      <c r="Q2416" s="116">
        <v>2286.6</v>
      </c>
      <c r="R2416">
        <v>23051</v>
      </c>
    </row>
    <row r="2417" spans="1:18" x14ac:dyDescent="0.25">
      <c r="A2417" s="169">
        <v>45562</v>
      </c>
      <c r="B2417" s="116">
        <v>2327.9499999999998</v>
      </c>
      <c r="C2417" s="116">
        <v>2283.5500000000002</v>
      </c>
      <c r="D2417" s="116">
        <v>2275.0500000000002</v>
      </c>
      <c r="E2417" s="116">
        <v>2280.65</v>
      </c>
      <c r="F2417" s="116">
        <v>2283.5500000000002</v>
      </c>
      <c r="G2417">
        <v>3145</v>
      </c>
      <c r="H2417" s="116"/>
      <c r="I2417" s="116"/>
      <c r="L2417" s="169">
        <v>45562</v>
      </c>
      <c r="M2417" s="116">
        <v>2284.75</v>
      </c>
      <c r="N2417" s="116">
        <v>2325</v>
      </c>
      <c r="O2417" s="116">
        <v>2275.0500000000002</v>
      </c>
      <c r="P2417" s="116">
        <v>2290.15</v>
      </c>
      <c r="Q2417" s="116">
        <v>2284.75</v>
      </c>
      <c r="R2417">
        <v>34010</v>
      </c>
    </row>
    <row r="2418" spans="1:18" x14ac:dyDescent="0.25">
      <c r="A2418" s="169">
        <v>45565</v>
      </c>
      <c r="B2418" s="116">
        <v>2305</v>
      </c>
      <c r="C2418" s="116">
        <v>2283</v>
      </c>
      <c r="D2418" s="116">
        <v>2268.0500000000002</v>
      </c>
      <c r="E2418" s="116">
        <v>2275.0500000000002</v>
      </c>
      <c r="F2418" s="116">
        <v>2283</v>
      </c>
      <c r="G2418">
        <v>4060</v>
      </c>
      <c r="H2418" s="116"/>
      <c r="I2418" s="116"/>
      <c r="L2418" s="169">
        <v>45565</v>
      </c>
      <c r="M2418" s="116">
        <v>2287.0500000000002</v>
      </c>
      <c r="N2418" s="116">
        <v>2311</v>
      </c>
      <c r="O2418" s="116">
        <v>2270</v>
      </c>
      <c r="P2418" s="116">
        <v>2284.75</v>
      </c>
      <c r="Q2418" s="116">
        <v>2287.0500000000002</v>
      </c>
      <c r="R2418">
        <v>32273</v>
      </c>
    </row>
    <row r="2419" spans="1:18" x14ac:dyDescent="0.25">
      <c r="A2419" s="169">
        <v>45566</v>
      </c>
      <c r="B2419" s="116">
        <v>2370</v>
      </c>
      <c r="C2419" s="116">
        <v>2352.0500000000002</v>
      </c>
      <c r="D2419" s="116">
        <v>2271.65</v>
      </c>
      <c r="E2419" s="116">
        <v>2271.65</v>
      </c>
      <c r="F2419" s="116">
        <v>2352.0500000000002</v>
      </c>
      <c r="G2419">
        <v>7012</v>
      </c>
      <c r="H2419" s="116"/>
      <c r="I2419" s="116"/>
      <c r="L2419" s="169">
        <v>45566</v>
      </c>
      <c r="M2419" s="116">
        <v>2351.9499999999998</v>
      </c>
      <c r="N2419" s="116">
        <v>2374</v>
      </c>
      <c r="O2419" s="116">
        <v>2285</v>
      </c>
      <c r="P2419" s="116">
        <v>2291.5500000000002</v>
      </c>
      <c r="Q2419" s="116">
        <v>2351.9499999999998</v>
      </c>
      <c r="R2419">
        <v>111809</v>
      </c>
    </row>
    <row r="2420" spans="1:18" x14ac:dyDescent="0.25">
      <c r="A2420" s="169">
        <v>45568</v>
      </c>
      <c r="B2420" s="116">
        <v>2370</v>
      </c>
      <c r="C2420" s="116">
        <v>2264.5</v>
      </c>
      <c r="D2420" s="116">
        <v>2257.4499999999998</v>
      </c>
      <c r="E2420" s="116">
        <v>2331.0500000000002</v>
      </c>
      <c r="F2420" s="116">
        <v>2264.5</v>
      </c>
      <c r="G2420">
        <v>15025</v>
      </c>
      <c r="H2420" s="116"/>
      <c r="I2420" s="116"/>
      <c r="L2420" s="169">
        <v>45568</v>
      </c>
      <c r="M2420" s="116">
        <v>2264.3000000000002</v>
      </c>
      <c r="N2420" s="116">
        <v>2368.9</v>
      </c>
      <c r="O2420" s="116">
        <v>2256</v>
      </c>
      <c r="P2420" s="116">
        <v>2345.9499999999998</v>
      </c>
      <c r="Q2420" s="116">
        <v>2264.3000000000002</v>
      </c>
      <c r="R2420">
        <v>81078</v>
      </c>
    </row>
    <row r="2421" spans="1:18" x14ac:dyDescent="0.25">
      <c r="A2421" s="169">
        <v>45569</v>
      </c>
      <c r="B2421" s="116">
        <v>2280</v>
      </c>
      <c r="C2421" s="116">
        <v>2246.65</v>
      </c>
      <c r="D2421" s="116">
        <v>2200</v>
      </c>
      <c r="E2421" s="116">
        <v>2280</v>
      </c>
      <c r="F2421" s="116">
        <v>2246.65</v>
      </c>
      <c r="G2421">
        <v>12492</v>
      </c>
      <c r="H2421" s="116"/>
      <c r="I2421" s="116"/>
      <c r="L2421" s="169">
        <v>45569</v>
      </c>
      <c r="M2421" s="116">
        <v>2247.8000000000002</v>
      </c>
      <c r="N2421" s="116">
        <v>2277.8000000000002</v>
      </c>
      <c r="O2421" s="116">
        <v>2200.25</v>
      </c>
      <c r="P2421" s="116">
        <v>2264.3000000000002</v>
      </c>
      <c r="Q2421" s="116">
        <v>2247.8000000000002</v>
      </c>
      <c r="R2421">
        <v>54899</v>
      </c>
    </row>
    <row r="2422" spans="1:18" x14ac:dyDescent="0.25">
      <c r="A2422" s="169">
        <v>45572</v>
      </c>
      <c r="B2422" s="116">
        <v>2260.8000000000002</v>
      </c>
      <c r="C2422" s="116">
        <v>2168.85</v>
      </c>
      <c r="D2422" s="116">
        <v>2146.4499999999998</v>
      </c>
      <c r="E2422" s="116">
        <v>2230</v>
      </c>
      <c r="F2422" s="116">
        <v>2168.85</v>
      </c>
      <c r="G2422">
        <v>6267</v>
      </c>
      <c r="H2422" s="116"/>
      <c r="I2422" s="116"/>
      <c r="L2422" s="169">
        <v>45572</v>
      </c>
      <c r="M2422" s="116">
        <v>2165.1</v>
      </c>
      <c r="N2422" s="116">
        <v>2263.9499999999998</v>
      </c>
      <c r="O2422" s="116">
        <v>2148.9</v>
      </c>
      <c r="P2422" s="116">
        <v>2247.8000000000002</v>
      </c>
      <c r="Q2422" s="116">
        <v>2165.1</v>
      </c>
      <c r="R2422">
        <v>71545</v>
      </c>
    </row>
    <row r="2423" spans="1:18" x14ac:dyDescent="0.25">
      <c r="A2423" s="169">
        <v>45573</v>
      </c>
      <c r="B2423" s="116">
        <v>2241.65</v>
      </c>
      <c r="C2423" s="116">
        <v>2230.9</v>
      </c>
      <c r="D2423" s="116">
        <v>2125.9499999999998</v>
      </c>
      <c r="E2423" s="116">
        <v>2150</v>
      </c>
      <c r="F2423" s="116">
        <v>2230.9</v>
      </c>
      <c r="G2423">
        <v>6515</v>
      </c>
      <c r="H2423" s="116"/>
      <c r="I2423" s="116"/>
      <c r="L2423" s="169">
        <v>45573</v>
      </c>
      <c r="M2423" s="116">
        <v>2230.75</v>
      </c>
      <c r="N2423" s="116">
        <v>2240</v>
      </c>
      <c r="O2423" s="116">
        <v>2130.15</v>
      </c>
      <c r="P2423" s="116">
        <v>2135.0500000000002</v>
      </c>
      <c r="Q2423" s="116">
        <v>2230.75</v>
      </c>
      <c r="R2423">
        <v>48755</v>
      </c>
    </row>
    <row r="2424" spans="1:18" x14ac:dyDescent="0.25">
      <c r="A2424" s="169">
        <v>45574</v>
      </c>
      <c r="B2424" s="116">
        <v>2269.8000000000002</v>
      </c>
      <c r="C2424" s="116">
        <v>2238.9499999999998</v>
      </c>
      <c r="D2424" s="116">
        <v>2226.5500000000002</v>
      </c>
      <c r="E2424" s="116">
        <v>2241.4499999999998</v>
      </c>
      <c r="F2424" s="116">
        <v>2238.9499999999998</v>
      </c>
      <c r="G2424">
        <v>6909</v>
      </c>
      <c r="H2424" s="116"/>
      <c r="I2424" s="116"/>
      <c r="L2424" s="169">
        <v>45574</v>
      </c>
      <c r="M2424" s="116">
        <v>2240.35</v>
      </c>
      <c r="N2424" s="116">
        <v>2266.9499999999998</v>
      </c>
      <c r="O2424" s="116">
        <v>2226.65</v>
      </c>
      <c r="P2424" s="116">
        <v>2243</v>
      </c>
      <c r="Q2424" s="116">
        <v>2240.35</v>
      </c>
      <c r="R2424">
        <v>23771</v>
      </c>
    </row>
    <row r="2425" spans="1:18" x14ac:dyDescent="0.25">
      <c r="A2425" s="169">
        <v>45575</v>
      </c>
      <c r="B2425" s="116">
        <v>2268.0500000000002</v>
      </c>
      <c r="C2425" s="116">
        <v>2240.35</v>
      </c>
      <c r="D2425" s="116">
        <v>2226</v>
      </c>
      <c r="E2425" s="116">
        <v>2240.4</v>
      </c>
      <c r="F2425" s="116">
        <v>2240.35</v>
      </c>
      <c r="G2425">
        <v>1482</v>
      </c>
      <c r="H2425" s="116"/>
      <c r="I2425" s="116"/>
      <c r="L2425" s="169">
        <v>45575</v>
      </c>
      <c r="M2425" s="116">
        <v>2247</v>
      </c>
      <c r="N2425" s="116">
        <v>2269.9</v>
      </c>
      <c r="O2425" s="116">
        <v>2226.0500000000002</v>
      </c>
      <c r="P2425" s="116">
        <v>2250</v>
      </c>
      <c r="Q2425" s="116">
        <v>2247</v>
      </c>
      <c r="R2425">
        <v>31154</v>
      </c>
    </row>
    <row r="2426" spans="1:18" x14ac:dyDescent="0.25">
      <c r="A2426" s="169">
        <v>45576</v>
      </c>
      <c r="B2426" s="116">
        <v>2247.35</v>
      </c>
      <c r="C2426" s="116">
        <v>2223.65</v>
      </c>
      <c r="D2426" s="116">
        <v>2221.9499999999998</v>
      </c>
      <c r="E2426" s="116">
        <v>2240</v>
      </c>
      <c r="F2426" s="116">
        <v>2223.65</v>
      </c>
      <c r="G2426">
        <v>1630</v>
      </c>
      <c r="H2426" s="116"/>
      <c r="I2426" s="116"/>
      <c r="L2426" s="169">
        <v>45576</v>
      </c>
      <c r="M2426" s="116">
        <v>2226.25</v>
      </c>
      <c r="N2426" s="116">
        <v>2246.9499999999998</v>
      </c>
      <c r="O2426" s="116">
        <v>2220</v>
      </c>
      <c r="P2426" s="116">
        <v>2236.0500000000002</v>
      </c>
      <c r="Q2426" s="116">
        <v>2226.25</v>
      </c>
      <c r="R2426">
        <v>20710</v>
      </c>
    </row>
    <row r="2427" spans="1:18" x14ac:dyDescent="0.25">
      <c r="A2427" s="169">
        <v>45579</v>
      </c>
      <c r="B2427" s="116">
        <v>2269.1999999999998</v>
      </c>
      <c r="C2427" s="116">
        <v>2221.15</v>
      </c>
      <c r="D2427" s="116">
        <v>2201</v>
      </c>
      <c r="E2427" s="116">
        <v>2269.1999999999998</v>
      </c>
      <c r="F2427" s="116">
        <v>2221.15</v>
      </c>
      <c r="G2427">
        <v>1705</v>
      </c>
      <c r="H2427" s="116"/>
      <c r="I2427" s="116"/>
      <c r="L2427" s="169">
        <v>45579</v>
      </c>
      <c r="M2427" s="116">
        <v>2220.4</v>
      </c>
      <c r="N2427" s="116">
        <v>2250</v>
      </c>
      <c r="O2427" s="116">
        <v>2201</v>
      </c>
      <c r="P2427" s="116">
        <v>2242</v>
      </c>
      <c r="Q2427" s="116">
        <v>2220.4</v>
      </c>
      <c r="R2427">
        <v>35546</v>
      </c>
    </row>
    <row r="2428" spans="1:18" x14ac:dyDescent="0.25">
      <c r="A2428" s="169">
        <v>45580</v>
      </c>
      <c r="B2428" s="116">
        <v>2262.4499999999998</v>
      </c>
      <c r="C2428" s="116">
        <v>2233</v>
      </c>
      <c r="D2428" s="116">
        <v>2211.25</v>
      </c>
      <c r="E2428" s="116">
        <v>2211.25</v>
      </c>
      <c r="F2428" s="116">
        <v>2233</v>
      </c>
      <c r="G2428">
        <v>6408</v>
      </c>
      <c r="H2428" s="116"/>
      <c r="I2428" s="116"/>
      <c r="L2428" s="169">
        <v>45580</v>
      </c>
      <c r="M2428" s="116">
        <v>2232</v>
      </c>
      <c r="N2428" s="116">
        <v>2262</v>
      </c>
      <c r="O2428" s="116">
        <v>2221.6</v>
      </c>
      <c r="P2428" s="116">
        <v>2228.75</v>
      </c>
      <c r="Q2428" s="116">
        <v>2232</v>
      </c>
      <c r="R2428">
        <v>32387</v>
      </c>
    </row>
    <row r="2429" spans="1:18" x14ac:dyDescent="0.25">
      <c r="A2429" s="169">
        <v>45581</v>
      </c>
      <c r="B2429" s="116">
        <v>2251.1999999999998</v>
      </c>
      <c r="C2429" s="116">
        <v>2224.0500000000002</v>
      </c>
      <c r="D2429" s="116">
        <v>2216.3000000000002</v>
      </c>
      <c r="E2429" s="116">
        <v>2216.3000000000002</v>
      </c>
      <c r="F2429" s="116">
        <v>2224.0500000000002</v>
      </c>
      <c r="G2429">
        <v>3544</v>
      </c>
      <c r="H2429" s="116"/>
      <c r="I2429" s="116"/>
      <c r="L2429" s="169">
        <v>45581</v>
      </c>
      <c r="M2429" s="116">
        <v>2225.8000000000002</v>
      </c>
      <c r="N2429" s="116">
        <v>2252.25</v>
      </c>
      <c r="O2429" s="116">
        <v>2220</v>
      </c>
      <c r="P2429" s="116">
        <v>2243.15</v>
      </c>
      <c r="Q2429" s="116">
        <v>2225.8000000000002</v>
      </c>
      <c r="R2429">
        <v>22839</v>
      </c>
    </row>
    <row r="2430" spans="1:18" x14ac:dyDescent="0.25">
      <c r="A2430" s="169">
        <v>45582</v>
      </c>
      <c r="B2430" s="116">
        <v>2239.4499999999998</v>
      </c>
      <c r="C2430" s="116">
        <v>2200.1999999999998</v>
      </c>
      <c r="D2430" s="116">
        <v>2194.65</v>
      </c>
      <c r="E2430" s="116">
        <v>2224.1</v>
      </c>
      <c r="F2430" s="116">
        <v>2200.1999999999998</v>
      </c>
      <c r="G2430">
        <v>1316</v>
      </c>
      <c r="H2430" s="116"/>
      <c r="I2430" s="116"/>
      <c r="L2430" s="169">
        <v>45582</v>
      </c>
      <c r="M2430" s="116">
        <v>2199.6999999999998</v>
      </c>
      <c r="N2430" s="116">
        <v>2240</v>
      </c>
      <c r="O2430" s="116">
        <v>2195</v>
      </c>
      <c r="P2430" s="116">
        <v>2234.9499999999998</v>
      </c>
      <c r="Q2430" s="116">
        <v>2199.6999999999998</v>
      </c>
      <c r="R2430">
        <v>28173</v>
      </c>
    </row>
    <row r="2431" spans="1:18" x14ac:dyDescent="0.25">
      <c r="A2431" s="169">
        <v>45583</v>
      </c>
      <c r="B2431" s="116">
        <v>2198</v>
      </c>
      <c r="C2431" s="116">
        <v>2173.3000000000002</v>
      </c>
      <c r="D2431" s="116">
        <v>2158.0500000000002</v>
      </c>
      <c r="E2431" s="116">
        <v>2198</v>
      </c>
      <c r="F2431" s="116">
        <v>2173.3000000000002</v>
      </c>
      <c r="G2431">
        <v>4378</v>
      </c>
      <c r="H2431" s="116"/>
      <c r="I2431" s="116"/>
      <c r="L2431" s="169">
        <v>45583</v>
      </c>
      <c r="M2431" s="116">
        <v>2173.6</v>
      </c>
      <c r="N2431" s="116">
        <v>2200.0500000000002</v>
      </c>
      <c r="O2431" s="116">
        <v>2157.0500000000002</v>
      </c>
      <c r="P2431" s="116">
        <v>2198</v>
      </c>
      <c r="Q2431" s="116">
        <v>2173.6</v>
      </c>
      <c r="R2431">
        <v>21918</v>
      </c>
    </row>
    <row r="2432" spans="1:18" x14ac:dyDescent="0.25">
      <c r="A2432" s="169">
        <v>45586</v>
      </c>
      <c r="B2432" s="116">
        <v>2177.1</v>
      </c>
      <c r="C2432" s="116">
        <v>2142.0500000000002</v>
      </c>
      <c r="D2432" s="116">
        <v>2131.6999999999998</v>
      </c>
      <c r="E2432" s="116">
        <v>2174.0500000000002</v>
      </c>
      <c r="F2432" s="116">
        <v>2142.0500000000002</v>
      </c>
      <c r="G2432">
        <v>1836</v>
      </c>
      <c r="H2432" s="116"/>
      <c r="I2432" s="116"/>
      <c r="L2432" s="169">
        <v>45586</v>
      </c>
      <c r="M2432" s="116">
        <v>2141.15</v>
      </c>
      <c r="N2432" s="116">
        <v>2189.9499999999998</v>
      </c>
      <c r="O2432" s="116">
        <v>2135</v>
      </c>
      <c r="P2432" s="116">
        <v>2179.85</v>
      </c>
      <c r="Q2432" s="116">
        <v>2141.15</v>
      </c>
      <c r="R2432">
        <v>30178</v>
      </c>
    </row>
    <row r="2433" spans="1:18" x14ac:dyDescent="0.25">
      <c r="A2433" s="169">
        <v>45587</v>
      </c>
      <c r="B2433" s="116">
        <v>2160</v>
      </c>
      <c r="C2433" s="116">
        <v>2066.35</v>
      </c>
      <c r="D2433" s="116">
        <v>2058</v>
      </c>
      <c r="E2433" s="116">
        <v>2160</v>
      </c>
      <c r="F2433" s="116">
        <v>2066.35</v>
      </c>
      <c r="G2433">
        <v>9319</v>
      </c>
      <c r="H2433" s="116"/>
      <c r="I2433" s="116"/>
      <c r="L2433" s="169">
        <v>45587</v>
      </c>
      <c r="M2433" s="116">
        <v>2066.5</v>
      </c>
      <c r="N2433" s="116">
        <v>2158.65</v>
      </c>
      <c r="O2433" s="116">
        <v>2055.5500000000002</v>
      </c>
      <c r="P2433" s="116">
        <v>2154.9</v>
      </c>
      <c r="Q2433" s="116">
        <v>2066.5</v>
      </c>
      <c r="R2433">
        <v>45317</v>
      </c>
    </row>
    <row r="2434" spans="1:18" x14ac:dyDescent="0.25">
      <c r="A2434" s="169">
        <v>45588</v>
      </c>
      <c r="B2434" s="116">
        <v>2126.9499999999998</v>
      </c>
      <c r="C2434" s="116">
        <v>2078.75</v>
      </c>
      <c r="D2434" s="116">
        <v>2034.9</v>
      </c>
      <c r="E2434" s="116">
        <v>2067</v>
      </c>
      <c r="F2434" s="116">
        <v>2078.75</v>
      </c>
      <c r="G2434">
        <v>3294</v>
      </c>
      <c r="H2434" s="116"/>
      <c r="I2434" s="116"/>
      <c r="L2434" s="169">
        <v>45588</v>
      </c>
      <c r="M2434" s="116">
        <v>2077.65</v>
      </c>
      <c r="N2434" s="116">
        <v>2127.85</v>
      </c>
      <c r="O2434" s="116">
        <v>2031.15</v>
      </c>
      <c r="P2434" s="116">
        <v>2085</v>
      </c>
      <c r="Q2434" s="116">
        <v>2077.65</v>
      </c>
      <c r="R2434">
        <v>51068</v>
      </c>
    </row>
    <row r="2435" spans="1:18" x14ac:dyDescent="0.25">
      <c r="A2435" s="169">
        <v>45589</v>
      </c>
      <c r="B2435" s="116">
        <v>2114.15</v>
      </c>
      <c r="C2435" s="116">
        <v>2063.1</v>
      </c>
      <c r="D2435" s="116">
        <v>2057</v>
      </c>
      <c r="E2435" s="116">
        <v>2114.15</v>
      </c>
      <c r="F2435" s="116">
        <v>2063.1</v>
      </c>
      <c r="G2435">
        <v>3700</v>
      </c>
      <c r="H2435" s="116"/>
      <c r="I2435" s="116"/>
      <c r="L2435" s="169">
        <v>45589</v>
      </c>
      <c r="M2435" s="116">
        <v>2067.85</v>
      </c>
      <c r="N2435" s="116">
        <v>2112.9499999999998</v>
      </c>
      <c r="O2435" s="116">
        <v>2058.15</v>
      </c>
      <c r="P2435" s="116">
        <v>2102.3000000000002</v>
      </c>
      <c r="Q2435" s="116">
        <v>2067.85</v>
      </c>
      <c r="R2435">
        <v>23526</v>
      </c>
    </row>
    <row r="2436" spans="1:18" x14ac:dyDescent="0.25">
      <c r="A2436" s="169">
        <v>45590</v>
      </c>
      <c r="B2436" s="116">
        <v>2112.6999999999998</v>
      </c>
      <c r="C2436" s="116">
        <v>2020.8</v>
      </c>
      <c r="D2436" s="116">
        <v>2003.9</v>
      </c>
      <c r="E2436" s="116">
        <v>2112.6999999999998</v>
      </c>
      <c r="F2436" s="116">
        <v>2020.8</v>
      </c>
      <c r="G2436">
        <v>3301</v>
      </c>
      <c r="H2436" s="116"/>
      <c r="I2436" s="116"/>
      <c r="L2436" s="169">
        <v>45590</v>
      </c>
      <c r="M2436" s="116">
        <v>2020.75</v>
      </c>
      <c r="N2436" s="116">
        <v>2089</v>
      </c>
      <c r="O2436" s="116">
        <v>2001.05</v>
      </c>
      <c r="P2436" s="116">
        <v>2089</v>
      </c>
      <c r="Q2436" s="116">
        <v>2020.75</v>
      </c>
      <c r="R2436">
        <v>51528</v>
      </c>
    </row>
    <row r="2437" spans="1:18" x14ac:dyDescent="0.25">
      <c r="A2437" s="169">
        <v>45593</v>
      </c>
      <c r="B2437" s="116">
        <v>2059.5500000000002</v>
      </c>
      <c r="C2437" s="116">
        <v>2031.85</v>
      </c>
      <c r="D2437" s="116">
        <v>2000</v>
      </c>
      <c r="E2437" s="116">
        <v>2024.05</v>
      </c>
      <c r="F2437" s="116">
        <v>2031.85</v>
      </c>
      <c r="G2437">
        <v>7043</v>
      </c>
      <c r="H2437" s="116"/>
      <c r="I2437" s="116"/>
      <c r="L2437" s="169">
        <v>45593</v>
      </c>
      <c r="M2437" s="116">
        <v>2032</v>
      </c>
      <c r="N2437" s="116">
        <v>2059.5</v>
      </c>
      <c r="O2437" s="116">
        <v>2000.5</v>
      </c>
      <c r="P2437" s="116">
        <v>2050</v>
      </c>
      <c r="Q2437" s="116">
        <v>2032</v>
      </c>
      <c r="R2437">
        <v>37934</v>
      </c>
    </row>
    <row r="2438" spans="1:18" x14ac:dyDescent="0.25">
      <c r="A2438" s="169">
        <v>45594</v>
      </c>
      <c r="B2438" s="116">
        <v>2082</v>
      </c>
      <c r="C2438" s="116">
        <v>2029.3</v>
      </c>
      <c r="D2438" s="116">
        <v>2012</v>
      </c>
      <c r="E2438" s="116">
        <v>2082</v>
      </c>
      <c r="F2438" s="116">
        <v>2029.3</v>
      </c>
      <c r="G2438">
        <v>4001</v>
      </c>
      <c r="H2438" s="116"/>
      <c r="I2438" s="116"/>
      <c r="L2438" s="169">
        <v>45594</v>
      </c>
      <c r="M2438" s="116">
        <v>2032.3</v>
      </c>
      <c r="N2438" s="116">
        <v>2055</v>
      </c>
      <c r="O2438" s="116">
        <v>2012</v>
      </c>
      <c r="P2438" s="116">
        <v>2050</v>
      </c>
      <c r="Q2438" s="116">
        <v>2032.3</v>
      </c>
      <c r="R2438">
        <v>31788</v>
      </c>
    </row>
    <row r="2439" spans="1:18" x14ac:dyDescent="0.25">
      <c r="A2439" s="169">
        <v>45595</v>
      </c>
      <c r="B2439" s="116">
        <v>2129.8000000000002</v>
      </c>
      <c r="C2439" s="116">
        <v>2124.35</v>
      </c>
      <c r="D2439" s="116">
        <v>2010.05</v>
      </c>
      <c r="E2439" s="116">
        <v>2010.05</v>
      </c>
      <c r="F2439" s="116">
        <v>2124.35</v>
      </c>
      <c r="G2439">
        <v>6948</v>
      </c>
      <c r="H2439" s="116"/>
      <c r="I2439" s="116"/>
      <c r="L2439" s="169">
        <v>45595</v>
      </c>
      <c r="M2439" s="116">
        <v>2125.85</v>
      </c>
      <c r="N2439" s="116">
        <v>2136.9499999999998</v>
      </c>
      <c r="O2439" s="116">
        <v>2032.3</v>
      </c>
      <c r="P2439" s="116">
        <v>2034.9</v>
      </c>
      <c r="Q2439" s="116">
        <v>2125.85</v>
      </c>
      <c r="R2439">
        <v>45202</v>
      </c>
    </row>
    <row r="2440" spans="1:18" x14ac:dyDescent="0.25">
      <c r="A2440" s="169">
        <v>45596</v>
      </c>
      <c r="B2440" s="116">
        <v>2166.85</v>
      </c>
      <c r="C2440" s="116">
        <v>2130.65</v>
      </c>
      <c r="D2440" s="116">
        <v>2100.0500000000002</v>
      </c>
      <c r="E2440" s="116">
        <v>2166.85</v>
      </c>
      <c r="F2440" s="116">
        <v>2130.65</v>
      </c>
      <c r="G2440">
        <v>2076</v>
      </c>
      <c r="H2440" s="116"/>
      <c r="I2440" s="116"/>
      <c r="L2440" s="169">
        <v>45596</v>
      </c>
      <c r="M2440" s="116">
        <v>2129.3000000000002</v>
      </c>
      <c r="N2440" s="116">
        <v>2147.9499999999998</v>
      </c>
      <c r="O2440" s="116">
        <v>2098.25</v>
      </c>
      <c r="P2440" s="116">
        <v>2122.1</v>
      </c>
      <c r="Q2440" s="116">
        <v>2129.3000000000002</v>
      </c>
      <c r="R2440">
        <v>31388</v>
      </c>
    </row>
    <row r="2441" spans="1:18" x14ac:dyDescent="0.25">
      <c r="A2441" s="169">
        <v>45597</v>
      </c>
      <c r="B2441" s="116">
        <v>2160.5</v>
      </c>
      <c r="C2441" s="116">
        <v>2154.5</v>
      </c>
      <c r="D2441" s="116">
        <v>2128.6</v>
      </c>
      <c r="E2441" s="116">
        <v>2131.0500000000002</v>
      </c>
      <c r="F2441" s="116">
        <v>2154.5</v>
      </c>
      <c r="G2441">
        <v>1444</v>
      </c>
      <c r="H2441" s="116"/>
      <c r="I2441" s="116"/>
      <c r="L2441" s="169">
        <v>45597</v>
      </c>
      <c r="M2441" s="116">
        <v>2153.5500000000002</v>
      </c>
      <c r="N2441" s="116">
        <v>2160.8000000000002</v>
      </c>
      <c r="O2441" s="116">
        <v>2131</v>
      </c>
      <c r="P2441" s="116">
        <v>2132.9</v>
      </c>
      <c r="Q2441" s="116">
        <v>2153.5500000000002</v>
      </c>
      <c r="R2441">
        <v>6789</v>
      </c>
    </row>
    <row r="2442" spans="1:18" x14ac:dyDescent="0.25">
      <c r="A2442" s="169">
        <v>45600</v>
      </c>
      <c r="B2442" s="116">
        <v>2175</v>
      </c>
      <c r="C2442" s="116">
        <v>2111.6</v>
      </c>
      <c r="D2442" s="116">
        <v>2097.0500000000002</v>
      </c>
      <c r="E2442" s="116">
        <v>2175</v>
      </c>
      <c r="F2442" s="116">
        <v>2111.6</v>
      </c>
      <c r="G2442">
        <v>4587</v>
      </c>
      <c r="H2442" s="116"/>
      <c r="I2442" s="116"/>
      <c r="L2442" s="169">
        <v>45600</v>
      </c>
      <c r="M2442" s="116">
        <v>2111.0500000000002</v>
      </c>
      <c r="N2442" s="116">
        <v>2155.25</v>
      </c>
      <c r="O2442" s="116">
        <v>2097.0500000000002</v>
      </c>
      <c r="P2442" s="116">
        <v>2153</v>
      </c>
      <c r="Q2442" s="116">
        <v>2111.0500000000002</v>
      </c>
      <c r="R2442">
        <v>29429</v>
      </c>
    </row>
    <row r="2443" spans="1:18" x14ac:dyDescent="0.25">
      <c r="A2443" s="169">
        <v>45601</v>
      </c>
      <c r="B2443" s="116">
        <v>2168.15</v>
      </c>
      <c r="C2443" s="116">
        <v>2109.9499999999998</v>
      </c>
      <c r="D2443" s="116">
        <v>2075.0500000000002</v>
      </c>
      <c r="E2443" s="116">
        <v>2118.3000000000002</v>
      </c>
      <c r="F2443" s="116">
        <v>2109.9499999999998</v>
      </c>
      <c r="G2443">
        <v>7969</v>
      </c>
      <c r="H2443" s="116"/>
      <c r="I2443" s="116"/>
      <c r="L2443" s="169">
        <v>45601</v>
      </c>
      <c r="M2443" s="116">
        <v>2110.75</v>
      </c>
      <c r="N2443" s="116">
        <v>2169</v>
      </c>
      <c r="O2443" s="116">
        <v>2075.0500000000002</v>
      </c>
      <c r="P2443" s="116">
        <v>2112</v>
      </c>
      <c r="Q2443" s="116">
        <v>2110.75</v>
      </c>
      <c r="R2443">
        <v>54621</v>
      </c>
    </row>
    <row r="2444" spans="1:18" x14ac:dyDescent="0.25">
      <c r="A2444" s="169">
        <v>45602</v>
      </c>
      <c r="B2444" s="116">
        <v>2152.0500000000002</v>
      </c>
      <c r="C2444" s="116">
        <v>2135.6</v>
      </c>
      <c r="D2444" s="116">
        <v>2110.8000000000002</v>
      </c>
      <c r="E2444" s="116">
        <v>2152.0500000000002</v>
      </c>
      <c r="F2444" s="116">
        <v>2135.6</v>
      </c>
      <c r="G2444">
        <v>3566</v>
      </c>
      <c r="H2444" s="116"/>
      <c r="I2444" s="116"/>
      <c r="L2444" s="169">
        <v>45602</v>
      </c>
      <c r="M2444" s="116">
        <v>2133.6999999999998</v>
      </c>
      <c r="N2444" s="116">
        <v>2153.35</v>
      </c>
      <c r="O2444" s="116">
        <v>2111.85</v>
      </c>
      <c r="P2444" s="116">
        <v>2148</v>
      </c>
      <c r="Q2444" s="116">
        <v>2133.6999999999998</v>
      </c>
      <c r="R2444">
        <v>30243</v>
      </c>
    </row>
    <row r="2445" spans="1:18" x14ac:dyDescent="0.25">
      <c r="A2445" s="169">
        <v>45603</v>
      </c>
      <c r="B2445" s="116">
        <v>2152.0500000000002</v>
      </c>
      <c r="C2445" s="116">
        <v>2115.4499999999998</v>
      </c>
      <c r="D2445" s="116">
        <v>2106.75</v>
      </c>
      <c r="E2445" s="116">
        <v>2150</v>
      </c>
      <c r="F2445" s="116">
        <v>2115.4499999999998</v>
      </c>
      <c r="G2445">
        <v>4251</v>
      </c>
      <c r="H2445" s="116"/>
      <c r="I2445" s="116"/>
      <c r="L2445" s="169">
        <v>45603</v>
      </c>
      <c r="M2445" s="116">
        <v>2123.3000000000002</v>
      </c>
      <c r="N2445" s="116">
        <v>2151.9</v>
      </c>
      <c r="O2445" s="116">
        <v>2111</v>
      </c>
      <c r="P2445" s="116">
        <v>2139.9499999999998</v>
      </c>
      <c r="Q2445" s="116">
        <v>2123.3000000000002</v>
      </c>
      <c r="R2445">
        <v>30907</v>
      </c>
    </row>
    <row r="2446" spans="1:18" x14ac:dyDescent="0.25">
      <c r="A2446" s="169">
        <v>45604</v>
      </c>
      <c r="B2446" s="116">
        <v>2119.9499999999998</v>
      </c>
      <c r="C2446" s="116">
        <v>2073.3000000000002</v>
      </c>
      <c r="D2446" s="116">
        <v>2062</v>
      </c>
      <c r="E2446" s="116">
        <v>2104.8000000000002</v>
      </c>
      <c r="F2446" s="116">
        <v>2073.3000000000002</v>
      </c>
      <c r="G2446">
        <v>2953</v>
      </c>
      <c r="H2446" s="116"/>
      <c r="I2446" s="116"/>
      <c r="L2446" s="169">
        <v>45604</v>
      </c>
      <c r="M2446" s="116">
        <v>2074.1</v>
      </c>
      <c r="N2446" s="116">
        <v>2132.4</v>
      </c>
      <c r="O2446" s="116">
        <v>2061.5</v>
      </c>
      <c r="P2446" s="116">
        <v>2124.9</v>
      </c>
      <c r="Q2446" s="116">
        <v>2074.1</v>
      </c>
      <c r="R2446">
        <v>31125</v>
      </c>
    </row>
    <row r="2447" spans="1:18" x14ac:dyDescent="0.25">
      <c r="A2447" s="169">
        <v>45607</v>
      </c>
      <c r="B2447" s="116">
        <v>2088.5</v>
      </c>
      <c r="C2447" s="116">
        <v>2056.1999999999998</v>
      </c>
      <c r="D2447" s="116">
        <v>2051.8000000000002</v>
      </c>
      <c r="E2447" s="116">
        <v>2052.25</v>
      </c>
      <c r="F2447" s="116">
        <v>2056.1999999999998</v>
      </c>
      <c r="G2447">
        <v>2483</v>
      </c>
      <c r="H2447" s="116"/>
      <c r="I2447" s="116"/>
      <c r="L2447" s="169">
        <v>45607</v>
      </c>
      <c r="M2447" s="116">
        <v>2054.65</v>
      </c>
      <c r="N2447" s="116">
        <v>2089.9499999999998</v>
      </c>
      <c r="O2447" s="116">
        <v>2050.0500000000002</v>
      </c>
      <c r="P2447" s="116">
        <v>2079.9</v>
      </c>
      <c r="Q2447" s="116">
        <v>2054.65</v>
      </c>
      <c r="R2447">
        <v>26056</v>
      </c>
    </row>
    <row r="2448" spans="1:18" x14ac:dyDescent="0.25">
      <c r="A2448" s="169">
        <v>45608</v>
      </c>
      <c r="B2448" s="116">
        <v>2075.65</v>
      </c>
      <c r="C2448" s="116">
        <v>2032.1</v>
      </c>
      <c r="D2448" s="116">
        <v>2025</v>
      </c>
      <c r="E2448" s="116">
        <v>2043.6</v>
      </c>
      <c r="F2448" s="116">
        <v>2032.1</v>
      </c>
      <c r="G2448">
        <v>3474</v>
      </c>
      <c r="H2448" s="116"/>
      <c r="I2448" s="116"/>
      <c r="L2448" s="169">
        <v>45608</v>
      </c>
      <c r="M2448" s="116">
        <v>2033.35</v>
      </c>
      <c r="N2448" s="116">
        <v>2075.9499999999998</v>
      </c>
      <c r="O2448" s="116">
        <v>2015.05</v>
      </c>
      <c r="P2448" s="116">
        <v>2058</v>
      </c>
      <c r="Q2448" s="116">
        <v>2033.35</v>
      </c>
      <c r="R2448">
        <v>19959</v>
      </c>
    </row>
    <row r="2449" spans="1:18" x14ac:dyDescent="0.25">
      <c r="A2449" s="169">
        <v>45609</v>
      </c>
      <c r="B2449" s="116">
        <v>2026.6</v>
      </c>
      <c r="C2449" s="116">
        <v>1996.65</v>
      </c>
      <c r="D2449" s="116">
        <v>1990.45</v>
      </c>
      <c r="E2449" s="116">
        <v>2010</v>
      </c>
      <c r="F2449" s="116">
        <v>1996.65</v>
      </c>
      <c r="G2449">
        <v>2786</v>
      </c>
      <c r="H2449" s="116"/>
      <c r="I2449" s="116"/>
      <c r="L2449" s="169">
        <v>45609</v>
      </c>
      <c r="M2449" s="116">
        <v>1996.9</v>
      </c>
      <c r="N2449" s="116">
        <v>2048.9499999999998</v>
      </c>
      <c r="O2449" s="116">
        <v>1990</v>
      </c>
      <c r="P2449" s="116">
        <v>2012</v>
      </c>
      <c r="Q2449" s="116">
        <v>1996.9</v>
      </c>
      <c r="R2449">
        <v>33281</v>
      </c>
    </row>
    <row r="2450" spans="1:18" x14ac:dyDescent="0.25">
      <c r="A2450" s="169">
        <v>45610</v>
      </c>
      <c r="B2450" s="116">
        <v>2051.0500000000002</v>
      </c>
      <c r="C2450" s="116">
        <v>2035.3</v>
      </c>
      <c r="D2450" s="116">
        <v>1975</v>
      </c>
      <c r="E2450" s="116">
        <v>1975</v>
      </c>
      <c r="F2450" s="116">
        <v>2035.3</v>
      </c>
      <c r="G2450">
        <v>1970</v>
      </c>
      <c r="H2450" s="116"/>
      <c r="I2450" s="116"/>
      <c r="L2450" s="169">
        <v>45610</v>
      </c>
      <c r="M2450" s="116">
        <v>2031.65</v>
      </c>
      <c r="N2450" s="116">
        <v>2056.75</v>
      </c>
      <c r="O2450" s="116">
        <v>1990.15</v>
      </c>
      <c r="P2450" s="116">
        <v>1996.9</v>
      </c>
      <c r="Q2450" s="116">
        <v>2031.65</v>
      </c>
      <c r="R2450">
        <v>38886</v>
      </c>
    </row>
    <row r="2451" spans="1:18" x14ac:dyDescent="0.25">
      <c r="A2451" s="169">
        <v>45614</v>
      </c>
      <c r="B2451" s="116">
        <v>2025</v>
      </c>
      <c r="C2451" s="116">
        <v>1973.4</v>
      </c>
      <c r="D2451" s="116">
        <v>1955.75</v>
      </c>
      <c r="E2451" s="116">
        <v>2000.15</v>
      </c>
      <c r="F2451" s="116">
        <v>1973.4</v>
      </c>
      <c r="G2451">
        <v>9068</v>
      </c>
      <c r="H2451" s="116"/>
      <c r="I2451" s="116"/>
      <c r="L2451" s="169">
        <v>45614</v>
      </c>
      <c r="M2451" s="116">
        <v>1973.85</v>
      </c>
      <c r="N2451" s="116">
        <v>2031.65</v>
      </c>
      <c r="O2451" s="116">
        <v>1950.05</v>
      </c>
      <c r="P2451" s="116">
        <v>2031.65</v>
      </c>
      <c r="Q2451" s="116">
        <v>1973.85</v>
      </c>
      <c r="R2451">
        <v>65136</v>
      </c>
    </row>
    <row r="2452" spans="1:18" x14ac:dyDescent="0.25">
      <c r="A2452" s="169">
        <v>45615</v>
      </c>
      <c r="B2452" s="116">
        <v>2029.3</v>
      </c>
      <c r="C2452" s="116">
        <v>1992.1</v>
      </c>
      <c r="D2452" s="116">
        <v>1978.55</v>
      </c>
      <c r="E2452" s="116">
        <v>2004.9</v>
      </c>
      <c r="F2452" s="116">
        <v>1992.1</v>
      </c>
      <c r="G2452">
        <v>3261</v>
      </c>
      <c r="H2452" s="116"/>
      <c r="I2452" s="116"/>
      <c r="L2452" s="169">
        <v>45615</v>
      </c>
      <c r="M2452" s="116">
        <v>1995.6</v>
      </c>
      <c r="N2452" s="116">
        <v>2033</v>
      </c>
      <c r="O2452" s="116">
        <v>1981.5</v>
      </c>
      <c r="P2452" s="116">
        <v>1994.4</v>
      </c>
      <c r="Q2452" s="116">
        <v>1995.6</v>
      </c>
      <c r="R2452">
        <v>29433</v>
      </c>
    </row>
    <row r="2453" spans="1:18" x14ac:dyDescent="0.25">
      <c r="A2453" s="169">
        <v>45617</v>
      </c>
      <c r="B2453" s="116">
        <v>1999.75</v>
      </c>
      <c r="C2453" s="116">
        <v>1986.8</v>
      </c>
      <c r="D2453" s="116">
        <v>1974.05</v>
      </c>
      <c r="E2453" s="116">
        <v>1985</v>
      </c>
      <c r="F2453" s="116">
        <v>1986.8</v>
      </c>
      <c r="G2453">
        <v>1755</v>
      </c>
      <c r="H2453" s="116"/>
      <c r="I2453" s="116"/>
      <c r="L2453" s="169">
        <v>45617</v>
      </c>
      <c r="M2453" s="116">
        <v>1984.45</v>
      </c>
      <c r="N2453" s="116">
        <v>1997.95</v>
      </c>
      <c r="O2453" s="116">
        <v>1973</v>
      </c>
      <c r="P2453" s="116">
        <v>1985</v>
      </c>
      <c r="Q2453" s="116">
        <v>1984.45</v>
      </c>
      <c r="R2453">
        <v>25290</v>
      </c>
    </row>
    <row r="2454" spans="1:18" x14ac:dyDescent="0.25">
      <c r="A2454" s="169">
        <v>45618</v>
      </c>
      <c r="B2454" s="116">
        <v>2034.75</v>
      </c>
      <c r="C2454" s="116">
        <v>1983.3</v>
      </c>
      <c r="D2454" s="116">
        <v>1980</v>
      </c>
      <c r="E2454" s="116">
        <v>2034.75</v>
      </c>
      <c r="F2454" s="116">
        <v>1983.3</v>
      </c>
      <c r="G2454">
        <v>5886</v>
      </c>
      <c r="H2454" s="116"/>
      <c r="I2454" s="116"/>
      <c r="L2454" s="169">
        <v>45618</v>
      </c>
      <c r="M2454" s="116">
        <v>1985.2</v>
      </c>
      <c r="N2454" s="116">
        <v>2018.85</v>
      </c>
      <c r="O2454" s="116">
        <v>1972.05</v>
      </c>
      <c r="P2454" s="116">
        <v>1983.2</v>
      </c>
      <c r="Q2454" s="116">
        <v>1985.2</v>
      </c>
      <c r="R2454">
        <v>33393</v>
      </c>
    </row>
    <row r="2455" spans="1:18" x14ac:dyDescent="0.25">
      <c r="A2455" s="169">
        <v>45621</v>
      </c>
      <c r="B2455" s="116">
        <v>2054.8000000000002</v>
      </c>
      <c r="C2455" s="116">
        <v>2023.6</v>
      </c>
      <c r="D2455" s="116">
        <v>2000</v>
      </c>
      <c r="E2455" s="116">
        <v>2023</v>
      </c>
      <c r="F2455" s="116">
        <v>2023.6</v>
      </c>
      <c r="G2455">
        <v>3539</v>
      </c>
      <c r="H2455" s="116"/>
      <c r="I2455" s="116"/>
      <c r="L2455" s="169">
        <v>45621</v>
      </c>
      <c r="M2455" s="116">
        <v>2024.4</v>
      </c>
      <c r="N2455" s="116">
        <v>2057.6999999999998</v>
      </c>
      <c r="O2455" s="116">
        <v>1997</v>
      </c>
      <c r="P2455" s="116">
        <v>1997</v>
      </c>
      <c r="Q2455" s="116">
        <v>2024.4</v>
      </c>
      <c r="R2455">
        <v>52753</v>
      </c>
    </row>
    <row r="2456" spans="1:18" x14ac:dyDescent="0.25">
      <c r="A2456" s="169">
        <v>45622</v>
      </c>
      <c r="B2456" s="116">
        <v>2051.9499999999998</v>
      </c>
      <c r="C2456" s="116">
        <v>2020.05</v>
      </c>
      <c r="D2456" s="116">
        <v>2007</v>
      </c>
      <c r="E2456" s="116">
        <v>2039.95</v>
      </c>
      <c r="F2456" s="116">
        <v>2020.05</v>
      </c>
      <c r="G2456">
        <v>1266</v>
      </c>
      <c r="H2456" s="116"/>
      <c r="I2456" s="116"/>
      <c r="L2456" s="169">
        <v>45622</v>
      </c>
      <c r="M2456" s="116">
        <v>2021.15</v>
      </c>
      <c r="N2456" s="116">
        <v>2053.0500000000002</v>
      </c>
      <c r="O2456" s="116">
        <v>2004.25</v>
      </c>
      <c r="P2456" s="116">
        <v>2025.9</v>
      </c>
      <c r="Q2456" s="116">
        <v>2021.15</v>
      </c>
      <c r="R2456">
        <v>22923</v>
      </c>
    </row>
    <row r="2457" spans="1:18" x14ac:dyDescent="0.25">
      <c r="A2457" s="169">
        <v>45623</v>
      </c>
      <c r="B2457" s="116">
        <v>2035.95</v>
      </c>
      <c r="C2457" s="116">
        <v>2025.2</v>
      </c>
      <c r="D2457" s="116">
        <v>2017.75</v>
      </c>
      <c r="E2457" s="116">
        <v>2024.6</v>
      </c>
      <c r="F2457" s="116">
        <v>2025.2</v>
      </c>
      <c r="G2457">
        <v>1431</v>
      </c>
      <c r="H2457" s="116"/>
      <c r="I2457" s="116"/>
      <c r="L2457" s="169">
        <v>45623</v>
      </c>
      <c r="M2457" s="116">
        <v>2024.5</v>
      </c>
      <c r="N2457" s="116">
        <v>2038</v>
      </c>
      <c r="O2457" s="116">
        <v>2018.15</v>
      </c>
      <c r="P2457" s="116">
        <v>2018.15</v>
      </c>
      <c r="Q2457" s="116">
        <v>2024.5</v>
      </c>
      <c r="R2457">
        <v>18870</v>
      </c>
    </row>
    <row r="2458" spans="1:18" x14ac:dyDescent="0.25">
      <c r="A2458" s="169">
        <v>45624</v>
      </c>
      <c r="B2458" s="116">
        <v>2050</v>
      </c>
      <c r="C2458" s="116">
        <v>2043.3</v>
      </c>
      <c r="D2458" s="116">
        <v>2015.05</v>
      </c>
      <c r="E2458" s="116">
        <v>2015.05</v>
      </c>
      <c r="F2458" s="116">
        <v>2043.3</v>
      </c>
      <c r="G2458">
        <v>4607</v>
      </c>
      <c r="H2458" s="116"/>
      <c r="I2458" s="116"/>
      <c r="L2458" s="169">
        <v>45624</v>
      </c>
      <c r="M2458" s="116">
        <v>2043.35</v>
      </c>
      <c r="N2458" s="116">
        <v>2052</v>
      </c>
      <c r="O2458" s="116">
        <v>2021.4</v>
      </c>
      <c r="P2458" s="116">
        <v>2024.8</v>
      </c>
      <c r="Q2458" s="116">
        <v>2043.35</v>
      </c>
      <c r="R2458">
        <v>23870</v>
      </c>
    </row>
    <row r="2459" spans="1:18" x14ac:dyDescent="0.25">
      <c r="A2459" s="169">
        <v>45625</v>
      </c>
      <c r="B2459" s="116">
        <v>2080</v>
      </c>
      <c r="C2459" s="116">
        <v>2063.6999999999998</v>
      </c>
      <c r="D2459" s="116">
        <v>2036.7</v>
      </c>
      <c r="E2459" s="116">
        <v>2047.9</v>
      </c>
      <c r="F2459" s="116">
        <v>2063.6999999999998</v>
      </c>
      <c r="G2459">
        <v>1951</v>
      </c>
      <c r="H2459" s="116"/>
      <c r="I2459" s="116"/>
      <c r="L2459" s="169">
        <v>45625</v>
      </c>
      <c r="M2459" s="116">
        <v>2064.35</v>
      </c>
      <c r="N2459" s="116">
        <v>2084</v>
      </c>
      <c r="O2459" s="116">
        <v>2040</v>
      </c>
      <c r="P2459" s="116">
        <v>2043.35</v>
      </c>
      <c r="Q2459" s="116">
        <v>2064.35</v>
      </c>
      <c r="R2459">
        <v>23489</v>
      </c>
    </row>
    <row r="2460" spans="1:18" x14ac:dyDescent="0.25">
      <c r="A2460" s="169">
        <v>45628</v>
      </c>
      <c r="B2460" s="116">
        <v>2067.5</v>
      </c>
      <c r="C2460" s="116">
        <v>2038.3</v>
      </c>
      <c r="D2460" s="116">
        <v>2025.95</v>
      </c>
      <c r="E2460" s="116">
        <v>2067.5</v>
      </c>
      <c r="F2460" s="116">
        <v>2038.3</v>
      </c>
      <c r="G2460">
        <v>1372</v>
      </c>
      <c r="H2460" s="116"/>
      <c r="I2460" s="116"/>
      <c r="L2460" s="169">
        <v>45628</v>
      </c>
      <c r="M2460" s="116">
        <v>2039.5</v>
      </c>
      <c r="N2460" s="116">
        <v>2064.35</v>
      </c>
      <c r="O2460" s="116">
        <v>2024.4</v>
      </c>
      <c r="P2460" s="116">
        <v>2051</v>
      </c>
      <c r="Q2460" s="116">
        <v>2039.5</v>
      </c>
      <c r="R2460">
        <v>36068</v>
      </c>
    </row>
    <row r="2461" spans="1:18" x14ac:dyDescent="0.25">
      <c r="A2461" s="169">
        <v>45629</v>
      </c>
      <c r="B2461" s="116">
        <v>2118</v>
      </c>
      <c r="C2461" s="116">
        <v>2083.3000000000002</v>
      </c>
      <c r="D2461" s="116">
        <v>2048.35</v>
      </c>
      <c r="E2461" s="116">
        <v>2075.85</v>
      </c>
      <c r="F2461" s="116">
        <v>2083.3000000000002</v>
      </c>
      <c r="G2461">
        <v>4826</v>
      </c>
      <c r="H2461" s="116"/>
      <c r="I2461" s="116"/>
      <c r="L2461" s="169">
        <v>45629</v>
      </c>
      <c r="M2461" s="116">
        <v>2082.1999999999998</v>
      </c>
      <c r="N2461" s="116">
        <v>2119.9</v>
      </c>
      <c r="O2461" s="116">
        <v>2041</v>
      </c>
      <c r="P2461" s="116">
        <v>2041</v>
      </c>
      <c r="Q2461" s="116">
        <v>2082.1999999999998</v>
      </c>
      <c r="R2461">
        <v>66646</v>
      </c>
    </row>
    <row r="2462" spans="1:18" x14ac:dyDescent="0.25">
      <c r="A2462" s="169">
        <v>45630</v>
      </c>
      <c r="B2462" s="116">
        <v>2100</v>
      </c>
      <c r="C2462" s="116">
        <v>2074.3000000000002</v>
      </c>
      <c r="D2462" s="116">
        <v>2065.3000000000002</v>
      </c>
      <c r="E2462" s="116">
        <v>2100</v>
      </c>
      <c r="F2462" s="116">
        <v>2074.3000000000002</v>
      </c>
      <c r="G2462">
        <v>4283</v>
      </c>
      <c r="H2462" s="116"/>
      <c r="I2462" s="116"/>
      <c r="L2462" s="169">
        <v>45630</v>
      </c>
      <c r="M2462" s="116">
        <v>2074.75</v>
      </c>
      <c r="N2462" s="116">
        <v>2102</v>
      </c>
      <c r="O2462" s="116">
        <v>2066</v>
      </c>
      <c r="P2462" s="116">
        <v>2078.35</v>
      </c>
      <c r="Q2462" s="116">
        <v>2074.75</v>
      </c>
      <c r="R2462">
        <v>22374</v>
      </c>
    </row>
    <row r="2463" spans="1:18" x14ac:dyDescent="0.25">
      <c r="A2463" s="169">
        <v>45631</v>
      </c>
      <c r="B2463" s="116">
        <v>2083.9499999999998</v>
      </c>
      <c r="C2463" s="116">
        <v>2054.0500000000002</v>
      </c>
      <c r="D2463" s="116">
        <v>2048.15</v>
      </c>
      <c r="E2463" s="116">
        <v>2074</v>
      </c>
      <c r="F2463" s="116">
        <v>2054.0500000000002</v>
      </c>
      <c r="G2463">
        <v>2514</v>
      </c>
      <c r="H2463" s="116"/>
      <c r="I2463" s="116"/>
      <c r="L2463" s="169">
        <v>45631</v>
      </c>
      <c r="M2463" s="116">
        <v>2052.75</v>
      </c>
      <c r="N2463" s="116">
        <v>2085</v>
      </c>
      <c r="O2463" s="116">
        <v>2048</v>
      </c>
      <c r="P2463" s="116">
        <v>2070</v>
      </c>
      <c r="Q2463" s="116">
        <v>2052.75</v>
      </c>
      <c r="R2463">
        <v>26598</v>
      </c>
    </row>
    <row r="2464" spans="1:18" x14ac:dyDescent="0.25">
      <c r="A2464" s="169">
        <v>45632</v>
      </c>
      <c r="B2464" s="116">
        <v>2107.85</v>
      </c>
      <c r="C2464" s="116">
        <v>2078</v>
      </c>
      <c r="D2464" s="116">
        <v>2050</v>
      </c>
      <c r="E2464" s="116">
        <v>2084</v>
      </c>
      <c r="F2464" s="116">
        <v>2078</v>
      </c>
      <c r="G2464">
        <v>5159</v>
      </c>
      <c r="H2464" s="116"/>
      <c r="I2464" s="116"/>
      <c r="L2464" s="169">
        <v>45632</v>
      </c>
      <c r="M2464" s="116">
        <v>2078.6999999999998</v>
      </c>
      <c r="N2464" s="116">
        <v>2115</v>
      </c>
      <c r="O2464" s="116">
        <v>2048</v>
      </c>
      <c r="P2464" s="116">
        <v>2057.0500000000002</v>
      </c>
      <c r="Q2464" s="116">
        <v>2078.6999999999998</v>
      </c>
      <c r="R2464">
        <v>39047</v>
      </c>
    </row>
    <row r="2465" spans="1:18" x14ac:dyDescent="0.25">
      <c r="A2465" s="169">
        <v>45635</v>
      </c>
      <c r="B2465" s="116">
        <v>2091.0500000000002</v>
      </c>
      <c r="C2465" s="116">
        <v>2049.5500000000002</v>
      </c>
      <c r="D2465" s="116">
        <v>2043.6</v>
      </c>
      <c r="E2465" s="116">
        <v>2091.0500000000002</v>
      </c>
      <c r="F2465" s="116">
        <v>2049.5500000000002</v>
      </c>
      <c r="G2465">
        <v>2310</v>
      </c>
      <c r="H2465" s="116"/>
      <c r="I2465" s="116"/>
      <c r="L2465" s="169">
        <v>45635</v>
      </c>
      <c r="M2465" s="116">
        <v>2050.65</v>
      </c>
      <c r="N2465" s="116">
        <v>2084.6</v>
      </c>
      <c r="O2465" s="116">
        <v>2045</v>
      </c>
      <c r="P2465" s="116">
        <v>2080</v>
      </c>
      <c r="Q2465" s="116">
        <v>2050.65</v>
      </c>
      <c r="R2465">
        <v>25020</v>
      </c>
    </row>
    <row r="2466" spans="1:18" x14ac:dyDescent="0.25">
      <c r="A2466" s="169">
        <v>45636</v>
      </c>
      <c r="B2466" s="116">
        <v>2062.5500000000002</v>
      </c>
      <c r="C2466" s="116">
        <v>2025.85</v>
      </c>
      <c r="D2466" s="116">
        <v>2021</v>
      </c>
      <c r="E2466" s="116">
        <v>2050</v>
      </c>
      <c r="F2466" s="116">
        <v>2025.85</v>
      </c>
      <c r="G2466">
        <v>2079</v>
      </c>
      <c r="H2466" s="116"/>
      <c r="I2466" s="116"/>
      <c r="L2466" s="169">
        <v>45636</v>
      </c>
      <c r="M2466" s="116">
        <v>2023.55</v>
      </c>
      <c r="N2466" s="116">
        <v>2063.85</v>
      </c>
      <c r="O2466" s="116">
        <v>2020.05</v>
      </c>
      <c r="P2466" s="116">
        <v>2052</v>
      </c>
      <c r="Q2466" s="116">
        <v>2023.55</v>
      </c>
      <c r="R2466">
        <v>84880</v>
      </c>
    </row>
    <row r="2467" spans="1:18" x14ac:dyDescent="0.25">
      <c r="A2467" s="169">
        <v>45637</v>
      </c>
      <c r="B2467" s="116">
        <v>2062.75</v>
      </c>
      <c r="C2467" s="116">
        <v>2025.15</v>
      </c>
      <c r="D2467" s="116">
        <v>2008.7</v>
      </c>
      <c r="E2467" s="116">
        <v>2008.7</v>
      </c>
      <c r="F2467" s="116">
        <v>2025.15</v>
      </c>
      <c r="G2467">
        <v>3824</v>
      </c>
      <c r="H2467" s="116"/>
      <c r="I2467" s="116"/>
      <c r="L2467" s="169">
        <v>45637</v>
      </c>
      <c r="M2467" s="116">
        <v>2024.1</v>
      </c>
      <c r="N2467" s="116">
        <v>2063.4</v>
      </c>
      <c r="O2467" s="116">
        <v>2014</v>
      </c>
      <c r="P2467" s="116">
        <v>2015</v>
      </c>
      <c r="Q2467" s="116">
        <v>2024.1</v>
      </c>
      <c r="R2467">
        <v>23076</v>
      </c>
    </row>
    <row r="2468" spans="1:18" x14ac:dyDescent="0.25">
      <c r="A2468" s="169">
        <v>45638</v>
      </c>
      <c r="B2468" s="116">
        <v>2049.9499999999998</v>
      </c>
      <c r="C2468" s="116">
        <v>2007.9</v>
      </c>
      <c r="D2468" s="116">
        <v>2005</v>
      </c>
      <c r="E2468" s="116">
        <v>2049.9499999999998</v>
      </c>
      <c r="F2468" s="116">
        <v>2007.9</v>
      </c>
      <c r="G2468">
        <v>4152</v>
      </c>
      <c r="H2468" s="116"/>
      <c r="I2468" s="116"/>
      <c r="L2468" s="169">
        <v>45638</v>
      </c>
      <c r="M2468" s="116">
        <v>2008.9</v>
      </c>
      <c r="N2468" s="116">
        <v>2032.4</v>
      </c>
      <c r="O2468" s="116">
        <v>2005</v>
      </c>
      <c r="P2468" s="116">
        <v>2028.05</v>
      </c>
      <c r="Q2468" s="116">
        <v>2008.9</v>
      </c>
      <c r="R2468">
        <v>23110</v>
      </c>
    </row>
    <row r="2469" spans="1:18" x14ac:dyDescent="0.25">
      <c r="A2469" s="169">
        <v>45639</v>
      </c>
      <c r="B2469" s="116">
        <v>2023.8</v>
      </c>
      <c r="C2469" s="116">
        <v>2012.95</v>
      </c>
      <c r="D2469" s="116">
        <v>1990</v>
      </c>
      <c r="E2469" s="116">
        <v>2007.95</v>
      </c>
      <c r="F2469" s="116">
        <v>2012.95</v>
      </c>
      <c r="G2469">
        <v>2058</v>
      </c>
      <c r="H2469" s="116"/>
      <c r="I2469" s="116"/>
      <c r="L2469" s="169">
        <v>45639</v>
      </c>
      <c r="M2469" s="116">
        <v>2016</v>
      </c>
      <c r="N2469" s="116">
        <v>2027.6</v>
      </c>
      <c r="O2469" s="116">
        <v>1990</v>
      </c>
      <c r="P2469" s="116">
        <v>2018.85</v>
      </c>
      <c r="Q2469" s="116">
        <v>2016</v>
      </c>
      <c r="R2469">
        <v>34116</v>
      </c>
    </row>
    <row r="2470" spans="1:18" x14ac:dyDescent="0.25">
      <c r="A2470" s="169">
        <v>45642</v>
      </c>
      <c r="B2470" s="116">
        <v>2027.2</v>
      </c>
      <c r="C2470" s="116">
        <v>2010.6</v>
      </c>
      <c r="D2470" s="116">
        <v>2001.2</v>
      </c>
      <c r="E2470" s="116">
        <v>2020</v>
      </c>
      <c r="F2470" s="116">
        <v>2010.6</v>
      </c>
      <c r="G2470">
        <v>1908</v>
      </c>
      <c r="H2470" s="116"/>
      <c r="I2470" s="116"/>
      <c r="L2470" s="169">
        <v>45642</v>
      </c>
      <c r="M2470" s="116">
        <v>2006.65</v>
      </c>
      <c r="N2470" s="116">
        <v>2025</v>
      </c>
      <c r="O2470" s="116">
        <v>2000</v>
      </c>
      <c r="P2470" s="116">
        <v>2017.4</v>
      </c>
      <c r="Q2470" s="116">
        <v>2006.65</v>
      </c>
      <c r="R2470">
        <v>32940</v>
      </c>
    </row>
    <row r="2471" spans="1:18" x14ac:dyDescent="0.25">
      <c r="A2471" s="169">
        <v>45643</v>
      </c>
      <c r="B2471" s="116">
        <v>2013.25</v>
      </c>
      <c r="C2471" s="116">
        <v>1997.15</v>
      </c>
      <c r="D2471" s="116">
        <v>1991.55</v>
      </c>
      <c r="E2471" s="116">
        <v>2013.25</v>
      </c>
      <c r="F2471" s="116">
        <v>1997.15</v>
      </c>
      <c r="G2471">
        <v>5231</v>
      </c>
      <c r="H2471" s="116"/>
      <c r="I2471" s="116"/>
      <c r="L2471" s="169">
        <v>45643</v>
      </c>
      <c r="M2471" s="116">
        <v>1999.3</v>
      </c>
      <c r="N2471" s="116">
        <v>2016.9</v>
      </c>
      <c r="O2471" s="116">
        <v>1990</v>
      </c>
      <c r="P2471" s="116">
        <v>2002.1</v>
      </c>
      <c r="Q2471" s="116">
        <v>1999.3</v>
      </c>
      <c r="R2471">
        <v>25922</v>
      </c>
    </row>
    <row r="2472" spans="1:18" x14ac:dyDescent="0.25">
      <c r="A2472" s="169">
        <v>45644</v>
      </c>
      <c r="B2472" s="116">
        <v>2020</v>
      </c>
      <c r="C2472" s="116">
        <v>1996.5</v>
      </c>
      <c r="D2472" s="116">
        <v>1994.15</v>
      </c>
      <c r="E2472" s="116">
        <v>1998</v>
      </c>
      <c r="F2472" s="116">
        <v>1996.5</v>
      </c>
      <c r="G2472">
        <v>1772</v>
      </c>
      <c r="H2472" s="116"/>
      <c r="I2472" s="116"/>
      <c r="L2472" s="169">
        <v>45644</v>
      </c>
      <c r="M2472" s="116">
        <v>1998.2</v>
      </c>
      <c r="N2472" s="116">
        <v>2020</v>
      </c>
      <c r="O2472" s="116">
        <v>1993.05</v>
      </c>
      <c r="P2472" s="116">
        <v>1999.6</v>
      </c>
      <c r="Q2472" s="116">
        <v>1998.2</v>
      </c>
      <c r="R2472">
        <v>26417</v>
      </c>
    </row>
    <row r="2473" spans="1:18" x14ac:dyDescent="0.25">
      <c r="A2473" s="169">
        <v>45645</v>
      </c>
      <c r="B2473" s="116">
        <v>2015.95</v>
      </c>
      <c r="C2473" s="116">
        <v>1995.85</v>
      </c>
      <c r="D2473" s="116">
        <v>1980</v>
      </c>
      <c r="E2473" s="116">
        <v>1998.2</v>
      </c>
      <c r="F2473" s="116">
        <v>1995.85</v>
      </c>
      <c r="G2473">
        <v>1744</v>
      </c>
      <c r="H2473" s="116"/>
      <c r="I2473" s="116"/>
      <c r="L2473" s="169">
        <v>45645</v>
      </c>
      <c r="M2473" s="116">
        <v>1998.55</v>
      </c>
      <c r="N2473" s="116">
        <v>2016</v>
      </c>
      <c r="O2473" s="116">
        <v>1980</v>
      </c>
      <c r="P2473" s="116">
        <v>1980</v>
      </c>
      <c r="Q2473" s="116">
        <v>1998.55</v>
      </c>
      <c r="R2473">
        <v>31031</v>
      </c>
    </row>
    <row r="2474" spans="1:18" x14ac:dyDescent="0.25">
      <c r="A2474" s="169">
        <v>45646</v>
      </c>
      <c r="B2474" s="116">
        <v>2038.55</v>
      </c>
      <c r="C2474" s="116">
        <v>1976.4</v>
      </c>
      <c r="D2474" s="116">
        <v>1969.2</v>
      </c>
      <c r="E2474" s="116">
        <v>2038.55</v>
      </c>
      <c r="F2474" s="116">
        <v>1976.4</v>
      </c>
      <c r="G2474">
        <v>1754</v>
      </c>
      <c r="H2474" s="116"/>
      <c r="I2474" s="116"/>
      <c r="L2474" s="169">
        <v>45646</v>
      </c>
      <c r="M2474" s="116">
        <v>1973.85</v>
      </c>
      <c r="N2474" s="116">
        <v>2009</v>
      </c>
      <c r="O2474" s="116">
        <v>1971.1</v>
      </c>
      <c r="P2474" s="116">
        <v>1998</v>
      </c>
      <c r="Q2474" s="116">
        <v>1973.85</v>
      </c>
      <c r="R2474">
        <v>24371</v>
      </c>
    </row>
    <row r="2475" spans="1:18" x14ac:dyDescent="0.25">
      <c r="A2475" s="169">
        <v>45649</v>
      </c>
      <c r="B2475" s="116">
        <v>1986.95</v>
      </c>
      <c r="C2475" s="116">
        <v>1953.45</v>
      </c>
      <c r="D2475" s="116">
        <v>1949.9</v>
      </c>
      <c r="E2475" s="116">
        <v>1976.4</v>
      </c>
      <c r="F2475" s="116">
        <v>1953.45</v>
      </c>
      <c r="G2475">
        <v>4911</v>
      </c>
      <c r="H2475" s="116"/>
      <c r="I2475" s="116"/>
      <c r="L2475" s="169">
        <v>45649</v>
      </c>
      <c r="M2475" s="116">
        <v>1954.3</v>
      </c>
      <c r="N2475" s="116">
        <v>1988</v>
      </c>
      <c r="O2475" s="116">
        <v>1951</v>
      </c>
      <c r="P2475" s="116">
        <v>1974.05</v>
      </c>
      <c r="Q2475" s="116">
        <v>1954.3</v>
      </c>
      <c r="R2475">
        <v>25574</v>
      </c>
    </row>
    <row r="2476" spans="1:18" x14ac:dyDescent="0.25">
      <c r="A2476" s="169">
        <v>45650</v>
      </c>
      <c r="B2476" s="116">
        <v>1971.95</v>
      </c>
      <c r="C2476" s="116">
        <v>1949.65</v>
      </c>
      <c r="D2476" s="116">
        <v>1940.5</v>
      </c>
      <c r="E2476" s="116">
        <v>1940.5</v>
      </c>
      <c r="F2476" s="116">
        <v>1949.65</v>
      </c>
      <c r="G2476">
        <v>2355</v>
      </c>
      <c r="H2476" s="116"/>
      <c r="I2476" s="116"/>
      <c r="L2476" s="169">
        <v>45650</v>
      </c>
      <c r="M2476" s="116">
        <v>1949.6</v>
      </c>
      <c r="N2476" s="116">
        <v>1972.25</v>
      </c>
      <c r="O2476" s="116">
        <v>1946</v>
      </c>
      <c r="P2476" s="116">
        <v>1952</v>
      </c>
      <c r="Q2476" s="116">
        <v>1949.6</v>
      </c>
      <c r="R2476">
        <v>23252</v>
      </c>
    </row>
    <row r="2477" spans="1:18" x14ac:dyDescent="0.25">
      <c r="A2477" s="169">
        <v>45652</v>
      </c>
      <c r="B2477" s="116">
        <v>1966.2</v>
      </c>
      <c r="C2477" s="116">
        <v>1949.3</v>
      </c>
      <c r="D2477" s="116">
        <v>1940.5</v>
      </c>
      <c r="E2477" s="116">
        <v>1951</v>
      </c>
      <c r="F2477" s="116">
        <v>1949.3</v>
      </c>
      <c r="G2477">
        <v>2523</v>
      </c>
      <c r="H2477" s="116"/>
      <c r="I2477" s="116"/>
      <c r="L2477" s="169">
        <v>45652</v>
      </c>
      <c r="M2477" s="116">
        <v>1948.35</v>
      </c>
      <c r="N2477" s="116">
        <v>1965.1</v>
      </c>
      <c r="O2477" s="116">
        <v>1940</v>
      </c>
      <c r="P2477" s="116">
        <v>1949.6</v>
      </c>
      <c r="Q2477" s="116">
        <v>1948.35</v>
      </c>
      <c r="R2477">
        <v>17599</v>
      </c>
    </row>
    <row r="2478" spans="1:18" x14ac:dyDescent="0.25">
      <c r="A2478" s="169">
        <v>45653</v>
      </c>
      <c r="B2478" s="116">
        <v>1965</v>
      </c>
      <c r="C2478" s="116">
        <v>1945.6</v>
      </c>
      <c r="D2478" s="116">
        <v>1944</v>
      </c>
      <c r="E2478" s="116">
        <v>1965</v>
      </c>
      <c r="F2478" s="116">
        <v>1945.6</v>
      </c>
      <c r="G2478">
        <v>2663</v>
      </c>
      <c r="H2478" s="116"/>
      <c r="I2478" s="116"/>
      <c r="L2478" s="169">
        <v>45653</v>
      </c>
      <c r="M2478" s="116">
        <v>1944.95</v>
      </c>
      <c r="N2478" s="116">
        <v>1956</v>
      </c>
      <c r="O2478" s="116">
        <v>1944</v>
      </c>
      <c r="P2478" s="116">
        <v>1952</v>
      </c>
      <c r="Q2478" s="116">
        <v>1944.95</v>
      </c>
      <c r="R2478">
        <v>11154</v>
      </c>
    </row>
    <row r="2479" spans="1:18" x14ac:dyDescent="0.25">
      <c r="A2479" s="169">
        <v>45656</v>
      </c>
      <c r="B2479" s="116">
        <v>1959.9</v>
      </c>
      <c r="C2479" s="116">
        <v>1742.55</v>
      </c>
      <c r="D2479" s="116">
        <v>1718.5</v>
      </c>
      <c r="E2479" s="116">
        <v>1941.45</v>
      </c>
      <c r="F2479" s="116">
        <v>1742.55</v>
      </c>
      <c r="G2479">
        <v>29424</v>
      </c>
      <c r="H2479" s="116"/>
      <c r="I2479" s="116"/>
      <c r="L2479" s="169">
        <v>45656</v>
      </c>
      <c r="M2479" s="116">
        <v>1743.95</v>
      </c>
      <c r="N2479" s="116">
        <v>1966.9</v>
      </c>
      <c r="O2479" s="116">
        <v>1720.05</v>
      </c>
      <c r="P2479" s="116">
        <v>1944.95</v>
      </c>
      <c r="Q2479" s="116">
        <v>1743.95</v>
      </c>
      <c r="R2479">
        <v>264219</v>
      </c>
    </row>
    <row r="2480" spans="1:18" x14ac:dyDescent="0.25">
      <c r="A2480" s="169">
        <v>45657</v>
      </c>
      <c r="B2480" s="116">
        <v>1805.35</v>
      </c>
      <c r="C2480" s="116">
        <v>1788</v>
      </c>
      <c r="D2480" s="116">
        <v>1712.2</v>
      </c>
      <c r="E2480" s="116">
        <v>1759.8</v>
      </c>
      <c r="F2480" s="116">
        <v>1788</v>
      </c>
      <c r="G2480">
        <v>15584</v>
      </c>
      <c r="H2480" s="116"/>
      <c r="I2480" s="116"/>
      <c r="L2480" s="169">
        <v>45657</v>
      </c>
      <c r="M2480" s="116">
        <v>1786.7</v>
      </c>
      <c r="N2480" s="116">
        <v>1809.4</v>
      </c>
      <c r="O2480" s="116">
        <v>1711.4</v>
      </c>
      <c r="P2480" s="116">
        <v>1751.2</v>
      </c>
      <c r="Q2480" s="116">
        <v>1786.7</v>
      </c>
      <c r="R2480">
        <v>244776</v>
      </c>
    </row>
    <row r="2481" spans="1:18" x14ac:dyDescent="0.25">
      <c r="A2481" s="169">
        <v>45658</v>
      </c>
      <c r="B2481" s="116">
        <v>1825.55</v>
      </c>
      <c r="C2481" s="116">
        <v>1803</v>
      </c>
      <c r="D2481" s="116">
        <v>1777.55</v>
      </c>
      <c r="E2481" s="116">
        <v>1799.95</v>
      </c>
      <c r="F2481" s="116">
        <v>1803</v>
      </c>
      <c r="G2481">
        <v>7780</v>
      </c>
      <c r="H2481" s="116"/>
      <c r="I2481" s="116"/>
      <c r="L2481" s="169">
        <v>45658</v>
      </c>
      <c r="M2481" s="116">
        <v>1803.2</v>
      </c>
      <c r="N2481" s="116">
        <v>1824.35</v>
      </c>
      <c r="O2481" s="116">
        <v>1778.1</v>
      </c>
      <c r="P2481" s="116">
        <v>1786.75</v>
      </c>
      <c r="Q2481" s="116">
        <v>1803.2</v>
      </c>
      <c r="R2481">
        <v>43428</v>
      </c>
    </row>
    <row r="2482" spans="1:18" x14ac:dyDescent="0.25">
      <c r="A2482" s="169">
        <v>45659</v>
      </c>
      <c r="B2482" s="116">
        <v>1814.1</v>
      </c>
      <c r="C2482" s="116">
        <v>1781.6</v>
      </c>
      <c r="D2482" s="116">
        <v>1767.85</v>
      </c>
      <c r="E2482" s="116">
        <v>1800</v>
      </c>
      <c r="F2482" s="116">
        <v>1781.6</v>
      </c>
      <c r="G2482">
        <v>2477</v>
      </c>
      <c r="H2482" s="116"/>
      <c r="I2482" s="116"/>
      <c r="L2482" s="169">
        <v>45659</v>
      </c>
      <c r="M2482" s="116">
        <v>1781.45</v>
      </c>
      <c r="N2482" s="116">
        <v>1811.6</v>
      </c>
      <c r="O2482" s="116">
        <v>1769</v>
      </c>
      <c r="P2482" s="116">
        <v>1799</v>
      </c>
      <c r="Q2482" s="116">
        <v>1781.45</v>
      </c>
      <c r="R2482">
        <v>42634</v>
      </c>
    </row>
    <row r="2483" spans="1:18" x14ac:dyDescent="0.25">
      <c r="A2483" s="169">
        <v>45660</v>
      </c>
      <c r="B2483" s="116">
        <v>1818</v>
      </c>
      <c r="C2483" s="116">
        <v>1771.5</v>
      </c>
      <c r="D2483" s="116">
        <v>1765</v>
      </c>
      <c r="E2483" s="116">
        <v>1797.05</v>
      </c>
      <c r="F2483" s="116">
        <v>1771.5</v>
      </c>
      <c r="G2483">
        <v>7383</v>
      </c>
      <c r="H2483" s="116"/>
      <c r="I2483" s="116"/>
      <c r="L2483" s="169">
        <v>45660</v>
      </c>
      <c r="M2483" s="116">
        <v>1772.3</v>
      </c>
      <c r="N2483" s="116">
        <v>1819.95</v>
      </c>
      <c r="O2483" s="116">
        <v>1765.5</v>
      </c>
      <c r="P2483" s="116">
        <v>1800</v>
      </c>
      <c r="Q2483" s="116">
        <v>1772.3</v>
      </c>
      <c r="R2483">
        <v>48769</v>
      </c>
    </row>
    <row r="2484" spans="1:18" x14ac:dyDescent="0.25">
      <c r="A2484" s="169">
        <v>45663</v>
      </c>
      <c r="B2484" s="116">
        <v>1822.85</v>
      </c>
      <c r="C2484" s="116">
        <v>1729.2</v>
      </c>
      <c r="D2484" s="116">
        <v>1721.05</v>
      </c>
      <c r="E2484" s="116">
        <v>1822.85</v>
      </c>
      <c r="F2484" s="116">
        <v>1729.2</v>
      </c>
      <c r="G2484">
        <v>4158</v>
      </c>
      <c r="H2484" s="116"/>
      <c r="I2484" s="116"/>
      <c r="L2484" s="169">
        <v>45663</v>
      </c>
      <c r="M2484" s="116">
        <v>1724.4</v>
      </c>
      <c r="N2484" s="116">
        <v>1772.3</v>
      </c>
      <c r="O2484" s="116">
        <v>1700</v>
      </c>
      <c r="P2484" s="116">
        <v>1772.3</v>
      </c>
      <c r="Q2484" s="116">
        <v>1724.4</v>
      </c>
      <c r="R2484">
        <v>81369</v>
      </c>
    </row>
    <row r="2485" spans="1:18" x14ac:dyDescent="0.25">
      <c r="A2485" s="169">
        <v>45664</v>
      </c>
      <c r="B2485" s="116">
        <v>1776.3</v>
      </c>
      <c r="C2485" s="116">
        <v>1764.55</v>
      </c>
      <c r="D2485" s="116">
        <v>1724.15</v>
      </c>
      <c r="E2485" s="116">
        <v>1725</v>
      </c>
      <c r="F2485" s="116">
        <v>1764.55</v>
      </c>
      <c r="G2485">
        <v>5141</v>
      </c>
      <c r="H2485" s="116"/>
      <c r="I2485" s="116"/>
      <c r="L2485" s="169">
        <v>45664</v>
      </c>
      <c r="M2485" s="116">
        <v>1766.35</v>
      </c>
      <c r="N2485" s="116">
        <v>1778.95</v>
      </c>
      <c r="O2485" s="116">
        <v>1724.4</v>
      </c>
      <c r="P2485" s="116">
        <v>1724.4</v>
      </c>
      <c r="Q2485" s="116">
        <v>1766.35</v>
      </c>
      <c r="R2485">
        <v>38507</v>
      </c>
    </row>
    <row r="2486" spans="1:18" x14ac:dyDescent="0.25">
      <c r="A2486" s="169">
        <v>45665</v>
      </c>
      <c r="B2486" s="116">
        <v>1766.05</v>
      </c>
      <c r="C2486" s="116">
        <v>1740.9</v>
      </c>
      <c r="D2486" s="116">
        <v>1697.5</v>
      </c>
      <c r="E2486" s="116">
        <v>1766</v>
      </c>
      <c r="F2486" s="116">
        <v>1740.9</v>
      </c>
      <c r="G2486">
        <v>4466</v>
      </c>
      <c r="H2486" s="116"/>
      <c r="I2486" s="116"/>
      <c r="L2486" s="169">
        <v>45665</v>
      </c>
      <c r="M2486" s="116">
        <v>1741</v>
      </c>
      <c r="N2486" s="116">
        <v>1780</v>
      </c>
      <c r="O2486" s="116">
        <v>1698.7</v>
      </c>
      <c r="P2486" s="116">
        <v>1780</v>
      </c>
      <c r="Q2486" s="116">
        <v>1741</v>
      </c>
      <c r="R2486">
        <v>71321</v>
      </c>
    </row>
    <row r="2487" spans="1:18" x14ac:dyDescent="0.25">
      <c r="A2487" s="169">
        <v>45666</v>
      </c>
      <c r="B2487" s="116">
        <v>1980</v>
      </c>
      <c r="C2487" s="116">
        <v>1902.75</v>
      </c>
      <c r="D2487" s="116">
        <v>1741</v>
      </c>
      <c r="E2487" s="116">
        <v>1743.95</v>
      </c>
      <c r="F2487" s="116">
        <v>1902.75</v>
      </c>
      <c r="G2487">
        <v>77599</v>
      </c>
      <c r="H2487" s="116"/>
      <c r="I2487" s="116"/>
      <c r="L2487" s="169">
        <v>45666</v>
      </c>
      <c r="M2487" s="116">
        <v>1909.05</v>
      </c>
      <c r="N2487" s="116">
        <v>1980</v>
      </c>
      <c r="O2487" s="116">
        <v>1735.05</v>
      </c>
      <c r="P2487" s="116">
        <v>1740.05</v>
      </c>
      <c r="Q2487" s="116">
        <v>1909.05</v>
      </c>
      <c r="R2487">
        <v>3363611</v>
      </c>
    </row>
    <row r="2488" spans="1:18" x14ac:dyDescent="0.25">
      <c r="A2488" s="169">
        <v>45667</v>
      </c>
      <c r="B2488" s="116">
        <v>1860</v>
      </c>
      <c r="C2488" s="116">
        <v>1798.8</v>
      </c>
      <c r="D2488" s="116">
        <v>1785</v>
      </c>
      <c r="E2488" s="116">
        <v>1859.95</v>
      </c>
      <c r="F2488" s="116">
        <v>1798.8</v>
      </c>
      <c r="G2488">
        <v>8438</v>
      </c>
      <c r="H2488" s="116"/>
      <c r="I2488" s="116"/>
      <c r="L2488" s="169">
        <v>45667</v>
      </c>
      <c r="M2488" s="116">
        <v>1798.05</v>
      </c>
      <c r="N2488" s="116">
        <v>1862</v>
      </c>
      <c r="O2488" s="116">
        <v>1785.25</v>
      </c>
      <c r="P2488" s="116">
        <v>1850</v>
      </c>
      <c r="Q2488" s="116">
        <v>1798.05</v>
      </c>
      <c r="R2488">
        <v>335824</v>
      </c>
    </row>
    <row r="2489" spans="1:18" x14ac:dyDescent="0.25">
      <c r="A2489" s="169">
        <v>45670</v>
      </c>
      <c r="B2489" s="116">
        <v>1769.75</v>
      </c>
      <c r="C2489" s="116">
        <v>1710.15</v>
      </c>
      <c r="D2489" s="116">
        <v>1705</v>
      </c>
      <c r="E2489" s="116">
        <v>1755.4</v>
      </c>
      <c r="F2489" s="116">
        <v>1710.15</v>
      </c>
      <c r="G2489">
        <v>12465</v>
      </c>
      <c r="H2489" s="116"/>
      <c r="I2489" s="116"/>
      <c r="L2489" s="169">
        <v>45670</v>
      </c>
      <c r="M2489" s="116">
        <v>1708.65</v>
      </c>
      <c r="N2489" s="116">
        <v>1779</v>
      </c>
      <c r="O2489" s="116">
        <v>1703.05</v>
      </c>
      <c r="P2489" s="116">
        <v>1764.85</v>
      </c>
      <c r="Q2489" s="116">
        <v>1708.65</v>
      </c>
      <c r="R2489">
        <v>101624</v>
      </c>
    </row>
    <row r="2490" spans="1:18" x14ac:dyDescent="0.25">
      <c r="A2490" s="169">
        <v>45671</v>
      </c>
      <c r="B2490" s="116">
        <v>1738.8</v>
      </c>
      <c r="C2490" s="116">
        <v>1714.15</v>
      </c>
      <c r="D2490" s="116">
        <v>1680</v>
      </c>
      <c r="E2490" s="116">
        <v>1735.9</v>
      </c>
      <c r="F2490" s="116">
        <v>1714.15</v>
      </c>
      <c r="G2490">
        <v>11224</v>
      </c>
      <c r="H2490" s="116"/>
      <c r="I2490" s="116"/>
      <c r="L2490" s="169">
        <v>45671</v>
      </c>
      <c r="M2490" s="116">
        <v>1713.8</v>
      </c>
      <c r="N2490" s="116">
        <v>1744.85</v>
      </c>
      <c r="O2490" s="116">
        <v>1677.45</v>
      </c>
      <c r="P2490" s="116">
        <v>1733.8</v>
      </c>
      <c r="Q2490" s="116">
        <v>1713.8</v>
      </c>
      <c r="R2490">
        <v>89986</v>
      </c>
    </row>
    <row r="2491" spans="1:18" x14ac:dyDescent="0.25">
      <c r="A2491" s="169">
        <v>45672</v>
      </c>
      <c r="B2491" s="116">
        <v>1731.9</v>
      </c>
      <c r="C2491" s="116">
        <v>1713.3</v>
      </c>
      <c r="D2491" s="116">
        <v>1700</v>
      </c>
      <c r="E2491" s="116">
        <v>1714.2</v>
      </c>
      <c r="F2491" s="116">
        <v>1713.3</v>
      </c>
      <c r="G2491">
        <v>8332</v>
      </c>
      <c r="H2491" s="116"/>
      <c r="I2491" s="116"/>
      <c r="L2491" s="169">
        <v>45672</v>
      </c>
      <c r="M2491" s="116">
        <v>1715.15</v>
      </c>
      <c r="N2491" s="116">
        <v>1732.05</v>
      </c>
      <c r="O2491" s="116">
        <v>1699</v>
      </c>
      <c r="P2491" s="116">
        <v>1732</v>
      </c>
      <c r="Q2491" s="116">
        <v>1715.15</v>
      </c>
      <c r="R2491">
        <v>45207</v>
      </c>
    </row>
    <row r="2492" spans="1:18" x14ac:dyDescent="0.25">
      <c r="A2492" s="169">
        <v>45673</v>
      </c>
      <c r="B2492" s="116">
        <v>1738</v>
      </c>
      <c r="C2492" s="116">
        <v>1708.5</v>
      </c>
      <c r="D2492" s="116">
        <v>1702</v>
      </c>
      <c r="E2492" s="116">
        <v>1725</v>
      </c>
      <c r="F2492" s="116">
        <v>1708.5</v>
      </c>
      <c r="G2492">
        <v>3438</v>
      </c>
      <c r="H2492" s="116"/>
      <c r="I2492" s="116"/>
      <c r="L2492" s="169">
        <v>45673</v>
      </c>
      <c r="M2492" s="116">
        <v>1708.15</v>
      </c>
      <c r="N2492" s="116">
        <v>1739.05</v>
      </c>
      <c r="O2492" s="116">
        <v>1700.05</v>
      </c>
      <c r="P2492" s="116">
        <v>1717</v>
      </c>
      <c r="Q2492" s="116">
        <v>1708.15</v>
      </c>
      <c r="R2492">
        <v>46878</v>
      </c>
    </row>
    <row r="2493" spans="1:18" x14ac:dyDescent="0.25">
      <c r="A2493" s="169">
        <v>45674</v>
      </c>
      <c r="B2493" s="116">
        <v>1734.65</v>
      </c>
      <c r="C2493" s="116">
        <v>1710.5</v>
      </c>
      <c r="D2493" s="116">
        <v>1697</v>
      </c>
      <c r="E2493" s="116">
        <v>1734.65</v>
      </c>
      <c r="F2493" s="116">
        <v>1710.5</v>
      </c>
      <c r="G2493">
        <v>6517</v>
      </c>
      <c r="H2493" s="116"/>
      <c r="I2493" s="116"/>
      <c r="L2493" s="169">
        <v>45674</v>
      </c>
      <c r="M2493" s="116">
        <v>1711</v>
      </c>
      <c r="N2493" s="116">
        <v>1719.6</v>
      </c>
      <c r="O2493" s="116">
        <v>1695</v>
      </c>
      <c r="P2493" s="116">
        <v>1715</v>
      </c>
      <c r="Q2493" s="116">
        <v>1711</v>
      </c>
      <c r="R2493">
        <v>28131</v>
      </c>
    </row>
    <row r="2494" spans="1:18" x14ac:dyDescent="0.25">
      <c r="A2494" s="169">
        <v>45677</v>
      </c>
      <c r="B2494" s="116">
        <v>1764</v>
      </c>
      <c r="C2494" s="116">
        <v>1749.25</v>
      </c>
      <c r="D2494" s="116">
        <v>1688</v>
      </c>
      <c r="E2494" s="116">
        <v>1706.85</v>
      </c>
      <c r="F2494" s="116">
        <v>1749.25</v>
      </c>
      <c r="G2494">
        <v>5820</v>
      </c>
      <c r="H2494" s="116"/>
      <c r="I2494" s="116"/>
      <c r="L2494" s="169">
        <v>45677</v>
      </c>
      <c r="M2494" s="116">
        <v>1750.2</v>
      </c>
      <c r="N2494" s="116">
        <v>1769.95</v>
      </c>
      <c r="O2494" s="116">
        <v>1687.5</v>
      </c>
      <c r="P2494" s="116">
        <v>1707.1</v>
      </c>
      <c r="Q2494" s="116">
        <v>1750.2</v>
      </c>
      <c r="R2494">
        <v>90943</v>
      </c>
    </row>
    <row r="2495" spans="1:18" x14ac:dyDescent="0.25">
      <c r="A2495" s="169">
        <v>45678</v>
      </c>
      <c r="B2495" s="116">
        <v>1777.4</v>
      </c>
      <c r="C2495" s="116">
        <v>1738.45</v>
      </c>
      <c r="D2495" s="116">
        <v>1727.05</v>
      </c>
      <c r="E2495" s="116">
        <v>1745.85</v>
      </c>
      <c r="F2495" s="116">
        <v>1738.45</v>
      </c>
      <c r="G2495">
        <v>2288</v>
      </c>
      <c r="H2495" s="116"/>
      <c r="I2495" s="116"/>
      <c r="L2495" s="169">
        <v>45678</v>
      </c>
      <c r="M2495" s="116">
        <v>1735.2</v>
      </c>
      <c r="N2495" s="116">
        <v>1779.9</v>
      </c>
      <c r="O2495" s="116">
        <v>1722.6</v>
      </c>
      <c r="P2495" s="116">
        <v>1741.15</v>
      </c>
      <c r="Q2495" s="116">
        <v>1735.2</v>
      </c>
      <c r="R2495">
        <v>53089</v>
      </c>
    </row>
    <row r="2496" spans="1:18" x14ac:dyDescent="0.25">
      <c r="A2496" s="169">
        <v>45679</v>
      </c>
      <c r="B2496" s="116">
        <v>1757.4</v>
      </c>
      <c r="C2496" s="116">
        <v>1712.25</v>
      </c>
      <c r="D2496" s="116">
        <v>1701.4</v>
      </c>
      <c r="E2496" s="116">
        <v>1720.7</v>
      </c>
      <c r="F2496" s="116">
        <v>1712.25</v>
      </c>
      <c r="G2496">
        <v>6382</v>
      </c>
      <c r="H2496" s="116"/>
      <c r="I2496" s="116"/>
      <c r="L2496" s="169">
        <v>45679</v>
      </c>
      <c r="M2496" s="116">
        <v>1712.1</v>
      </c>
      <c r="N2496" s="116">
        <v>1754.95</v>
      </c>
      <c r="O2496" s="116">
        <v>1702.55</v>
      </c>
      <c r="P2496" s="116">
        <v>1749.9</v>
      </c>
      <c r="Q2496" s="116">
        <v>1712.1</v>
      </c>
      <c r="R2496">
        <v>28464</v>
      </c>
    </row>
    <row r="2497" spans="1:18" x14ac:dyDescent="0.25">
      <c r="A2497" s="169">
        <v>45680</v>
      </c>
      <c r="B2497" s="116">
        <v>1725</v>
      </c>
      <c r="C2497" s="116">
        <v>1705.1</v>
      </c>
      <c r="D2497" s="116">
        <v>1700</v>
      </c>
      <c r="E2497" s="116">
        <v>1710</v>
      </c>
      <c r="F2497" s="116">
        <v>1705.1</v>
      </c>
      <c r="G2497">
        <v>4243</v>
      </c>
      <c r="H2497" s="116"/>
      <c r="I2497" s="116"/>
      <c r="L2497" s="169">
        <v>45680</v>
      </c>
      <c r="M2497" s="116">
        <v>1704.4</v>
      </c>
      <c r="N2497" s="116">
        <v>1728.4</v>
      </c>
      <c r="O2497" s="116">
        <v>1699.35</v>
      </c>
      <c r="P2497" s="116">
        <v>1710</v>
      </c>
      <c r="Q2497" s="116">
        <v>1704.4</v>
      </c>
      <c r="R2497">
        <v>21820</v>
      </c>
    </row>
    <row r="2498" spans="1:18" x14ac:dyDescent="0.25">
      <c r="A2498" s="169">
        <v>45681</v>
      </c>
      <c r="B2498" s="116">
        <v>1714</v>
      </c>
      <c r="C2498" s="116">
        <v>1680.25</v>
      </c>
      <c r="D2498" s="116">
        <v>1678</v>
      </c>
      <c r="E2498" s="116">
        <v>1714</v>
      </c>
      <c r="F2498" s="116">
        <v>1680.25</v>
      </c>
      <c r="G2498">
        <v>5446</v>
      </c>
      <c r="H2498" s="116"/>
      <c r="I2498" s="116"/>
      <c r="L2498" s="169">
        <v>45681</v>
      </c>
      <c r="M2498" s="116">
        <v>1680</v>
      </c>
      <c r="N2498" s="116">
        <v>1713.45</v>
      </c>
      <c r="O2498" s="116">
        <v>1677</v>
      </c>
      <c r="P2498" s="116">
        <v>1710.9</v>
      </c>
      <c r="Q2498" s="116">
        <v>1680</v>
      </c>
      <c r="R2498">
        <v>28928</v>
      </c>
    </row>
    <row r="2499" spans="1:18" x14ac:dyDescent="0.25">
      <c r="A2499" s="169">
        <v>45684</v>
      </c>
      <c r="B2499" s="116">
        <v>1679.35</v>
      </c>
      <c r="C2499" s="116">
        <v>1623.75</v>
      </c>
      <c r="D2499" s="116">
        <v>1603.85</v>
      </c>
      <c r="E2499" s="116">
        <v>1679.35</v>
      </c>
      <c r="F2499" s="116">
        <v>1623.75</v>
      </c>
      <c r="G2499">
        <v>14127</v>
      </c>
      <c r="H2499" s="116"/>
      <c r="I2499" s="116"/>
      <c r="L2499" s="169">
        <v>45684</v>
      </c>
      <c r="M2499" s="116">
        <v>1624.55</v>
      </c>
      <c r="N2499" s="116">
        <v>1679.9</v>
      </c>
      <c r="O2499" s="116">
        <v>1604.8</v>
      </c>
      <c r="P2499" s="116">
        <v>1675</v>
      </c>
      <c r="Q2499" s="116">
        <v>1624.55</v>
      </c>
      <c r="R2499">
        <v>43376</v>
      </c>
    </row>
    <row r="2500" spans="1:18" x14ac:dyDescent="0.25">
      <c r="A2500" s="169">
        <v>45685</v>
      </c>
      <c r="B2500" s="116">
        <v>1634</v>
      </c>
      <c r="C2500" s="116">
        <v>1589.5</v>
      </c>
      <c r="D2500" s="116">
        <v>1558.85</v>
      </c>
      <c r="E2500" s="116">
        <v>1620.05</v>
      </c>
      <c r="F2500" s="116">
        <v>1589.5</v>
      </c>
      <c r="G2500">
        <v>4190</v>
      </c>
      <c r="H2500" s="116"/>
      <c r="I2500" s="116"/>
      <c r="L2500" s="169">
        <v>45685</v>
      </c>
      <c r="M2500" s="116">
        <v>1587.25</v>
      </c>
      <c r="N2500" s="116">
        <v>1639.4</v>
      </c>
      <c r="O2500" s="116">
        <v>1557</v>
      </c>
      <c r="P2500" s="116">
        <v>1626.95</v>
      </c>
      <c r="Q2500" s="116">
        <v>1587.25</v>
      </c>
      <c r="R2500">
        <v>59761</v>
      </c>
    </row>
    <row r="2501" spans="1:18" x14ac:dyDescent="0.25">
      <c r="A2501" s="169">
        <v>45686</v>
      </c>
      <c r="B2501" s="116">
        <v>1666.45</v>
      </c>
      <c r="C2501" s="116">
        <v>1655.25</v>
      </c>
      <c r="D2501" s="116">
        <v>1565.05</v>
      </c>
      <c r="E2501" s="116">
        <v>1565.05</v>
      </c>
      <c r="F2501" s="116">
        <v>1655.25</v>
      </c>
      <c r="G2501">
        <v>5223</v>
      </c>
      <c r="H2501" s="116"/>
      <c r="I2501" s="116"/>
      <c r="L2501" s="169">
        <v>45686</v>
      </c>
      <c r="M2501" s="116">
        <v>1656.75</v>
      </c>
      <c r="N2501" s="116">
        <v>1667.25</v>
      </c>
      <c r="O2501" s="116">
        <v>1587.35</v>
      </c>
      <c r="P2501" s="116">
        <v>1589</v>
      </c>
      <c r="Q2501" s="116">
        <v>1656.75</v>
      </c>
      <c r="R2501">
        <v>36684</v>
      </c>
    </row>
    <row r="2502" spans="1:18" x14ac:dyDescent="0.25">
      <c r="A2502" s="169">
        <v>45687</v>
      </c>
      <c r="B2502" s="116">
        <v>1715.35</v>
      </c>
      <c r="C2502" s="116">
        <v>1680.25</v>
      </c>
      <c r="D2502" s="116">
        <v>1651</v>
      </c>
      <c r="E2502" s="116">
        <v>1677.95</v>
      </c>
      <c r="F2502" s="116">
        <v>1680.25</v>
      </c>
      <c r="G2502">
        <v>3654</v>
      </c>
      <c r="H2502" s="116"/>
      <c r="I2502" s="116"/>
      <c r="L2502" s="169">
        <v>45687</v>
      </c>
      <c r="M2502" s="116">
        <v>1682.7</v>
      </c>
      <c r="N2502" s="116">
        <v>1717</v>
      </c>
      <c r="O2502" s="116">
        <v>1654.85</v>
      </c>
      <c r="P2502" s="116">
        <v>1664</v>
      </c>
      <c r="Q2502" s="116">
        <v>1682.7</v>
      </c>
      <c r="R2502">
        <v>61201</v>
      </c>
    </row>
    <row r="2503" spans="1:18" x14ac:dyDescent="0.25">
      <c r="A2503" s="169">
        <v>45688</v>
      </c>
      <c r="B2503" s="116">
        <v>1730.55</v>
      </c>
      <c r="C2503" s="116">
        <v>1723</v>
      </c>
      <c r="D2503" s="116">
        <v>1683</v>
      </c>
      <c r="E2503" s="116">
        <v>1683</v>
      </c>
      <c r="F2503" s="116">
        <v>1723</v>
      </c>
      <c r="G2503">
        <v>4639</v>
      </c>
      <c r="H2503" s="116"/>
      <c r="I2503" s="116"/>
      <c r="L2503" s="169">
        <v>45688</v>
      </c>
      <c r="M2503" s="116">
        <v>1719.7</v>
      </c>
      <c r="N2503" s="116">
        <v>1737.55</v>
      </c>
      <c r="O2503" s="116">
        <v>1670.05</v>
      </c>
      <c r="P2503" s="116">
        <v>1670.05</v>
      </c>
      <c r="Q2503" s="116">
        <v>1719.7</v>
      </c>
      <c r="R2503">
        <v>123182</v>
      </c>
    </row>
    <row r="2504" spans="1:18" x14ac:dyDescent="0.25">
      <c r="A2504" s="169">
        <v>45689</v>
      </c>
      <c r="B2504" s="116">
        <v>1725.1</v>
      </c>
      <c r="C2504" s="116">
        <v>1709.2</v>
      </c>
      <c r="D2504" s="116">
        <v>1683.25</v>
      </c>
      <c r="E2504" s="116">
        <v>1720</v>
      </c>
      <c r="F2504" s="116">
        <v>1709.2</v>
      </c>
      <c r="G2504">
        <v>4088</v>
      </c>
      <c r="H2504" s="116"/>
      <c r="I2504" s="116"/>
      <c r="L2504" s="169">
        <v>45689</v>
      </c>
      <c r="M2504" s="116">
        <v>1709.1</v>
      </c>
      <c r="N2504" s="116">
        <v>1732.95</v>
      </c>
      <c r="O2504" s="116">
        <v>1681.35</v>
      </c>
      <c r="P2504" s="116">
        <v>1732.45</v>
      </c>
      <c r="Q2504" s="116">
        <v>1709.1</v>
      </c>
      <c r="R2504">
        <v>20617</v>
      </c>
    </row>
    <row r="2505" spans="1:18" x14ac:dyDescent="0.25">
      <c r="A2505" s="169">
        <v>45691</v>
      </c>
      <c r="B2505" s="116">
        <v>1790</v>
      </c>
      <c r="C2505" s="116">
        <v>1730.7</v>
      </c>
      <c r="D2505" s="116">
        <v>1683.8</v>
      </c>
      <c r="E2505" s="116">
        <v>1683.8</v>
      </c>
      <c r="F2505" s="116">
        <v>1730.7</v>
      </c>
      <c r="G2505">
        <v>11450</v>
      </c>
      <c r="H2505" s="116"/>
      <c r="I2505" s="116"/>
      <c r="L2505" s="169">
        <v>45691</v>
      </c>
      <c r="M2505" s="116">
        <v>1729.95</v>
      </c>
      <c r="N2505" s="116">
        <v>1792.15</v>
      </c>
      <c r="O2505" s="116">
        <v>1687</v>
      </c>
      <c r="P2505" s="116">
        <v>1700</v>
      </c>
      <c r="Q2505" s="116">
        <v>1729.95</v>
      </c>
      <c r="R2505">
        <v>126560</v>
      </c>
    </row>
    <row r="2506" spans="1:18" x14ac:dyDescent="0.25">
      <c r="A2506" s="169">
        <v>45692</v>
      </c>
      <c r="B2506" s="116">
        <v>1758.45</v>
      </c>
      <c r="C2506" s="116">
        <v>1747.5</v>
      </c>
      <c r="D2506" s="116">
        <v>1726.35</v>
      </c>
      <c r="E2506" s="116">
        <v>1747.65</v>
      </c>
      <c r="F2506" s="116">
        <v>1747.5</v>
      </c>
      <c r="G2506">
        <v>4266</v>
      </c>
      <c r="H2506" s="116"/>
      <c r="I2506" s="116"/>
      <c r="L2506" s="169">
        <v>45692</v>
      </c>
      <c r="M2506" s="116">
        <v>1746.5</v>
      </c>
      <c r="N2506" s="116">
        <v>1758</v>
      </c>
      <c r="O2506" s="116">
        <v>1727</v>
      </c>
      <c r="P2506" s="116">
        <v>1756.2</v>
      </c>
      <c r="Q2506" s="116">
        <v>1746.5</v>
      </c>
      <c r="R2506">
        <v>46813</v>
      </c>
    </row>
    <row r="2507" spans="1:18" x14ac:dyDescent="0.25">
      <c r="A2507" s="169">
        <v>45693</v>
      </c>
      <c r="B2507" s="116">
        <v>1766.2</v>
      </c>
      <c r="C2507" s="116">
        <v>1735.7</v>
      </c>
      <c r="D2507" s="116">
        <v>1730.05</v>
      </c>
      <c r="E2507" s="116">
        <v>1741</v>
      </c>
      <c r="F2507" s="116">
        <v>1735.7</v>
      </c>
      <c r="G2507">
        <v>4216</v>
      </c>
      <c r="H2507" s="116"/>
      <c r="I2507" s="116"/>
      <c r="L2507" s="169">
        <v>45693</v>
      </c>
      <c r="M2507" s="116">
        <v>1736.75</v>
      </c>
      <c r="N2507" s="116">
        <v>1765.55</v>
      </c>
      <c r="O2507" s="116">
        <v>1730</v>
      </c>
      <c r="P2507" s="116">
        <v>1741</v>
      </c>
      <c r="Q2507" s="116">
        <v>1736.75</v>
      </c>
      <c r="R2507">
        <v>30923</v>
      </c>
    </row>
    <row r="2508" spans="1:18" x14ac:dyDescent="0.25">
      <c r="A2508" s="169">
        <v>45694</v>
      </c>
      <c r="B2508" s="116">
        <v>1766.95</v>
      </c>
      <c r="C2508" s="116">
        <v>1755.2</v>
      </c>
      <c r="D2508" s="116">
        <v>1727</v>
      </c>
      <c r="E2508" s="116">
        <v>1736.75</v>
      </c>
      <c r="F2508" s="116">
        <v>1755.2</v>
      </c>
      <c r="G2508">
        <v>2525</v>
      </c>
      <c r="H2508" s="116"/>
      <c r="I2508" s="116"/>
      <c r="L2508" s="169">
        <v>45694</v>
      </c>
      <c r="M2508" s="116">
        <v>1757.25</v>
      </c>
      <c r="N2508" s="116">
        <v>1763.7</v>
      </c>
      <c r="O2508" s="116">
        <v>1725.05</v>
      </c>
      <c r="P2508" s="116">
        <v>1735</v>
      </c>
      <c r="Q2508" s="116">
        <v>1757.25</v>
      </c>
      <c r="R2508">
        <v>54382</v>
      </c>
    </row>
    <row r="2509" spans="1:18" x14ac:dyDescent="0.25">
      <c r="A2509" s="169">
        <v>45695</v>
      </c>
      <c r="B2509" s="116">
        <v>1761.45</v>
      </c>
      <c r="C2509" s="116">
        <v>1719.85</v>
      </c>
      <c r="D2509" s="116">
        <v>1716.1</v>
      </c>
      <c r="E2509" s="116">
        <v>1755.4</v>
      </c>
      <c r="F2509" s="116">
        <v>1719.85</v>
      </c>
      <c r="G2509">
        <v>1434</v>
      </c>
      <c r="H2509" s="116"/>
      <c r="I2509" s="116"/>
      <c r="L2509" s="169">
        <v>45695</v>
      </c>
      <c r="M2509" s="116">
        <v>1721.3</v>
      </c>
      <c r="N2509" s="116">
        <v>1762.8</v>
      </c>
      <c r="O2509" s="116">
        <v>1716</v>
      </c>
      <c r="P2509" s="116">
        <v>1762.8</v>
      </c>
      <c r="Q2509" s="116">
        <v>1721.3</v>
      </c>
      <c r="R2509">
        <v>38239</v>
      </c>
    </row>
    <row r="2510" spans="1:18" x14ac:dyDescent="0.25">
      <c r="A2510" s="169">
        <v>45698</v>
      </c>
      <c r="B2510" s="116">
        <v>1702.65</v>
      </c>
      <c r="C2510" s="116">
        <v>1660.45</v>
      </c>
      <c r="D2510" s="116">
        <v>1620</v>
      </c>
      <c r="E2510" s="116">
        <v>1699.9</v>
      </c>
      <c r="F2510" s="116">
        <v>1660.45</v>
      </c>
      <c r="G2510">
        <v>3143</v>
      </c>
      <c r="H2510" s="116"/>
      <c r="I2510" s="116"/>
      <c r="L2510" s="169">
        <v>45698</v>
      </c>
      <c r="M2510" s="116">
        <v>1661.35</v>
      </c>
      <c r="N2510" s="116">
        <v>1717</v>
      </c>
      <c r="O2510" s="116">
        <v>1601.55</v>
      </c>
      <c r="P2510" s="116">
        <v>1715</v>
      </c>
      <c r="Q2510" s="116">
        <v>1661.35</v>
      </c>
      <c r="R2510">
        <v>84589</v>
      </c>
    </row>
    <row r="2511" spans="1:18" x14ac:dyDescent="0.25">
      <c r="A2511" s="169">
        <v>45699</v>
      </c>
      <c r="B2511" s="116">
        <v>1680</v>
      </c>
      <c r="C2511" s="116">
        <v>1619.35</v>
      </c>
      <c r="D2511" s="116">
        <v>1594.1</v>
      </c>
      <c r="E2511" s="116">
        <v>1680</v>
      </c>
      <c r="F2511" s="116">
        <v>1619.35</v>
      </c>
      <c r="G2511">
        <v>5769</v>
      </c>
      <c r="H2511" s="116"/>
      <c r="I2511" s="116"/>
      <c r="L2511" s="169">
        <v>45699</v>
      </c>
      <c r="M2511" s="116">
        <v>1619.75</v>
      </c>
      <c r="N2511" s="116">
        <v>1662.4</v>
      </c>
      <c r="O2511" s="116">
        <v>1596</v>
      </c>
      <c r="P2511" s="116">
        <v>1661.6</v>
      </c>
      <c r="Q2511" s="116">
        <v>1619.75</v>
      </c>
      <c r="R2511">
        <v>53500</v>
      </c>
    </row>
    <row r="2512" spans="1:18" x14ac:dyDescent="0.25">
      <c r="A2512" s="169">
        <v>45700</v>
      </c>
      <c r="B2512" s="116">
        <v>1602.95</v>
      </c>
      <c r="C2512" s="116">
        <v>1577.45</v>
      </c>
      <c r="D2512" s="116">
        <v>1530</v>
      </c>
      <c r="E2512" s="116">
        <v>1594</v>
      </c>
      <c r="F2512" s="116">
        <v>1577.45</v>
      </c>
      <c r="G2512">
        <v>9977</v>
      </c>
      <c r="H2512" s="116"/>
      <c r="I2512" s="116"/>
      <c r="L2512" s="169">
        <v>45700</v>
      </c>
      <c r="M2512" s="116">
        <v>1572.75</v>
      </c>
      <c r="N2512" s="116">
        <v>1611.65</v>
      </c>
      <c r="O2512" s="116">
        <v>1526.75</v>
      </c>
      <c r="P2512" s="116">
        <v>1580</v>
      </c>
      <c r="Q2512" s="116">
        <v>1572.75</v>
      </c>
      <c r="R2512">
        <v>82303</v>
      </c>
    </row>
    <row r="2513" spans="1:18" x14ac:dyDescent="0.25">
      <c r="A2513" s="169">
        <v>45701</v>
      </c>
      <c r="B2513" s="116">
        <v>1548.95</v>
      </c>
      <c r="C2513" s="116">
        <v>1517.15</v>
      </c>
      <c r="D2513" s="116">
        <v>1484.7</v>
      </c>
      <c r="E2513" s="116">
        <v>1484.7</v>
      </c>
      <c r="F2513" s="116">
        <v>1517.15</v>
      </c>
      <c r="G2513">
        <v>12722</v>
      </c>
      <c r="H2513" s="116"/>
      <c r="I2513" s="116"/>
      <c r="L2513" s="169">
        <v>45701</v>
      </c>
      <c r="M2513" s="116">
        <v>1516.2</v>
      </c>
      <c r="N2513" s="116">
        <v>1547.4</v>
      </c>
      <c r="O2513" s="116">
        <v>1489.75</v>
      </c>
      <c r="P2513" s="116">
        <v>1511.1</v>
      </c>
      <c r="Q2513" s="116">
        <v>1516.2</v>
      </c>
      <c r="R2513">
        <v>152376</v>
      </c>
    </row>
    <row r="2514" spans="1:18" x14ac:dyDescent="0.25">
      <c r="A2514" s="169">
        <v>45702</v>
      </c>
      <c r="B2514" s="116">
        <v>1522.2</v>
      </c>
      <c r="C2514" s="116">
        <v>1434.05</v>
      </c>
      <c r="D2514" s="116">
        <v>1427.1</v>
      </c>
      <c r="E2514" s="116">
        <v>1517.15</v>
      </c>
      <c r="F2514" s="116">
        <v>1434.05</v>
      </c>
      <c r="G2514">
        <v>15298</v>
      </c>
      <c r="H2514" s="116"/>
      <c r="I2514" s="116"/>
      <c r="L2514" s="169">
        <v>45702</v>
      </c>
      <c r="M2514" s="116">
        <v>1433.15</v>
      </c>
      <c r="N2514" s="116">
        <v>1530.6</v>
      </c>
      <c r="O2514" s="116">
        <v>1425.15</v>
      </c>
      <c r="P2514" s="116">
        <v>1516.2</v>
      </c>
      <c r="Q2514" s="116">
        <v>1433.15</v>
      </c>
      <c r="R2514">
        <v>100034</v>
      </c>
    </row>
    <row r="2515" spans="1:18" x14ac:dyDescent="0.25">
      <c r="A2515" s="169">
        <v>45705</v>
      </c>
      <c r="B2515" s="116">
        <v>1443.5</v>
      </c>
      <c r="C2515" s="116">
        <v>1390.2</v>
      </c>
      <c r="D2515" s="116">
        <v>1367.5</v>
      </c>
      <c r="E2515" s="116">
        <v>1434.05</v>
      </c>
      <c r="F2515" s="116">
        <v>1390.2</v>
      </c>
      <c r="G2515">
        <v>18231</v>
      </c>
      <c r="H2515" s="116"/>
      <c r="I2515" s="116"/>
      <c r="L2515" s="169">
        <v>45705</v>
      </c>
      <c r="M2515" s="116">
        <v>1388.85</v>
      </c>
      <c r="N2515" s="116">
        <v>1446.5</v>
      </c>
      <c r="O2515" s="116">
        <v>1366.35</v>
      </c>
      <c r="P2515" s="116">
        <v>1433.15</v>
      </c>
      <c r="Q2515" s="116">
        <v>1388.85</v>
      </c>
      <c r="R2515">
        <v>90560</v>
      </c>
    </row>
    <row r="2516" spans="1:18" x14ac:dyDescent="0.25">
      <c r="A2516" s="169">
        <v>45706</v>
      </c>
      <c r="B2516" s="116">
        <v>1408.75</v>
      </c>
      <c r="C2516" s="116">
        <v>1354.7</v>
      </c>
      <c r="D2516" s="116">
        <v>1334</v>
      </c>
      <c r="E2516" s="116">
        <v>1396</v>
      </c>
      <c r="F2516" s="116">
        <v>1354.7</v>
      </c>
      <c r="G2516">
        <v>10316</v>
      </c>
      <c r="H2516" s="116"/>
      <c r="I2516" s="116"/>
      <c r="L2516" s="169">
        <v>45706</v>
      </c>
      <c r="M2516" s="116">
        <v>1353.45</v>
      </c>
      <c r="N2516" s="116">
        <v>1405.5</v>
      </c>
      <c r="O2516" s="116">
        <v>1331.75</v>
      </c>
      <c r="P2516" s="116">
        <v>1403</v>
      </c>
      <c r="Q2516" s="116">
        <v>1353.45</v>
      </c>
      <c r="R2516">
        <v>67678</v>
      </c>
    </row>
    <row r="2517" spans="1:18" x14ac:dyDescent="0.25">
      <c r="A2517" s="169">
        <v>45707</v>
      </c>
      <c r="B2517" s="116">
        <v>1403.15</v>
      </c>
      <c r="C2517" s="116">
        <v>1398.9</v>
      </c>
      <c r="D2517" s="116">
        <v>1333.15</v>
      </c>
      <c r="E2517" s="116">
        <v>1355.95</v>
      </c>
      <c r="F2517" s="116">
        <v>1398.9</v>
      </c>
      <c r="G2517">
        <v>6761</v>
      </c>
      <c r="H2517" s="116"/>
      <c r="I2517" s="116"/>
      <c r="L2517" s="169">
        <v>45707</v>
      </c>
      <c r="M2517" s="116">
        <v>1396.75</v>
      </c>
      <c r="N2517" s="116">
        <v>1401.5</v>
      </c>
      <c r="O2517" s="116">
        <v>1340.1</v>
      </c>
      <c r="P2517" s="116">
        <v>1346.75</v>
      </c>
      <c r="Q2517" s="116">
        <v>1396.75</v>
      </c>
      <c r="R2517">
        <v>74160</v>
      </c>
    </row>
    <row r="2518" spans="1:18" x14ac:dyDescent="0.25">
      <c r="A2518" s="169">
        <v>45708</v>
      </c>
      <c r="B2518" s="116">
        <v>1441</v>
      </c>
      <c r="C2518" s="116">
        <v>1434.95</v>
      </c>
      <c r="D2518" s="116">
        <v>1380.3</v>
      </c>
      <c r="E2518" s="116">
        <v>1385</v>
      </c>
      <c r="F2518" s="116">
        <v>1434.95</v>
      </c>
      <c r="G2518">
        <v>6460</v>
      </c>
      <c r="H2518" s="116"/>
      <c r="I2518" s="116"/>
      <c r="L2518" s="169">
        <v>45708</v>
      </c>
      <c r="M2518" s="116">
        <v>1433.05</v>
      </c>
      <c r="N2518" s="116">
        <v>1445</v>
      </c>
      <c r="O2518" s="116">
        <v>1378.95</v>
      </c>
      <c r="P2518" s="116">
        <v>1392</v>
      </c>
      <c r="Q2518" s="116">
        <v>1433.05</v>
      </c>
      <c r="R2518">
        <v>41047</v>
      </c>
    </row>
    <row r="2519" spans="1:18" x14ac:dyDescent="0.25">
      <c r="A2519" s="169">
        <v>45709</v>
      </c>
      <c r="B2519" s="116">
        <v>1465.3</v>
      </c>
      <c r="C2519" s="116">
        <v>1411.05</v>
      </c>
      <c r="D2519" s="116">
        <v>1405</v>
      </c>
      <c r="E2519" s="116">
        <v>1449.85</v>
      </c>
      <c r="F2519" s="116">
        <v>1411.05</v>
      </c>
      <c r="G2519">
        <v>6723</v>
      </c>
      <c r="H2519" s="116"/>
      <c r="I2519" s="116"/>
      <c r="L2519" s="169">
        <v>45709</v>
      </c>
      <c r="M2519" s="116">
        <v>1410.05</v>
      </c>
      <c r="N2519" s="116">
        <v>1465</v>
      </c>
      <c r="O2519" s="116">
        <v>1403</v>
      </c>
      <c r="P2519" s="116">
        <v>1430.2</v>
      </c>
      <c r="Q2519" s="116">
        <v>1410.05</v>
      </c>
      <c r="R2519">
        <v>42650</v>
      </c>
    </row>
    <row r="2520" spans="1:18" x14ac:dyDescent="0.25">
      <c r="A2520" s="169">
        <v>45712</v>
      </c>
      <c r="B2520" s="116">
        <v>1423</v>
      </c>
      <c r="C2520" s="116">
        <v>1386.65</v>
      </c>
      <c r="D2520" s="116">
        <v>1372.5</v>
      </c>
      <c r="E2520" s="116">
        <v>1409.9</v>
      </c>
      <c r="F2520" s="116">
        <v>1386.65</v>
      </c>
      <c r="G2520">
        <v>6660</v>
      </c>
      <c r="H2520" s="116"/>
      <c r="I2520" s="116"/>
      <c r="L2520" s="169">
        <v>45712</v>
      </c>
      <c r="M2520" s="116">
        <v>1388.85</v>
      </c>
      <c r="N2520" s="116">
        <v>1421.8</v>
      </c>
      <c r="O2520" s="116">
        <v>1373</v>
      </c>
      <c r="P2520" s="116">
        <v>1395.05</v>
      </c>
      <c r="Q2520" s="116">
        <v>1388.85</v>
      </c>
      <c r="R2520">
        <v>38506</v>
      </c>
    </row>
    <row r="2521" spans="1:18" x14ac:dyDescent="0.25">
      <c r="A2521" s="169">
        <v>45713</v>
      </c>
      <c r="B2521" s="116">
        <v>1405</v>
      </c>
      <c r="C2521" s="116">
        <v>1381.7</v>
      </c>
      <c r="D2521" s="116">
        <v>1368.8</v>
      </c>
      <c r="E2521" s="116">
        <v>1386.7</v>
      </c>
      <c r="F2521" s="116">
        <v>1381.7</v>
      </c>
      <c r="G2521">
        <v>4350</v>
      </c>
      <c r="H2521" s="116"/>
      <c r="I2521" s="116"/>
      <c r="L2521" s="169">
        <v>45713</v>
      </c>
      <c r="M2521" s="116">
        <v>1381.6</v>
      </c>
      <c r="N2521" s="116">
        <v>1404.8</v>
      </c>
      <c r="O2521" s="116">
        <v>1369.85</v>
      </c>
      <c r="P2521" s="116">
        <v>1388.85</v>
      </c>
      <c r="Q2521" s="116">
        <v>1381.6</v>
      </c>
      <c r="R2521">
        <v>83762</v>
      </c>
    </row>
    <row r="2522" spans="1:18" x14ac:dyDescent="0.25">
      <c r="A2522" s="169">
        <v>45715</v>
      </c>
      <c r="B2522" s="116">
        <v>1389</v>
      </c>
      <c r="C2522" s="116">
        <v>1346.1</v>
      </c>
      <c r="D2522" s="116">
        <v>1341.9</v>
      </c>
      <c r="E2522" s="116">
        <v>1381.15</v>
      </c>
      <c r="F2522" s="116">
        <v>1346.1</v>
      </c>
      <c r="G2522">
        <v>4923</v>
      </c>
      <c r="H2522" s="116"/>
      <c r="I2522" s="116"/>
      <c r="L2522" s="169">
        <v>45715</v>
      </c>
      <c r="M2522" s="116">
        <v>1346.4</v>
      </c>
      <c r="N2522" s="116">
        <v>1395.05</v>
      </c>
      <c r="O2522" s="116">
        <v>1341.15</v>
      </c>
      <c r="P2522" s="116">
        <v>1386.5</v>
      </c>
      <c r="Q2522" s="116">
        <v>1346.4</v>
      </c>
      <c r="R2522">
        <v>27667</v>
      </c>
    </row>
    <row r="2523" spans="1:18" x14ac:dyDescent="0.25">
      <c r="A2523" s="169">
        <v>45716</v>
      </c>
      <c r="B2523" s="116">
        <v>1342</v>
      </c>
      <c r="C2523" s="116">
        <v>1293.5999999999999</v>
      </c>
      <c r="D2523" s="116">
        <v>1280</v>
      </c>
      <c r="E2523" s="116">
        <v>1330.05</v>
      </c>
      <c r="F2523" s="116">
        <v>1293.5999999999999</v>
      </c>
      <c r="G2523">
        <v>8447</v>
      </c>
      <c r="H2523" s="116"/>
      <c r="I2523" s="116"/>
      <c r="L2523" s="169">
        <v>45716</v>
      </c>
      <c r="M2523" s="116">
        <v>1293.3499999999999</v>
      </c>
      <c r="N2523" s="116">
        <v>1339.8</v>
      </c>
      <c r="O2523" s="116">
        <v>1279.25</v>
      </c>
      <c r="P2523" s="116">
        <v>1339.8</v>
      </c>
      <c r="Q2523" s="116">
        <v>1293.3499999999999</v>
      </c>
      <c r="R2523">
        <v>87463</v>
      </c>
    </row>
    <row r="2524" spans="1:18" x14ac:dyDescent="0.25">
      <c r="A2524" s="169">
        <v>45719</v>
      </c>
      <c r="B2524" s="116">
        <v>1304.75</v>
      </c>
      <c r="C2524" s="116">
        <v>1279.8499999999999</v>
      </c>
      <c r="D2524" s="116">
        <v>1229.5</v>
      </c>
      <c r="E2524" s="116">
        <v>1304.75</v>
      </c>
      <c r="F2524" s="116">
        <v>1279.8499999999999</v>
      </c>
      <c r="G2524">
        <v>11775</v>
      </c>
      <c r="H2524" s="116"/>
      <c r="I2524" s="116"/>
      <c r="L2524" s="169">
        <v>45719</v>
      </c>
      <c r="M2524" s="116">
        <v>1281.5</v>
      </c>
      <c r="N2524" s="116">
        <v>1306.75</v>
      </c>
      <c r="O2524" s="116">
        <v>1230.3</v>
      </c>
      <c r="P2524" s="116">
        <v>1297.05</v>
      </c>
      <c r="Q2524" s="116">
        <v>1281.5</v>
      </c>
      <c r="R2524">
        <v>73673</v>
      </c>
    </row>
    <row r="2525" spans="1:18" x14ac:dyDescent="0.25">
      <c r="A2525" s="169">
        <v>45720</v>
      </c>
      <c r="B2525" s="116">
        <v>1299.95</v>
      </c>
      <c r="C2525" s="116">
        <v>1279.1500000000001</v>
      </c>
      <c r="D2525" s="116">
        <v>1252.8499999999999</v>
      </c>
      <c r="E2525" s="116">
        <v>1299.95</v>
      </c>
      <c r="F2525" s="116">
        <v>1279.1500000000001</v>
      </c>
      <c r="G2525">
        <v>9364</v>
      </c>
      <c r="H2525" s="116"/>
      <c r="I2525" s="116"/>
      <c r="L2525" s="169">
        <v>45720</v>
      </c>
      <c r="M2525" s="116">
        <v>1279.45</v>
      </c>
      <c r="N2525" s="116">
        <v>1300</v>
      </c>
      <c r="O2525" s="116">
        <v>1253.9000000000001</v>
      </c>
      <c r="P2525" s="116">
        <v>1270</v>
      </c>
      <c r="Q2525" s="116">
        <v>1279.45</v>
      </c>
      <c r="R2525">
        <v>56141</v>
      </c>
    </row>
    <row r="2526" spans="1:18" x14ac:dyDescent="0.25">
      <c r="A2526" s="169">
        <v>45721</v>
      </c>
      <c r="B2526" s="116">
        <v>1316.95</v>
      </c>
      <c r="C2526" s="116">
        <v>1310.5</v>
      </c>
      <c r="D2526" s="116">
        <v>1286.9000000000001</v>
      </c>
      <c r="E2526" s="116">
        <v>1288.55</v>
      </c>
      <c r="F2526" s="116">
        <v>1310.5</v>
      </c>
      <c r="G2526">
        <v>6685</v>
      </c>
      <c r="H2526" s="116"/>
      <c r="I2526" s="116"/>
      <c r="L2526" s="169">
        <v>45721</v>
      </c>
      <c r="M2526" s="116">
        <v>1309.3499999999999</v>
      </c>
      <c r="N2526" s="116">
        <v>1318.5</v>
      </c>
      <c r="O2526" s="116">
        <v>1279.45</v>
      </c>
      <c r="P2526" s="116">
        <v>1279.45</v>
      </c>
      <c r="Q2526" s="116">
        <v>1309.3499999999999</v>
      </c>
      <c r="R2526">
        <v>57257</v>
      </c>
    </row>
    <row r="2527" spans="1:18" x14ac:dyDescent="0.25">
      <c r="A2527" s="169">
        <v>45722</v>
      </c>
      <c r="B2527" s="116">
        <v>1353.55</v>
      </c>
      <c r="C2527" s="116">
        <v>1329.25</v>
      </c>
      <c r="D2527" s="116">
        <v>1310.55</v>
      </c>
      <c r="E2527" s="116">
        <v>1310.55</v>
      </c>
      <c r="F2527" s="116">
        <v>1329.25</v>
      </c>
      <c r="G2527">
        <v>9256</v>
      </c>
      <c r="H2527" s="116"/>
      <c r="I2527" s="116"/>
      <c r="L2527" s="169">
        <v>45722</v>
      </c>
      <c r="M2527" s="116">
        <v>1328.85</v>
      </c>
      <c r="N2527" s="116">
        <v>1352.65</v>
      </c>
      <c r="O2527" s="116">
        <v>1322.45</v>
      </c>
      <c r="P2527" s="116">
        <v>1324</v>
      </c>
      <c r="Q2527" s="116">
        <v>1328.85</v>
      </c>
      <c r="R2527">
        <v>46152</v>
      </c>
    </row>
    <row r="2528" spans="1:18" x14ac:dyDescent="0.25">
      <c r="A2528" s="169">
        <v>45723</v>
      </c>
      <c r="B2528" s="116">
        <v>1364.75</v>
      </c>
      <c r="C2528" s="116">
        <v>1337.9</v>
      </c>
      <c r="D2528" s="116">
        <v>1325.1</v>
      </c>
      <c r="E2528" s="116">
        <v>1329.3</v>
      </c>
      <c r="F2528" s="116">
        <v>1337.9</v>
      </c>
      <c r="G2528">
        <v>8348</v>
      </c>
      <c r="H2528" s="116"/>
      <c r="I2528" s="116"/>
      <c r="L2528" s="169">
        <v>45723</v>
      </c>
      <c r="M2528" s="116">
        <v>1337.85</v>
      </c>
      <c r="N2528" s="116">
        <v>1364.9</v>
      </c>
      <c r="O2528" s="116">
        <v>1322.05</v>
      </c>
      <c r="P2528" s="116">
        <v>1331.95</v>
      </c>
      <c r="Q2528" s="116">
        <v>1337.85</v>
      </c>
      <c r="R2528">
        <v>69598</v>
      </c>
    </row>
    <row r="2529" spans="1:18" x14ac:dyDescent="0.25">
      <c r="A2529" s="169">
        <v>45726</v>
      </c>
      <c r="B2529" s="116">
        <v>1365.5</v>
      </c>
      <c r="C2529" s="116">
        <v>1290.25</v>
      </c>
      <c r="D2529" s="116">
        <v>1280</v>
      </c>
      <c r="E2529" s="116">
        <v>1332.2</v>
      </c>
      <c r="F2529" s="116">
        <v>1290.25</v>
      </c>
      <c r="G2529">
        <v>9105</v>
      </c>
      <c r="H2529" s="116"/>
      <c r="I2529" s="116"/>
      <c r="L2529" s="169">
        <v>45726</v>
      </c>
      <c r="M2529" s="116">
        <v>1292.9000000000001</v>
      </c>
      <c r="N2529" s="116">
        <v>1375</v>
      </c>
      <c r="O2529" s="116">
        <v>1284.4000000000001</v>
      </c>
      <c r="P2529" s="116">
        <v>1340</v>
      </c>
      <c r="Q2529" s="116">
        <v>1292.9000000000001</v>
      </c>
      <c r="R2529">
        <v>76470</v>
      </c>
    </row>
    <row r="2530" spans="1:18" x14ac:dyDescent="0.25">
      <c r="A2530" s="169">
        <v>45727</v>
      </c>
      <c r="B2530" s="116">
        <v>1283.1500000000001</v>
      </c>
      <c r="C2530" s="116">
        <v>1271.3499999999999</v>
      </c>
      <c r="D2530" s="116">
        <v>1248.45</v>
      </c>
      <c r="E2530" s="116">
        <v>1283.05</v>
      </c>
      <c r="F2530" s="116">
        <v>1271.3499999999999</v>
      </c>
      <c r="G2530">
        <v>10219</v>
      </c>
      <c r="H2530" s="116"/>
      <c r="I2530" s="116"/>
      <c r="L2530" s="169">
        <v>45727</v>
      </c>
      <c r="M2530" s="116">
        <v>1271.7</v>
      </c>
      <c r="N2530" s="116">
        <v>1286</v>
      </c>
      <c r="O2530" s="116">
        <v>1248.0999999999999</v>
      </c>
      <c r="P2530" s="116">
        <v>1286</v>
      </c>
      <c r="Q2530" s="116">
        <v>1271.7</v>
      </c>
      <c r="R2530">
        <v>53539</v>
      </c>
    </row>
    <row r="2531" spans="1:18" x14ac:dyDescent="0.25">
      <c r="A2531" s="169">
        <v>45728</v>
      </c>
      <c r="B2531" s="116">
        <v>1280</v>
      </c>
      <c r="C2531" s="116">
        <v>1244.1500000000001</v>
      </c>
      <c r="D2531" s="116">
        <v>1240.9000000000001</v>
      </c>
      <c r="E2531" s="116">
        <v>1280</v>
      </c>
      <c r="F2531" s="116">
        <v>1244.1500000000001</v>
      </c>
      <c r="G2531">
        <v>1951</v>
      </c>
      <c r="H2531" s="116"/>
      <c r="I2531" s="116"/>
      <c r="L2531" s="169">
        <v>45728</v>
      </c>
      <c r="M2531" s="116">
        <v>1244.2</v>
      </c>
      <c r="N2531" s="116">
        <v>1286.0999999999999</v>
      </c>
      <c r="O2531" s="116">
        <v>1240.2</v>
      </c>
      <c r="P2531" s="116">
        <v>1281.5999999999999</v>
      </c>
      <c r="Q2531" s="116">
        <v>1244.2</v>
      </c>
      <c r="R2531">
        <v>70388</v>
      </c>
    </row>
    <row r="2532" spans="1:18" x14ac:dyDescent="0.25">
      <c r="A2532" s="169">
        <v>45729</v>
      </c>
      <c r="B2532" s="116">
        <v>1244.3</v>
      </c>
      <c r="C2532" s="116">
        <v>1207.5</v>
      </c>
      <c r="D2532" s="116">
        <v>1206</v>
      </c>
      <c r="E2532" s="116">
        <v>1244.3</v>
      </c>
      <c r="F2532" s="116">
        <v>1207.5</v>
      </c>
      <c r="G2532">
        <v>3676</v>
      </c>
      <c r="H2532" s="116"/>
      <c r="I2532" s="116"/>
      <c r="L2532" s="169">
        <v>45729</v>
      </c>
      <c r="M2532" s="116">
        <v>1206.95</v>
      </c>
      <c r="N2532" s="116">
        <v>1246.8</v>
      </c>
      <c r="O2532" s="116">
        <v>1205.2</v>
      </c>
      <c r="P2532" s="116">
        <v>1246.8</v>
      </c>
      <c r="Q2532" s="116">
        <v>1206.95</v>
      </c>
      <c r="R2532">
        <v>94803</v>
      </c>
    </row>
    <row r="2533" spans="1:18" x14ac:dyDescent="0.25">
      <c r="A2533" s="169">
        <v>45733</v>
      </c>
      <c r="B2533" s="116">
        <v>1221.1500000000001</v>
      </c>
      <c r="C2533" s="116">
        <v>1176.7</v>
      </c>
      <c r="D2533" s="116">
        <v>1173.0999999999999</v>
      </c>
      <c r="E2533" s="116">
        <v>1217.5999999999999</v>
      </c>
      <c r="F2533" s="116">
        <v>1176.7</v>
      </c>
      <c r="G2533">
        <v>13703</v>
      </c>
      <c r="H2533" s="116"/>
      <c r="I2533" s="116"/>
      <c r="L2533" s="169">
        <v>45733</v>
      </c>
      <c r="M2533" s="116">
        <v>1177.1500000000001</v>
      </c>
      <c r="N2533" s="116">
        <v>1221.45</v>
      </c>
      <c r="O2533" s="116">
        <v>1171</v>
      </c>
      <c r="P2533" s="116">
        <v>1213.75</v>
      </c>
      <c r="Q2533" s="116">
        <v>1177.1500000000001</v>
      </c>
      <c r="R2533">
        <v>79686</v>
      </c>
    </row>
    <row r="2534" spans="1:18" x14ac:dyDescent="0.25">
      <c r="A2534" s="169">
        <v>45734</v>
      </c>
      <c r="B2534" s="116">
        <v>1219.7</v>
      </c>
      <c r="C2534" s="116">
        <v>1209.5</v>
      </c>
      <c r="D2534" s="116">
        <v>1170.75</v>
      </c>
      <c r="E2534" s="116">
        <v>1170.75</v>
      </c>
      <c r="F2534" s="116">
        <v>1209.5</v>
      </c>
      <c r="G2534">
        <v>5077</v>
      </c>
      <c r="H2534" s="116"/>
      <c r="I2534" s="116"/>
      <c r="L2534" s="169">
        <v>45734</v>
      </c>
      <c r="M2534" s="116">
        <v>1210.05</v>
      </c>
      <c r="N2534" s="116">
        <v>1220</v>
      </c>
      <c r="O2534" s="116">
        <v>1177.25</v>
      </c>
      <c r="P2534" s="116">
        <v>1180.8</v>
      </c>
      <c r="Q2534" s="116">
        <v>1210.05</v>
      </c>
      <c r="R2534">
        <v>85664</v>
      </c>
    </row>
    <row r="2535" spans="1:18" x14ac:dyDescent="0.25">
      <c r="A2535" s="169">
        <v>45735</v>
      </c>
      <c r="B2535" s="116">
        <v>1244.95</v>
      </c>
      <c r="C2535" s="116">
        <v>1232.25</v>
      </c>
      <c r="D2535" s="116">
        <v>1212</v>
      </c>
      <c r="E2535" s="116">
        <v>1220</v>
      </c>
      <c r="F2535" s="116">
        <v>1232.25</v>
      </c>
      <c r="G2535">
        <v>4287</v>
      </c>
      <c r="H2535" s="116"/>
      <c r="I2535" s="116"/>
      <c r="L2535" s="169">
        <v>45735</v>
      </c>
      <c r="M2535" s="116">
        <v>1231.5</v>
      </c>
      <c r="N2535" s="116">
        <v>1245</v>
      </c>
      <c r="O2535" s="116">
        <v>1211.5999999999999</v>
      </c>
      <c r="P2535" s="116">
        <v>1216.1500000000001</v>
      </c>
      <c r="Q2535" s="116">
        <v>1231.5</v>
      </c>
      <c r="R2535">
        <v>94367</v>
      </c>
    </row>
    <row r="2536" spans="1:18" x14ac:dyDescent="0.25">
      <c r="A2536" s="169">
        <v>45736</v>
      </c>
      <c r="B2536" s="116">
        <v>1268.5999999999999</v>
      </c>
      <c r="C2536" s="116">
        <v>1252.8</v>
      </c>
      <c r="D2536" s="116">
        <v>1236.1500000000001</v>
      </c>
      <c r="E2536" s="116">
        <v>1236.1500000000001</v>
      </c>
      <c r="F2536" s="116">
        <v>1252.8</v>
      </c>
      <c r="G2536">
        <v>12268</v>
      </c>
      <c r="H2536" s="116"/>
      <c r="I2536" s="116"/>
      <c r="L2536" s="169">
        <v>45736</v>
      </c>
      <c r="M2536" s="116">
        <v>1253.4000000000001</v>
      </c>
      <c r="N2536" s="116">
        <v>1269.55</v>
      </c>
      <c r="O2536" s="116">
        <v>1235.2</v>
      </c>
      <c r="P2536" s="116">
        <v>1240</v>
      </c>
      <c r="Q2536" s="116">
        <v>1253.4000000000001</v>
      </c>
      <c r="R2536">
        <v>63619</v>
      </c>
    </row>
    <row r="2537" spans="1:18" x14ac:dyDescent="0.25">
      <c r="A2537" s="169">
        <v>45737</v>
      </c>
      <c r="B2537" s="116">
        <v>1284</v>
      </c>
      <c r="C2537" s="116">
        <v>1264.05</v>
      </c>
      <c r="D2537" s="116">
        <v>1245</v>
      </c>
      <c r="E2537" s="116">
        <v>1253</v>
      </c>
      <c r="F2537" s="116">
        <v>1264.05</v>
      </c>
      <c r="G2537">
        <v>4629</v>
      </c>
      <c r="H2537" s="116"/>
      <c r="I2537" s="116"/>
      <c r="L2537" s="169">
        <v>45737</v>
      </c>
      <c r="M2537" s="116">
        <v>1263.25</v>
      </c>
      <c r="N2537" s="116">
        <v>1284.9000000000001</v>
      </c>
      <c r="O2537" s="116">
        <v>1242.05</v>
      </c>
      <c r="P2537" s="116">
        <v>1256.6500000000001</v>
      </c>
      <c r="Q2537" s="116">
        <v>1263.25</v>
      </c>
      <c r="R2537">
        <v>87113</v>
      </c>
    </row>
    <row r="2538" spans="1:18" x14ac:dyDescent="0.25">
      <c r="A2538" s="169">
        <v>45740</v>
      </c>
      <c r="B2538" s="116">
        <v>1395.7</v>
      </c>
      <c r="C2538" s="116">
        <v>1361.95</v>
      </c>
      <c r="D2538" s="116">
        <v>1264.05</v>
      </c>
      <c r="E2538" s="116">
        <v>1265</v>
      </c>
      <c r="F2538" s="116">
        <v>1361.95</v>
      </c>
      <c r="G2538">
        <v>27613</v>
      </c>
      <c r="H2538" s="116"/>
      <c r="I2538" s="116"/>
      <c r="L2538" s="169">
        <v>45740</v>
      </c>
      <c r="M2538" s="116">
        <v>1358</v>
      </c>
      <c r="N2538" s="116">
        <v>1397.3</v>
      </c>
      <c r="O2538" s="116">
        <v>1265</v>
      </c>
      <c r="P2538" s="116">
        <v>1265.75</v>
      </c>
      <c r="Q2538" s="116">
        <v>1358</v>
      </c>
      <c r="R2538">
        <v>334079</v>
      </c>
    </row>
    <row r="2539" spans="1:18" x14ac:dyDescent="0.25">
      <c r="A2539" s="169">
        <v>45741</v>
      </c>
      <c r="B2539" s="116">
        <v>1361.95</v>
      </c>
      <c r="C2539" s="116">
        <v>1302.25</v>
      </c>
      <c r="D2539" s="116">
        <v>1287.1500000000001</v>
      </c>
      <c r="E2539" s="116">
        <v>1361.9</v>
      </c>
      <c r="F2539" s="116">
        <v>1302.25</v>
      </c>
      <c r="G2539">
        <v>16917</v>
      </c>
      <c r="H2539" s="116"/>
      <c r="I2539" s="116"/>
      <c r="L2539" s="169">
        <v>45741</v>
      </c>
      <c r="M2539" s="116">
        <v>1299.8499999999999</v>
      </c>
      <c r="N2539" s="116">
        <v>1363.75</v>
      </c>
      <c r="O2539" s="116">
        <v>1285.8</v>
      </c>
      <c r="P2539" s="116">
        <v>1355</v>
      </c>
      <c r="Q2539" s="116">
        <v>1299.8499999999999</v>
      </c>
      <c r="R2539">
        <v>152327</v>
      </c>
    </row>
    <row r="2540" spans="1:18" x14ac:dyDescent="0.25">
      <c r="A2540" s="169">
        <v>45742</v>
      </c>
      <c r="B2540" s="116">
        <v>1301.95</v>
      </c>
      <c r="C2540" s="116">
        <v>1250.05</v>
      </c>
      <c r="D2540" s="116">
        <v>1243.3</v>
      </c>
      <c r="E2540" s="116">
        <v>1301.95</v>
      </c>
      <c r="F2540" s="116">
        <v>1250.05</v>
      </c>
      <c r="G2540">
        <v>15905</v>
      </c>
      <c r="H2540" s="116"/>
      <c r="I2540" s="116"/>
      <c r="L2540" s="169">
        <v>45742</v>
      </c>
      <c r="M2540" s="116">
        <v>1249.6500000000001</v>
      </c>
      <c r="N2540" s="116">
        <v>1299.3499999999999</v>
      </c>
      <c r="O2540" s="116">
        <v>1243.0999999999999</v>
      </c>
      <c r="P2540" s="116">
        <v>1290.1500000000001</v>
      </c>
      <c r="Q2540" s="116">
        <v>1249.6500000000001</v>
      </c>
      <c r="R2540">
        <v>85127</v>
      </c>
    </row>
    <row r="2541" spans="1:18" x14ac:dyDescent="0.25">
      <c r="A2541" s="169">
        <v>45743</v>
      </c>
      <c r="B2541" s="116">
        <v>1282.3499999999999</v>
      </c>
      <c r="C2541" s="116">
        <v>1242.3499999999999</v>
      </c>
      <c r="D2541" s="116">
        <v>1216.3499999999999</v>
      </c>
      <c r="E2541" s="116">
        <v>1231.3</v>
      </c>
      <c r="F2541" s="116">
        <v>1242.3499999999999</v>
      </c>
      <c r="G2541">
        <v>22048</v>
      </c>
      <c r="H2541" s="116"/>
      <c r="I2541" s="116"/>
      <c r="L2541" s="169">
        <v>45743</v>
      </c>
      <c r="M2541" s="116">
        <v>1243.1500000000001</v>
      </c>
      <c r="N2541" s="116">
        <v>1284.05</v>
      </c>
      <c r="O2541" s="116">
        <v>1216.6500000000001</v>
      </c>
      <c r="P2541" s="116">
        <v>1244</v>
      </c>
      <c r="Q2541" s="116">
        <v>1243.1500000000001</v>
      </c>
      <c r="R2541">
        <v>226582</v>
      </c>
    </row>
    <row r="2542" spans="1:18" x14ac:dyDescent="0.25">
      <c r="A2542" s="169">
        <v>45744</v>
      </c>
      <c r="B2542" s="116">
        <v>1269.3499999999999</v>
      </c>
      <c r="C2542" s="116">
        <v>1207.25</v>
      </c>
      <c r="D2542" s="116">
        <v>1205</v>
      </c>
      <c r="E2542" s="116">
        <v>1243</v>
      </c>
      <c r="F2542" s="116">
        <v>1207.25</v>
      </c>
      <c r="G2542">
        <v>10629</v>
      </c>
      <c r="H2542" s="116"/>
      <c r="I2542" s="116"/>
      <c r="L2542" s="169">
        <v>45744</v>
      </c>
      <c r="M2542" s="116">
        <v>1207.1500000000001</v>
      </c>
      <c r="N2542" s="116">
        <v>1270.3499999999999</v>
      </c>
      <c r="O2542" s="116">
        <v>1204</v>
      </c>
      <c r="P2542" s="116">
        <v>1244</v>
      </c>
      <c r="Q2542" s="116">
        <v>1207.1500000000001</v>
      </c>
      <c r="R2542">
        <v>160585</v>
      </c>
    </row>
    <row r="2543" spans="1:18" x14ac:dyDescent="0.25">
      <c r="A2543" s="169">
        <v>45748</v>
      </c>
      <c r="B2543" s="116">
        <v>1264.6500000000001</v>
      </c>
      <c r="C2543" s="116">
        <v>1251.05</v>
      </c>
      <c r="D2543" s="116">
        <v>1207</v>
      </c>
      <c r="E2543" s="116">
        <v>1220</v>
      </c>
      <c r="F2543" s="116">
        <v>1251.05</v>
      </c>
      <c r="G2543">
        <v>14055</v>
      </c>
      <c r="H2543" s="116"/>
      <c r="I2543" s="116"/>
      <c r="L2543" s="169">
        <v>45748</v>
      </c>
      <c r="M2543" s="116">
        <v>1253.2</v>
      </c>
      <c r="N2543" s="116">
        <v>1264.2</v>
      </c>
      <c r="O2543" s="116">
        <v>1205.3</v>
      </c>
      <c r="P2543" s="116">
        <v>1224.6500000000001</v>
      </c>
      <c r="Q2543" s="116">
        <v>1253.2</v>
      </c>
      <c r="R2543">
        <v>87787</v>
      </c>
    </row>
    <row r="2544" spans="1:18" x14ac:dyDescent="0.25">
      <c r="A2544" s="169">
        <v>45749</v>
      </c>
      <c r="B2544" s="116">
        <v>1261.1500000000001</v>
      </c>
      <c r="C2544" s="116">
        <v>1257.25</v>
      </c>
      <c r="D2544" s="116">
        <v>1220.0999999999999</v>
      </c>
      <c r="E2544" s="116">
        <v>1260.95</v>
      </c>
      <c r="F2544" s="116">
        <v>1257.25</v>
      </c>
      <c r="G2544">
        <v>2261</v>
      </c>
      <c r="H2544" s="116"/>
      <c r="I2544" s="116"/>
      <c r="L2544" s="169">
        <v>45749</v>
      </c>
      <c r="M2544" s="116">
        <v>1255.4000000000001</v>
      </c>
      <c r="N2544" s="116">
        <v>1266</v>
      </c>
      <c r="O2544" s="116">
        <v>1220</v>
      </c>
      <c r="P2544" s="116">
        <v>1253.2</v>
      </c>
      <c r="Q2544" s="116">
        <v>1255.4000000000001</v>
      </c>
      <c r="R2544">
        <v>55173</v>
      </c>
    </row>
    <row r="2545" spans="1:18" x14ac:dyDescent="0.25">
      <c r="A2545" s="169">
        <v>45750</v>
      </c>
      <c r="B2545" s="116">
        <v>1291.45</v>
      </c>
      <c r="C2545" s="116">
        <v>1274.7</v>
      </c>
      <c r="D2545" s="116">
        <v>1212.05</v>
      </c>
      <c r="E2545" s="116">
        <v>1212.05</v>
      </c>
      <c r="F2545" s="116">
        <v>1274.7</v>
      </c>
      <c r="G2545">
        <v>8255</v>
      </c>
      <c r="H2545" s="116"/>
      <c r="I2545" s="116"/>
      <c r="L2545" s="169">
        <v>45750</v>
      </c>
      <c r="M2545" s="116">
        <v>1273.7</v>
      </c>
      <c r="N2545" s="116">
        <v>1292</v>
      </c>
      <c r="O2545" s="116">
        <v>1237.7</v>
      </c>
      <c r="P2545" s="116">
        <v>1238.0999999999999</v>
      </c>
      <c r="Q2545" s="116">
        <v>1273.7</v>
      </c>
      <c r="R2545">
        <v>61612</v>
      </c>
    </row>
    <row r="2546" spans="1:18" x14ac:dyDescent="0.25">
      <c r="A2546" s="169">
        <v>45751</v>
      </c>
      <c r="B2546" s="116">
        <v>1268.9000000000001</v>
      </c>
      <c r="C2546" s="116">
        <v>1220.25</v>
      </c>
      <c r="D2546" s="116">
        <v>1202.55</v>
      </c>
      <c r="E2546" s="116">
        <v>1268.0999999999999</v>
      </c>
      <c r="F2546" s="116">
        <v>1220.25</v>
      </c>
      <c r="G2546">
        <v>10508</v>
      </c>
      <c r="H2546" s="116"/>
      <c r="I2546" s="116"/>
      <c r="L2546" s="169">
        <v>45751</v>
      </c>
      <c r="M2546" s="116">
        <v>1218.55</v>
      </c>
      <c r="N2546" s="116">
        <v>1271.1500000000001</v>
      </c>
      <c r="O2546" s="116">
        <v>1203.8</v>
      </c>
      <c r="P2546" s="116">
        <v>1271.1500000000001</v>
      </c>
      <c r="Q2546" s="116">
        <v>1218.55</v>
      </c>
      <c r="R2546">
        <v>68669</v>
      </c>
    </row>
    <row r="2547" spans="1:18" x14ac:dyDescent="0.25">
      <c r="A2547" s="169">
        <v>45754</v>
      </c>
      <c r="B2547" s="116">
        <v>1184.0999999999999</v>
      </c>
      <c r="C2547" s="116">
        <v>1168.1500000000001</v>
      </c>
      <c r="D2547" s="116">
        <v>1112</v>
      </c>
      <c r="E2547" s="116">
        <v>1112</v>
      </c>
      <c r="F2547" s="116">
        <v>1168.1500000000001</v>
      </c>
      <c r="G2547">
        <v>15649</v>
      </c>
      <c r="H2547" s="116"/>
      <c r="I2547" s="116"/>
      <c r="L2547" s="169">
        <v>45754</v>
      </c>
      <c r="M2547" s="116">
        <v>1168.2</v>
      </c>
      <c r="N2547" s="116">
        <v>1185.75</v>
      </c>
      <c r="O2547" s="116">
        <v>1127.55</v>
      </c>
      <c r="P2547" s="116">
        <v>1175</v>
      </c>
      <c r="Q2547" s="116">
        <v>1168.2</v>
      </c>
      <c r="R2547">
        <v>83221</v>
      </c>
    </row>
    <row r="2548" spans="1:18" x14ac:dyDescent="0.25">
      <c r="A2548" s="169">
        <v>45755</v>
      </c>
      <c r="B2548" s="116">
        <v>1201.55</v>
      </c>
      <c r="C2548" s="116">
        <v>1171.2</v>
      </c>
      <c r="D2548" s="116">
        <v>1145.5</v>
      </c>
      <c r="E2548" s="116">
        <v>1178</v>
      </c>
      <c r="F2548" s="116">
        <v>1171.2</v>
      </c>
      <c r="G2548">
        <v>5291</v>
      </c>
      <c r="H2548" s="116"/>
      <c r="I2548" s="116"/>
      <c r="L2548" s="169">
        <v>45755</v>
      </c>
      <c r="M2548" s="116">
        <v>1171.9000000000001</v>
      </c>
      <c r="N2548" s="116">
        <v>1207.4000000000001</v>
      </c>
      <c r="O2548" s="116">
        <v>1144.4000000000001</v>
      </c>
      <c r="P2548" s="116">
        <v>1192.8</v>
      </c>
      <c r="Q2548" s="116">
        <v>1171.9000000000001</v>
      </c>
      <c r="R2548">
        <v>70573</v>
      </c>
    </row>
    <row r="2549" spans="1:18" x14ac:dyDescent="0.25">
      <c r="A2549" s="169">
        <v>45756</v>
      </c>
      <c r="B2549" s="116">
        <v>1181.8</v>
      </c>
      <c r="C2549" s="116">
        <v>1138.95</v>
      </c>
      <c r="D2549" s="116">
        <v>1134.3</v>
      </c>
      <c r="E2549" s="116">
        <v>1172.05</v>
      </c>
      <c r="F2549" s="116">
        <v>1138.95</v>
      </c>
      <c r="G2549">
        <v>3448</v>
      </c>
      <c r="H2549" s="116"/>
      <c r="I2549" s="116"/>
      <c r="L2549" s="169">
        <v>45756</v>
      </c>
      <c r="M2549" s="116">
        <v>1140.6500000000001</v>
      </c>
      <c r="N2549" s="116">
        <v>1179.95</v>
      </c>
      <c r="O2549" s="116">
        <v>1133.45</v>
      </c>
      <c r="P2549" s="116">
        <v>1176.0999999999999</v>
      </c>
      <c r="Q2549" s="116">
        <v>1140.6500000000001</v>
      </c>
      <c r="R2549">
        <v>52375</v>
      </c>
    </row>
    <row r="2550" spans="1:18" x14ac:dyDescent="0.25">
      <c r="A2550" s="169">
        <v>45758</v>
      </c>
      <c r="B2550" s="116">
        <v>1214.3</v>
      </c>
      <c r="C2550" s="116">
        <v>1204.4000000000001</v>
      </c>
      <c r="D2550" s="116">
        <v>1160</v>
      </c>
      <c r="E2550" s="116">
        <v>1160</v>
      </c>
      <c r="F2550" s="116">
        <v>1204.4000000000001</v>
      </c>
      <c r="G2550">
        <v>8150</v>
      </c>
      <c r="H2550" s="116"/>
      <c r="I2550" s="116"/>
      <c r="L2550" s="169">
        <v>45758</v>
      </c>
      <c r="M2550" s="116">
        <v>1205.3499999999999</v>
      </c>
      <c r="N2550" s="116">
        <v>1214.9000000000001</v>
      </c>
      <c r="O2550" s="116">
        <v>1160.0999999999999</v>
      </c>
      <c r="P2550" s="116">
        <v>1175</v>
      </c>
      <c r="Q2550" s="116">
        <v>1205.3499999999999</v>
      </c>
      <c r="R2550">
        <v>110570</v>
      </c>
    </row>
    <row r="2551" spans="1:18" x14ac:dyDescent="0.25">
      <c r="A2551" s="169">
        <v>45762</v>
      </c>
      <c r="B2551" s="116">
        <v>1285.95</v>
      </c>
      <c r="C2551" s="116">
        <v>1281.0999999999999</v>
      </c>
      <c r="D2551" s="116">
        <v>1208.95</v>
      </c>
      <c r="E2551" s="116">
        <v>1224</v>
      </c>
      <c r="F2551" s="116">
        <v>1281.0999999999999</v>
      </c>
      <c r="G2551">
        <v>11539</v>
      </c>
      <c r="H2551" s="116"/>
      <c r="I2551" s="116"/>
      <c r="L2551" s="169">
        <v>45762</v>
      </c>
      <c r="M2551" s="116">
        <v>1281.0999999999999</v>
      </c>
      <c r="N2551" s="116">
        <v>1290</v>
      </c>
      <c r="O2551" s="116">
        <v>1204.8</v>
      </c>
      <c r="P2551" s="116">
        <v>1280.5999999999999</v>
      </c>
      <c r="Q2551" s="116">
        <v>1281.0999999999999</v>
      </c>
      <c r="R2551">
        <v>247944</v>
      </c>
    </row>
    <row r="2552" spans="1:18" x14ac:dyDescent="0.25">
      <c r="A2552" s="169">
        <v>45763</v>
      </c>
      <c r="B2552" s="116">
        <v>1323</v>
      </c>
      <c r="C2552" s="116">
        <v>1310.95</v>
      </c>
      <c r="D2552" s="116">
        <v>1278.6500000000001</v>
      </c>
      <c r="E2552" s="116">
        <v>1290.8</v>
      </c>
      <c r="F2552" s="116">
        <v>1310.95</v>
      </c>
      <c r="G2552">
        <v>9832</v>
      </c>
      <c r="H2552" s="116"/>
      <c r="I2552" s="116"/>
      <c r="L2552" s="169">
        <v>45763</v>
      </c>
      <c r="M2552" s="116">
        <v>1312.2</v>
      </c>
      <c r="N2552" s="116">
        <v>1324.4</v>
      </c>
      <c r="O2552" s="116">
        <v>1278.0999999999999</v>
      </c>
      <c r="P2552" s="116">
        <v>1281</v>
      </c>
      <c r="Q2552" s="116">
        <v>1312.2</v>
      </c>
      <c r="R2552">
        <v>117898</v>
      </c>
    </row>
    <row r="2553" spans="1:18" x14ac:dyDescent="0.25">
      <c r="A2553" s="169">
        <v>45764</v>
      </c>
      <c r="B2553" s="116">
        <v>1340</v>
      </c>
      <c r="C2553" s="116">
        <v>1321.95</v>
      </c>
      <c r="D2553" s="116">
        <v>1290</v>
      </c>
      <c r="E2553" s="116">
        <v>1331.95</v>
      </c>
      <c r="F2553" s="116">
        <v>1321.95</v>
      </c>
      <c r="G2553">
        <v>7747</v>
      </c>
      <c r="H2553" s="116"/>
      <c r="I2553" s="116"/>
      <c r="L2553" s="169">
        <v>45764</v>
      </c>
      <c r="M2553" s="116">
        <v>1321.1</v>
      </c>
      <c r="N2553" s="116">
        <v>1341</v>
      </c>
      <c r="O2553" s="116">
        <v>1287</v>
      </c>
      <c r="P2553" s="116">
        <v>1331.9</v>
      </c>
      <c r="Q2553" s="116">
        <v>1321.1</v>
      </c>
      <c r="R2553">
        <v>99018</v>
      </c>
    </row>
    <row r="2554" spans="1:18" x14ac:dyDescent="0.25">
      <c r="A2554" s="169">
        <v>45768</v>
      </c>
      <c r="B2554" s="116">
        <v>1349</v>
      </c>
      <c r="C2554" s="116">
        <v>1336</v>
      </c>
      <c r="D2554" s="116">
        <v>1317.05</v>
      </c>
      <c r="E2554" s="116">
        <v>1330.75</v>
      </c>
      <c r="F2554" s="116">
        <v>1336</v>
      </c>
      <c r="G2554">
        <v>7984</v>
      </c>
      <c r="H2554" s="116"/>
      <c r="I2554" s="116"/>
      <c r="L2554" s="169">
        <v>45768</v>
      </c>
      <c r="M2554" s="116">
        <v>1334.6</v>
      </c>
      <c r="N2554" s="116">
        <v>1350</v>
      </c>
      <c r="O2554" s="116">
        <v>1317.2</v>
      </c>
      <c r="P2554" s="116">
        <v>1325.1</v>
      </c>
      <c r="Q2554" s="116">
        <v>1334.6</v>
      </c>
      <c r="R2554">
        <v>56512</v>
      </c>
    </row>
    <row r="2555" spans="1:18" x14ac:dyDescent="0.25">
      <c r="A2555" s="169">
        <v>45769</v>
      </c>
      <c r="B2555" s="116">
        <v>1356.75</v>
      </c>
      <c r="C2555" s="116">
        <v>1340.85</v>
      </c>
      <c r="D2555" s="116">
        <v>1324.6</v>
      </c>
      <c r="E2555" s="116">
        <v>1334.05</v>
      </c>
      <c r="F2555" s="116">
        <v>1340.85</v>
      </c>
      <c r="G2555">
        <v>8625</v>
      </c>
      <c r="H2555" s="116"/>
      <c r="I2555" s="116"/>
      <c r="L2555" s="169">
        <v>45769</v>
      </c>
      <c r="M2555" s="116">
        <v>1342.5</v>
      </c>
      <c r="N2555" s="116">
        <v>1357.7</v>
      </c>
      <c r="O2555" s="116">
        <v>1322</v>
      </c>
      <c r="P2555" s="116">
        <v>1345.9</v>
      </c>
      <c r="Q2555" s="116">
        <v>1342.5</v>
      </c>
      <c r="R2555">
        <v>39634</v>
      </c>
    </row>
    <row r="2556" spans="1:18" x14ac:dyDescent="0.25">
      <c r="A2556" s="169">
        <v>45770</v>
      </c>
      <c r="B2556" s="116">
        <v>1367.6</v>
      </c>
      <c r="C2556" s="116">
        <v>1353.45</v>
      </c>
      <c r="D2556" s="116">
        <v>1322</v>
      </c>
      <c r="E2556" s="116">
        <v>1360.2</v>
      </c>
      <c r="F2556" s="116">
        <v>1353.45</v>
      </c>
      <c r="G2556">
        <v>2727</v>
      </c>
      <c r="H2556" s="116"/>
      <c r="I2556" s="116"/>
      <c r="L2556" s="169">
        <v>45770</v>
      </c>
      <c r="M2556" s="116">
        <v>1351.2</v>
      </c>
      <c r="N2556" s="116">
        <v>1370</v>
      </c>
      <c r="O2556" s="116">
        <v>1321</v>
      </c>
      <c r="P2556" s="116">
        <v>1350.5</v>
      </c>
      <c r="Q2556" s="116">
        <v>1351.2</v>
      </c>
      <c r="R2556">
        <v>66453</v>
      </c>
    </row>
    <row r="2557" spans="1:18" x14ac:dyDescent="0.25">
      <c r="A2557" s="169">
        <v>45771</v>
      </c>
      <c r="B2557" s="116">
        <v>1379.6</v>
      </c>
      <c r="C2557" s="116">
        <v>1345.75</v>
      </c>
      <c r="D2557" s="116">
        <v>1338.8</v>
      </c>
      <c r="E2557" s="116">
        <v>1359</v>
      </c>
      <c r="F2557" s="116">
        <v>1345.75</v>
      </c>
      <c r="G2557">
        <v>11027</v>
      </c>
      <c r="H2557" s="116"/>
      <c r="I2557" s="116"/>
      <c r="L2557" s="169">
        <v>45771</v>
      </c>
      <c r="M2557" s="116">
        <v>1346.2</v>
      </c>
      <c r="N2557" s="116">
        <v>1380</v>
      </c>
      <c r="O2557" s="116">
        <v>1337.3</v>
      </c>
      <c r="P2557" s="116">
        <v>1364.4</v>
      </c>
      <c r="Q2557" s="116">
        <v>1346.2</v>
      </c>
      <c r="R2557">
        <v>68826</v>
      </c>
    </row>
    <row r="2558" spans="1:18" x14ac:dyDescent="0.25">
      <c r="A2558" s="169">
        <v>45772</v>
      </c>
      <c r="B2558" s="116">
        <v>1353.8</v>
      </c>
      <c r="C2558" s="116">
        <v>1302.05</v>
      </c>
      <c r="D2558" s="116">
        <v>1290.05</v>
      </c>
      <c r="E2558" s="116">
        <v>1349</v>
      </c>
      <c r="F2558" s="116">
        <v>1302.05</v>
      </c>
      <c r="G2558">
        <v>6848</v>
      </c>
      <c r="H2558" s="116"/>
      <c r="I2558" s="116"/>
      <c r="L2558" s="169">
        <v>45772</v>
      </c>
      <c r="M2558" s="116">
        <v>1300.5999999999999</v>
      </c>
      <c r="N2558" s="116">
        <v>1356.9</v>
      </c>
      <c r="O2558" s="116">
        <v>1289.5</v>
      </c>
      <c r="P2558" s="116">
        <v>1350</v>
      </c>
      <c r="Q2558" s="116">
        <v>1300.5999999999999</v>
      </c>
      <c r="R2558">
        <v>54279</v>
      </c>
    </row>
    <row r="2559" spans="1:18" x14ac:dyDescent="0.25">
      <c r="A2559" s="169">
        <v>45775</v>
      </c>
      <c r="B2559" s="116">
        <v>1313</v>
      </c>
      <c r="C2559" s="116">
        <v>1290.55</v>
      </c>
      <c r="D2559" s="116">
        <v>1260</v>
      </c>
      <c r="E2559" s="116">
        <v>1285.05</v>
      </c>
      <c r="F2559" s="116">
        <v>1290.55</v>
      </c>
      <c r="G2559">
        <v>9712</v>
      </c>
      <c r="H2559" s="116"/>
      <c r="I2559" s="116"/>
      <c r="L2559" s="169">
        <v>45775</v>
      </c>
      <c r="M2559" s="116">
        <v>1286.4000000000001</v>
      </c>
      <c r="N2559" s="116">
        <v>1314.9</v>
      </c>
      <c r="O2559" s="116">
        <v>1259.4000000000001</v>
      </c>
      <c r="P2559" s="116">
        <v>1296</v>
      </c>
      <c r="Q2559" s="116">
        <v>1286.4000000000001</v>
      </c>
      <c r="R2559">
        <v>80964</v>
      </c>
    </row>
    <row r="2560" spans="1:18" x14ac:dyDescent="0.25">
      <c r="A2560" s="169">
        <v>45776</v>
      </c>
      <c r="B2560" s="116">
        <v>1314.65</v>
      </c>
      <c r="C2560" s="116">
        <v>1295.05</v>
      </c>
      <c r="D2560" s="116">
        <v>1286</v>
      </c>
      <c r="E2560" s="116">
        <v>1300</v>
      </c>
      <c r="F2560" s="116">
        <v>1295.05</v>
      </c>
      <c r="G2560">
        <v>5998</v>
      </c>
      <c r="H2560" s="116"/>
      <c r="I2560" s="116"/>
      <c r="L2560" s="169">
        <v>45776</v>
      </c>
      <c r="M2560" s="116">
        <v>1294.8</v>
      </c>
      <c r="N2560" s="116">
        <v>1314.8</v>
      </c>
      <c r="O2560" s="116">
        <v>1284</v>
      </c>
      <c r="P2560" s="116">
        <v>1299</v>
      </c>
      <c r="Q2560" s="116">
        <v>1294.8</v>
      </c>
      <c r="R2560">
        <v>22756</v>
      </c>
    </row>
    <row r="2561" spans="1:18" x14ac:dyDescent="0.25">
      <c r="A2561" s="169">
        <v>45777</v>
      </c>
      <c r="B2561" s="116">
        <v>1303</v>
      </c>
      <c r="C2561" s="116">
        <v>1266.2</v>
      </c>
      <c r="D2561" s="116">
        <v>1253.55</v>
      </c>
      <c r="E2561" s="116">
        <v>1295</v>
      </c>
      <c r="F2561" s="116">
        <v>1266.2</v>
      </c>
      <c r="G2561">
        <v>9056</v>
      </c>
      <c r="H2561" s="116"/>
      <c r="I2561" s="116"/>
      <c r="L2561" s="169">
        <v>45777</v>
      </c>
      <c r="M2561" s="116">
        <v>1263.5999999999999</v>
      </c>
      <c r="N2561" s="116">
        <v>1303.5</v>
      </c>
      <c r="O2561" s="116">
        <v>1255.0999999999999</v>
      </c>
      <c r="P2561" s="116">
        <v>1289.3</v>
      </c>
      <c r="Q2561" s="116">
        <v>1263.5999999999999</v>
      </c>
      <c r="R2561">
        <v>48947</v>
      </c>
    </row>
    <row r="2562" spans="1:18" x14ac:dyDescent="0.25">
      <c r="A2562" s="169">
        <v>45779</v>
      </c>
      <c r="B2562" s="116">
        <v>1280</v>
      </c>
      <c r="C2562" s="116">
        <v>1262.9000000000001</v>
      </c>
      <c r="D2562" s="116">
        <v>1240</v>
      </c>
      <c r="E2562" s="116">
        <v>1280</v>
      </c>
      <c r="F2562" s="116">
        <v>1262.9000000000001</v>
      </c>
      <c r="G2562">
        <v>4144</v>
      </c>
      <c r="H2562" s="116"/>
      <c r="I2562" s="116"/>
      <c r="L2562" s="169">
        <v>45779</v>
      </c>
      <c r="M2562" s="116">
        <v>1261.5</v>
      </c>
      <c r="N2562" s="116">
        <v>1281.3</v>
      </c>
      <c r="O2562" s="116">
        <v>1237</v>
      </c>
      <c r="P2562" s="116">
        <v>1274.5999999999999</v>
      </c>
      <c r="Q2562" s="116">
        <v>1261.5</v>
      </c>
      <c r="R2562">
        <v>29488</v>
      </c>
    </row>
    <row r="2563" spans="1:18" x14ac:dyDescent="0.25">
      <c r="A2563" s="169">
        <v>45782</v>
      </c>
      <c r="B2563" s="116">
        <v>1285.9000000000001</v>
      </c>
      <c r="C2563" s="116">
        <v>1277.45</v>
      </c>
      <c r="D2563" s="116">
        <v>1244.5</v>
      </c>
      <c r="E2563" s="116">
        <v>1269.9000000000001</v>
      </c>
      <c r="F2563" s="116">
        <v>1277.45</v>
      </c>
      <c r="G2563">
        <v>4898</v>
      </c>
      <c r="H2563" s="116"/>
      <c r="I2563" s="116"/>
      <c r="L2563" s="169">
        <v>45782</v>
      </c>
      <c r="M2563" s="116">
        <v>1276.5999999999999</v>
      </c>
      <c r="N2563" s="116">
        <v>1283.5</v>
      </c>
      <c r="O2563" s="116">
        <v>1235</v>
      </c>
      <c r="P2563" s="116">
        <v>1260</v>
      </c>
      <c r="Q2563" s="116">
        <v>1276.5999999999999</v>
      </c>
      <c r="R2563">
        <v>39350</v>
      </c>
    </row>
    <row r="2564" spans="1:18" x14ac:dyDescent="0.25">
      <c r="A2564" s="169">
        <v>45783</v>
      </c>
      <c r="B2564" s="116">
        <v>1287.2</v>
      </c>
      <c r="C2564" s="116">
        <v>1235.4000000000001</v>
      </c>
      <c r="D2564" s="116">
        <v>1233</v>
      </c>
      <c r="E2564" s="116">
        <v>1277.45</v>
      </c>
      <c r="F2564" s="116">
        <v>1235.4000000000001</v>
      </c>
      <c r="G2564">
        <v>6425</v>
      </c>
      <c r="H2564" s="116"/>
      <c r="I2564" s="116"/>
      <c r="L2564" s="169">
        <v>45783</v>
      </c>
      <c r="M2564" s="116">
        <v>1235</v>
      </c>
      <c r="N2564" s="116">
        <v>1287.5</v>
      </c>
      <c r="O2564" s="116">
        <v>1226.5</v>
      </c>
      <c r="P2564" s="116">
        <v>1270</v>
      </c>
      <c r="Q2564" s="116">
        <v>1235</v>
      </c>
      <c r="R2564">
        <v>42901</v>
      </c>
    </row>
    <row r="2565" spans="1:18" x14ac:dyDescent="0.25">
      <c r="A2565" s="169">
        <v>45784</v>
      </c>
      <c r="B2565" s="116">
        <v>1261.45</v>
      </c>
      <c r="C2565" s="116">
        <v>1258.5999999999999</v>
      </c>
      <c r="D2565" s="116">
        <v>1215.0999999999999</v>
      </c>
      <c r="E2565" s="116">
        <v>1229.8</v>
      </c>
      <c r="F2565" s="116">
        <v>1258.5999999999999</v>
      </c>
      <c r="G2565">
        <v>7430</v>
      </c>
      <c r="H2565" s="116"/>
      <c r="I2565" s="116"/>
      <c r="L2565" s="169">
        <v>45784</v>
      </c>
      <c r="M2565" s="116">
        <v>1258</v>
      </c>
      <c r="N2565" s="116">
        <v>1260</v>
      </c>
      <c r="O2565" s="116">
        <v>1213.5</v>
      </c>
      <c r="P2565" s="116">
        <v>1220.0999999999999</v>
      </c>
      <c r="Q2565" s="116">
        <v>1258</v>
      </c>
      <c r="R2565">
        <v>49213</v>
      </c>
    </row>
    <row r="2566" spans="1:18" x14ac:dyDescent="0.25">
      <c r="A2566" s="169">
        <v>45785</v>
      </c>
      <c r="B2566" s="116">
        <v>1285.5</v>
      </c>
      <c r="C2566" s="116">
        <v>1241</v>
      </c>
      <c r="D2566" s="116">
        <v>1237</v>
      </c>
      <c r="E2566" s="116">
        <v>1237.1500000000001</v>
      </c>
      <c r="F2566" s="116">
        <v>1241</v>
      </c>
      <c r="G2566">
        <v>5286</v>
      </c>
      <c r="H2566" s="116"/>
      <c r="I2566" s="116"/>
      <c r="L2566" s="169">
        <v>45785</v>
      </c>
      <c r="M2566" s="116">
        <v>1242.3</v>
      </c>
      <c r="N2566" s="116">
        <v>1285.5999999999999</v>
      </c>
      <c r="O2566" s="116">
        <v>1237.9000000000001</v>
      </c>
      <c r="P2566" s="116">
        <v>1251.0999999999999</v>
      </c>
      <c r="Q2566" s="116">
        <v>1242.3</v>
      </c>
      <c r="R2566">
        <v>36098</v>
      </c>
    </row>
    <row r="2567" spans="1:18" x14ac:dyDescent="0.25">
      <c r="A2567" s="169">
        <v>45786</v>
      </c>
      <c r="B2567" s="116">
        <v>1257.5</v>
      </c>
      <c r="C2567" s="116">
        <v>1248.95</v>
      </c>
      <c r="D2567" s="116">
        <v>1181.75</v>
      </c>
      <c r="E2567" s="116">
        <v>1181.75</v>
      </c>
      <c r="F2567" s="116">
        <v>1248.95</v>
      </c>
      <c r="G2567">
        <v>2093</v>
      </c>
      <c r="H2567" s="116"/>
      <c r="I2567" s="116"/>
      <c r="L2567" s="169">
        <v>45786</v>
      </c>
      <c r="M2567" s="116">
        <v>1244.2</v>
      </c>
      <c r="N2567" s="116">
        <v>1255</v>
      </c>
      <c r="O2567" s="116">
        <v>1192.3</v>
      </c>
      <c r="P2567" s="116">
        <v>1192.5999999999999</v>
      </c>
      <c r="Q2567" s="116">
        <v>1244.2</v>
      </c>
      <c r="R2567">
        <v>39828</v>
      </c>
    </row>
    <row r="2568" spans="1:18" x14ac:dyDescent="0.25">
      <c r="A2568" s="169">
        <v>45789</v>
      </c>
      <c r="B2568" s="116">
        <v>1309.0999999999999</v>
      </c>
      <c r="C2568" s="116">
        <v>1299.5999999999999</v>
      </c>
      <c r="D2568" s="116">
        <v>1269.95</v>
      </c>
      <c r="E2568" s="116">
        <v>1269.95</v>
      </c>
      <c r="F2568" s="116">
        <v>1299.5999999999999</v>
      </c>
      <c r="G2568">
        <v>4059</v>
      </c>
      <c r="H2568" s="116"/>
      <c r="I2568" s="116"/>
      <c r="L2568" s="169">
        <v>45789</v>
      </c>
      <c r="M2568" s="116">
        <v>1301.5999999999999</v>
      </c>
      <c r="N2568" s="116">
        <v>1309.3</v>
      </c>
      <c r="O2568" s="116">
        <v>1260</v>
      </c>
      <c r="P2568" s="116">
        <v>1260</v>
      </c>
      <c r="Q2568" s="116">
        <v>1301.5999999999999</v>
      </c>
      <c r="R2568">
        <v>62584</v>
      </c>
    </row>
    <row r="2569" spans="1:18" x14ac:dyDescent="0.25">
      <c r="A2569" s="169">
        <v>45790</v>
      </c>
      <c r="B2569" s="116">
        <v>1338.25</v>
      </c>
      <c r="C2569" s="116">
        <v>1327.55</v>
      </c>
      <c r="D2569" s="116">
        <v>1291.3</v>
      </c>
      <c r="E2569" s="116">
        <v>1305.8499999999999</v>
      </c>
      <c r="F2569" s="116">
        <v>1327.55</v>
      </c>
      <c r="G2569">
        <v>4809</v>
      </c>
      <c r="H2569" s="116"/>
      <c r="I2569" s="116"/>
      <c r="L2569" s="169">
        <v>45790</v>
      </c>
      <c r="M2569" s="116">
        <v>1327.2</v>
      </c>
      <c r="N2569" s="116">
        <v>1338.1</v>
      </c>
      <c r="O2569" s="116">
        <v>1290.5999999999999</v>
      </c>
      <c r="P2569" s="116">
        <v>1301.5999999999999</v>
      </c>
      <c r="Q2569" s="116">
        <v>1327.2</v>
      </c>
      <c r="R2569">
        <v>57772</v>
      </c>
    </row>
    <row r="2570" spans="1:18" x14ac:dyDescent="0.25">
      <c r="A2570" s="169">
        <v>45791</v>
      </c>
      <c r="B2570" s="116">
        <v>1350</v>
      </c>
      <c r="C2570" s="116">
        <v>1346.05</v>
      </c>
      <c r="D2570" s="116">
        <v>1326.95</v>
      </c>
      <c r="E2570" s="116">
        <v>1326.95</v>
      </c>
      <c r="F2570" s="116">
        <v>1346.05</v>
      </c>
      <c r="G2570">
        <v>5382</v>
      </c>
      <c r="H2570" s="116"/>
      <c r="I2570" s="116"/>
      <c r="L2570" s="169">
        <v>45791</v>
      </c>
      <c r="M2570" s="116">
        <v>1347.2</v>
      </c>
      <c r="N2570" s="116">
        <v>1350</v>
      </c>
      <c r="O2570" s="116">
        <v>1329</v>
      </c>
      <c r="P2570" s="116">
        <v>1332.5</v>
      </c>
      <c r="Q2570" s="116">
        <v>1347.2</v>
      </c>
      <c r="R2570">
        <v>39316</v>
      </c>
    </row>
    <row r="2571" spans="1:18" x14ac:dyDescent="0.25">
      <c r="A2571" s="169">
        <v>45792</v>
      </c>
      <c r="B2571" s="116">
        <v>1388.15</v>
      </c>
      <c r="C2571" s="116">
        <v>1364.6</v>
      </c>
      <c r="D2571" s="116">
        <v>1344.4</v>
      </c>
      <c r="E2571" s="116">
        <v>1345</v>
      </c>
      <c r="F2571" s="116">
        <v>1364.6</v>
      </c>
      <c r="G2571">
        <v>5963</v>
      </c>
      <c r="H2571" s="116"/>
      <c r="I2571" s="116"/>
      <c r="L2571" s="169">
        <v>45792</v>
      </c>
      <c r="M2571" s="116">
        <v>1365.5</v>
      </c>
      <c r="N2571" s="116">
        <v>1390</v>
      </c>
      <c r="O2571" s="116">
        <v>1343.9</v>
      </c>
      <c r="P2571" s="116">
        <v>1344</v>
      </c>
      <c r="Q2571" s="116">
        <v>1365.5</v>
      </c>
      <c r="R2571">
        <v>63371</v>
      </c>
    </row>
    <row r="2572" spans="1:18" x14ac:dyDescent="0.25">
      <c r="A2572" s="169">
        <v>45793</v>
      </c>
      <c r="B2572" s="116">
        <v>1409.2</v>
      </c>
      <c r="C2572" s="116">
        <v>1402.65</v>
      </c>
      <c r="D2572" s="116">
        <v>1365.2</v>
      </c>
      <c r="E2572" s="116">
        <v>1366</v>
      </c>
      <c r="F2572" s="116">
        <v>1402.65</v>
      </c>
      <c r="G2572">
        <v>6316</v>
      </c>
      <c r="H2572" s="116"/>
      <c r="I2572" s="116"/>
      <c r="L2572" s="169">
        <v>45793</v>
      </c>
      <c r="M2572" s="116">
        <v>1403.5</v>
      </c>
      <c r="N2572" s="116">
        <v>1417</v>
      </c>
      <c r="O2572" s="116">
        <v>1355.5</v>
      </c>
      <c r="P2572" s="116">
        <v>1365.5</v>
      </c>
      <c r="Q2572" s="116">
        <v>1403.5</v>
      </c>
      <c r="R2572">
        <v>83552</v>
      </c>
    </row>
    <row r="2573" spans="1:18" x14ac:dyDescent="0.25">
      <c r="A2573" s="169">
        <v>45796</v>
      </c>
      <c r="B2573" s="116">
        <v>1452.75</v>
      </c>
      <c r="C2573" s="116">
        <v>1443.1</v>
      </c>
      <c r="D2573" s="116">
        <v>1405.05</v>
      </c>
      <c r="E2573" s="116">
        <v>1405.05</v>
      </c>
      <c r="F2573" s="116">
        <v>1443.1</v>
      </c>
      <c r="G2573">
        <v>10988</v>
      </c>
      <c r="H2573" s="116"/>
      <c r="I2573" s="116"/>
      <c r="L2573" s="169">
        <v>45796</v>
      </c>
      <c r="M2573" s="116">
        <v>1445.7</v>
      </c>
      <c r="N2573" s="116">
        <v>1454</v>
      </c>
      <c r="O2573" s="116">
        <v>1405</v>
      </c>
      <c r="P2573" s="116">
        <v>1414.4</v>
      </c>
      <c r="Q2573" s="116">
        <v>1445.7</v>
      </c>
      <c r="R2573">
        <v>126521</v>
      </c>
    </row>
    <row r="2574" spans="1:18" x14ac:dyDescent="0.25">
      <c r="A2574" s="169">
        <v>45797</v>
      </c>
      <c r="B2574" s="116">
        <v>1474.9</v>
      </c>
      <c r="C2574" s="116">
        <v>1437.4</v>
      </c>
      <c r="D2574" s="116">
        <v>1430.5</v>
      </c>
      <c r="E2574" s="116">
        <v>1460.05</v>
      </c>
      <c r="F2574" s="116">
        <v>1437.4</v>
      </c>
      <c r="G2574">
        <v>10301</v>
      </c>
      <c r="H2574" s="116"/>
      <c r="I2574" s="116"/>
      <c r="L2574" s="169">
        <v>45797</v>
      </c>
      <c r="M2574" s="116">
        <v>1435.6</v>
      </c>
      <c r="N2574" s="116">
        <v>1474.9</v>
      </c>
      <c r="O2574" s="116">
        <v>1430</v>
      </c>
      <c r="P2574" s="116">
        <v>1465.4</v>
      </c>
      <c r="Q2574" s="116">
        <v>1435.6</v>
      </c>
      <c r="R2574">
        <v>84808</v>
      </c>
    </row>
    <row r="2575" spans="1:18" x14ac:dyDescent="0.25">
      <c r="A2575" s="169">
        <v>45798</v>
      </c>
      <c r="B2575" s="116">
        <v>1456.15</v>
      </c>
      <c r="C2575" s="116">
        <v>1440.95</v>
      </c>
      <c r="D2575" s="116">
        <v>1418</v>
      </c>
      <c r="E2575" s="116">
        <v>1449.8</v>
      </c>
      <c r="F2575" s="116">
        <v>1440.95</v>
      </c>
      <c r="G2575">
        <v>7843</v>
      </c>
      <c r="H2575" s="116"/>
      <c r="I2575" s="116"/>
      <c r="L2575" s="169">
        <v>45798</v>
      </c>
      <c r="M2575" s="116">
        <v>1442.6</v>
      </c>
      <c r="N2575" s="116">
        <v>1457.9</v>
      </c>
      <c r="O2575" s="116">
        <v>1413</v>
      </c>
      <c r="P2575" s="116">
        <v>1436.6</v>
      </c>
      <c r="Q2575" s="116">
        <v>1442.6</v>
      </c>
      <c r="R2575">
        <v>44198</v>
      </c>
    </row>
    <row r="2576" spans="1:18" x14ac:dyDescent="0.25">
      <c r="A2576" s="169">
        <v>45799</v>
      </c>
      <c r="B2576" s="116">
        <v>1440</v>
      </c>
      <c r="C2576" s="116">
        <v>1432.1</v>
      </c>
      <c r="D2576" s="116">
        <v>1419.5</v>
      </c>
      <c r="E2576" s="116">
        <v>1440</v>
      </c>
      <c r="F2576" s="116">
        <v>1432.1</v>
      </c>
      <c r="G2576">
        <v>1315</v>
      </c>
      <c r="H2576" s="116"/>
      <c r="I2576" s="116"/>
      <c r="L2576" s="169">
        <v>45799</v>
      </c>
      <c r="M2576" s="116">
        <v>1431.4</v>
      </c>
      <c r="N2576" s="116">
        <v>1444.4</v>
      </c>
      <c r="O2576" s="116">
        <v>1420</v>
      </c>
      <c r="P2576" s="116">
        <v>1440</v>
      </c>
      <c r="Q2576" s="116">
        <v>1431.4</v>
      </c>
      <c r="R2576">
        <v>27777</v>
      </c>
    </row>
    <row r="2577" spans="1:18" x14ac:dyDescent="0.25">
      <c r="A2577" s="169">
        <v>45800</v>
      </c>
      <c r="B2577" s="116">
        <v>1455</v>
      </c>
      <c r="C2577" s="116">
        <v>1450.95</v>
      </c>
      <c r="D2577" s="116">
        <v>1417.55</v>
      </c>
      <c r="E2577" s="116">
        <v>1425</v>
      </c>
      <c r="F2577" s="116">
        <v>1450.95</v>
      </c>
      <c r="G2577">
        <v>6847</v>
      </c>
      <c r="H2577" s="116"/>
      <c r="I2577" s="116"/>
      <c r="L2577" s="169">
        <v>45800</v>
      </c>
      <c r="M2577" s="116">
        <v>1448.9</v>
      </c>
      <c r="N2577" s="116">
        <v>1457.9</v>
      </c>
      <c r="O2577" s="116">
        <v>1417.1</v>
      </c>
      <c r="P2577" s="116">
        <v>1431.4</v>
      </c>
      <c r="Q2577" s="116">
        <v>1448.9</v>
      </c>
      <c r="R2577">
        <v>44080</v>
      </c>
    </row>
    <row r="2578" spans="1:18" x14ac:dyDescent="0.25">
      <c r="A2578" s="169">
        <v>45803</v>
      </c>
      <c r="B2578" s="116">
        <v>1492</v>
      </c>
      <c r="C2578" s="116">
        <v>1484.05</v>
      </c>
      <c r="D2578" s="116">
        <v>1444.8</v>
      </c>
      <c r="E2578" s="116">
        <v>1477.9</v>
      </c>
      <c r="F2578" s="116">
        <v>1484.05</v>
      </c>
      <c r="G2578">
        <v>10866</v>
      </c>
      <c r="H2578" s="116"/>
      <c r="I2578" s="116"/>
      <c r="L2578" s="169">
        <v>45803</v>
      </c>
      <c r="M2578" s="116">
        <v>1485.2</v>
      </c>
      <c r="N2578" s="116">
        <v>1494</v>
      </c>
      <c r="O2578" s="116">
        <v>1440.5</v>
      </c>
      <c r="P2578" s="116">
        <v>1448</v>
      </c>
      <c r="Q2578" s="116">
        <v>1485.2</v>
      </c>
      <c r="R2578">
        <v>90374</v>
      </c>
    </row>
    <row r="2579" spans="1:18" x14ac:dyDescent="0.25">
      <c r="A2579" s="169">
        <v>45804</v>
      </c>
      <c r="B2579" s="116">
        <v>1491.45</v>
      </c>
      <c r="C2579" s="116">
        <v>1457.3</v>
      </c>
      <c r="D2579" s="116">
        <v>1455.15</v>
      </c>
      <c r="E2579" s="116">
        <v>1491.45</v>
      </c>
      <c r="F2579" s="116">
        <v>1457.3</v>
      </c>
      <c r="G2579">
        <v>4988</v>
      </c>
      <c r="H2579" s="116"/>
      <c r="I2579" s="116"/>
      <c r="L2579" s="169">
        <v>45804</v>
      </c>
      <c r="M2579" s="116">
        <v>1458.5</v>
      </c>
      <c r="N2579" s="116">
        <v>1485.8</v>
      </c>
      <c r="O2579" s="116">
        <v>1455</v>
      </c>
      <c r="P2579" s="116">
        <v>1485.2</v>
      </c>
      <c r="Q2579" s="116">
        <v>1458.5</v>
      </c>
      <c r="R2579">
        <v>39014</v>
      </c>
    </row>
    <row r="2580" spans="1:18" x14ac:dyDescent="0.25">
      <c r="A2580" s="169">
        <v>45805</v>
      </c>
      <c r="B2580" s="116">
        <v>1500.25</v>
      </c>
      <c r="C2580" s="116">
        <v>1491.15</v>
      </c>
      <c r="D2580" s="116">
        <v>1460.8</v>
      </c>
      <c r="E2580" s="116">
        <v>1466</v>
      </c>
      <c r="F2580" s="116">
        <v>1491.15</v>
      </c>
      <c r="G2580">
        <v>5077</v>
      </c>
      <c r="H2580" s="116"/>
      <c r="I2580" s="116"/>
      <c r="L2580" s="169">
        <v>45805</v>
      </c>
      <c r="M2580" s="116">
        <v>1491.6</v>
      </c>
      <c r="N2580" s="116">
        <v>1502</v>
      </c>
      <c r="O2580" s="116">
        <v>1460</v>
      </c>
      <c r="P2580" s="116">
        <v>1462</v>
      </c>
      <c r="Q2580" s="116">
        <v>1491.6</v>
      </c>
      <c r="R2580">
        <v>74484</v>
      </c>
    </row>
    <row r="2581" spans="1:18" x14ac:dyDescent="0.25">
      <c r="A2581" s="169">
        <v>45806</v>
      </c>
      <c r="B2581" s="116">
        <v>1477</v>
      </c>
      <c r="C2581" s="116">
        <v>1455.75</v>
      </c>
      <c r="D2581" s="116">
        <v>1381.35</v>
      </c>
      <c r="E2581" s="116">
        <v>1381.35</v>
      </c>
      <c r="F2581" s="116">
        <v>1455.75</v>
      </c>
      <c r="G2581">
        <v>8812</v>
      </c>
      <c r="H2581" s="116"/>
      <c r="I2581" s="116"/>
      <c r="L2581" s="169">
        <v>45806</v>
      </c>
      <c r="M2581" s="116">
        <v>1457</v>
      </c>
      <c r="N2581" s="116">
        <v>1479.1</v>
      </c>
      <c r="O2581" s="116">
        <v>1394.4</v>
      </c>
      <c r="P2581" s="116">
        <v>1400</v>
      </c>
      <c r="Q2581" s="116">
        <v>1457</v>
      </c>
      <c r="R2581">
        <v>139024</v>
      </c>
    </row>
    <row r="2582" spans="1:18" x14ac:dyDescent="0.25">
      <c r="A2582" s="169">
        <v>45807</v>
      </c>
      <c r="B2582" s="116">
        <v>1483.75</v>
      </c>
      <c r="C2582" s="116">
        <v>1454.6</v>
      </c>
      <c r="D2582" s="116">
        <v>1431.4</v>
      </c>
      <c r="E2582" s="116">
        <v>1455.8</v>
      </c>
      <c r="F2582" s="116">
        <v>1454.6</v>
      </c>
      <c r="G2582">
        <v>1218</v>
      </c>
      <c r="H2582" s="116"/>
      <c r="I2582" s="116"/>
      <c r="L2582" s="169">
        <v>45807</v>
      </c>
      <c r="M2582" s="116">
        <v>1450.7</v>
      </c>
      <c r="N2582" s="116">
        <v>1474.5</v>
      </c>
      <c r="O2582" s="116">
        <v>1430.1</v>
      </c>
      <c r="P2582" s="116">
        <v>1470</v>
      </c>
      <c r="Q2582" s="116">
        <v>1450.7</v>
      </c>
      <c r="R2582">
        <v>48336</v>
      </c>
    </row>
    <row r="2583" spans="1:18" x14ac:dyDescent="0.25">
      <c r="A2583" s="169">
        <v>45810</v>
      </c>
      <c r="B2583" s="116">
        <v>1456.9</v>
      </c>
      <c r="C2583" s="116">
        <v>1439.1</v>
      </c>
      <c r="D2583" s="116">
        <v>1426.35</v>
      </c>
      <c r="E2583" s="116">
        <v>1435.2</v>
      </c>
      <c r="F2583" s="116">
        <v>1439.1</v>
      </c>
      <c r="G2583">
        <v>5173</v>
      </c>
      <c r="H2583" s="116"/>
      <c r="I2583" s="116"/>
      <c r="L2583" s="169">
        <v>45810</v>
      </c>
      <c r="M2583" s="116">
        <v>1440.1</v>
      </c>
      <c r="N2583" s="116">
        <v>1452.7</v>
      </c>
      <c r="O2583" s="116">
        <v>1428.2</v>
      </c>
      <c r="P2583" s="116">
        <v>1452.7</v>
      </c>
      <c r="Q2583" s="116">
        <v>1440.1</v>
      </c>
      <c r="R2583">
        <v>29636</v>
      </c>
    </row>
    <row r="2584" spans="1:18" x14ac:dyDescent="0.25">
      <c r="A2584" s="169">
        <v>45811</v>
      </c>
      <c r="B2584" s="116">
        <v>1531.75</v>
      </c>
      <c r="C2584" s="116">
        <v>1485.15</v>
      </c>
      <c r="D2584" s="116">
        <v>1446.35</v>
      </c>
      <c r="E2584" s="116">
        <v>1484.95</v>
      </c>
      <c r="F2584" s="116">
        <v>1485.15</v>
      </c>
      <c r="G2584">
        <v>9459</v>
      </c>
      <c r="H2584" s="116"/>
      <c r="I2584" s="116"/>
      <c r="L2584" s="169">
        <v>45811</v>
      </c>
      <c r="M2584" s="116">
        <v>1485.2</v>
      </c>
      <c r="N2584" s="116">
        <v>1531.9</v>
      </c>
      <c r="O2584" s="116">
        <v>1445.1</v>
      </c>
      <c r="P2584" s="116">
        <v>1445.1</v>
      </c>
      <c r="Q2584" s="116">
        <v>1485.2</v>
      </c>
      <c r="R2584">
        <v>226548</v>
      </c>
    </row>
    <row r="2585" spans="1:18" x14ac:dyDescent="0.25">
      <c r="A2585" s="169">
        <v>45812</v>
      </c>
      <c r="B2585" s="116">
        <v>1500.95</v>
      </c>
      <c r="C2585" s="116">
        <v>1485.8</v>
      </c>
      <c r="D2585" s="116">
        <v>1462.55</v>
      </c>
      <c r="E2585" s="116">
        <v>1500.95</v>
      </c>
      <c r="F2585" s="116">
        <v>1485.8</v>
      </c>
      <c r="G2585">
        <v>814</v>
      </c>
      <c r="H2585" s="116"/>
      <c r="I2585" s="116"/>
      <c r="L2585" s="169">
        <v>45812</v>
      </c>
      <c r="M2585" s="116">
        <v>1484.5</v>
      </c>
      <c r="N2585" s="116">
        <v>1498.6</v>
      </c>
      <c r="O2585" s="116">
        <v>1463</v>
      </c>
      <c r="P2585" s="116">
        <v>1488</v>
      </c>
      <c r="Q2585" s="116">
        <v>1484.5</v>
      </c>
      <c r="R2585">
        <v>38663</v>
      </c>
    </row>
    <row r="2586" spans="1:18" x14ac:dyDescent="0.25">
      <c r="A2586" s="169">
        <v>45813</v>
      </c>
      <c r="B2586" s="116">
        <v>1499.95</v>
      </c>
      <c r="C2586" s="116">
        <v>1471.05</v>
      </c>
      <c r="D2586" s="116">
        <v>1467.05</v>
      </c>
      <c r="E2586" s="116">
        <v>1499.95</v>
      </c>
      <c r="F2586" s="116">
        <v>1471.05</v>
      </c>
      <c r="G2586">
        <v>5903</v>
      </c>
      <c r="H2586" s="116"/>
      <c r="I2586" s="116"/>
      <c r="L2586" s="169">
        <v>45813</v>
      </c>
      <c r="M2586" s="116">
        <v>1472.1</v>
      </c>
      <c r="N2586" s="116">
        <v>1486</v>
      </c>
      <c r="O2586" s="116">
        <v>1467.5</v>
      </c>
      <c r="P2586" s="116">
        <v>1484.3</v>
      </c>
      <c r="Q2586" s="116">
        <v>1472.1</v>
      </c>
      <c r="R2586">
        <v>32431</v>
      </c>
    </row>
    <row r="2587" spans="1:18" x14ac:dyDescent="0.25">
      <c r="A2587" s="169">
        <v>45814</v>
      </c>
      <c r="B2587" s="116">
        <v>1483</v>
      </c>
      <c r="C2587" s="116">
        <v>1480.3</v>
      </c>
      <c r="D2587" s="116">
        <v>1457.1</v>
      </c>
      <c r="E2587" s="116">
        <v>1470</v>
      </c>
      <c r="F2587" s="116">
        <v>1480.3</v>
      </c>
      <c r="G2587">
        <v>1581</v>
      </c>
      <c r="H2587" s="116"/>
      <c r="I2587" s="116"/>
      <c r="L2587" s="169">
        <v>45814</v>
      </c>
      <c r="M2587" s="116">
        <v>1480.1</v>
      </c>
      <c r="N2587" s="116">
        <v>1484</v>
      </c>
      <c r="O2587" s="116">
        <v>1455.2</v>
      </c>
      <c r="P2587" s="116">
        <v>1478.5</v>
      </c>
      <c r="Q2587" s="116">
        <v>1480.1</v>
      </c>
      <c r="R2587">
        <v>41767</v>
      </c>
    </row>
    <row r="2588" spans="1:18" x14ac:dyDescent="0.25">
      <c r="A2588" s="169">
        <v>45817</v>
      </c>
      <c r="B2588" s="116">
        <v>1510.65</v>
      </c>
      <c r="C2588" s="116">
        <v>1503.95</v>
      </c>
      <c r="D2588" s="116">
        <v>1456.35</v>
      </c>
      <c r="E2588" s="116">
        <v>1456.35</v>
      </c>
      <c r="F2588" s="116">
        <v>1503.95</v>
      </c>
      <c r="G2588">
        <v>7108</v>
      </c>
      <c r="H2588" s="116"/>
      <c r="I2588" s="116"/>
      <c r="L2588" s="169">
        <v>45817</v>
      </c>
      <c r="M2588" s="116">
        <v>1502.3</v>
      </c>
      <c r="N2588" s="116">
        <v>1510</v>
      </c>
      <c r="O2588" s="116">
        <v>1479.6</v>
      </c>
      <c r="P2588" s="116">
        <v>1480.1</v>
      </c>
      <c r="Q2588" s="116">
        <v>1502.3</v>
      </c>
      <c r="R2588">
        <v>63520</v>
      </c>
    </row>
    <row r="2589" spans="1:18" x14ac:dyDescent="0.25">
      <c r="A2589" s="169">
        <v>45818</v>
      </c>
      <c r="B2589" s="116">
        <v>1517.9</v>
      </c>
      <c r="C2589" s="116">
        <v>1495.25</v>
      </c>
      <c r="D2589" s="116">
        <v>1490.1</v>
      </c>
      <c r="E2589" s="116">
        <v>1504.8</v>
      </c>
      <c r="F2589" s="116">
        <v>1495.25</v>
      </c>
      <c r="G2589">
        <v>4408</v>
      </c>
      <c r="H2589" s="116"/>
      <c r="I2589" s="116"/>
      <c r="L2589" s="169">
        <v>45818</v>
      </c>
      <c r="M2589" s="116">
        <v>1495</v>
      </c>
      <c r="N2589" s="116">
        <v>1516.8</v>
      </c>
      <c r="O2589" s="116">
        <v>1490.1</v>
      </c>
      <c r="P2589" s="116">
        <v>1516.8</v>
      </c>
      <c r="Q2589" s="116">
        <v>1495</v>
      </c>
      <c r="R2589">
        <v>34579</v>
      </c>
    </row>
    <row r="2590" spans="1:18" x14ac:dyDescent="0.25">
      <c r="A2590" s="169">
        <v>45819</v>
      </c>
      <c r="B2590" s="116">
        <v>1524</v>
      </c>
      <c r="C2590" s="116">
        <v>1496.75</v>
      </c>
      <c r="D2590" s="116">
        <v>1486.45</v>
      </c>
      <c r="E2590" s="116">
        <v>1495.05</v>
      </c>
      <c r="F2590" s="116">
        <v>1496.75</v>
      </c>
      <c r="G2590">
        <v>8694</v>
      </c>
      <c r="H2590" s="116"/>
      <c r="I2590" s="116"/>
      <c r="L2590" s="169">
        <v>45819</v>
      </c>
      <c r="M2590" s="116">
        <v>1496.7</v>
      </c>
      <c r="N2590" s="116">
        <v>1524</v>
      </c>
      <c r="O2590" s="116">
        <v>1486.4</v>
      </c>
      <c r="P2590" s="116">
        <v>1495.6</v>
      </c>
      <c r="Q2590" s="116">
        <v>1496.7</v>
      </c>
      <c r="R2590">
        <v>65673</v>
      </c>
    </row>
    <row r="2591" spans="1:18" x14ac:dyDescent="0.25">
      <c r="A2591" s="169">
        <v>45820</v>
      </c>
      <c r="B2591" s="116">
        <v>1504.75</v>
      </c>
      <c r="C2591" s="116">
        <v>1472.75</v>
      </c>
      <c r="D2591" s="116">
        <v>1464.55</v>
      </c>
      <c r="E2591" s="116">
        <v>1500</v>
      </c>
      <c r="F2591" s="116">
        <v>1472.75</v>
      </c>
      <c r="G2591">
        <v>10630</v>
      </c>
      <c r="H2591" s="116"/>
      <c r="I2591" s="116"/>
      <c r="L2591" s="169">
        <v>45820</v>
      </c>
      <c r="M2591" s="116">
        <v>1472.8</v>
      </c>
      <c r="N2591" s="116">
        <v>1507</v>
      </c>
      <c r="O2591" s="116">
        <v>1466</v>
      </c>
      <c r="P2591" s="116">
        <v>1496.7</v>
      </c>
      <c r="Q2591" s="116">
        <v>1472.8</v>
      </c>
      <c r="R2591">
        <v>42215</v>
      </c>
    </row>
    <row r="2592" spans="1:18" x14ac:dyDescent="0.25">
      <c r="A2592" s="169">
        <v>45821</v>
      </c>
      <c r="B2592" s="116">
        <v>1467.95</v>
      </c>
      <c r="C2592" s="116">
        <v>1454.4</v>
      </c>
      <c r="D2592" s="116">
        <v>1430</v>
      </c>
      <c r="E2592" s="116">
        <v>1433</v>
      </c>
      <c r="F2592" s="116">
        <v>1454.4</v>
      </c>
      <c r="G2592">
        <v>2540</v>
      </c>
      <c r="H2592" s="116"/>
      <c r="I2592" s="116"/>
      <c r="L2592" s="169">
        <v>45821</v>
      </c>
      <c r="M2592" s="116">
        <v>1453.6</v>
      </c>
      <c r="N2592" s="116">
        <v>1468.5</v>
      </c>
      <c r="O2592" s="116">
        <v>1426.4</v>
      </c>
      <c r="P2592" s="116">
        <v>1445.7</v>
      </c>
      <c r="Q2592" s="116">
        <v>1453.6</v>
      </c>
      <c r="R2592">
        <v>45993</v>
      </c>
    </row>
    <row r="2593" spans="1:18" x14ac:dyDescent="0.25">
      <c r="A2593" s="169">
        <v>45824</v>
      </c>
      <c r="B2593" s="116">
        <v>1470.55</v>
      </c>
      <c r="C2593" s="116">
        <v>1444.6</v>
      </c>
      <c r="D2593" s="116">
        <v>1423.75</v>
      </c>
      <c r="E2593" s="116">
        <v>1455.85</v>
      </c>
      <c r="F2593" s="116">
        <v>1444.6</v>
      </c>
      <c r="G2593">
        <v>5933</v>
      </c>
      <c r="H2593" s="116"/>
      <c r="I2593" s="116"/>
      <c r="L2593" s="169">
        <v>45824</v>
      </c>
      <c r="M2593" s="116">
        <v>1446.2</v>
      </c>
      <c r="N2593" s="116">
        <v>1469</v>
      </c>
      <c r="O2593" s="116">
        <v>1425</v>
      </c>
      <c r="P2593" s="116">
        <v>1459</v>
      </c>
      <c r="Q2593" s="116">
        <v>1446.2</v>
      </c>
      <c r="R2593">
        <v>28840</v>
      </c>
    </row>
    <row r="2594" spans="1:18" x14ac:dyDescent="0.25">
      <c r="A2594" s="169">
        <v>45825</v>
      </c>
      <c r="B2594" s="116">
        <v>1464.35</v>
      </c>
      <c r="C2594" s="116">
        <v>1426.4</v>
      </c>
      <c r="D2594" s="116">
        <v>1425</v>
      </c>
      <c r="E2594" s="116">
        <v>1436.05</v>
      </c>
      <c r="F2594" s="116">
        <v>1426.4</v>
      </c>
      <c r="G2594">
        <v>1395</v>
      </c>
      <c r="H2594" s="116"/>
      <c r="I2594" s="116"/>
      <c r="L2594" s="169">
        <v>45825</v>
      </c>
      <c r="M2594" s="116">
        <v>1427.7</v>
      </c>
      <c r="N2594" s="116">
        <v>1468.9</v>
      </c>
      <c r="O2594" s="116">
        <v>1421.1</v>
      </c>
      <c r="P2594" s="116">
        <v>1446.2</v>
      </c>
      <c r="Q2594" s="116">
        <v>1427.7</v>
      </c>
      <c r="R2594">
        <v>29464</v>
      </c>
    </row>
    <row r="2595" spans="1:18" x14ac:dyDescent="0.25">
      <c r="A2595" s="169">
        <v>45826</v>
      </c>
      <c r="B2595" s="116">
        <v>1449.4</v>
      </c>
      <c r="C2595" s="116">
        <v>1443.75</v>
      </c>
      <c r="D2595" s="116">
        <v>1428.9</v>
      </c>
      <c r="E2595" s="116">
        <v>1431.05</v>
      </c>
      <c r="F2595" s="116">
        <v>1443.75</v>
      </c>
      <c r="G2595">
        <v>568</v>
      </c>
      <c r="H2595" s="116"/>
      <c r="I2595" s="116"/>
      <c r="L2595" s="169">
        <v>45826</v>
      </c>
      <c r="M2595" s="116">
        <v>1445.8</v>
      </c>
      <c r="N2595" s="116">
        <v>1449</v>
      </c>
      <c r="O2595" s="116">
        <v>1423.1</v>
      </c>
      <c r="P2595" s="116">
        <v>1437</v>
      </c>
      <c r="Q2595" s="116">
        <v>1445.8</v>
      </c>
      <c r="R2595">
        <v>33117</v>
      </c>
    </row>
    <row r="2596" spans="1:18" x14ac:dyDescent="0.25">
      <c r="A2596" s="169">
        <v>45827</v>
      </c>
      <c r="B2596" s="116">
        <v>1459.5</v>
      </c>
      <c r="C2596" s="116">
        <v>1407.85</v>
      </c>
      <c r="D2596" s="116">
        <v>1391</v>
      </c>
      <c r="E2596" s="116">
        <v>1448.25</v>
      </c>
      <c r="F2596" s="116">
        <v>1407.85</v>
      </c>
      <c r="G2596">
        <v>1947</v>
      </c>
      <c r="H2596" s="116"/>
      <c r="I2596" s="116"/>
      <c r="L2596" s="169">
        <v>45827</v>
      </c>
      <c r="M2596" s="116">
        <v>1403.8</v>
      </c>
      <c r="N2596" s="116">
        <v>1461</v>
      </c>
      <c r="O2596" s="116">
        <v>1390</v>
      </c>
      <c r="P2596" s="116">
        <v>1444.6</v>
      </c>
      <c r="Q2596" s="116">
        <v>1403.8</v>
      </c>
      <c r="R2596">
        <v>40807</v>
      </c>
    </row>
    <row r="2597" spans="1:18" x14ac:dyDescent="0.25">
      <c r="A2597" s="169">
        <v>45828</v>
      </c>
      <c r="B2597" s="116">
        <v>1458.85</v>
      </c>
      <c r="C2597" s="116">
        <v>1388.35</v>
      </c>
      <c r="D2597" s="116">
        <v>1380</v>
      </c>
      <c r="E2597" s="116">
        <v>1444.95</v>
      </c>
      <c r="F2597" s="116">
        <v>1388.35</v>
      </c>
      <c r="G2597">
        <v>8594</v>
      </c>
      <c r="H2597" s="116"/>
      <c r="I2597" s="116"/>
      <c r="L2597" s="169">
        <v>45828</v>
      </c>
      <c r="M2597" s="116">
        <v>1386.6</v>
      </c>
      <c r="N2597" s="116">
        <v>1457.9</v>
      </c>
      <c r="O2597" s="116">
        <v>1380</v>
      </c>
      <c r="P2597" s="116">
        <v>1395</v>
      </c>
      <c r="Q2597" s="116">
        <v>1386.6</v>
      </c>
      <c r="R2597">
        <v>256931</v>
      </c>
    </row>
    <row r="2598" spans="1:18" x14ac:dyDescent="0.25">
      <c r="A2598" s="169">
        <v>45831</v>
      </c>
      <c r="B2598" s="116">
        <v>1457.8</v>
      </c>
      <c r="C2598" s="116">
        <v>1442.2</v>
      </c>
      <c r="D2598" s="116">
        <v>1354.45</v>
      </c>
      <c r="E2598" s="116">
        <v>1354.45</v>
      </c>
      <c r="F2598" s="116">
        <v>1442.2</v>
      </c>
      <c r="G2598">
        <v>10721</v>
      </c>
      <c r="H2598" s="116"/>
      <c r="I2598" s="116"/>
      <c r="L2598" s="169">
        <v>45831</v>
      </c>
      <c r="M2598" s="116">
        <v>1438.3</v>
      </c>
      <c r="N2598" s="116">
        <v>1457</v>
      </c>
      <c r="O2598" s="116">
        <v>1372.1</v>
      </c>
      <c r="P2598" s="116">
        <v>1379.7</v>
      </c>
      <c r="Q2598" s="116">
        <v>1438.3</v>
      </c>
      <c r="R2598">
        <v>110790</v>
      </c>
    </row>
    <row r="2599" spans="1:18" x14ac:dyDescent="0.25">
      <c r="A2599" s="169">
        <v>45832</v>
      </c>
      <c r="B2599" s="116">
        <v>1499</v>
      </c>
      <c r="C2599" s="116">
        <v>1490.9</v>
      </c>
      <c r="D2599" s="116">
        <v>1445</v>
      </c>
      <c r="E2599" s="116">
        <v>1457.1</v>
      </c>
      <c r="F2599" s="116">
        <v>1490.9</v>
      </c>
      <c r="G2599">
        <v>10040</v>
      </c>
      <c r="H2599" s="116"/>
      <c r="I2599" s="116"/>
      <c r="L2599" s="169">
        <v>45832</v>
      </c>
      <c r="M2599" s="116">
        <v>1490.1</v>
      </c>
      <c r="N2599" s="116">
        <v>1499</v>
      </c>
      <c r="O2599" s="116">
        <v>1446.6</v>
      </c>
      <c r="P2599" s="116">
        <v>1461.2</v>
      </c>
      <c r="Q2599" s="116">
        <v>1490.1</v>
      </c>
      <c r="R2599">
        <v>127691</v>
      </c>
    </row>
    <row r="2600" spans="1:18" x14ac:dyDescent="0.25">
      <c r="A2600" s="169">
        <v>45833</v>
      </c>
      <c r="B2600" s="116">
        <v>1697.95</v>
      </c>
      <c r="C2600" s="116">
        <v>1674.7</v>
      </c>
      <c r="D2600" s="116">
        <v>1499.95</v>
      </c>
      <c r="E2600" s="116">
        <v>1499.95</v>
      </c>
      <c r="F2600" s="116">
        <v>1674.7</v>
      </c>
      <c r="G2600">
        <v>159513</v>
      </c>
      <c r="H2600" s="116"/>
      <c r="I2600" s="116"/>
      <c r="L2600" s="169">
        <v>45833</v>
      </c>
      <c r="M2600" s="116">
        <v>1672.7</v>
      </c>
      <c r="N2600" s="116">
        <v>1698</v>
      </c>
      <c r="O2600" s="116">
        <v>1500</v>
      </c>
      <c r="P2600" s="116">
        <v>1509.1</v>
      </c>
      <c r="Q2600" s="116">
        <v>1672.7</v>
      </c>
      <c r="R2600">
        <v>2532249</v>
      </c>
    </row>
    <row r="2601" spans="1:18" x14ac:dyDescent="0.25">
      <c r="A2601" s="169">
        <v>45834</v>
      </c>
      <c r="B2601" s="116">
        <v>1749.05</v>
      </c>
      <c r="C2601" s="116">
        <v>1739.75</v>
      </c>
      <c r="D2601" s="116">
        <v>1655.5</v>
      </c>
      <c r="E2601" s="116">
        <v>1675.25</v>
      </c>
      <c r="F2601" s="116">
        <v>1739.75</v>
      </c>
      <c r="G2601">
        <v>58374</v>
      </c>
      <c r="H2601" s="116"/>
      <c r="I2601" s="116"/>
      <c r="L2601" s="169">
        <v>45834</v>
      </c>
      <c r="M2601" s="116">
        <v>1740.3</v>
      </c>
      <c r="N2601" s="116">
        <v>1749</v>
      </c>
      <c r="O2601" s="116">
        <v>1656.5</v>
      </c>
      <c r="P2601" s="116">
        <v>1689</v>
      </c>
      <c r="Q2601" s="116">
        <v>1740.3</v>
      </c>
      <c r="R2601">
        <v>644191</v>
      </c>
    </row>
    <row r="2602" spans="1:18" x14ac:dyDescent="0.25">
      <c r="A2602" s="169">
        <v>45835</v>
      </c>
      <c r="B2602" s="116">
        <v>1795</v>
      </c>
      <c r="C2602" s="116">
        <v>1787.05</v>
      </c>
      <c r="D2602" s="116">
        <v>1695.3</v>
      </c>
      <c r="E2602" s="116">
        <v>1738.95</v>
      </c>
      <c r="F2602" s="116">
        <v>1787.05</v>
      </c>
      <c r="G2602">
        <v>32612</v>
      </c>
      <c r="H2602" s="116"/>
      <c r="I2602" s="116"/>
      <c r="L2602" s="169">
        <v>45835</v>
      </c>
      <c r="M2602" s="116">
        <v>1789</v>
      </c>
      <c r="N2602" s="116">
        <v>1799</v>
      </c>
      <c r="O2602" s="116">
        <v>1693.4</v>
      </c>
      <c r="P2602" s="116">
        <v>1736</v>
      </c>
      <c r="Q2602" s="116">
        <v>1789</v>
      </c>
      <c r="R2602">
        <v>661068</v>
      </c>
    </row>
    <row r="2603" spans="1:18" x14ac:dyDescent="0.25">
      <c r="A2603" s="169">
        <v>45838</v>
      </c>
      <c r="B2603" s="116">
        <v>1856.45</v>
      </c>
      <c r="C2603" s="116">
        <v>1845.4</v>
      </c>
      <c r="D2603" s="116">
        <v>1744.1</v>
      </c>
      <c r="E2603" s="116">
        <v>1799</v>
      </c>
      <c r="F2603" s="116">
        <v>1845.4</v>
      </c>
      <c r="G2603">
        <v>11244</v>
      </c>
      <c r="H2603" s="116"/>
      <c r="I2603" s="116"/>
      <c r="L2603" s="169">
        <v>45838</v>
      </c>
      <c r="M2603" s="116">
        <v>1841.6</v>
      </c>
      <c r="N2603" s="116">
        <v>1858</v>
      </c>
      <c r="O2603" s="116">
        <v>1743.6</v>
      </c>
      <c r="P2603" s="116">
        <v>1799</v>
      </c>
      <c r="Q2603" s="116">
        <v>1841.6</v>
      </c>
      <c r="R2603">
        <v>400201</v>
      </c>
    </row>
    <row r="2604" spans="1:18" x14ac:dyDescent="0.25">
      <c r="A2604" s="169">
        <v>45839</v>
      </c>
      <c r="B2604" s="116">
        <v>1850</v>
      </c>
      <c r="C2604" s="116">
        <v>1828</v>
      </c>
      <c r="D2604" s="116">
        <v>1807.85</v>
      </c>
      <c r="E2604" s="116">
        <v>1847.95</v>
      </c>
      <c r="F2604" s="116">
        <v>1828</v>
      </c>
      <c r="G2604">
        <v>14730</v>
      </c>
      <c r="H2604" s="116"/>
      <c r="I2604" s="116"/>
      <c r="L2604" s="169">
        <v>45839</v>
      </c>
      <c r="M2604" s="116">
        <v>1825</v>
      </c>
      <c r="N2604" s="116">
        <v>1850</v>
      </c>
      <c r="O2604" s="116">
        <v>1809.3</v>
      </c>
      <c r="P2604" s="116">
        <v>1838.1</v>
      </c>
      <c r="Q2604" s="116">
        <v>1825</v>
      </c>
      <c r="R2604">
        <v>143209</v>
      </c>
    </row>
    <row r="2605" spans="1:18" x14ac:dyDescent="0.25">
      <c r="A2605" s="169">
        <v>45840</v>
      </c>
      <c r="B2605" s="116">
        <v>1875</v>
      </c>
      <c r="C2605" s="116">
        <v>1842.85</v>
      </c>
      <c r="D2605" s="116">
        <v>1754.3</v>
      </c>
      <c r="E2605" s="116">
        <v>1833.95</v>
      </c>
      <c r="F2605" s="116">
        <v>1842.85</v>
      </c>
      <c r="G2605">
        <v>30417</v>
      </c>
      <c r="H2605" s="116"/>
      <c r="I2605" s="116"/>
      <c r="L2605" s="169">
        <v>45840</v>
      </c>
      <c r="M2605" s="116">
        <v>1838.6</v>
      </c>
      <c r="N2605" s="116">
        <v>1879.9</v>
      </c>
      <c r="O2605" s="116">
        <v>1758.2</v>
      </c>
      <c r="P2605" s="116">
        <v>1825</v>
      </c>
      <c r="Q2605" s="116">
        <v>1838.6</v>
      </c>
      <c r="R2605">
        <v>196363</v>
      </c>
    </row>
    <row r="2606" spans="1:18" x14ac:dyDescent="0.25">
      <c r="A2606" s="169">
        <v>45841</v>
      </c>
      <c r="B2606" s="116">
        <v>1839.15</v>
      </c>
      <c r="C2606" s="116">
        <v>1814.05</v>
      </c>
      <c r="D2606" s="116">
        <v>1800</v>
      </c>
      <c r="E2606" s="116">
        <v>1839.15</v>
      </c>
      <c r="F2606" s="116">
        <v>1814.05</v>
      </c>
      <c r="G2606">
        <v>11871</v>
      </c>
      <c r="H2606" s="116"/>
      <c r="I2606" s="116"/>
      <c r="L2606" s="169">
        <v>45841</v>
      </c>
      <c r="M2606" s="116">
        <v>1814.8</v>
      </c>
      <c r="N2606" s="116">
        <v>1834.5</v>
      </c>
      <c r="O2606" s="116">
        <v>1795</v>
      </c>
      <c r="P2606" s="116">
        <v>1829.1</v>
      </c>
      <c r="Q2606" s="116">
        <v>1814.8</v>
      </c>
      <c r="R2606">
        <v>73108</v>
      </c>
    </row>
    <row r="2607" spans="1:18" x14ac:dyDescent="0.25">
      <c r="A2607" s="169">
        <v>45842</v>
      </c>
      <c r="B2607" s="116">
        <v>1814.05</v>
      </c>
      <c r="C2607" s="116">
        <v>1798.55</v>
      </c>
      <c r="D2607" s="116">
        <v>1779.6</v>
      </c>
      <c r="E2607" s="116">
        <v>1814.05</v>
      </c>
      <c r="F2607" s="116">
        <v>1798.55</v>
      </c>
      <c r="G2607">
        <v>4185</v>
      </c>
      <c r="H2607" s="116"/>
      <c r="I2607" s="116"/>
      <c r="L2607" s="169">
        <v>45842</v>
      </c>
      <c r="M2607" s="116">
        <v>1798.9</v>
      </c>
      <c r="N2607" s="116">
        <v>1818.9</v>
      </c>
      <c r="O2607" s="116">
        <v>1775</v>
      </c>
      <c r="P2607" s="116">
        <v>1818.9</v>
      </c>
      <c r="Q2607" s="116">
        <v>1798.9</v>
      </c>
      <c r="R2607">
        <v>73805</v>
      </c>
    </row>
    <row r="2608" spans="1:18" x14ac:dyDescent="0.25">
      <c r="A2608" s="169">
        <v>45845</v>
      </c>
      <c r="B2608" s="116">
        <v>1946</v>
      </c>
      <c r="C2608" s="116">
        <v>1914.65</v>
      </c>
      <c r="D2608" s="116">
        <v>1791.8</v>
      </c>
      <c r="E2608" s="116">
        <v>1798.15</v>
      </c>
      <c r="F2608" s="116">
        <v>1914.65</v>
      </c>
      <c r="G2608">
        <v>19533</v>
      </c>
      <c r="H2608" s="116"/>
      <c r="I2608" s="116"/>
      <c r="L2608" s="169">
        <v>45845</v>
      </c>
      <c r="M2608" s="116">
        <v>1915.6</v>
      </c>
      <c r="N2608" s="116">
        <v>1945</v>
      </c>
      <c r="O2608" s="116">
        <v>1786.8</v>
      </c>
      <c r="P2608" s="116">
        <v>1798.9</v>
      </c>
      <c r="Q2608" s="116">
        <v>1915.6</v>
      </c>
      <c r="R2608">
        <v>473109</v>
      </c>
    </row>
    <row r="2609" spans="1:18" x14ac:dyDescent="0.25">
      <c r="A2609" s="169">
        <v>45846</v>
      </c>
      <c r="B2609" s="116">
        <v>1939.9</v>
      </c>
      <c r="C2609" s="116">
        <v>1901.75</v>
      </c>
      <c r="D2609" s="116">
        <v>1871.9</v>
      </c>
      <c r="E2609" s="116">
        <v>1939.9</v>
      </c>
      <c r="F2609" s="116">
        <v>1901.75</v>
      </c>
      <c r="G2609">
        <v>4714</v>
      </c>
      <c r="H2609" s="116"/>
      <c r="I2609" s="116"/>
      <c r="L2609" s="169">
        <v>45846</v>
      </c>
      <c r="M2609" s="116">
        <v>1902.2</v>
      </c>
      <c r="N2609" s="116">
        <v>1925</v>
      </c>
      <c r="O2609" s="116">
        <v>1870</v>
      </c>
      <c r="P2609" s="116">
        <v>1924.9</v>
      </c>
      <c r="Q2609" s="116">
        <v>1902.2</v>
      </c>
      <c r="R2609">
        <v>113701</v>
      </c>
    </row>
    <row r="2610" spans="1:18" x14ac:dyDescent="0.25">
      <c r="A2610" s="169">
        <v>45847</v>
      </c>
      <c r="B2610" s="116">
        <v>1938.95</v>
      </c>
      <c r="C2610" s="116">
        <v>1907.45</v>
      </c>
      <c r="D2610" s="116">
        <v>1880.1</v>
      </c>
      <c r="E2610" s="116">
        <v>1938.95</v>
      </c>
      <c r="F2610" s="116">
        <v>1907.45</v>
      </c>
      <c r="G2610">
        <v>6194</v>
      </c>
      <c r="H2610" s="116"/>
      <c r="I2610" s="116"/>
      <c r="L2610" s="169">
        <v>45847</v>
      </c>
      <c r="M2610" s="116">
        <v>1900.2</v>
      </c>
      <c r="N2610" s="116">
        <v>1930</v>
      </c>
      <c r="O2610" s="116">
        <v>1881</v>
      </c>
      <c r="P2610" s="116">
        <v>1905</v>
      </c>
      <c r="Q2610" s="116">
        <v>1900.2</v>
      </c>
      <c r="R2610">
        <v>97476</v>
      </c>
    </row>
    <row r="2611" spans="1:18" x14ac:dyDescent="0.25">
      <c r="A2611" s="169">
        <v>45848</v>
      </c>
      <c r="B2611" s="116">
        <v>1919</v>
      </c>
      <c r="C2611" s="116">
        <v>1877.55</v>
      </c>
      <c r="D2611" s="116">
        <v>1863.85</v>
      </c>
      <c r="E2611" s="116">
        <v>1898.45</v>
      </c>
      <c r="F2611" s="116">
        <v>1877.55</v>
      </c>
      <c r="G2611">
        <v>8815</v>
      </c>
      <c r="H2611" s="116"/>
      <c r="I2611" s="116"/>
      <c r="L2611" s="169">
        <v>45848</v>
      </c>
      <c r="M2611" s="116">
        <v>1878.7</v>
      </c>
      <c r="N2611" s="116">
        <v>1920.2</v>
      </c>
      <c r="O2611" s="116">
        <v>1862.9</v>
      </c>
      <c r="P2611" s="116">
        <v>1900</v>
      </c>
      <c r="Q2611" s="116">
        <v>1878.7</v>
      </c>
      <c r="R2611">
        <v>69795</v>
      </c>
    </row>
    <row r="2612" spans="1:18" x14ac:dyDescent="0.25">
      <c r="A2612" s="169">
        <v>45849</v>
      </c>
      <c r="B2612" s="116">
        <v>1884.7</v>
      </c>
      <c r="C2612" s="116">
        <v>1796.5</v>
      </c>
      <c r="D2612" s="116">
        <v>1790</v>
      </c>
      <c r="E2612" s="116">
        <v>1860.05</v>
      </c>
      <c r="F2612" s="116">
        <v>1796.5</v>
      </c>
      <c r="G2612">
        <v>10373</v>
      </c>
      <c r="H2612" s="116"/>
      <c r="I2612" s="116"/>
      <c r="L2612" s="169">
        <v>45849</v>
      </c>
      <c r="M2612" s="116">
        <v>1794.7</v>
      </c>
      <c r="N2612" s="116">
        <v>1887.9</v>
      </c>
      <c r="O2612" s="116">
        <v>1788</v>
      </c>
      <c r="P2612" s="116">
        <v>1875</v>
      </c>
      <c r="Q2612" s="116">
        <v>1794.7</v>
      </c>
      <c r="R2612">
        <v>150398</v>
      </c>
    </row>
    <row r="2613" spans="1:18" x14ac:dyDescent="0.25">
      <c r="A2613" s="169">
        <v>45852</v>
      </c>
      <c r="B2613" s="116">
        <v>1812.1</v>
      </c>
      <c r="C2613" s="116">
        <v>1758.75</v>
      </c>
      <c r="D2613" s="116">
        <v>1748.65</v>
      </c>
      <c r="E2613" s="116">
        <v>1800.6</v>
      </c>
      <c r="F2613" s="116">
        <v>1758.75</v>
      </c>
      <c r="G2613">
        <v>12247</v>
      </c>
      <c r="H2613" s="116"/>
      <c r="I2613" s="116"/>
      <c r="L2613" s="169">
        <v>45852</v>
      </c>
      <c r="M2613" s="116">
        <v>1760.1</v>
      </c>
      <c r="N2613" s="116">
        <v>1810.9</v>
      </c>
      <c r="O2613" s="116">
        <v>1747.7</v>
      </c>
      <c r="P2613" s="116">
        <v>1794.1</v>
      </c>
      <c r="Q2613" s="116">
        <v>1760.1</v>
      </c>
      <c r="R2613">
        <v>104554</v>
      </c>
    </row>
    <row r="2614" spans="1:18" x14ac:dyDescent="0.25">
      <c r="A2614" s="169">
        <v>45853</v>
      </c>
      <c r="B2614" s="116">
        <v>1806.65</v>
      </c>
      <c r="C2614" s="116">
        <v>1781.7</v>
      </c>
      <c r="D2614" s="116">
        <v>1756.1</v>
      </c>
      <c r="E2614" s="116">
        <v>1756.1</v>
      </c>
      <c r="F2614" s="116">
        <v>1781.7</v>
      </c>
      <c r="G2614">
        <v>3676</v>
      </c>
      <c r="H2614" s="116"/>
      <c r="I2614" s="116"/>
      <c r="L2614" s="169">
        <v>45853</v>
      </c>
      <c r="M2614" s="116">
        <v>1782.5</v>
      </c>
      <c r="N2614" s="116">
        <v>1811.6</v>
      </c>
      <c r="O2614" s="116">
        <v>1756</v>
      </c>
      <c r="P2614" s="116">
        <v>1762.3</v>
      </c>
      <c r="Q2614" s="116">
        <v>1782.5</v>
      </c>
      <c r="R2614">
        <v>66623</v>
      </c>
    </row>
    <row r="2615" spans="1:18" x14ac:dyDescent="0.25">
      <c r="A2615" s="169">
        <v>45854</v>
      </c>
      <c r="B2615" s="116">
        <v>1807</v>
      </c>
      <c r="C2615" s="116">
        <v>1781.3</v>
      </c>
      <c r="D2615" s="116">
        <v>1767.2</v>
      </c>
      <c r="E2615" s="116">
        <v>1778.3</v>
      </c>
      <c r="F2615" s="116">
        <v>1781.3</v>
      </c>
      <c r="G2615">
        <v>2265</v>
      </c>
      <c r="H2615" s="116"/>
      <c r="I2615" s="116"/>
      <c r="L2615" s="169">
        <v>45854</v>
      </c>
      <c r="M2615" s="116">
        <v>1781.8</v>
      </c>
      <c r="N2615" s="116">
        <v>1809.5</v>
      </c>
      <c r="O2615" s="116">
        <v>1764.8</v>
      </c>
      <c r="P2615" s="116">
        <v>1782.5</v>
      </c>
      <c r="Q2615" s="116">
        <v>1781.8</v>
      </c>
      <c r="R2615">
        <v>58297</v>
      </c>
    </row>
    <row r="2616" spans="1:18" x14ac:dyDescent="0.25">
      <c r="A2616" s="169">
        <v>45855</v>
      </c>
      <c r="B2616" s="116">
        <v>1849.95</v>
      </c>
      <c r="C2616" s="116">
        <v>1797.75</v>
      </c>
      <c r="D2616" s="116">
        <v>1792.65</v>
      </c>
      <c r="E2616" s="116">
        <v>1849.95</v>
      </c>
      <c r="F2616" s="116">
        <v>1797.75</v>
      </c>
      <c r="G2616">
        <v>6245</v>
      </c>
      <c r="H2616" s="116"/>
      <c r="I2616" s="116"/>
      <c r="L2616" s="169">
        <v>45855</v>
      </c>
      <c r="M2616" s="116">
        <v>1797.6</v>
      </c>
      <c r="N2616" s="116">
        <v>1832.4</v>
      </c>
      <c r="O2616" s="116">
        <v>1786</v>
      </c>
      <c r="P2616" s="116">
        <v>1790</v>
      </c>
      <c r="Q2616" s="116">
        <v>1797.6</v>
      </c>
      <c r="R2616">
        <v>92217</v>
      </c>
    </row>
    <row r="2617" spans="1:18" x14ac:dyDescent="0.25">
      <c r="A2617" s="169">
        <v>45856</v>
      </c>
      <c r="B2617" s="116">
        <v>1801.1</v>
      </c>
      <c r="C2617" s="116">
        <v>1762.25</v>
      </c>
      <c r="D2617" s="116">
        <v>1737.3</v>
      </c>
      <c r="E2617" s="116">
        <v>1799</v>
      </c>
      <c r="F2617" s="116">
        <v>1762.25</v>
      </c>
      <c r="G2617">
        <v>10343</v>
      </c>
      <c r="H2617" s="116"/>
      <c r="I2617" s="116"/>
      <c r="L2617" s="169">
        <v>45856</v>
      </c>
      <c r="M2617" s="116">
        <v>1761.7</v>
      </c>
      <c r="N2617" s="116">
        <v>1805.3</v>
      </c>
      <c r="O2617" s="116">
        <v>1756.1</v>
      </c>
      <c r="P2617" s="116">
        <v>1804.9</v>
      </c>
      <c r="Q2617" s="116">
        <v>1761.7</v>
      </c>
      <c r="R2617">
        <v>59077</v>
      </c>
    </row>
    <row r="2618" spans="1:18" x14ac:dyDescent="0.25">
      <c r="A2618" s="169">
        <v>45859</v>
      </c>
      <c r="B2618" s="116">
        <v>1783.7</v>
      </c>
      <c r="C2618" s="116">
        <v>1749.5</v>
      </c>
      <c r="D2618" s="116">
        <v>1746</v>
      </c>
      <c r="E2618" s="116">
        <v>1779.7</v>
      </c>
      <c r="F2618" s="116">
        <v>1749.5</v>
      </c>
      <c r="G2618">
        <v>7323</v>
      </c>
      <c r="H2618" s="116"/>
      <c r="I2618" s="116"/>
      <c r="L2618" s="169">
        <v>45859</v>
      </c>
      <c r="M2618" s="116">
        <v>1750.1</v>
      </c>
      <c r="N2618" s="116">
        <v>1784.8</v>
      </c>
      <c r="O2618" s="116">
        <v>1743.7</v>
      </c>
      <c r="P2618" s="116">
        <v>1769</v>
      </c>
      <c r="Q2618" s="116">
        <v>1750.1</v>
      </c>
      <c r="R2618">
        <v>46110</v>
      </c>
    </row>
    <row r="2619" spans="1:18" x14ac:dyDescent="0.25">
      <c r="A2619" s="169">
        <v>45860</v>
      </c>
      <c r="B2619" s="116">
        <v>1767.45</v>
      </c>
      <c r="C2619" s="116">
        <v>1725.55</v>
      </c>
      <c r="D2619" s="116">
        <v>1721.35</v>
      </c>
      <c r="E2619" s="116">
        <v>1757</v>
      </c>
      <c r="F2619" s="116">
        <v>1725.55</v>
      </c>
      <c r="G2619">
        <v>2177</v>
      </c>
      <c r="H2619" s="116"/>
      <c r="I2619" s="116"/>
      <c r="L2619" s="169">
        <v>45860</v>
      </c>
      <c r="M2619" s="116">
        <v>1725.9</v>
      </c>
      <c r="N2619" s="116">
        <v>1769</v>
      </c>
      <c r="O2619" s="116">
        <v>1720.8</v>
      </c>
      <c r="P2619" s="116">
        <v>1765.4</v>
      </c>
      <c r="Q2619" s="116">
        <v>1725.9</v>
      </c>
      <c r="R2619">
        <v>34239</v>
      </c>
    </row>
    <row r="2620" spans="1:18" x14ac:dyDescent="0.25">
      <c r="A2620" s="169">
        <v>45861</v>
      </c>
      <c r="B2620" s="116">
        <v>1759.45</v>
      </c>
      <c r="C2620" s="116">
        <v>1737.2</v>
      </c>
      <c r="D2620" s="116">
        <v>1711.85</v>
      </c>
      <c r="E2620" s="116">
        <v>1759.45</v>
      </c>
      <c r="F2620" s="116">
        <v>1737.2</v>
      </c>
      <c r="G2620">
        <v>1299</v>
      </c>
      <c r="H2620" s="116"/>
      <c r="I2620" s="116"/>
      <c r="L2620" s="169">
        <v>45861</v>
      </c>
      <c r="M2620" s="116">
        <v>1738.6</v>
      </c>
      <c r="N2620" s="116">
        <v>1745</v>
      </c>
      <c r="O2620" s="116">
        <v>1711.6</v>
      </c>
      <c r="P2620" s="116">
        <v>1736.2</v>
      </c>
      <c r="Q2620" s="116">
        <v>1738.6</v>
      </c>
      <c r="R2620">
        <v>37889</v>
      </c>
    </row>
    <row r="2621" spans="1:18" x14ac:dyDescent="0.25">
      <c r="A2621" s="169">
        <v>45862</v>
      </c>
      <c r="B2621" s="116">
        <v>1759</v>
      </c>
      <c r="C2621" s="116">
        <v>1740.1</v>
      </c>
      <c r="D2621" s="116">
        <v>1729.7</v>
      </c>
      <c r="E2621" s="116">
        <v>1749.95</v>
      </c>
      <c r="F2621" s="116">
        <v>1740.1</v>
      </c>
      <c r="G2621">
        <v>2358</v>
      </c>
      <c r="H2621" s="116"/>
      <c r="I2621" s="116"/>
      <c r="L2621" s="169">
        <v>45862</v>
      </c>
      <c r="M2621" s="116">
        <v>1741.6</v>
      </c>
      <c r="N2621" s="116">
        <v>1761</v>
      </c>
      <c r="O2621" s="116">
        <v>1729.6</v>
      </c>
      <c r="P2621" s="116">
        <v>1740</v>
      </c>
      <c r="Q2621" s="116">
        <v>1741.6</v>
      </c>
      <c r="R2621">
        <v>44194</v>
      </c>
    </row>
    <row r="2622" spans="1:18" x14ac:dyDescent="0.25">
      <c r="A2622" s="169">
        <v>45863</v>
      </c>
      <c r="B2622" s="116">
        <v>1759.85</v>
      </c>
      <c r="C2622" s="116">
        <v>1677.9</v>
      </c>
      <c r="D2622" s="116">
        <v>1675</v>
      </c>
      <c r="E2622" s="116">
        <v>1759.85</v>
      </c>
      <c r="F2622" s="116">
        <v>1677.9</v>
      </c>
      <c r="G2622">
        <v>3166</v>
      </c>
      <c r="H2622" s="116"/>
      <c r="I2622" s="116"/>
      <c r="L2622" s="169">
        <v>45863</v>
      </c>
      <c r="M2622" s="116">
        <v>1681.5</v>
      </c>
      <c r="N2622" s="116">
        <v>1745</v>
      </c>
      <c r="O2622" s="116">
        <v>1674.7</v>
      </c>
      <c r="P2622" s="116">
        <v>1745</v>
      </c>
      <c r="Q2622" s="116">
        <v>1681.5</v>
      </c>
      <c r="R2622">
        <v>56984</v>
      </c>
    </row>
    <row r="2623" spans="1:18" x14ac:dyDescent="0.25">
      <c r="A2623" s="169">
        <v>45866</v>
      </c>
      <c r="B2623" s="116">
        <v>1695</v>
      </c>
      <c r="C2623" s="116">
        <v>1664.65</v>
      </c>
      <c r="D2623" s="116">
        <v>1659.05</v>
      </c>
      <c r="E2623" s="116">
        <v>1686.25</v>
      </c>
      <c r="F2623" s="116">
        <v>1664.65</v>
      </c>
      <c r="G2623">
        <v>2070</v>
      </c>
      <c r="H2623" s="116"/>
      <c r="I2623" s="116"/>
      <c r="L2623" s="169">
        <v>45866</v>
      </c>
      <c r="M2623" s="116">
        <v>1668.5</v>
      </c>
      <c r="N2623" s="116">
        <v>1698.6</v>
      </c>
      <c r="O2623" s="116">
        <v>1657.8</v>
      </c>
      <c r="P2623" s="116">
        <v>1675</v>
      </c>
      <c r="Q2623" s="116">
        <v>1668.5</v>
      </c>
      <c r="R2623">
        <v>36807</v>
      </c>
    </row>
    <row r="2624" spans="1:18" x14ac:dyDescent="0.25">
      <c r="A2624" s="169">
        <v>45867</v>
      </c>
      <c r="B2624" s="116">
        <v>1724.95</v>
      </c>
      <c r="C2624" s="116">
        <v>1715.4</v>
      </c>
      <c r="D2624" s="116">
        <v>1656.8</v>
      </c>
      <c r="E2624" s="116">
        <v>1664.65</v>
      </c>
      <c r="F2624" s="116">
        <v>1715.4</v>
      </c>
      <c r="G2624">
        <v>3158</v>
      </c>
      <c r="H2624" s="116"/>
      <c r="I2624" s="116"/>
      <c r="L2624" s="169">
        <v>45867</v>
      </c>
      <c r="M2624" s="116">
        <v>1711.6</v>
      </c>
      <c r="N2624" s="116">
        <v>1725</v>
      </c>
      <c r="O2624" s="116">
        <v>1653.9</v>
      </c>
      <c r="P2624" s="116">
        <v>1660.3</v>
      </c>
      <c r="Q2624" s="116">
        <v>1711.6</v>
      </c>
      <c r="R2624">
        <v>40130</v>
      </c>
    </row>
    <row r="2625" spans="1:18" x14ac:dyDescent="0.25">
      <c r="A2625" s="169">
        <v>45868</v>
      </c>
      <c r="B2625" s="116">
        <v>1780</v>
      </c>
      <c r="C2625" s="116">
        <v>1727.85</v>
      </c>
      <c r="D2625" s="116">
        <v>1697.7</v>
      </c>
      <c r="E2625" s="116">
        <v>1744.4</v>
      </c>
      <c r="F2625" s="116">
        <v>1727.85</v>
      </c>
      <c r="G2625">
        <v>8981</v>
      </c>
      <c r="H2625" s="116"/>
      <c r="I2625" s="116"/>
      <c r="L2625" s="169">
        <v>45868</v>
      </c>
      <c r="M2625" s="116">
        <v>1726.4</v>
      </c>
      <c r="N2625" s="116">
        <v>1786</v>
      </c>
      <c r="O2625" s="116">
        <v>1702.8</v>
      </c>
      <c r="P2625" s="116">
        <v>1715.9</v>
      </c>
      <c r="Q2625" s="116">
        <v>1726.4</v>
      </c>
      <c r="R2625">
        <v>93812</v>
      </c>
    </row>
    <row r="2626" spans="1:18" x14ac:dyDescent="0.25">
      <c r="A2626" s="169">
        <v>45869</v>
      </c>
      <c r="B2626" s="116">
        <v>1811</v>
      </c>
      <c r="C2626" s="116">
        <v>1769.7</v>
      </c>
      <c r="D2626" s="116">
        <v>1672.25</v>
      </c>
      <c r="E2626" s="116">
        <v>1706.85</v>
      </c>
      <c r="F2626" s="116">
        <v>1769.7</v>
      </c>
      <c r="G2626">
        <v>19795</v>
      </c>
      <c r="H2626" s="116"/>
      <c r="I2626" s="116"/>
      <c r="L2626" s="169">
        <v>45869</v>
      </c>
      <c r="M2626" s="116">
        <v>1768.4</v>
      </c>
      <c r="N2626" s="116">
        <v>1815.7</v>
      </c>
      <c r="O2626" s="116">
        <v>1674</v>
      </c>
      <c r="P2626" s="116">
        <v>1700</v>
      </c>
      <c r="Q2626" s="116">
        <v>1768.4</v>
      </c>
      <c r="R2626">
        <v>145943</v>
      </c>
    </row>
    <row r="2627" spans="1:18" x14ac:dyDescent="0.25">
      <c r="A2627" s="169">
        <v>45870</v>
      </c>
      <c r="B2627" s="116">
        <v>1794.1</v>
      </c>
      <c r="C2627" s="116">
        <v>1690.85</v>
      </c>
      <c r="D2627" s="116">
        <v>1672.55</v>
      </c>
      <c r="E2627" s="116">
        <v>1794.1</v>
      </c>
      <c r="F2627" s="116">
        <v>1690.85</v>
      </c>
      <c r="G2627">
        <v>17165</v>
      </c>
      <c r="H2627" s="116"/>
      <c r="I2627" s="116"/>
      <c r="L2627" s="169">
        <v>45870</v>
      </c>
      <c r="M2627" s="116">
        <v>1691.5</v>
      </c>
      <c r="N2627" s="116">
        <v>1788.8</v>
      </c>
      <c r="O2627" s="116">
        <v>1668</v>
      </c>
      <c r="P2627" s="116">
        <v>1768.4</v>
      </c>
      <c r="Q2627" s="116">
        <v>1691.5</v>
      </c>
      <c r="R2627">
        <v>74807</v>
      </c>
    </row>
    <row r="2628" spans="1:18" x14ac:dyDescent="0.25">
      <c r="A2628" s="169">
        <v>45873</v>
      </c>
      <c r="B2628" s="116">
        <v>1672.55</v>
      </c>
      <c r="C2628" s="116">
        <v>1563.55</v>
      </c>
      <c r="D2628" s="116">
        <v>1554.9</v>
      </c>
      <c r="E2628" s="116">
        <v>1672.55</v>
      </c>
      <c r="F2628" s="116">
        <v>1563.55</v>
      </c>
      <c r="G2628">
        <v>17094</v>
      </c>
      <c r="H2628" s="116"/>
      <c r="I2628" s="116"/>
      <c r="L2628" s="169">
        <v>45873</v>
      </c>
      <c r="M2628" s="116">
        <v>1565.1</v>
      </c>
      <c r="N2628" s="116">
        <v>1649</v>
      </c>
      <c r="O2628" s="116">
        <v>1554.5</v>
      </c>
      <c r="P2628" s="116">
        <v>1621.5</v>
      </c>
      <c r="Q2628" s="116">
        <v>1565.1</v>
      </c>
      <c r="R2628">
        <v>200906</v>
      </c>
    </row>
    <row r="2629" spans="1:18" x14ac:dyDescent="0.25">
      <c r="A2629" s="169">
        <v>45874</v>
      </c>
      <c r="B2629" s="116">
        <v>1577.65</v>
      </c>
      <c r="C2629" s="116">
        <v>1522.9</v>
      </c>
      <c r="D2629" s="116">
        <v>1518.8</v>
      </c>
      <c r="E2629" s="116">
        <v>1561</v>
      </c>
      <c r="F2629" s="116">
        <v>1522.9</v>
      </c>
      <c r="G2629">
        <v>4340</v>
      </c>
      <c r="H2629" s="116"/>
      <c r="I2629" s="116"/>
      <c r="L2629" s="169">
        <v>45874</v>
      </c>
      <c r="M2629" s="116">
        <v>1522</v>
      </c>
      <c r="N2629" s="116">
        <v>1578</v>
      </c>
      <c r="O2629" s="116">
        <v>1518.6</v>
      </c>
      <c r="P2629" s="116">
        <v>1562.9</v>
      </c>
      <c r="Q2629" s="116">
        <v>1522</v>
      </c>
      <c r="R2629">
        <v>113156</v>
      </c>
    </row>
    <row r="2630" spans="1:18" x14ac:dyDescent="0.25">
      <c r="A2630" s="169">
        <v>45875</v>
      </c>
      <c r="B2630" s="116">
        <v>1563.7</v>
      </c>
      <c r="C2630" s="116">
        <v>1551.45</v>
      </c>
      <c r="D2630" s="116">
        <v>1505.1</v>
      </c>
      <c r="E2630" s="116">
        <v>1505.1</v>
      </c>
      <c r="F2630" s="116">
        <v>1551.45</v>
      </c>
      <c r="G2630">
        <v>9295</v>
      </c>
      <c r="H2630" s="116"/>
      <c r="I2630" s="116"/>
      <c r="L2630" s="169">
        <v>45875</v>
      </c>
      <c r="M2630" s="116">
        <v>1551.5</v>
      </c>
      <c r="N2630" s="116">
        <v>1564.4</v>
      </c>
      <c r="O2630" s="116">
        <v>1512.2</v>
      </c>
      <c r="P2630" s="116">
        <v>1522</v>
      </c>
      <c r="Q2630" s="116">
        <v>1551.5</v>
      </c>
      <c r="R2630">
        <v>64559</v>
      </c>
    </row>
    <row r="2631" spans="1:18" x14ac:dyDescent="0.25">
      <c r="A2631" s="169">
        <v>45876</v>
      </c>
      <c r="B2631" s="116">
        <v>1541.7</v>
      </c>
      <c r="C2631" s="116">
        <v>1535.65</v>
      </c>
      <c r="D2631" s="116">
        <v>1514</v>
      </c>
      <c r="E2631" s="116">
        <v>1533.05</v>
      </c>
      <c r="F2631" s="116">
        <v>1535.65</v>
      </c>
      <c r="G2631">
        <v>2404</v>
      </c>
      <c r="H2631" s="116"/>
      <c r="I2631" s="116"/>
      <c r="L2631" s="169">
        <v>45876</v>
      </c>
      <c r="M2631" s="116">
        <v>1537.6</v>
      </c>
      <c r="N2631" s="116">
        <v>1550.9</v>
      </c>
      <c r="O2631" s="116">
        <v>1511.3</v>
      </c>
      <c r="P2631" s="116">
        <v>1541</v>
      </c>
      <c r="Q2631" s="116">
        <v>1537.6</v>
      </c>
      <c r="R2631">
        <v>39410</v>
      </c>
    </row>
    <row r="2632" spans="1:18" x14ac:dyDescent="0.25">
      <c r="A2632" s="169">
        <v>45877</v>
      </c>
      <c r="B2632" s="116">
        <v>1567</v>
      </c>
      <c r="C2632" s="116">
        <v>1538.05</v>
      </c>
      <c r="D2632" s="116">
        <v>1522.35</v>
      </c>
      <c r="E2632" s="116">
        <v>1528.1</v>
      </c>
      <c r="F2632" s="116">
        <v>1538.05</v>
      </c>
      <c r="G2632">
        <v>1490</v>
      </c>
      <c r="H2632" s="116"/>
      <c r="I2632" s="116"/>
      <c r="L2632" s="169">
        <v>45877</v>
      </c>
      <c r="M2632" s="116">
        <v>1534.4</v>
      </c>
      <c r="N2632" s="116">
        <v>1567.6</v>
      </c>
      <c r="O2632" s="116">
        <v>1517</v>
      </c>
      <c r="P2632" s="116">
        <v>1537.6</v>
      </c>
      <c r="Q2632" s="116">
        <v>1534.4</v>
      </c>
      <c r="R2632">
        <v>42511</v>
      </c>
    </row>
    <row r="2633" spans="1:18" x14ac:dyDescent="0.25">
      <c r="A2633" s="169">
        <v>45880</v>
      </c>
      <c r="B2633" s="116">
        <v>1545</v>
      </c>
      <c r="C2633" s="116">
        <v>1533.9</v>
      </c>
      <c r="D2633" s="116">
        <v>1503.1</v>
      </c>
      <c r="E2633" s="116">
        <v>1503.1</v>
      </c>
      <c r="F2633" s="116">
        <v>1533.9</v>
      </c>
      <c r="G2633">
        <v>5833</v>
      </c>
      <c r="H2633" s="116"/>
      <c r="I2633" s="116"/>
      <c r="L2633" s="169">
        <v>45880</v>
      </c>
      <c r="M2633" s="116">
        <v>1534.7</v>
      </c>
      <c r="N2633" s="116">
        <v>1543</v>
      </c>
      <c r="O2633" s="116">
        <v>1510</v>
      </c>
      <c r="P2633" s="116">
        <v>1525</v>
      </c>
      <c r="Q2633" s="116">
        <v>1534.7</v>
      </c>
      <c r="R2633">
        <v>30092</v>
      </c>
    </row>
    <row r="2634" spans="1:18" x14ac:dyDescent="0.25">
      <c r="A2634" s="169">
        <v>45881</v>
      </c>
      <c r="B2634" s="116">
        <v>1548.45</v>
      </c>
      <c r="C2634" s="116">
        <v>1540.1</v>
      </c>
      <c r="D2634" s="116">
        <v>1515</v>
      </c>
      <c r="E2634" s="116">
        <v>1539.65</v>
      </c>
      <c r="F2634" s="116">
        <v>1540.1</v>
      </c>
      <c r="G2634">
        <v>1385</v>
      </c>
      <c r="H2634" s="116"/>
      <c r="I2634" s="116"/>
      <c r="L2634" s="169">
        <v>45881</v>
      </c>
      <c r="M2634" s="116">
        <v>1540.8</v>
      </c>
      <c r="N2634" s="116">
        <v>1549.6</v>
      </c>
      <c r="O2634" s="116">
        <v>1515</v>
      </c>
      <c r="P2634" s="116">
        <v>1533.5</v>
      </c>
      <c r="Q2634" s="116">
        <v>1540.8</v>
      </c>
      <c r="R2634">
        <v>26214</v>
      </c>
    </row>
    <row r="2635" spans="1:18" x14ac:dyDescent="0.25">
      <c r="A2635" s="169">
        <v>45882</v>
      </c>
      <c r="B2635" s="116">
        <v>1585.9</v>
      </c>
      <c r="C2635" s="116">
        <v>1562.7</v>
      </c>
      <c r="D2635" s="116">
        <v>1538</v>
      </c>
      <c r="E2635" s="116">
        <v>1538</v>
      </c>
      <c r="F2635" s="116">
        <v>1562.7</v>
      </c>
      <c r="G2635">
        <v>2136</v>
      </c>
      <c r="H2635" s="116"/>
      <c r="I2635" s="116"/>
      <c r="L2635" s="169">
        <v>45882</v>
      </c>
      <c r="M2635" s="116">
        <v>1560.6</v>
      </c>
      <c r="N2635" s="116">
        <v>1586.2</v>
      </c>
      <c r="O2635" s="116">
        <v>1548</v>
      </c>
      <c r="P2635" s="116">
        <v>1550.5</v>
      </c>
      <c r="Q2635" s="116">
        <v>1560.6</v>
      </c>
      <c r="R2635">
        <v>37363</v>
      </c>
    </row>
    <row r="2636" spans="1:18" x14ac:dyDescent="0.25">
      <c r="A2636" s="169">
        <v>45883</v>
      </c>
      <c r="B2636" s="116">
        <v>1576.35</v>
      </c>
      <c r="C2636" s="116">
        <v>1548.35</v>
      </c>
      <c r="D2636" s="116">
        <v>1544.05</v>
      </c>
      <c r="E2636" s="116">
        <v>1562.75</v>
      </c>
      <c r="F2636" s="116">
        <v>1548.35</v>
      </c>
      <c r="G2636">
        <v>5706</v>
      </c>
      <c r="H2636" s="116"/>
      <c r="I2636" s="116"/>
      <c r="L2636" s="169">
        <v>45883</v>
      </c>
      <c r="M2636" s="116">
        <v>1548.9</v>
      </c>
      <c r="N2636" s="116">
        <v>1574</v>
      </c>
      <c r="O2636" s="116">
        <v>1544.9</v>
      </c>
      <c r="P2636" s="116">
        <v>1557</v>
      </c>
      <c r="Q2636" s="116">
        <v>1548.9</v>
      </c>
      <c r="R2636">
        <v>19948</v>
      </c>
    </row>
    <row r="2637" spans="1:18" x14ac:dyDescent="0.25">
      <c r="A2637" s="169">
        <v>45887</v>
      </c>
      <c r="B2637" s="116">
        <v>1560</v>
      </c>
      <c r="C2637" s="116">
        <v>1543.15</v>
      </c>
      <c r="D2637" s="116">
        <v>1536.05</v>
      </c>
      <c r="E2637" s="116">
        <v>1558.7</v>
      </c>
      <c r="F2637" s="116">
        <v>1543.15</v>
      </c>
      <c r="G2637">
        <v>2925</v>
      </c>
      <c r="H2637" s="116"/>
      <c r="I2637" s="116"/>
      <c r="L2637" s="169">
        <v>45887</v>
      </c>
      <c r="M2637" s="116">
        <v>1543</v>
      </c>
      <c r="N2637" s="116">
        <v>1569.4</v>
      </c>
      <c r="O2637" s="116">
        <v>1537</v>
      </c>
      <c r="P2637" s="116">
        <v>1555</v>
      </c>
      <c r="Q2637" s="116">
        <v>1543</v>
      </c>
      <c r="R2637">
        <v>27826</v>
      </c>
    </row>
    <row r="2638" spans="1:18" x14ac:dyDescent="0.25">
      <c r="A2638" s="169">
        <v>45888</v>
      </c>
      <c r="B2638" s="116">
        <v>1563.15</v>
      </c>
      <c r="C2638" s="116">
        <v>1545.35</v>
      </c>
      <c r="D2638" s="116">
        <v>1536.1</v>
      </c>
      <c r="E2638" s="116">
        <v>1548.95</v>
      </c>
      <c r="F2638" s="116">
        <v>1545.35</v>
      </c>
      <c r="G2638">
        <v>2809</v>
      </c>
      <c r="H2638" s="116"/>
      <c r="I2638" s="116"/>
      <c r="L2638" s="169">
        <v>45888</v>
      </c>
      <c r="M2638" s="116">
        <v>1544.2</v>
      </c>
      <c r="N2638" s="116">
        <v>1565</v>
      </c>
      <c r="O2638" s="116">
        <v>1536</v>
      </c>
      <c r="P2638" s="116">
        <v>1540.1</v>
      </c>
      <c r="Q2638" s="116">
        <v>1544.2</v>
      </c>
      <c r="R2638">
        <v>21943</v>
      </c>
    </row>
    <row r="2639" spans="1:18" x14ac:dyDescent="0.25">
      <c r="A2639" s="169">
        <v>45889</v>
      </c>
      <c r="B2639" s="116">
        <v>1564</v>
      </c>
      <c r="C2639" s="116">
        <v>1560.7</v>
      </c>
      <c r="D2639" s="116">
        <v>1529.3</v>
      </c>
      <c r="E2639" s="116">
        <v>1536.15</v>
      </c>
      <c r="F2639" s="116">
        <v>1560.7</v>
      </c>
      <c r="G2639">
        <v>6532</v>
      </c>
      <c r="H2639" s="116"/>
      <c r="I2639" s="116"/>
      <c r="L2639" s="169">
        <v>45889</v>
      </c>
      <c r="M2639" s="116">
        <v>1561.3</v>
      </c>
      <c r="N2639" s="116">
        <v>1564.9</v>
      </c>
      <c r="O2639" s="116">
        <v>1529</v>
      </c>
      <c r="P2639" s="116">
        <v>1550.9</v>
      </c>
      <c r="Q2639" s="116">
        <v>1561.3</v>
      </c>
      <c r="R2639">
        <v>26812</v>
      </c>
    </row>
    <row r="2640" spans="1:18" x14ac:dyDescent="0.25">
      <c r="A2640" s="169">
        <v>45890</v>
      </c>
      <c r="B2640" s="116">
        <v>1579</v>
      </c>
      <c r="C2640" s="116">
        <v>1561.25</v>
      </c>
      <c r="D2640" s="116">
        <v>1550.05</v>
      </c>
      <c r="E2640" s="116">
        <v>1550.05</v>
      </c>
      <c r="F2640" s="116">
        <v>1561.25</v>
      </c>
      <c r="G2640">
        <v>2571</v>
      </c>
      <c r="H2640" s="116"/>
      <c r="I2640" s="116"/>
      <c r="L2640" s="169">
        <v>45890</v>
      </c>
      <c r="M2640" s="116">
        <v>1561.9</v>
      </c>
      <c r="N2640" s="116">
        <v>1578.8</v>
      </c>
      <c r="O2640" s="116">
        <v>1555</v>
      </c>
      <c r="P2640" s="116">
        <v>1561.3</v>
      </c>
      <c r="Q2640" s="116">
        <v>1561.9</v>
      </c>
      <c r="R2640">
        <v>26921</v>
      </c>
    </row>
    <row r="2641" spans="1:18" x14ac:dyDescent="0.25">
      <c r="A2641" s="169">
        <v>45891</v>
      </c>
      <c r="B2641" s="116">
        <v>1575</v>
      </c>
      <c r="C2641" s="116">
        <v>1531.75</v>
      </c>
      <c r="D2641" s="116">
        <v>1528.7</v>
      </c>
      <c r="E2641" s="116">
        <v>1574.95</v>
      </c>
      <c r="F2641" s="116">
        <v>1531.75</v>
      </c>
      <c r="G2641">
        <v>1017</v>
      </c>
      <c r="H2641" s="116"/>
      <c r="I2641" s="116"/>
      <c r="L2641" s="169">
        <v>45891</v>
      </c>
      <c r="M2641" s="116">
        <v>1532</v>
      </c>
      <c r="N2641" s="116">
        <v>1587</v>
      </c>
      <c r="O2641" s="116">
        <v>1524.9</v>
      </c>
      <c r="P2641" s="116">
        <v>1569.7</v>
      </c>
      <c r="Q2641" s="116">
        <v>1532</v>
      </c>
      <c r="R2641">
        <v>29810</v>
      </c>
    </row>
    <row r="2642" spans="1:18" x14ac:dyDescent="0.25">
      <c r="A2642" s="169">
        <v>45894</v>
      </c>
      <c r="B2642" s="116">
        <v>1560.9</v>
      </c>
      <c r="C2642" s="116">
        <v>1553.75</v>
      </c>
      <c r="D2642" s="116">
        <v>1527.05</v>
      </c>
      <c r="E2642" s="116">
        <v>1531.8</v>
      </c>
      <c r="F2642" s="116">
        <v>1553.75</v>
      </c>
      <c r="G2642">
        <v>1170</v>
      </c>
      <c r="H2642" s="116"/>
      <c r="I2642" s="116"/>
      <c r="L2642" s="169">
        <v>45894</v>
      </c>
      <c r="M2642" s="116">
        <v>1555.4</v>
      </c>
      <c r="N2642" s="116">
        <v>1568.7</v>
      </c>
      <c r="O2642" s="116">
        <v>1527</v>
      </c>
      <c r="P2642" s="116">
        <v>1532.5</v>
      </c>
      <c r="Q2642" s="116">
        <v>1555.4</v>
      </c>
      <c r="R2642">
        <v>24740</v>
      </c>
    </row>
    <row r="2643" spans="1:18" x14ac:dyDescent="0.25">
      <c r="A2643" s="169">
        <v>45895</v>
      </c>
      <c r="B2643" s="116">
        <v>1559.05</v>
      </c>
      <c r="C2643" s="116">
        <v>1512.95</v>
      </c>
      <c r="D2643" s="116">
        <v>1509.15</v>
      </c>
      <c r="E2643" s="116">
        <v>1559.05</v>
      </c>
      <c r="F2643" s="116">
        <v>1512.95</v>
      </c>
      <c r="G2643">
        <v>834</v>
      </c>
      <c r="H2643" s="116"/>
      <c r="I2643" s="116"/>
      <c r="L2643" s="169">
        <v>45895</v>
      </c>
      <c r="M2643" s="116">
        <v>1517</v>
      </c>
      <c r="N2643" s="116">
        <v>1559.9</v>
      </c>
      <c r="O2643" s="116">
        <v>1509.5</v>
      </c>
      <c r="P2643" s="116">
        <v>1555.4</v>
      </c>
      <c r="Q2643" s="116">
        <v>1517</v>
      </c>
      <c r="R2643">
        <v>21983</v>
      </c>
    </row>
    <row r="2644" spans="1:18" x14ac:dyDescent="0.25">
      <c r="A2644" s="169">
        <v>45897</v>
      </c>
      <c r="B2644" s="116">
        <v>1514.95</v>
      </c>
      <c r="C2644" s="116">
        <v>1475.75</v>
      </c>
      <c r="D2644" s="116">
        <v>1471</v>
      </c>
      <c r="E2644" s="116">
        <v>1514.95</v>
      </c>
      <c r="F2644" s="116">
        <v>1475.75</v>
      </c>
      <c r="G2644">
        <v>1218</v>
      </c>
      <c r="H2644" s="116"/>
      <c r="I2644" s="116"/>
      <c r="L2644" s="169">
        <v>45897</v>
      </c>
      <c r="M2644" s="116">
        <v>1477.6</v>
      </c>
      <c r="N2644" s="116">
        <v>1513.5</v>
      </c>
      <c r="O2644" s="116">
        <v>1471</v>
      </c>
      <c r="P2644" s="116">
        <v>1510</v>
      </c>
      <c r="Q2644" s="116">
        <v>1477.6</v>
      </c>
      <c r="R2644">
        <v>32316</v>
      </c>
    </row>
    <row r="2645" spans="1:18" x14ac:dyDescent="0.25">
      <c r="A2645" s="169">
        <v>45898</v>
      </c>
      <c r="B2645" s="116">
        <v>1570</v>
      </c>
      <c r="C2645" s="116">
        <v>1456.25</v>
      </c>
      <c r="D2645" s="116">
        <v>1450</v>
      </c>
      <c r="E2645" s="116">
        <v>1570</v>
      </c>
      <c r="F2645" s="116">
        <v>1456.25</v>
      </c>
      <c r="G2645">
        <v>1306</v>
      </c>
      <c r="H2645" s="116"/>
      <c r="I2645" s="116"/>
      <c r="L2645" s="169">
        <v>45898</v>
      </c>
      <c r="M2645" s="116">
        <v>1457</v>
      </c>
      <c r="N2645" s="116">
        <v>1489.4</v>
      </c>
      <c r="O2645" s="116">
        <v>1450</v>
      </c>
      <c r="P2645" s="116">
        <v>1477.6</v>
      </c>
      <c r="Q2645" s="116">
        <v>1457</v>
      </c>
      <c r="R2645">
        <v>22034</v>
      </c>
    </row>
    <row r="2646" spans="1:18" x14ac:dyDescent="0.25">
      <c r="A2646" s="169">
        <v>45901</v>
      </c>
      <c r="B2646" s="116">
        <v>1494.95</v>
      </c>
      <c r="C2646" s="116">
        <v>1476.55</v>
      </c>
      <c r="D2646" s="116">
        <v>1453.3</v>
      </c>
      <c r="E2646" s="116">
        <v>1494.95</v>
      </c>
      <c r="F2646" s="116">
        <v>1476.55</v>
      </c>
      <c r="G2646">
        <v>2362</v>
      </c>
      <c r="H2646" s="116"/>
      <c r="I2646" s="116"/>
      <c r="L2646" s="169">
        <v>45901</v>
      </c>
      <c r="M2646" s="116">
        <v>1474.2</v>
      </c>
      <c r="N2646" s="116">
        <v>1480</v>
      </c>
      <c r="O2646" s="116">
        <v>1453.3</v>
      </c>
      <c r="P2646" s="116">
        <v>1464.2</v>
      </c>
      <c r="Q2646" s="116">
        <v>1474.2</v>
      </c>
      <c r="R2646">
        <v>22434</v>
      </c>
    </row>
    <row r="2647" spans="1:18" x14ac:dyDescent="0.25">
      <c r="A2647" s="169">
        <v>45902</v>
      </c>
      <c r="B2647" s="116">
        <v>1524.2</v>
      </c>
      <c r="C2647" s="116">
        <v>1490.25</v>
      </c>
      <c r="D2647" s="116">
        <v>1471</v>
      </c>
      <c r="E2647" s="116">
        <v>1478</v>
      </c>
      <c r="F2647" s="116">
        <v>1490.25</v>
      </c>
      <c r="G2647">
        <v>5128</v>
      </c>
      <c r="H2647" s="116"/>
      <c r="I2647" s="116"/>
      <c r="L2647" s="169">
        <v>45902</v>
      </c>
      <c r="M2647" s="116">
        <v>1488</v>
      </c>
      <c r="N2647" s="116">
        <v>1522.1</v>
      </c>
      <c r="O2647" s="116">
        <v>1468</v>
      </c>
      <c r="P2647" s="116">
        <v>1489</v>
      </c>
      <c r="Q2647" s="116">
        <v>1488</v>
      </c>
      <c r="R2647">
        <v>35244</v>
      </c>
    </row>
    <row r="2648" spans="1:18" x14ac:dyDescent="0.25">
      <c r="A2648" s="169">
        <v>45903</v>
      </c>
      <c r="B2648" s="116">
        <v>1550</v>
      </c>
      <c r="C2648" s="116">
        <v>1527.1</v>
      </c>
      <c r="D2648" s="116">
        <v>1492.75</v>
      </c>
      <c r="E2648" s="116">
        <v>1500.05</v>
      </c>
      <c r="F2648" s="116">
        <v>1527.1</v>
      </c>
      <c r="G2648">
        <v>5009</v>
      </c>
      <c r="H2648" s="116"/>
      <c r="I2648" s="116"/>
      <c r="L2648" s="169">
        <v>45903</v>
      </c>
      <c r="M2648" s="116">
        <v>1525.9</v>
      </c>
      <c r="N2648" s="116">
        <v>1555</v>
      </c>
      <c r="O2648" s="116">
        <v>1490.6</v>
      </c>
      <c r="P2648" s="116">
        <v>1515</v>
      </c>
      <c r="Q2648" s="116">
        <v>1525.9</v>
      </c>
      <c r="R2648">
        <v>46827</v>
      </c>
    </row>
    <row r="2649" spans="1:18" x14ac:dyDescent="0.25">
      <c r="A2649" s="169">
        <v>45904</v>
      </c>
      <c r="B2649" s="116">
        <v>1550</v>
      </c>
      <c r="C2649" s="116">
        <v>1507.75</v>
      </c>
      <c r="D2649" s="116">
        <v>1500</v>
      </c>
      <c r="E2649" s="116">
        <v>1549.95</v>
      </c>
      <c r="F2649" s="116">
        <v>1507.75</v>
      </c>
      <c r="G2649">
        <v>2898</v>
      </c>
      <c r="H2649" s="116"/>
      <c r="I2649" s="116"/>
      <c r="L2649" s="169">
        <v>45904</v>
      </c>
      <c r="M2649" s="116">
        <v>1504</v>
      </c>
      <c r="N2649" s="116">
        <v>1549.1</v>
      </c>
      <c r="O2649" s="116">
        <v>1499.1</v>
      </c>
      <c r="P2649" s="116">
        <v>1546</v>
      </c>
      <c r="Q2649" s="116">
        <v>1504</v>
      </c>
      <c r="R2649">
        <v>21797</v>
      </c>
    </row>
    <row r="2650" spans="1:18" x14ac:dyDescent="0.25">
      <c r="A2650" s="169">
        <v>45905</v>
      </c>
      <c r="B2650" s="116">
        <v>1511.05</v>
      </c>
      <c r="C2650" s="116">
        <v>1489.2</v>
      </c>
      <c r="D2650" s="116">
        <v>1482.65</v>
      </c>
      <c r="E2650" s="116">
        <v>1507.75</v>
      </c>
      <c r="F2650" s="116">
        <v>1489.2</v>
      </c>
      <c r="G2650">
        <v>3482</v>
      </c>
      <c r="H2650" s="116"/>
      <c r="I2650" s="116"/>
      <c r="L2650" s="169">
        <v>45905</v>
      </c>
      <c r="M2650" s="116">
        <v>1487.3</v>
      </c>
      <c r="N2650" s="116">
        <v>1518.8</v>
      </c>
      <c r="O2650" s="116">
        <v>1480.7</v>
      </c>
      <c r="P2650" s="116">
        <v>1505</v>
      </c>
      <c r="Q2650" s="116">
        <v>1487.3</v>
      </c>
      <c r="R2650">
        <v>22839</v>
      </c>
    </row>
    <row r="2651" spans="1:18" x14ac:dyDescent="0.25">
      <c r="A2651" s="169">
        <v>45908</v>
      </c>
      <c r="B2651" s="116">
        <v>1510</v>
      </c>
      <c r="C2651" s="116">
        <v>1498.6</v>
      </c>
      <c r="D2651" s="116">
        <v>1476.2</v>
      </c>
      <c r="E2651" s="116">
        <v>1482.7</v>
      </c>
      <c r="F2651" s="116">
        <v>1498.6</v>
      </c>
      <c r="G2651">
        <v>4206</v>
      </c>
      <c r="H2651" s="116"/>
      <c r="I2651" s="116"/>
      <c r="L2651" s="169">
        <v>45908</v>
      </c>
      <c r="M2651" s="116">
        <v>1494.3</v>
      </c>
      <c r="N2651" s="116">
        <v>1510</v>
      </c>
      <c r="O2651" s="116">
        <v>1476.8</v>
      </c>
      <c r="P2651" s="116">
        <v>1487.3</v>
      </c>
      <c r="Q2651" s="116">
        <v>1494.3</v>
      </c>
      <c r="R2651">
        <v>17050</v>
      </c>
    </row>
    <row r="2652" spans="1:18" x14ac:dyDescent="0.25">
      <c r="A2652" s="169">
        <v>45909</v>
      </c>
      <c r="B2652" s="116">
        <v>1507.15</v>
      </c>
      <c r="C2652" s="116">
        <v>1501.6</v>
      </c>
      <c r="D2652" s="116">
        <v>1483</v>
      </c>
      <c r="E2652" s="116">
        <v>1503.85</v>
      </c>
      <c r="F2652" s="116">
        <v>1501.6</v>
      </c>
      <c r="G2652">
        <v>4668</v>
      </c>
      <c r="H2652" s="116"/>
      <c r="I2652" s="116"/>
      <c r="L2652" s="169">
        <v>45909</v>
      </c>
      <c r="M2652" s="116">
        <v>1503.4</v>
      </c>
      <c r="N2652" s="116">
        <v>1507.4</v>
      </c>
      <c r="O2652" s="116">
        <v>1483</v>
      </c>
      <c r="P2652" s="116">
        <v>1494.3</v>
      </c>
      <c r="Q2652" s="116">
        <v>1503.4</v>
      </c>
      <c r="R2652">
        <v>16915</v>
      </c>
    </row>
    <row r="2653" spans="1:18" x14ac:dyDescent="0.25">
      <c r="A2653" s="169">
        <v>45910</v>
      </c>
      <c r="B2653" s="116">
        <v>1529</v>
      </c>
      <c r="C2653" s="116">
        <v>1495.35</v>
      </c>
      <c r="D2653" s="116">
        <v>1487.05</v>
      </c>
      <c r="E2653" s="116">
        <v>1509.1</v>
      </c>
      <c r="F2653" s="116">
        <v>1495.35</v>
      </c>
      <c r="G2653">
        <v>1828</v>
      </c>
      <c r="H2653" s="116"/>
      <c r="I2653" s="116"/>
      <c r="L2653" s="169">
        <v>45910</v>
      </c>
      <c r="M2653" s="116">
        <v>1495.5</v>
      </c>
      <c r="N2653" s="116">
        <v>1529.4</v>
      </c>
      <c r="O2653" s="116">
        <v>1484</v>
      </c>
      <c r="P2653" s="116">
        <v>1504.7</v>
      </c>
      <c r="Q2653" s="116">
        <v>1495.5</v>
      </c>
      <c r="R2653">
        <v>37869</v>
      </c>
    </row>
    <row r="2654" spans="1:18" x14ac:dyDescent="0.25">
      <c r="A2654" s="169">
        <v>45911</v>
      </c>
      <c r="B2654" s="116">
        <v>1524.45</v>
      </c>
      <c r="C2654" s="116">
        <v>1506.75</v>
      </c>
      <c r="D2654" s="116">
        <v>1501.45</v>
      </c>
      <c r="E2654" s="116">
        <v>1524.45</v>
      </c>
      <c r="F2654" s="116">
        <v>1506.75</v>
      </c>
      <c r="G2654">
        <v>1254</v>
      </c>
      <c r="H2654" s="116"/>
      <c r="I2654" s="116"/>
      <c r="L2654" s="169">
        <v>45911</v>
      </c>
      <c r="M2654" s="116">
        <v>1506.3</v>
      </c>
      <c r="N2654" s="116">
        <v>1517.9</v>
      </c>
      <c r="O2654" s="116">
        <v>1495</v>
      </c>
      <c r="P2654" s="116">
        <v>1495</v>
      </c>
      <c r="Q2654" s="116">
        <v>1506.3</v>
      </c>
      <c r="R2654">
        <v>16991</v>
      </c>
    </row>
    <row r="2655" spans="1:18" x14ac:dyDescent="0.25">
      <c r="A2655" s="169">
        <v>45912</v>
      </c>
      <c r="B2655" s="116">
        <v>1520</v>
      </c>
      <c r="C2655" s="116">
        <v>1510</v>
      </c>
      <c r="D2655" s="116">
        <v>1495.1</v>
      </c>
      <c r="E2655" s="116">
        <v>1508</v>
      </c>
      <c r="F2655" s="116">
        <v>1510</v>
      </c>
      <c r="G2655">
        <v>4321</v>
      </c>
      <c r="H2655" s="116"/>
      <c r="I2655" s="116"/>
      <c r="L2655" s="169">
        <v>45912</v>
      </c>
      <c r="M2655" s="116">
        <v>1504.8</v>
      </c>
      <c r="N2655" s="116">
        <v>1520.9</v>
      </c>
      <c r="O2655" s="116">
        <v>1495.7</v>
      </c>
      <c r="P2655" s="116">
        <v>1508</v>
      </c>
      <c r="Q2655" s="116">
        <v>1504.8</v>
      </c>
      <c r="R2655">
        <v>16763</v>
      </c>
    </row>
    <row r="2656" spans="1:18" x14ac:dyDescent="0.25">
      <c r="A2656" s="169">
        <v>45915</v>
      </c>
      <c r="B2656" s="116">
        <v>1511.2</v>
      </c>
      <c r="C2656" s="116">
        <v>1488.75</v>
      </c>
      <c r="D2656" s="116">
        <v>1484</v>
      </c>
      <c r="E2656" s="116">
        <v>1502.45</v>
      </c>
      <c r="F2656" s="116">
        <v>1488.75</v>
      </c>
      <c r="G2656">
        <v>5578</v>
      </c>
      <c r="H2656" s="116"/>
      <c r="I2656" s="116"/>
      <c r="L2656" s="169">
        <v>45915</v>
      </c>
      <c r="M2656" s="116">
        <v>1490.4</v>
      </c>
      <c r="N2656" s="116">
        <v>1510.9</v>
      </c>
      <c r="O2656" s="116">
        <v>1484.5</v>
      </c>
      <c r="P2656" s="116">
        <v>1504.8</v>
      </c>
      <c r="Q2656" s="116">
        <v>1490.4</v>
      </c>
      <c r="R2656">
        <v>32880</v>
      </c>
    </row>
    <row r="2657" spans="1:18" x14ac:dyDescent="0.25">
      <c r="A2657" s="169">
        <v>45916</v>
      </c>
      <c r="B2657" s="116">
        <v>1526.05</v>
      </c>
      <c r="C2657" s="116">
        <v>1518.85</v>
      </c>
      <c r="D2657" s="116">
        <v>1482.35</v>
      </c>
      <c r="E2657" s="116">
        <v>1482.35</v>
      </c>
      <c r="F2657" s="116">
        <v>1518.85</v>
      </c>
      <c r="G2657">
        <v>1195</v>
      </c>
      <c r="H2657" s="116"/>
      <c r="I2657" s="116"/>
      <c r="L2657" s="169">
        <v>45916</v>
      </c>
      <c r="M2657" s="116">
        <v>1518.6</v>
      </c>
      <c r="N2657" s="116">
        <v>1527.9</v>
      </c>
      <c r="O2657" s="116">
        <v>1488.9</v>
      </c>
      <c r="P2657" s="116">
        <v>1488.9</v>
      </c>
      <c r="Q2657" s="116">
        <v>1518.6</v>
      </c>
      <c r="R2657">
        <v>38967</v>
      </c>
    </row>
    <row r="2658" spans="1:18" x14ac:dyDescent="0.25">
      <c r="A2658" s="169">
        <v>45917</v>
      </c>
      <c r="B2658" s="116">
        <v>1544.45</v>
      </c>
      <c r="C2658" s="116">
        <v>1514.45</v>
      </c>
      <c r="D2658" s="116">
        <v>1505.7</v>
      </c>
      <c r="E2658" s="116">
        <v>1526.95</v>
      </c>
      <c r="F2658" s="116">
        <v>1514.45</v>
      </c>
      <c r="G2658">
        <v>4959</v>
      </c>
      <c r="H2658" s="116"/>
      <c r="I2658" s="116"/>
      <c r="L2658" s="169">
        <v>45917</v>
      </c>
      <c r="M2658" s="116">
        <v>1516.7</v>
      </c>
      <c r="N2658" s="116">
        <v>1545.8</v>
      </c>
      <c r="O2658" s="116">
        <v>1507.4</v>
      </c>
      <c r="P2658" s="116">
        <v>1528</v>
      </c>
      <c r="Q2658" s="116">
        <v>1516.7</v>
      </c>
      <c r="R2658">
        <v>49020</v>
      </c>
    </row>
    <row r="2659" spans="1:18" x14ac:dyDescent="0.25">
      <c r="A2659" s="169">
        <v>45918</v>
      </c>
      <c r="B2659" s="116">
        <v>1555.05</v>
      </c>
      <c r="C2659" s="116">
        <v>1512.25</v>
      </c>
      <c r="D2659" s="116">
        <v>1504.45</v>
      </c>
      <c r="E2659" s="116">
        <v>1516.75</v>
      </c>
      <c r="F2659" s="116">
        <v>1512.25</v>
      </c>
      <c r="G2659">
        <v>4332</v>
      </c>
      <c r="H2659" s="116"/>
      <c r="I2659" s="116"/>
      <c r="L2659" s="169">
        <v>45918</v>
      </c>
      <c r="M2659" s="116">
        <v>1514.8</v>
      </c>
      <c r="N2659" s="116">
        <v>1560</v>
      </c>
      <c r="O2659" s="116">
        <v>1507.4</v>
      </c>
      <c r="P2659" s="116">
        <v>1516.7</v>
      </c>
      <c r="Q2659" s="116">
        <v>1514.8</v>
      </c>
      <c r="R2659">
        <v>52115</v>
      </c>
    </row>
    <row r="2660" spans="1:18" x14ac:dyDescent="0.25">
      <c r="A2660" s="169">
        <v>45919</v>
      </c>
      <c r="B2660" s="116">
        <v>1512.8</v>
      </c>
      <c r="C2660" s="116">
        <v>1485.65</v>
      </c>
      <c r="D2660" s="116">
        <v>1474.9</v>
      </c>
      <c r="E2660" s="116">
        <v>1511.55</v>
      </c>
      <c r="F2660" s="116">
        <v>1485.65</v>
      </c>
      <c r="G2660">
        <v>5593</v>
      </c>
      <c r="H2660" s="116"/>
      <c r="I2660" s="116"/>
      <c r="L2660" s="169">
        <v>45919</v>
      </c>
      <c r="M2660" s="116">
        <v>1482.7</v>
      </c>
      <c r="N2660" s="116">
        <v>1514.8</v>
      </c>
      <c r="O2660" s="116">
        <v>1476</v>
      </c>
      <c r="P2660" s="116">
        <v>1514.8</v>
      </c>
      <c r="Q2660" s="116">
        <v>1482.7</v>
      </c>
      <c r="R2660">
        <v>72136</v>
      </c>
    </row>
    <row r="2661" spans="1:18" x14ac:dyDescent="0.25">
      <c r="A2661" s="169">
        <v>45922</v>
      </c>
      <c r="B2661" s="116">
        <v>1511</v>
      </c>
      <c r="C2661" s="116">
        <v>1478.65</v>
      </c>
      <c r="D2661" s="116">
        <v>1475.25</v>
      </c>
      <c r="E2661" s="116">
        <v>1476</v>
      </c>
      <c r="F2661" s="116">
        <v>1478.65</v>
      </c>
      <c r="G2661">
        <v>4651</v>
      </c>
      <c r="H2661" s="116"/>
      <c r="I2661" s="116"/>
      <c r="L2661" s="169">
        <v>45922</v>
      </c>
      <c r="M2661" s="116">
        <v>1478.9</v>
      </c>
      <c r="N2661" s="116">
        <v>1513.8</v>
      </c>
      <c r="O2661" s="116">
        <v>1476</v>
      </c>
      <c r="P2661" s="116">
        <v>1476</v>
      </c>
      <c r="Q2661" s="116">
        <v>1478.9</v>
      </c>
      <c r="R2661">
        <v>32864</v>
      </c>
    </row>
    <row r="2662" spans="1:18" x14ac:dyDescent="0.25">
      <c r="A2662" s="169">
        <v>45923</v>
      </c>
      <c r="B2662" s="116">
        <v>1498.95</v>
      </c>
      <c r="C2662" s="116">
        <v>1462.9</v>
      </c>
      <c r="D2662" s="116">
        <v>1460</v>
      </c>
      <c r="E2662" s="116">
        <v>1498.95</v>
      </c>
      <c r="F2662" s="116">
        <v>1462.9</v>
      </c>
      <c r="G2662">
        <v>2161</v>
      </c>
      <c r="H2662" s="116"/>
      <c r="I2662" s="116"/>
      <c r="L2662" s="169">
        <v>45923</v>
      </c>
      <c r="M2662" s="116">
        <v>1462.6</v>
      </c>
      <c r="N2662" s="116">
        <v>1483.8</v>
      </c>
      <c r="O2662" s="116">
        <v>1458.4</v>
      </c>
      <c r="P2662" s="116">
        <v>1480</v>
      </c>
      <c r="Q2662" s="116">
        <v>1462.6</v>
      </c>
      <c r="R2662">
        <v>30898</v>
      </c>
    </row>
    <row r="2663" spans="1:18" x14ac:dyDescent="0.25">
      <c r="A2663" s="169">
        <v>45924</v>
      </c>
      <c r="B2663" s="116">
        <v>1509.85</v>
      </c>
      <c r="C2663" s="116">
        <v>1482.05</v>
      </c>
      <c r="D2663" s="116">
        <v>1452</v>
      </c>
      <c r="E2663" s="116">
        <v>1462</v>
      </c>
      <c r="F2663" s="116">
        <v>1482.05</v>
      </c>
      <c r="G2663">
        <v>4770</v>
      </c>
      <c r="H2663" s="116"/>
      <c r="I2663" s="116"/>
      <c r="L2663" s="169">
        <v>45924</v>
      </c>
      <c r="M2663" s="116">
        <v>1483.7</v>
      </c>
      <c r="N2663" s="116">
        <v>1510.8</v>
      </c>
      <c r="O2663" s="116">
        <v>1451.4</v>
      </c>
      <c r="P2663" s="116">
        <v>1462.6</v>
      </c>
      <c r="Q2663" s="116">
        <v>1483.7</v>
      </c>
      <c r="R2663">
        <v>51456</v>
      </c>
    </row>
    <row r="2664" spans="1:18" x14ac:dyDescent="0.25">
      <c r="A2664" s="169">
        <v>45925</v>
      </c>
      <c r="B2664" s="116">
        <v>1519.45</v>
      </c>
      <c r="C2664" s="116">
        <v>1473</v>
      </c>
      <c r="D2664" s="116">
        <v>1469.4</v>
      </c>
      <c r="E2664" s="116">
        <v>1519.45</v>
      </c>
      <c r="F2664" s="116">
        <v>1473</v>
      </c>
      <c r="G2664">
        <v>1749</v>
      </c>
      <c r="H2664" s="116"/>
      <c r="I2664" s="116"/>
      <c r="L2664" s="169">
        <v>45925</v>
      </c>
      <c r="M2664" s="116">
        <v>1472</v>
      </c>
      <c r="N2664" s="116">
        <v>1495.1</v>
      </c>
      <c r="O2664" s="116">
        <v>1466.7</v>
      </c>
      <c r="P2664" s="116">
        <v>1483.7</v>
      </c>
      <c r="Q2664" s="116">
        <v>1472</v>
      </c>
      <c r="R2664">
        <v>18968</v>
      </c>
    </row>
    <row r="2665" spans="1:18" x14ac:dyDescent="0.25">
      <c r="A2665" s="169">
        <v>45926</v>
      </c>
      <c r="B2665" s="116">
        <v>1461.7</v>
      </c>
      <c r="C2665" s="116">
        <v>1416.25</v>
      </c>
      <c r="D2665" s="116">
        <v>1401.85</v>
      </c>
      <c r="E2665" s="116">
        <v>1461.05</v>
      </c>
      <c r="F2665" s="116">
        <v>1416.25</v>
      </c>
      <c r="G2665">
        <v>6190</v>
      </c>
      <c r="H2665" s="116"/>
      <c r="I2665" s="116"/>
      <c r="L2665" s="169">
        <v>45926</v>
      </c>
      <c r="M2665" s="116">
        <v>1411.4</v>
      </c>
      <c r="N2665" s="116">
        <v>1474.1</v>
      </c>
      <c r="O2665" s="116">
        <v>1402.2</v>
      </c>
      <c r="P2665" s="116">
        <v>1473</v>
      </c>
      <c r="Q2665" s="116">
        <v>1411.4</v>
      </c>
      <c r="R2665">
        <v>57535</v>
      </c>
    </row>
    <row r="2666" spans="1:18" x14ac:dyDescent="0.25">
      <c r="A2666" s="169">
        <v>45929</v>
      </c>
      <c r="B2666" s="116">
        <v>1425</v>
      </c>
      <c r="C2666" s="116">
        <v>1394.3</v>
      </c>
      <c r="D2666" s="116">
        <v>1390</v>
      </c>
      <c r="E2666" s="116">
        <v>1414.8</v>
      </c>
      <c r="F2666" s="116">
        <v>1394.3</v>
      </c>
      <c r="G2666">
        <v>3871</v>
      </c>
      <c r="H2666" s="116"/>
      <c r="I2666" s="116"/>
      <c r="L2666" s="169">
        <v>45929</v>
      </c>
      <c r="M2666" s="116">
        <v>1395</v>
      </c>
      <c r="N2666" s="116">
        <v>1423.9</v>
      </c>
      <c r="O2666" s="116">
        <v>1389.1</v>
      </c>
      <c r="P2666" s="116">
        <v>1415.1</v>
      </c>
      <c r="Q2666" s="116">
        <v>1395</v>
      </c>
      <c r="R2666">
        <v>28755</v>
      </c>
    </row>
    <row r="2667" spans="1:18" x14ac:dyDescent="0.25">
      <c r="A2667" s="169">
        <v>45930</v>
      </c>
      <c r="B2667" s="116">
        <v>1413.9</v>
      </c>
      <c r="C2667" s="116">
        <v>1391.35</v>
      </c>
      <c r="D2667" s="116">
        <v>1386.25</v>
      </c>
      <c r="E2667" s="116">
        <v>1390</v>
      </c>
      <c r="F2667" s="116">
        <v>1391.35</v>
      </c>
      <c r="G2667">
        <v>2009</v>
      </c>
      <c r="H2667" s="116"/>
      <c r="I2667" s="116"/>
      <c r="L2667" s="169">
        <v>45930</v>
      </c>
      <c r="M2667" s="116">
        <v>1389.2</v>
      </c>
      <c r="N2667" s="116">
        <v>1415.9</v>
      </c>
      <c r="O2667" s="116">
        <v>1383.5</v>
      </c>
      <c r="P2667" s="116">
        <v>1397.2</v>
      </c>
      <c r="Q2667" s="116">
        <v>1389.2</v>
      </c>
      <c r="R2667">
        <v>27390</v>
      </c>
    </row>
    <row r="2668" spans="1:18" x14ac:dyDescent="0.25">
      <c r="A2668" s="169">
        <v>45931</v>
      </c>
      <c r="B2668" s="116">
        <v>1414.95</v>
      </c>
      <c r="C2668" s="116">
        <v>1402.65</v>
      </c>
      <c r="D2668" s="116">
        <v>1376.65</v>
      </c>
      <c r="E2668" s="116">
        <v>1376.65</v>
      </c>
      <c r="F2668" s="116">
        <v>1402.65</v>
      </c>
      <c r="G2668">
        <v>5113</v>
      </c>
      <c r="H2668" s="116"/>
      <c r="I2668" s="116"/>
      <c r="L2668" s="169">
        <v>45931</v>
      </c>
      <c r="M2668" s="116">
        <v>1401.9</v>
      </c>
      <c r="N2668" s="116">
        <v>1410</v>
      </c>
      <c r="O2668" s="116">
        <v>1384.1</v>
      </c>
      <c r="P2668" s="116">
        <v>1410</v>
      </c>
      <c r="Q2668" s="116">
        <v>1401.9</v>
      </c>
      <c r="R2668">
        <v>19121</v>
      </c>
    </row>
    <row r="2669" spans="1:18" x14ac:dyDescent="0.25">
      <c r="A2669" s="169">
        <v>45933</v>
      </c>
      <c r="B2669" s="116">
        <v>1423.4</v>
      </c>
      <c r="C2669" s="116">
        <v>1418.5</v>
      </c>
      <c r="D2669" s="116">
        <v>1388.05</v>
      </c>
      <c r="E2669" s="116">
        <v>1388.05</v>
      </c>
      <c r="F2669" s="116">
        <v>1418.5</v>
      </c>
      <c r="G2669">
        <v>3735</v>
      </c>
      <c r="H2669" s="116"/>
      <c r="I2669" s="116"/>
      <c r="L2669" s="169">
        <v>45933</v>
      </c>
      <c r="M2669" s="116">
        <v>1417.8</v>
      </c>
      <c r="N2669" s="116">
        <v>1424.1</v>
      </c>
      <c r="O2669" s="116">
        <v>1400</v>
      </c>
      <c r="P2669" s="116">
        <v>1404.6</v>
      </c>
      <c r="Q2669" s="116">
        <v>1417.8</v>
      </c>
      <c r="R2669">
        <v>29237</v>
      </c>
    </row>
    <row r="2670" spans="1:18" x14ac:dyDescent="0.25">
      <c r="A2670" s="169">
        <v>45936</v>
      </c>
      <c r="B2670" s="116">
        <v>1432.15</v>
      </c>
      <c r="C2670" s="116">
        <v>1393.5</v>
      </c>
      <c r="D2670" s="116">
        <v>1388</v>
      </c>
      <c r="E2670" s="116">
        <v>1429.85</v>
      </c>
      <c r="F2670" s="116">
        <v>1393.5</v>
      </c>
      <c r="G2670">
        <v>4560</v>
      </c>
      <c r="H2670" s="116"/>
      <c r="I2670" s="116"/>
      <c r="L2670" s="169">
        <v>45936</v>
      </c>
      <c r="M2670" s="116">
        <v>1396</v>
      </c>
      <c r="N2670" s="116">
        <v>1434</v>
      </c>
      <c r="O2670" s="116">
        <v>1388</v>
      </c>
      <c r="P2670" s="116">
        <v>1419.6</v>
      </c>
      <c r="Q2670" s="116">
        <v>1396</v>
      </c>
      <c r="R2670">
        <v>30495</v>
      </c>
    </row>
    <row r="2671" spans="1:18" x14ac:dyDescent="0.25">
      <c r="A2671" s="169">
        <v>45937</v>
      </c>
      <c r="B2671" s="116">
        <v>1402.05</v>
      </c>
      <c r="C2671" s="116">
        <v>1389.1</v>
      </c>
      <c r="D2671" s="116">
        <v>1383.95</v>
      </c>
      <c r="E2671" s="116">
        <v>1397.95</v>
      </c>
      <c r="F2671" s="116">
        <v>1389.1</v>
      </c>
      <c r="G2671">
        <v>1701</v>
      </c>
      <c r="H2671" s="116"/>
      <c r="I2671" s="116"/>
      <c r="L2671" s="169">
        <v>45937</v>
      </c>
      <c r="M2671" s="116">
        <v>1389.3</v>
      </c>
      <c r="N2671" s="116">
        <v>1401.5</v>
      </c>
      <c r="O2671" s="116">
        <v>1383.8</v>
      </c>
      <c r="P2671" s="116">
        <v>1400.7</v>
      </c>
      <c r="Q2671" s="116">
        <v>1389.3</v>
      </c>
      <c r="R2671">
        <v>18805</v>
      </c>
    </row>
    <row r="2672" spans="1:18" x14ac:dyDescent="0.25">
      <c r="A2672" s="169">
        <v>45938</v>
      </c>
      <c r="B2672" s="116">
        <v>1399.85</v>
      </c>
      <c r="C2672" s="116">
        <v>1379.05</v>
      </c>
      <c r="D2672" s="116">
        <v>1373</v>
      </c>
      <c r="E2672" s="116">
        <v>1391.55</v>
      </c>
      <c r="F2672" s="116">
        <v>1379.05</v>
      </c>
      <c r="G2672">
        <v>1214</v>
      </c>
      <c r="H2672" s="116"/>
      <c r="I2672" s="116"/>
      <c r="L2672" s="169">
        <v>45938</v>
      </c>
      <c r="M2672" s="116">
        <v>1377.2</v>
      </c>
      <c r="N2672" s="116">
        <v>1399.8</v>
      </c>
      <c r="O2672" s="116">
        <v>1373</v>
      </c>
      <c r="P2672" s="116">
        <v>1389.8</v>
      </c>
      <c r="Q2672" s="116">
        <v>1377.2</v>
      </c>
      <c r="R2672">
        <v>25597</v>
      </c>
    </row>
    <row r="2673" spans="1:18" x14ac:dyDescent="0.25">
      <c r="A2673" s="169">
        <v>45939</v>
      </c>
      <c r="B2673" s="116">
        <v>1384.05</v>
      </c>
      <c r="C2673" s="116">
        <v>1362</v>
      </c>
      <c r="D2673" s="116">
        <v>1360</v>
      </c>
      <c r="E2673" s="116">
        <v>1371.05</v>
      </c>
      <c r="F2673" s="116">
        <v>1362</v>
      </c>
      <c r="G2673">
        <v>3039</v>
      </c>
      <c r="H2673" s="116"/>
      <c r="I2673" s="116"/>
      <c r="L2673" s="169">
        <v>45939</v>
      </c>
      <c r="M2673" s="116">
        <v>1361.7</v>
      </c>
      <c r="N2673" s="116">
        <v>1383.5</v>
      </c>
      <c r="O2673" s="116">
        <v>1360.1</v>
      </c>
      <c r="P2673" s="116">
        <v>1379.4</v>
      </c>
      <c r="Q2673" s="116">
        <v>1361.7</v>
      </c>
      <c r="R2673">
        <v>24289</v>
      </c>
    </row>
    <row r="2674" spans="1:18" x14ac:dyDescent="0.25">
      <c r="A2674" s="169">
        <v>45940</v>
      </c>
      <c r="B2674" s="116">
        <v>1378.85</v>
      </c>
      <c r="C2674" s="116">
        <v>1367.75</v>
      </c>
      <c r="D2674" s="116">
        <v>1356</v>
      </c>
      <c r="E2674" s="116">
        <v>1356.55</v>
      </c>
      <c r="F2674" s="116">
        <v>1367.75</v>
      </c>
      <c r="G2674">
        <v>3092</v>
      </c>
      <c r="H2674" s="116"/>
      <c r="I2674" s="116"/>
      <c r="L2674" s="169">
        <v>45940</v>
      </c>
      <c r="M2674" s="116">
        <v>1368.5</v>
      </c>
      <c r="N2674" s="116">
        <v>1380</v>
      </c>
      <c r="O2674" s="116">
        <v>1356.1</v>
      </c>
      <c r="P2674" s="116">
        <v>1360</v>
      </c>
      <c r="Q2674" s="116">
        <v>1368.5</v>
      </c>
      <c r="R2674">
        <v>23288</v>
      </c>
    </row>
    <row r="2675" spans="1:18" x14ac:dyDescent="0.25">
      <c r="A2675" s="169">
        <v>45943</v>
      </c>
      <c r="B2675" s="116">
        <v>1368.35</v>
      </c>
      <c r="C2675" s="116">
        <v>1366.45</v>
      </c>
      <c r="D2675" s="116">
        <v>1355</v>
      </c>
      <c r="E2675" s="116">
        <v>1365.05</v>
      </c>
      <c r="F2675" s="116">
        <v>1366.45</v>
      </c>
      <c r="G2675">
        <v>1127</v>
      </c>
      <c r="H2675" s="116"/>
      <c r="I2675" s="116"/>
      <c r="L2675" s="169">
        <v>45943</v>
      </c>
      <c r="M2675" s="116">
        <v>1366.1</v>
      </c>
      <c r="N2675" s="116">
        <v>1373.9</v>
      </c>
      <c r="O2675" s="116">
        <v>1353.4</v>
      </c>
      <c r="P2675" s="116">
        <v>1366.5</v>
      </c>
      <c r="Q2675" s="116">
        <v>1366.1</v>
      </c>
      <c r="R2675">
        <v>16924</v>
      </c>
    </row>
    <row r="2676" spans="1:18" x14ac:dyDescent="0.25">
      <c r="A2676" s="169">
        <v>45944</v>
      </c>
      <c r="B2676" s="116">
        <v>1370.1</v>
      </c>
      <c r="C2676" s="116">
        <v>1347.6</v>
      </c>
      <c r="D2676" s="116">
        <v>1327</v>
      </c>
      <c r="E2676" s="116">
        <v>1367.7</v>
      </c>
      <c r="F2676" s="116">
        <v>1347.6</v>
      </c>
      <c r="G2676">
        <v>1490</v>
      </c>
      <c r="H2676" s="116"/>
      <c r="I2676" s="116"/>
      <c r="L2676" s="169">
        <v>45944</v>
      </c>
      <c r="M2676" s="116">
        <v>1348.8</v>
      </c>
      <c r="N2676" s="116">
        <v>1371.9</v>
      </c>
      <c r="O2676" s="116">
        <v>1325.1</v>
      </c>
      <c r="P2676" s="116">
        <v>1366</v>
      </c>
      <c r="Q2676" s="116">
        <v>1348.8</v>
      </c>
      <c r="R2676">
        <v>28618</v>
      </c>
    </row>
    <row r="2677" spans="1:18" x14ac:dyDescent="0.25">
      <c r="A2677" s="169">
        <v>45945</v>
      </c>
      <c r="B2677" s="116">
        <v>1353</v>
      </c>
      <c r="C2677" s="116">
        <v>1349.85</v>
      </c>
      <c r="D2677" s="116">
        <v>1332</v>
      </c>
      <c r="E2677" s="116">
        <v>1340</v>
      </c>
      <c r="F2677" s="116">
        <v>1349.85</v>
      </c>
      <c r="G2677">
        <v>2378</v>
      </c>
      <c r="H2677" s="116"/>
      <c r="I2677" s="116"/>
      <c r="L2677" s="169">
        <v>45945</v>
      </c>
      <c r="M2677" s="116">
        <v>1349.6</v>
      </c>
      <c r="N2677" s="116">
        <v>1352.8</v>
      </c>
      <c r="O2677" s="116">
        <v>1330.3</v>
      </c>
      <c r="P2677" s="116">
        <v>1349</v>
      </c>
      <c r="Q2677" s="116">
        <v>1349.6</v>
      </c>
      <c r="R2677">
        <v>32674</v>
      </c>
    </row>
    <row r="2678" spans="1:18" x14ac:dyDescent="0.25">
      <c r="A2678" s="169">
        <v>45946</v>
      </c>
      <c r="B2678" s="116">
        <v>1395.15</v>
      </c>
      <c r="C2678" s="116">
        <v>1374.2</v>
      </c>
      <c r="D2678" s="116">
        <v>1353</v>
      </c>
      <c r="E2678" s="116">
        <v>1353.05</v>
      </c>
      <c r="F2678" s="116">
        <v>1374.2</v>
      </c>
      <c r="G2678">
        <v>1553</v>
      </c>
      <c r="H2678" s="116"/>
      <c r="I2678" s="116"/>
      <c r="L2678" s="169">
        <v>45946</v>
      </c>
      <c r="M2678" s="116">
        <v>1372.5</v>
      </c>
      <c r="N2678" s="116">
        <v>1396</v>
      </c>
      <c r="O2678" s="116">
        <v>1352</v>
      </c>
      <c r="P2678" s="116">
        <v>1352</v>
      </c>
      <c r="Q2678" s="116">
        <v>1372.5</v>
      </c>
      <c r="R2678">
        <v>38214</v>
      </c>
    </row>
    <row r="2679" spans="1:18" x14ac:dyDescent="0.25">
      <c r="A2679" s="169">
        <v>45947</v>
      </c>
      <c r="B2679" s="116">
        <v>1405</v>
      </c>
      <c r="C2679" s="116">
        <v>1362.6</v>
      </c>
      <c r="D2679" s="116">
        <v>1355</v>
      </c>
      <c r="E2679" s="116">
        <v>1405</v>
      </c>
      <c r="F2679" s="116">
        <v>1362.6</v>
      </c>
      <c r="G2679">
        <v>1636</v>
      </c>
      <c r="H2679" s="116"/>
      <c r="I2679" s="116"/>
      <c r="L2679" s="169">
        <v>45947</v>
      </c>
      <c r="M2679" s="116">
        <v>1365.2</v>
      </c>
      <c r="N2679" s="116">
        <v>1402.1</v>
      </c>
      <c r="O2679" s="116">
        <v>1355.2</v>
      </c>
      <c r="P2679" s="116">
        <v>1402.1</v>
      </c>
      <c r="Q2679" s="116">
        <v>1365.2</v>
      </c>
      <c r="R2679">
        <v>28865</v>
      </c>
    </row>
    <row r="2680" spans="1:18" x14ac:dyDescent="0.25">
      <c r="A2680" s="169">
        <v>45950</v>
      </c>
      <c r="B2680" s="116">
        <v>1390.3</v>
      </c>
      <c r="C2680" s="116">
        <v>1387.2</v>
      </c>
      <c r="D2680" s="116">
        <v>1348</v>
      </c>
      <c r="E2680" s="116">
        <v>1355</v>
      </c>
      <c r="F2680" s="116">
        <v>1387.2</v>
      </c>
      <c r="G2680">
        <v>2088</v>
      </c>
      <c r="H2680" s="116"/>
      <c r="I2680" s="116"/>
      <c r="L2680" s="169">
        <v>45950</v>
      </c>
      <c r="M2680" s="116">
        <v>1389</v>
      </c>
      <c r="N2680" s="116">
        <v>1392</v>
      </c>
      <c r="O2680" s="116">
        <v>1345.2</v>
      </c>
      <c r="P2680" s="116">
        <v>1365.3</v>
      </c>
      <c r="Q2680" s="116">
        <v>1389</v>
      </c>
      <c r="R2680">
        <v>30696</v>
      </c>
    </row>
    <row r="2681" spans="1:18" x14ac:dyDescent="0.25">
      <c r="A2681" s="169">
        <v>45951</v>
      </c>
      <c r="B2681" s="116">
        <v>1406</v>
      </c>
      <c r="C2681" s="116">
        <v>1402.8</v>
      </c>
      <c r="D2681" s="116">
        <v>1360.6</v>
      </c>
      <c r="E2681" s="116">
        <v>1360.6</v>
      </c>
      <c r="F2681" s="116">
        <v>1402.8</v>
      </c>
      <c r="G2681">
        <v>638</v>
      </c>
      <c r="H2681" s="116"/>
      <c r="I2681" s="116"/>
      <c r="L2681" s="169">
        <v>45951</v>
      </c>
      <c r="M2681" s="116">
        <v>1402.4</v>
      </c>
      <c r="N2681" s="116">
        <v>1409.9</v>
      </c>
      <c r="O2681" s="116">
        <v>1390</v>
      </c>
      <c r="P2681" s="116">
        <v>1390</v>
      </c>
      <c r="Q2681" s="116">
        <v>1402.4</v>
      </c>
      <c r="R2681">
        <v>10842</v>
      </c>
    </row>
    <row r="2682" spans="1:18" x14ac:dyDescent="0.25">
      <c r="A2682" s="169">
        <v>45953</v>
      </c>
      <c r="B2682" s="116">
        <v>1419.5</v>
      </c>
      <c r="C2682" s="116">
        <v>1409.9</v>
      </c>
      <c r="D2682" s="116">
        <v>1396</v>
      </c>
      <c r="E2682" s="116">
        <v>1397.55</v>
      </c>
      <c r="F2682" s="116">
        <v>1409.9</v>
      </c>
      <c r="G2682">
        <v>1340</v>
      </c>
      <c r="H2682" s="116"/>
      <c r="I2682" s="116"/>
      <c r="L2682" s="169">
        <v>45953</v>
      </c>
      <c r="M2682" s="116">
        <v>1410.8</v>
      </c>
      <c r="N2682" s="116">
        <v>1420</v>
      </c>
      <c r="O2682" s="116">
        <v>1383.1</v>
      </c>
      <c r="P2682" s="116">
        <v>1400</v>
      </c>
      <c r="Q2682" s="116">
        <v>1410.8</v>
      </c>
      <c r="R2682">
        <v>39867</v>
      </c>
    </row>
    <row r="2683" spans="1:18" x14ac:dyDescent="0.25">
      <c r="A2683" s="169">
        <v>45954</v>
      </c>
      <c r="B2683" s="116">
        <v>1429.75</v>
      </c>
      <c r="C2683" s="116">
        <v>1394.8</v>
      </c>
      <c r="D2683" s="116">
        <v>1386</v>
      </c>
      <c r="E2683" s="116">
        <v>1429.75</v>
      </c>
      <c r="F2683" s="116">
        <v>1394.8</v>
      </c>
      <c r="G2683">
        <v>1734</v>
      </c>
      <c r="H2683" s="116"/>
      <c r="I2683" s="116"/>
      <c r="L2683" s="169">
        <v>45954</v>
      </c>
      <c r="M2683" s="116">
        <v>1394</v>
      </c>
      <c r="N2683" s="116">
        <v>1416.9</v>
      </c>
      <c r="O2683" s="116">
        <v>1386.6</v>
      </c>
      <c r="P2683" s="116">
        <v>1410.8</v>
      </c>
      <c r="Q2683" s="116">
        <v>1394</v>
      </c>
      <c r="R2683">
        <v>16391</v>
      </c>
    </row>
    <row r="2684" spans="1:18" x14ac:dyDescent="0.25">
      <c r="A2684" s="169">
        <v>45957</v>
      </c>
      <c r="B2684" s="116">
        <v>1428.95</v>
      </c>
      <c r="C2684" s="116">
        <v>1403.75</v>
      </c>
      <c r="D2684" s="116">
        <v>1390</v>
      </c>
      <c r="E2684" s="116">
        <v>1428.95</v>
      </c>
      <c r="F2684" s="116">
        <v>1403.75</v>
      </c>
      <c r="G2684">
        <v>1774</v>
      </c>
      <c r="H2684" s="116"/>
      <c r="I2684" s="116"/>
      <c r="L2684" s="169">
        <v>45957</v>
      </c>
      <c r="M2684" s="116">
        <v>1403.2</v>
      </c>
      <c r="N2684" s="116">
        <v>1414</v>
      </c>
      <c r="O2684" s="116">
        <v>1388.2</v>
      </c>
      <c r="P2684" s="116">
        <v>1401</v>
      </c>
      <c r="Q2684" s="116">
        <v>1403.2</v>
      </c>
      <c r="R2684">
        <v>25216</v>
      </c>
    </row>
    <row r="2685" spans="1:18" x14ac:dyDescent="0.25">
      <c r="A2685" s="169">
        <v>45958</v>
      </c>
      <c r="B2685" s="116">
        <v>1426.1</v>
      </c>
      <c r="C2685" s="116">
        <v>1394.9</v>
      </c>
      <c r="D2685" s="116">
        <v>1390.9</v>
      </c>
      <c r="E2685" s="116">
        <v>1419.95</v>
      </c>
      <c r="F2685" s="116">
        <v>1394.9</v>
      </c>
      <c r="G2685">
        <v>1289</v>
      </c>
      <c r="H2685" s="116"/>
      <c r="I2685" s="116"/>
      <c r="L2685" s="169">
        <v>45958</v>
      </c>
      <c r="M2685" s="116">
        <v>1394.5</v>
      </c>
      <c r="N2685" s="116">
        <v>1426.6</v>
      </c>
      <c r="O2685" s="116">
        <v>1390.5</v>
      </c>
      <c r="P2685" s="116">
        <v>1405.4</v>
      </c>
      <c r="Q2685" s="116">
        <v>1394.5</v>
      </c>
      <c r="R2685">
        <v>24208</v>
      </c>
    </row>
    <row r="2686" spans="1:18" x14ac:dyDescent="0.25">
      <c r="A2686" s="169">
        <v>45959</v>
      </c>
      <c r="B2686" s="116">
        <v>1437.45</v>
      </c>
      <c r="C2686" s="116">
        <v>1413.6</v>
      </c>
      <c r="D2686" s="116">
        <v>1395</v>
      </c>
      <c r="E2686" s="116">
        <v>1395</v>
      </c>
      <c r="F2686" s="116">
        <v>1413.6</v>
      </c>
      <c r="G2686">
        <v>2027</v>
      </c>
      <c r="H2686" s="116"/>
      <c r="I2686" s="116"/>
      <c r="L2686" s="169">
        <v>45959</v>
      </c>
      <c r="M2686" s="116">
        <v>1416.7</v>
      </c>
      <c r="N2686" s="116">
        <v>1440</v>
      </c>
      <c r="O2686" s="116">
        <v>1392.9</v>
      </c>
      <c r="P2686" s="116">
        <v>1395</v>
      </c>
      <c r="Q2686" s="116">
        <v>1416.7</v>
      </c>
      <c r="R2686">
        <v>33089</v>
      </c>
    </row>
    <row r="2687" spans="1:18" x14ac:dyDescent="0.25">
      <c r="A2687" s="169">
        <v>45960</v>
      </c>
      <c r="B2687" s="116">
        <v>1422.1</v>
      </c>
      <c r="C2687" s="116">
        <v>1412</v>
      </c>
      <c r="D2687" s="116">
        <v>1402.2</v>
      </c>
      <c r="E2687" s="116">
        <v>1419.05</v>
      </c>
      <c r="F2687" s="116">
        <v>1412</v>
      </c>
      <c r="G2687">
        <v>1578</v>
      </c>
      <c r="H2687" s="116"/>
      <c r="I2687" s="116"/>
      <c r="L2687" s="169">
        <v>45960</v>
      </c>
      <c r="M2687" s="116">
        <v>1412.2</v>
      </c>
      <c r="N2687" s="116">
        <v>1427</v>
      </c>
      <c r="O2687" s="116">
        <v>1402.1</v>
      </c>
      <c r="P2687" s="116">
        <v>1427</v>
      </c>
      <c r="Q2687" s="116">
        <v>1412.2</v>
      </c>
      <c r="R2687">
        <v>14916</v>
      </c>
    </row>
    <row r="2688" spans="1:18" x14ac:dyDescent="0.25">
      <c r="A2688" s="169">
        <v>45961</v>
      </c>
      <c r="B2688" s="116">
        <v>1420</v>
      </c>
      <c r="C2688" s="116">
        <v>1408.6</v>
      </c>
      <c r="D2688" s="116">
        <v>1404</v>
      </c>
      <c r="E2688" s="116">
        <v>1414.6</v>
      </c>
      <c r="F2688" s="116">
        <v>1408.6</v>
      </c>
      <c r="G2688">
        <v>1062</v>
      </c>
      <c r="H2688" s="116"/>
      <c r="I2688" s="116"/>
      <c r="L2688" s="169">
        <v>45961</v>
      </c>
      <c r="M2688" s="116">
        <v>1409.1</v>
      </c>
      <c r="N2688" s="116">
        <v>1427</v>
      </c>
      <c r="O2688" s="116">
        <v>1402.3</v>
      </c>
      <c r="P2688" s="116">
        <v>1427</v>
      </c>
      <c r="Q2688" s="116">
        <v>1409.1</v>
      </c>
      <c r="R2688">
        <v>15336</v>
      </c>
    </row>
    <row r="2689" spans="1:18" x14ac:dyDescent="0.25">
      <c r="A2689" s="169">
        <v>45964</v>
      </c>
      <c r="B2689" s="116">
        <v>1439.35</v>
      </c>
      <c r="C2689" s="116">
        <v>1420.05</v>
      </c>
      <c r="D2689" s="116">
        <v>1405.05</v>
      </c>
      <c r="E2689" s="116">
        <v>1428.8</v>
      </c>
      <c r="F2689" s="116">
        <v>1420.05</v>
      </c>
      <c r="G2689">
        <v>4208</v>
      </c>
      <c r="H2689" s="116"/>
      <c r="I2689" s="116"/>
      <c r="L2689" s="169">
        <v>45964</v>
      </c>
      <c r="M2689" s="116">
        <v>1413.2</v>
      </c>
      <c r="N2689" s="116">
        <v>1436.9</v>
      </c>
      <c r="O2689" s="116">
        <v>1386</v>
      </c>
      <c r="P2689" s="116">
        <v>1410.1</v>
      </c>
      <c r="Q2689" s="116">
        <v>1413.2</v>
      </c>
      <c r="R2689">
        <v>38795</v>
      </c>
    </row>
    <row r="2690" spans="1:18" x14ac:dyDescent="0.25">
      <c r="A2690" s="169">
        <v>45965</v>
      </c>
      <c r="B2690" s="116">
        <v>1456</v>
      </c>
      <c r="C2690" s="116">
        <v>1405.4</v>
      </c>
      <c r="D2690" s="116">
        <v>1401.05</v>
      </c>
      <c r="E2690" s="116">
        <v>1427.4</v>
      </c>
      <c r="F2690" s="116">
        <v>1405.4</v>
      </c>
      <c r="G2690">
        <v>4052</v>
      </c>
      <c r="H2690" s="116"/>
      <c r="I2690" s="116"/>
      <c r="L2690" s="169">
        <v>45965</v>
      </c>
      <c r="M2690" s="116">
        <v>1404.7</v>
      </c>
      <c r="N2690" s="116">
        <v>1457.9</v>
      </c>
      <c r="O2690" s="116">
        <v>1400</v>
      </c>
      <c r="P2690" s="116">
        <v>1425</v>
      </c>
      <c r="Q2690" s="116">
        <v>1404.7</v>
      </c>
      <c r="R2690">
        <v>46550</v>
      </c>
    </row>
    <row r="2691" spans="1:18" x14ac:dyDescent="0.25">
      <c r="A2691" s="169">
        <v>45967</v>
      </c>
      <c r="B2691" s="116">
        <v>1450.15</v>
      </c>
      <c r="C2691" s="116">
        <v>1429</v>
      </c>
      <c r="D2691" s="116">
        <v>1392.25</v>
      </c>
      <c r="E2691" s="116">
        <v>1400.5</v>
      </c>
      <c r="F2691" s="116">
        <v>1429</v>
      </c>
      <c r="G2691">
        <v>4168</v>
      </c>
      <c r="H2691" s="116"/>
      <c r="I2691" s="116"/>
      <c r="L2691" s="169">
        <v>45967</v>
      </c>
      <c r="M2691" s="116">
        <v>1431.8</v>
      </c>
      <c r="N2691" s="116">
        <v>1450</v>
      </c>
      <c r="O2691" s="116">
        <v>1392.7</v>
      </c>
      <c r="P2691" s="116">
        <v>1404</v>
      </c>
      <c r="Q2691" s="116">
        <v>1431.8</v>
      </c>
      <c r="R2691">
        <v>63633</v>
      </c>
    </row>
    <row r="2692" spans="1:18" x14ac:dyDescent="0.25">
      <c r="A2692" s="169">
        <v>45968</v>
      </c>
      <c r="B2692" s="116">
        <v>1417</v>
      </c>
      <c r="C2692" s="116">
        <v>1400</v>
      </c>
      <c r="D2692" s="116">
        <v>1395.05</v>
      </c>
      <c r="E2692" s="116">
        <v>1417</v>
      </c>
      <c r="F2692" s="116">
        <v>1400</v>
      </c>
      <c r="G2692">
        <v>1332</v>
      </c>
      <c r="H2692" s="116"/>
      <c r="I2692" s="116"/>
      <c r="L2692" s="169">
        <v>45968</v>
      </c>
      <c r="M2692" s="116">
        <v>1397.7</v>
      </c>
      <c r="N2692" s="116">
        <v>1429</v>
      </c>
      <c r="O2692" s="116">
        <v>1391</v>
      </c>
      <c r="P2692" s="116">
        <v>1429</v>
      </c>
      <c r="Q2692" s="116">
        <v>1397.7</v>
      </c>
      <c r="R2692">
        <v>31443</v>
      </c>
    </row>
    <row r="2693" spans="1:18" x14ac:dyDescent="0.25">
      <c r="A2693" s="169">
        <v>45971</v>
      </c>
      <c r="B2693" s="116">
        <v>1404</v>
      </c>
      <c r="C2693" s="116">
        <v>1372.65</v>
      </c>
      <c r="D2693" s="116">
        <v>1358</v>
      </c>
      <c r="E2693" s="116">
        <v>1404</v>
      </c>
      <c r="F2693" s="116">
        <v>1372.65</v>
      </c>
      <c r="G2693">
        <v>2867</v>
      </c>
      <c r="H2693" s="116"/>
      <c r="I2693" s="116"/>
      <c r="L2693" s="169">
        <v>45971</v>
      </c>
      <c r="M2693" s="116">
        <v>1365.7</v>
      </c>
      <c r="N2693" s="116">
        <v>1405.7</v>
      </c>
      <c r="O2693" s="116">
        <v>1354.1</v>
      </c>
      <c r="P2693" s="116">
        <v>1396.5</v>
      </c>
      <c r="Q2693" s="116">
        <v>1365.7</v>
      </c>
      <c r="R2693">
        <v>40277</v>
      </c>
    </row>
    <row r="2694" spans="1:18" x14ac:dyDescent="0.25">
      <c r="A2694" s="169">
        <v>45972</v>
      </c>
      <c r="B2694" s="116">
        <v>1349.95</v>
      </c>
      <c r="C2694" s="116">
        <v>1292.55</v>
      </c>
      <c r="D2694" s="116">
        <v>1285</v>
      </c>
      <c r="E2694" s="116">
        <v>1349.95</v>
      </c>
      <c r="F2694" s="116">
        <v>1292.55</v>
      </c>
      <c r="G2694">
        <v>6403</v>
      </c>
      <c r="H2694" s="116"/>
      <c r="I2694" s="116"/>
      <c r="L2694" s="169">
        <v>45972</v>
      </c>
      <c r="M2694" s="116">
        <v>1292.4000000000001</v>
      </c>
      <c r="N2694" s="116">
        <v>1350</v>
      </c>
      <c r="O2694" s="116">
        <v>1283</v>
      </c>
      <c r="P2694" s="116">
        <v>1345.7</v>
      </c>
      <c r="Q2694" s="116">
        <v>1292.4000000000001</v>
      </c>
      <c r="R2694">
        <v>107247</v>
      </c>
    </row>
    <row r="2695" spans="1:18" x14ac:dyDescent="0.25">
      <c r="A2695" s="169">
        <v>45973</v>
      </c>
      <c r="B2695" s="116">
        <v>1288.75</v>
      </c>
      <c r="C2695" s="116">
        <v>1270.2</v>
      </c>
      <c r="D2695" s="116">
        <v>1263.5999999999999</v>
      </c>
      <c r="E2695" s="116">
        <v>1285</v>
      </c>
      <c r="F2695" s="116">
        <v>1270.2</v>
      </c>
      <c r="G2695">
        <v>2000</v>
      </c>
      <c r="H2695" s="116"/>
      <c r="I2695" s="116"/>
      <c r="L2695" s="169">
        <v>45973</v>
      </c>
      <c r="M2695" s="116">
        <v>1269.8</v>
      </c>
      <c r="N2695" s="116">
        <v>1291</v>
      </c>
      <c r="O2695" s="116">
        <v>1263.0999999999999</v>
      </c>
      <c r="P2695" s="116">
        <v>1285.0999999999999</v>
      </c>
      <c r="Q2695" s="116">
        <v>1269.8</v>
      </c>
      <c r="R2695">
        <v>75902</v>
      </c>
    </row>
    <row r="2696" spans="1:18" x14ac:dyDescent="0.25">
      <c r="A2696" s="169">
        <v>45974</v>
      </c>
      <c r="B2696" s="116">
        <v>1273.6500000000001</v>
      </c>
      <c r="C2696" s="116">
        <v>1260.25</v>
      </c>
      <c r="D2696" s="116">
        <v>1252.55</v>
      </c>
      <c r="E2696" s="116">
        <v>1272.55</v>
      </c>
      <c r="F2696" s="116">
        <v>1260.25</v>
      </c>
      <c r="G2696">
        <v>3280</v>
      </c>
      <c r="H2696" s="116"/>
      <c r="I2696" s="116"/>
      <c r="L2696" s="169">
        <v>45974</v>
      </c>
      <c r="M2696" s="116">
        <v>1257.5999999999999</v>
      </c>
      <c r="N2696" s="116">
        <v>1274.4000000000001</v>
      </c>
      <c r="O2696" s="116">
        <v>1253.5</v>
      </c>
      <c r="P2696" s="116">
        <v>1269</v>
      </c>
      <c r="Q2696" s="116">
        <v>1257.5999999999999</v>
      </c>
      <c r="R2696">
        <v>48960</v>
      </c>
    </row>
    <row r="2697" spans="1:18" x14ac:dyDescent="0.25">
      <c r="A2697" s="169">
        <v>45975</v>
      </c>
      <c r="B2697" s="116">
        <v>1252.8499999999999</v>
      </c>
      <c r="C2697" s="116">
        <v>1229.7</v>
      </c>
      <c r="D2697" s="116">
        <v>1223.95</v>
      </c>
      <c r="E2697" s="116">
        <v>1250.05</v>
      </c>
      <c r="F2697" s="116">
        <v>1229.7</v>
      </c>
      <c r="G2697">
        <v>4256</v>
      </c>
      <c r="H2697" s="116"/>
      <c r="I2697" s="116"/>
      <c r="L2697" s="169">
        <v>45975</v>
      </c>
      <c r="M2697" s="116">
        <v>1228.8</v>
      </c>
      <c r="N2697" s="116">
        <v>1252</v>
      </c>
      <c r="O2697" s="116">
        <v>1225</v>
      </c>
      <c r="P2697" s="116">
        <v>1252</v>
      </c>
      <c r="Q2697" s="116">
        <v>1228.8</v>
      </c>
      <c r="R2697">
        <v>58728</v>
      </c>
    </row>
    <row r="2698" spans="1:18" x14ac:dyDescent="0.25">
      <c r="A2698" s="169">
        <v>45978</v>
      </c>
      <c r="B2698" s="116">
        <v>1244.95</v>
      </c>
      <c r="C2698" s="116">
        <v>1214.6500000000001</v>
      </c>
      <c r="D2698" s="116">
        <v>1211</v>
      </c>
      <c r="E2698" s="116">
        <v>1244.95</v>
      </c>
      <c r="F2698" s="116">
        <v>1214.6500000000001</v>
      </c>
      <c r="G2698">
        <v>2171</v>
      </c>
      <c r="H2698" s="116"/>
      <c r="I2698" s="116"/>
      <c r="L2698" s="169">
        <v>45978</v>
      </c>
      <c r="M2698" s="116">
        <v>1214.4000000000001</v>
      </c>
      <c r="N2698" s="116">
        <v>1237.2</v>
      </c>
      <c r="O2698" s="116">
        <v>1207</v>
      </c>
      <c r="P2698" s="116">
        <v>1228.8</v>
      </c>
      <c r="Q2698" s="116">
        <v>1214.4000000000001</v>
      </c>
      <c r="R2698">
        <v>62347</v>
      </c>
    </row>
    <row r="2699" spans="1:18" x14ac:dyDescent="0.25">
      <c r="A2699" s="169">
        <v>45979</v>
      </c>
      <c r="B2699" s="116">
        <v>1215.7</v>
      </c>
      <c r="C2699" s="116">
        <v>1193.6500000000001</v>
      </c>
      <c r="D2699" s="116">
        <v>1190</v>
      </c>
      <c r="E2699" s="116">
        <v>1215.05</v>
      </c>
      <c r="F2699" s="116">
        <v>1193.6500000000001</v>
      </c>
      <c r="G2699">
        <v>4134</v>
      </c>
      <c r="H2699" s="116"/>
      <c r="I2699" s="116"/>
      <c r="L2699" s="169">
        <v>45979</v>
      </c>
      <c r="M2699" s="116">
        <v>1194.7</v>
      </c>
      <c r="N2699" s="116">
        <v>1221</v>
      </c>
      <c r="O2699" s="116">
        <v>1180.2</v>
      </c>
      <c r="P2699" s="116">
        <v>1217.3</v>
      </c>
      <c r="Q2699" s="116">
        <v>1194.7</v>
      </c>
      <c r="R2699">
        <v>78238</v>
      </c>
    </row>
    <row r="2700" spans="1:18" x14ac:dyDescent="0.25">
      <c r="A2700" s="169">
        <v>45980</v>
      </c>
      <c r="B2700" s="116">
        <v>1195</v>
      </c>
      <c r="C2700" s="116">
        <v>1190.3499999999999</v>
      </c>
      <c r="D2700" s="116">
        <v>1172</v>
      </c>
      <c r="E2700" s="116">
        <v>1190</v>
      </c>
      <c r="F2700" s="116">
        <v>1190.3499999999999</v>
      </c>
      <c r="G2700">
        <v>4951</v>
      </c>
      <c r="H2700" s="116"/>
      <c r="I2700" s="116"/>
      <c r="L2700" s="169">
        <v>45980</v>
      </c>
      <c r="M2700" s="116">
        <v>1189.8</v>
      </c>
      <c r="N2700" s="116">
        <v>1198.0999999999999</v>
      </c>
      <c r="O2700" s="116">
        <v>1172.2</v>
      </c>
      <c r="P2700" s="116">
        <v>1192</v>
      </c>
      <c r="Q2700" s="116">
        <v>1189.8</v>
      </c>
      <c r="R2700">
        <v>80534</v>
      </c>
    </row>
    <row r="2701" spans="1:18" x14ac:dyDescent="0.25">
      <c r="A2701" s="169">
        <v>45981</v>
      </c>
      <c r="B2701" s="116">
        <v>1228.3</v>
      </c>
      <c r="C2701" s="116">
        <v>1194.55</v>
      </c>
      <c r="D2701" s="116">
        <v>1190.3499999999999</v>
      </c>
      <c r="E2701" s="116">
        <v>1190.4000000000001</v>
      </c>
      <c r="F2701" s="116">
        <v>1194.55</v>
      </c>
      <c r="G2701">
        <v>1939</v>
      </c>
      <c r="H2701" s="116"/>
      <c r="I2701" s="116"/>
      <c r="L2701" s="169">
        <v>45981</v>
      </c>
      <c r="M2701" s="116">
        <v>1195.5</v>
      </c>
      <c r="N2701" s="116">
        <v>1228.3</v>
      </c>
      <c r="O2701" s="116">
        <v>1189</v>
      </c>
      <c r="P2701" s="116">
        <v>1189.8</v>
      </c>
      <c r="Q2701" s="116">
        <v>1195.5</v>
      </c>
      <c r="R2701">
        <v>82781</v>
      </c>
    </row>
    <row r="2702" spans="1:18" x14ac:dyDescent="0.25">
      <c r="A2702" s="169">
        <v>45982</v>
      </c>
      <c r="B2702" s="116">
        <v>1194.55</v>
      </c>
      <c r="C2702" s="116">
        <v>1178.3499999999999</v>
      </c>
      <c r="D2702" s="116">
        <v>1172.75</v>
      </c>
      <c r="E2702" s="116">
        <v>1194.55</v>
      </c>
      <c r="F2702" s="116">
        <v>1178.3499999999999</v>
      </c>
      <c r="G2702">
        <v>1526</v>
      </c>
      <c r="H2702" s="116"/>
      <c r="I2702" s="116"/>
      <c r="L2702" s="169">
        <v>45982</v>
      </c>
      <c r="M2702" s="116">
        <v>1179.0999999999999</v>
      </c>
      <c r="N2702" s="116">
        <v>1194.9000000000001</v>
      </c>
      <c r="O2702" s="116">
        <v>1171</v>
      </c>
      <c r="P2702" s="116">
        <v>1190.5999999999999</v>
      </c>
      <c r="Q2702" s="116">
        <v>1179.0999999999999</v>
      </c>
      <c r="R2702">
        <v>51831</v>
      </c>
    </row>
    <row r="2703" spans="1:18" x14ac:dyDescent="0.25">
      <c r="A2703" s="169">
        <v>45985</v>
      </c>
      <c r="B2703" s="116">
        <v>1178.4000000000001</v>
      </c>
      <c r="C2703" s="116">
        <v>1121.5999999999999</v>
      </c>
      <c r="D2703" s="116">
        <v>1088.5999999999999</v>
      </c>
      <c r="E2703" s="116">
        <v>1178.4000000000001</v>
      </c>
      <c r="F2703" s="116">
        <v>1121.5999999999999</v>
      </c>
      <c r="G2703">
        <v>8992</v>
      </c>
      <c r="H2703" s="116"/>
      <c r="I2703" s="116"/>
      <c r="L2703" s="169">
        <v>45985</v>
      </c>
      <c r="M2703" s="116">
        <v>1128.2</v>
      </c>
      <c r="N2703" s="116">
        <v>1179.0999999999999</v>
      </c>
      <c r="O2703" s="116">
        <v>1083.5</v>
      </c>
      <c r="P2703" s="116">
        <v>1179</v>
      </c>
      <c r="Q2703" s="116">
        <v>1128.2</v>
      </c>
      <c r="R2703">
        <v>392907</v>
      </c>
    </row>
    <row r="2704" spans="1:18" x14ac:dyDescent="0.25">
      <c r="A2704" s="169">
        <v>45986</v>
      </c>
      <c r="B2704" s="116">
        <v>1192</v>
      </c>
      <c r="C2704" s="116">
        <v>1172.8499999999999</v>
      </c>
      <c r="D2704" s="116">
        <v>1098.6500000000001</v>
      </c>
      <c r="E2704" s="116">
        <v>1098.6500000000001</v>
      </c>
      <c r="F2704" s="116">
        <v>1172.8499999999999</v>
      </c>
      <c r="G2704">
        <v>7368</v>
      </c>
      <c r="H2704" s="116"/>
      <c r="I2704" s="116"/>
      <c r="L2704" s="169">
        <v>45986</v>
      </c>
      <c r="M2704" s="116">
        <v>1171.9000000000001</v>
      </c>
      <c r="N2704" s="116">
        <v>1194</v>
      </c>
      <c r="O2704" s="116">
        <v>1100.3</v>
      </c>
      <c r="P2704" s="116">
        <v>1106.4000000000001</v>
      </c>
      <c r="Q2704" s="116">
        <v>1171.9000000000001</v>
      </c>
      <c r="R2704">
        <v>185928</v>
      </c>
    </row>
    <row r="2705" spans="1:18" x14ac:dyDescent="0.25">
      <c r="A2705" s="169">
        <v>45987</v>
      </c>
      <c r="B2705" s="116">
        <v>1172.9000000000001</v>
      </c>
      <c r="C2705" s="116">
        <v>1163.45</v>
      </c>
      <c r="D2705" s="116">
        <v>1140.25</v>
      </c>
      <c r="E2705" s="116">
        <v>1172.9000000000001</v>
      </c>
      <c r="F2705" s="116">
        <v>1163.45</v>
      </c>
      <c r="G2705">
        <v>3477</v>
      </c>
      <c r="H2705" s="116"/>
      <c r="I2705" s="116"/>
      <c r="L2705" s="169">
        <v>45987</v>
      </c>
      <c r="M2705" s="116">
        <v>1163</v>
      </c>
      <c r="N2705" s="116">
        <v>1174.9000000000001</v>
      </c>
      <c r="O2705" s="116">
        <v>1140.0999999999999</v>
      </c>
      <c r="P2705" s="116">
        <v>1174.9000000000001</v>
      </c>
      <c r="Q2705" s="116">
        <v>1163</v>
      </c>
      <c r="R2705">
        <v>108225</v>
      </c>
    </row>
    <row r="2706" spans="1:18" x14ac:dyDescent="0.25">
      <c r="A2706" s="169">
        <v>45988</v>
      </c>
      <c r="B2706" s="116">
        <v>1180.8</v>
      </c>
      <c r="C2706" s="116">
        <v>1160.75</v>
      </c>
      <c r="D2706" s="116">
        <v>1151.75</v>
      </c>
      <c r="E2706" s="116">
        <v>1165.25</v>
      </c>
      <c r="F2706" s="116">
        <v>1160.75</v>
      </c>
      <c r="G2706">
        <v>4457</v>
      </c>
      <c r="H2706" s="116"/>
      <c r="I2706" s="116"/>
      <c r="L2706" s="169">
        <v>45988</v>
      </c>
      <c r="M2706" s="116">
        <v>1160.8</v>
      </c>
      <c r="N2706" s="116">
        <v>1179.8</v>
      </c>
      <c r="O2706" s="116">
        <v>1152</v>
      </c>
      <c r="P2706" s="116">
        <v>1170.5</v>
      </c>
      <c r="Q2706" s="116">
        <v>1160.8</v>
      </c>
      <c r="R2706">
        <v>78489</v>
      </c>
    </row>
    <row r="2707" spans="1:18" x14ac:dyDescent="0.25">
      <c r="A2707" s="169">
        <v>45989</v>
      </c>
      <c r="B2707" s="116">
        <v>1165</v>
      </c>
      <c r="C2707" s="116">
        <v>1152.8499999999999</v>
      </c>
      <c r="D2707" s="116">
        <v>1149.25</v>
      </c>
      <c r="E2707" s="116">
        <v>1157.3499999999999</v>
      </c>
      <c r="F2707" s="116">
        <v>1152.8499999999999</v>
      </c>
      <c r="G2707">
        <v>4952</v>
      </c>
      <c r="H2707" s="116"/>
      <c r="I2707" s="116"/>
      <c r="L2707" s="169">
        <v>45989</v>
      </c>
      <c r="M2707" s="116">
        <v>1152.8</v>
      </c>
      <c r="N2707" s="116">
        <v>1168.5</v>
      </c>
      <c r="O2707" s="116">
        <v>1148.7</v>
      </c>
      <c r="P2707" s="116">
        <v>1160</v>
      </c>
      <c r="Q2707" s="116">
        <v>1152.8</v>
      </c>
      <c r="R2707">
        <v>36509</v>
      </c>
    </row>
    <row r="2708" spans="1:18" x14ac:dyDescent="0.25">
      <c r="A2708" s="169">
        <v>45992</v>
      </c>
      <c r="B2708" s="116">
        <v>1161.6500000000001</v>
      </c>
      <c r="C2708" s="116">
        <v>1145.75</v>
      </c>
      <c r="D2708" s="116">
        <v>1144</v>
      </c>
      <c r="E2708" s="116">
        <v>1152.9000000000001</v>
      </c>
      <c r="F2708" s="116">
        <v>1145.75</v>
      </c>
      <c r="G2708">
        <v>4946</v>
      </c>
      <c r="H2708" s="116"/>
      <c r="I2708" s="116"/>
      <c r="L2708" s="169">
        <v>45992</v>
      </c>
      <c r="M2708" s="116">
        <v>1147.0999999999999</v>
      </c>
      <c r="N2708" s="116">
        <v>1166.2</v>
      </c>
      <c r="O2708" s="116">
        <v>1140</v>
      </c>
      <c r="P2708" s="116">
        <v>1161.8</v>
      </c>
      <c r="Q2708" s="116">
        <v>1147.0999999999999</v>
      </c>
      <c r="R2708">
        <v>39285</v>
      </c>
    </row>
    <row r="2709" spans="1:18" x14ac:dyDescent="0.25">
      <c r="A2709" s="169">
        <v>45993</v>
      </c>
      <c r="B2709">
        <v>1152.45</v>
      </c>
      <c r="C2709">
        <v>1150.0999999999999</v>
      </c>
      <c r="D2709">
        <v>1137.6500000000001</v>
      </c>
      <c r="E2709">
        <v>1147.3499999999999</v>
      </c>
      <c r="F2709">
        <v>1150.0999999999999</v>
      </c>
      <c r="G2709">
        <v>2472</v>
      </c>
      <c r="H2709" s="116"/>
      <c r="I2709" s="116"/>
      <c r="L2709" s="169">
        <v>45993</v>
      </c>
      <c r="M2709" s="116">
        <v>1149.8</v>
      </c>
      <c r="N2709" s="116">
        <v>1155</v>
      </c>
      <c r="O2709" s="116">
        <v>1136.5</v>
      </c>
      <c r="P2709" s="116">
        <v>1151.8</v>
      </c>
      <c r="Q2709" s="116">
        <v>1149.8</v>
      </c>
      <c r="R2709">
        <v>24820</v>
      </c>
    </row>
    <row r="2710" spans="1:18" x14ac:dyDescent="0.25">
      <c r="A2710" s="169">
        <v>45994</v>
      </c>
      <c r="B2710">
        <v>1150.7</v>
      </c>
      <c r="C2710">
        <v>1139.2</v>
      </c>
      <c r="D2710">
        <v>1135.25</v>
      </c>
      <c r="E2710">
        <v>1150.5</v>
      </c>
      <c r="F2710">
        <v>1139.2</v>
      </c>
      <c r="G2710">
        <v>2261</v>
      </c>
      <c r="H2710" s="116"/>
      <c r="I2710" s="116"/>
      <c r="L2710" s="169">
        <v>45994</v>
      </c>
      <c r="M2710" s="116">
        <v>1139.4000000000001</v>
      </c>
      <c r="N2710" s="116">
        <v>1152.8</v>
      </c>
      <c r="O2710" s="116">
        <v>1136.0999999999999</v>
      </c>
      <c r="P2710" s="116">
        <v>1151.7</v>
      </c>
      <c r="Q2710" s="116">
        <v>1139.4000000000001</v>
      </c>
      <c r="R2710">
        <v>21226</v>
      </c>
    </row>
    <row r="2711" spans="1:18" x14ac:dyDescent="0.25">
      <c r="A2711" s="169">
        <v>45995</v>
      </c>
      <c r="B2711">
        <v>1148.9000000000001</v>
      </c>
      <c r="C2711">
        <v>1133.6500000000001</v>
      </c>
      <c r="D2711">
        <v>1130.05</v>
      </c>
      <c r="E2711">
        <v>1130.05</v>
      </c>
      <c r="F2711">
        <v>1133.6500000000001</v>
      </c>
      <c r="G2711">
        <v>3707</v>
      </c>
      <c r="H2711" s="116"/>
      <c r="I2711" s="116"/>
      <c r="L2711" s="169">
        <v>45995</v>
      </c>
      <c r="M2711" s="116">
        <v>1133.5</v>
      </c>
      <c r="N2711" s="116">
        <v>1149.9000000000001</v>
      </c>
      <c r="O2711" s="116">
        <v>1130.0999999999999</v>
      </c>
      <c r="P2711" s="116">
        <v>1135</v>
      </c>
      <c r="Q2711" s="116">
        <v>1133.5</v>
      </c>
      <c r="R2711">
        <v>20998</v>
      </c>
    </row>
    <row r="2712" spans="1:18" x14ac:dyDescent="0.25">
      <c r="A2712" s="169">
        <v>45996</v>
      </c>
      <c r="B2712">
        <v>1141</v>
      </c>
      <c r="C2712">
        <v>1125.5</v>
      </c>
      <c r="D2712">
        <v>1121</v>
      </c>
      <c r="E2712">
        <v>1130.7</v>
      </c>
      <c r="F2712">
        <v>1125.5</v>
      </c>
      <c r="G2712">
        <v>1687</v>
      </c>
      <c r="H2712" s="116"/>
      <c r="I2712" s="116"/>
      <c r="L2712" s="169">
        <v>45996</v>
      </c>
      <c r="M2712" s="116">
        <v>1126.2</v>
      </c>
      <c r="N2712" s="116">
        <v>1141.5</v>
      </c>
      <c r="O2712" s="116">
        <v>1120</v>
      </c>
      <c r="P2712" s="116">
        <v>1130</v>
      </c>
      <c r="Q2712" s="116">
        <v>1126.2</v>
      </c>
      <c r="R2712">
        <v>22130</v>
      </c>
    </row>
    <row r="2713" spans="1:18" x14ac:dyDescent="0.25">
      <c r="A2713" s="169">
        <v>45999</v>
      </c>
      <c r="B2713">
        <v>1123.2</v>
      </c>
      <c r="C2713">
        <v>1097.8499999999999</v>
      </c>
      <c r="D2713">
        <v>1091.5999999999999</v>
      </c>
      <c r="E2713">
        <v>1123.2</v>
      </c>
      <c r="F2713">
        <v>1097.8499999999999</v>
      </c>
      <c r="G2713">
        <v>2081</v>
      </c>
      <c r="H2713" s="116"/>
      <c r="I2713" s="116"/>
      <c r="L2713" s="169">
        <v>45999</v>
      </c>
      <c r="M2713" s="116">
        <v>1098.8</v>
      </c>
      <c r="N2713" s="116">
        <v>1126.2</v>
      </c>
      <c r="O2713" s="116">
        <v>1091</v>
      </c>
      <c r="P2713" s="116">
        <v>1124.2</v>
      </c>
      <c r="Q2713" s="116">
        <v>1098.8</v>
      </c>
      <c r="R2713">
        <v>53676</v>
      </c>
    </row>
    <row r="2714" spans="1:18" x14ac:dyDescent="0.25">
      <c r="A2714" s="169">
        <v>46000</v>
      </c>
      <c r="B2714">
        <v>1149</v>
      </c>
      <c r="C2714">
        <v>1138.2</v>
      </c>
      <c r="D2714">
        <v>1079.1500000000001</v>
      </c>
      <c r="E2714">
        <v>1097.95</v>
      </c>
      <c r="F2714">
        <v>1138.2</v>
      </c>
      <c r="G2714">
        <v>4147</v>
      </c>
      <c r="H2714" s="116"/>
      <c r="I2714" s="116"/>
      <c r="L2714" s="169">
        <v>46000</v>
      </c>
      <c r="M2714" s="116">
        <v>1142.2</v>
      </c>
      <c r="N2714" s="116">
        <v>1149.9000000000001</v>
      </c>
      <c r="O2714" s="116">
        <v>1080</v>
      </c>
      <c r="P2714" s="116">
        <v>1100.2</v>
      </c>
      <c r="Q2714" s="116">
        <v>1142.2</v>
      </c>
      <c r="R2714">
        <v>91666</v>
      </c>
    </row>
    <row r="2715" spans="1:18" x14ac:dyDescent="0.25">
      <c r="A2715" s="169">
        <v>46001</v>
      </c>
      <c r="B2715">
        <v>1151.5</v>
      </c>
      <c r="C2715">
        <v>1127.05</v>
      </c>
      <c r="D2715">
        <v>1120.5999999999999</v>
      </c>
      <c r="E2715">
        <v>1138.25</v>
      </c>
      <c r="F2715">
        <v>1127.05</v>
      </c>
      <c r="G2715">
        <v>2028</v>
      </c>
      <c r="H2715" s="116"/>
      <c r="I2715" s="116"/>
      <c r="L2715" s="169">
        <v>46001</v>
      </c>
      <c r="M2715" s="116">
        <v>1126.8</v>
      </c>
      <c r="N2715" s="116">
        <v>1154.5999999999999</v>
      </c>
      <c r="O2715" s="116">
        <v>1120</v>
      </c>
      <c r="P2715" s="116">
        <v>1144</v>
      </c>
      <c r="Q2715" s="116">
        <v>1126.8</v>
      </c>
      <c r="R2715">
        <v>36953</v>
      </c>
    </row>
    <row r="2716" spans="1:18" x14ac:dyDescent="0.25">
      <c r="A2716" s="169">
        <v>46002</v>
      </c>
      <c r="B2716">
        <v>1144.2</v>
      </c>
      <c r="C2716">
        <v>1131.75</v>
      </c>
      <c r="D2716">
        <v>1095.3499999999999</v>
      </c>
      <c r="E2716">
        <v>1127.05</v>
      </c>
      <c r="F2716">
        <v>1131.75</v>
      </c>
      <c r="G2716">
        <v>3754</v>
      </c>
      <c r="H2716" s="116"/>
      <c r="I2716" s="116"/>
      <c r="L2716" s="169">
        <v>46002</v>
      </c>
      <c r="M2716" s="116">
        <v>1126.4000000000001</v>
      </c>
      <c r="N2716" s="116">
        <v>1149.9000000000001</v>
      </c>
      <c r="O2716" s="116">
        <v>1096.0999999999999</v>
      </c>
      <c r="P2716" s="116">
        <v>1121.3</v>
      </c>
      <c r="Q2716" s="116">
        <v>1126.4000000000001</v>
      </c>
      <c r="R2716">
        <v>74088</v>
      </c>
    </row>
    <row r="2717" spans="1:18" x14ac:dyDescent="0.25">
      <c r="A2717" s="169">
        <v>46003</v>
      </c>
      <c r="B2717">
        <v>1136.6500000000001</v>
      </c>
      <c r="C2717">
        <v>1120.5999999999999</v>
      </c>
      <c r="D2717">
        <v>1118</v>
      </c>
      <c r="E2717">
        <v>1131.8</v>
      </c>
      <c r="F2717">
        <v>1120.5999999999999</v>
      </c>
      <c r="G2717">
        <v>1805</v>
      </c>
      <c r="H2717" s="116"/>
      <c r="I2717" s="116"/>
      <c r="L2717" s="169">
        <v>46003</v>
      </c>
      <c r="M2717" s="116">
        <v>1120.5999999999999</v>
      </c>
      <c r="N2717" s="116">
        <v>1136.9000000000001</v>
      </c>
      <c r="O2717" s="116">
        <v>1117.7</v>
      </c>
      <c r="P2717" s="116">
        <v>1132.9000000000001</v>
      </c>
      <c r="Q2717" s="116">
        <v>1120.5999999999999</v>
      </c>
      <c r="R2717">
        <v>29937</v>
      </c>
    </row>
    <row r="2718" spans="1:18" x14ac:dyDescent="0.25">
      <c r="A2718" s="169">
        <v>46006</v>
      </c>
      <c r="B2718">
        <v>1142.8499999999999</v>
      </c>
      <c r="C2718">
        <v>1127.9000000000001</v>
      </c>
      <c r="D2718">
        <v>1110.6500000000001</v>
      </c>
      <c r="E2718">
        <v>1120.5999999999999</v>
      </c>
      <c r="F2718">
        <v>1127.9000000000001</v>
      </c>
      <c r="G2718">
        <v>2779</v>
      </c>
      <c r="H2718" s="116"/>
      <c r="I2718" s="116"/>
      <c r="L2718" s="169">
        <v>46006</v>
      </c>
      <c r="M2718" s="116">
        <v>1126.2</v>
      </c>
      <c r="N2718" s="116">
        <v>1142</v>
      </c>
      <c r="O2718" s="116">
        <v>1111</v>
      </c>
      <c r="P2718" s="116">
        <v>1120.5999999999999</v>
      </c>
      <c r="Q2718" s="116">
        <v>1126.2</v>
      </c>
      <c r="R2718">
        <v>66912</v>
      </c>
    </row>
    <row r="2719" spans="1:18" x14ac:dyDescent="0.25">
      <c r="A2719" s="169">
        <v>46007</v>
      </c>
      <c r="B2719">
        <v>1119.8</v>
      </c>
      <c r="C2719">
        <v>1107.6500000000001</v>
      </c>
      <c r="D2719">
        <v>1105.9000000000001</v>
      </c>
      <c r="E2719">
        <v>1119.8</v>
      </c>
      <c r="F2719">
        <v>1107.6500000000001</v>
      </c>
      <c r="G2719">
        <v>1504</v>
      </c>
      <c r="H2719" s="116"/>
      <c r="I2719" s="116"/>
      <c r="L2719" s="169">
        <v>46007</v>
      </c>
      <c r="M2719" s="116">
        <v>1107.5999999999999</v>
      </c>
      <c r="N2719" s="116">
        <v>1124.4000000000001</v>
      </c>
      <c r="O2719" s="116">
        <v>1102</v>
      </c>
      <c r="P2719" s="116">
        <v>1123</v>
      </c>
      <c r="Q2719" s="116">
        <v>1107.5999999999999</v>
      </c>
      <c r="R2719">
        <v>35104</v>
      </c>
    </row>
    <row r="2720" spans="1:18" x14ac:dyDescent="0.25">
      <c r="A2720" s="169">
        <v>46008</v>
      </c>
      <c r="B2720">
        <v>1106.3499999999999</v>
      </c>
      <c r="C2720">
        <v>1091.3499999999999</v>
      </c>
      <c r="D2720">
        <v>1091</v>
      </c>
      <c r="E2720">
        <v>1105.0999999999999</v>
      </c>
      <c r="F2720">
        <v>1091.3499999999999</v>
      </c>
      <c r="G2720">
        <v>4882</v>
      </c>
      <c r="H2720" s="116"/>
      <c r="I2720" s="116"/>
      <c r="L2720" s="169">
        <v>46008</v>
      </c>
      <c r="M2720" s="116">
        <v>1092</v>
      </c>
      <c r="N2720" s="116">
        <v>1109.8</v>
      </c>
      <c r="O2720" s="116">
        <v>1090</v>
      </c>
      <c r="P2720" s="116">
        <v>1109.8</v>
      </c>
      <c r="Q2720" s="116">
        <v>1092</v>
      </c>
      <c r="R2720">
        <v>27823</v>
      </c>
    </row>
    <row r="2721" spans="1:18" x14ac:dyDescent="0.25">
      <c r="A2721" s="169">
        <v>46009</v>
      </c>
      <c r="B2721">
        <v>1120</v>
      </c>
      <c r="C2721">
        <v>1090.95</v>
      </c>
      <c r="D2721">
        <v>1080</v>
      </c>
      <c r="E2721">
        <v>1082.05</v>
      </c>
      <c r="F2721">
        <v>1090.95</v>
      </c>
      <c r="G2721">
        <v>10051</v>
      </c>
      <c r="H2721" s="116"/>
      <c r="I2721" s="116"/>
      <c r="L2721" s="169">
        <v>46009</v>
      </c>
      <c r="M2721" s="116">
        <v>1091.2</v>
      </c>
      <c r="N2721" s="116">
        <v>1110</v>
      </c>
      <c r="O2721" s="116">
        <v>1079</v>
      </c>
      <c r="P2721" s="116">
        <v>1085</v>
      </c>
      <c r="Q2721" s="116">
        <v>1091.2</v>
      </c>
      <c r="R2721">
        <v>42483</v>
      </c>
    </row>
    <row r="2722" spans="1:18" x14ac:dyDescent="0.25">
      <c r="A2722" s="169">
        <v>46010</v>
      </c>
      <c r="B2722">
        <v>1121.7</v>
      </c>
      <c r="C2722">
        <v>1115.8</v>
      </c>
      <c r="D2722">
        <v>1089.05</v>
      </c>
      <c r="E2722">
        <v>1091</v>
      </c>
      <c r="F2722">
        <v>1115.8</v>
      </c>
      <c r="G2722">
        <v>1173</v>
      </c>
      <c r="H2722" s="116"/>
      <c r="I2722" s="116"/>
      <c r="L2722" s="169">
        <v>46010</v>
      </c>
      <c r="M2722" s="116">
        <v>1116.5999999999999</v>
      </c>
      <c r="N2722" s="116">
        <v>1121</v>
      </c>
      <c r="O2722" s="116">
        <v>1087.2</v>
      </c>
      <c r="P2722" s="116">
        <v>1090.5</v>
      </c>
      <c r="Q2722" s="116">
        <v>1116.5999999999999</v>
      </c>
      <c r="R2722">
        <v>55047</v>
      </c>
    </row>
    <row r="2723" spans="1:18" x14ac:dyDescent="0.25">
      <c r="A2723" s="169">
        <v>46013</v>
      </c>
      <c r="B2723">
        <v>1146.3499999999999</v>
      </c>
      <c r="C2723">
        <v>1117.8</v>
      </c>
      <c r="D2723">
        <v>1112.55</v>
      </c>
      <c r="E2723">
        <v>1115.8</v>
      </c>
      <c r="F2723">
        <v>1117.8</v>
      </c>
      <c r="G2723">
        <v>1913</v>
      </c>
      <c r="H2723" s="116"/>
      <c r="I2723" s="116"/>
      <c r="L2723" s="169">
        <v>46013</v>
      </c>
      <c r="M2723" s="116">
        <v>1116.3</v>
      </c>
      <c r="N2723" s="116">
        <v>1144</v>
      </c>
      <c r="O2723" s="116">
        <v>1112.5</v>
      </c>
      <c r="P2723" s="116">
        <v>1116.5999999999999</v>
      </c>
      <c r="Q2723" s="116">
        <v>1116.3</v>
      </c>
      <c r="R2723">
        <v>43346</v>
      </c>
    </row>
    <row r="2724" spans="1:18" x14ac:dyDescent="0.25">
      <c r="A2724" s="169">
        <v>46014</v>
      </c>
      <c r="B2724">
        <v>1144</v>
      </c>
      <c r="C2724">
        <v>1127.9000000000001</v>
      </c>
      <c r="D2724">
        <v>1117.5999999999999</v>
      </c>
      <c r="E2724">
        <v>1117.8</v>
      </c>
      <c r="F2724">
        <v>1127.9000000000001</v>
      </c>
      <c r="G2724">
        <v>2022</v>
      </c>
      <c r="H2724" s="116"/>
      <c r="I2724" s="116"/>
      <c r="L2724" s="169">
        <v>46014</v>
      </c>
      <c r="M2724" s="116">
        <v>1126.5</v>
      </c>
      <c r="N2724" s="116">
        <v>1144.9000000000001</v>
      </c>
      <c r="O2724" s="116">
        <v>1116</v>
      </c>
      <c r="P2724" s="116">
        <v>1120.5</v>
      </c>
      <c r="Q2724" s="116">
        <v>1126.5</v>
      </c>
      <c r="R2724">
        <v>43213</v>
      </c>
    </row>
    <row r="2725" spans="1:18" x14ac:dyDescent="0.25">
      <c r="A2725" s="169">
        <v>46015</v>
      </c>
      <c r="B2725">
        <v>1146.95</v>
      </c>
      <c r="C2725">
        <v>1125.2</v>
      </c>
      <c r="D2725">
        <v>1120.3</v>
      </c>
      <c r="E2725">
        <v>1127.9000000000001</v>
      </c>
      <c r="F2725">
        <v>1125.2</v>
      </c>
      <c r="G2725">
        <v>3735</v>
      </c>
      <c r="H2725" s="116"/>
      <c r="I2725" s="116"/>
      <c r="L2725" s="169">
        <v>46015</v>
      </c>
      <c r="M2725" s="116">
        <v>1125.7</v>
      </c>
      <c r="N2725" s="116">
        <v>1146.0999999999999</v>
      </c>
      <c r="O2725" s="116">
        <v>1124</v>
      </c>
      <c r="P2725" s="116">
        <v>1125.5</v>
      </c>
      <c r="Q2725" s="116">
        <v>1125.7</v>
      </c>
      <c r="R2725">
        <v>44524</v>
      </c>
    </row>
    <row r="2726" spans="1:18" x14ac:dyDescent="0.25">
      <c r="A2726" s="169">
        <v>46017</v>
      </c>
      <c r="B2726">
        <v>1135.3499999999999</v>
      </c>
      <c r="C2726">
        <v>1122.1500000000001</v>
      </c>
      <c r="D2726">
        <v>1118.8499999999999</v>
      </c>
      <c r="E2726">
        <v>1120.3499999999999</v>
      </c>
      <c r="F2726">
        <v>1122.1500000000001</v>
      </c>
      <c r="G2726">
        <v>1517</v>
      </c>
      <c r="H2726" s="116"/>
      <c r="I2726" s="116"/>
      <c r="L2726" s="169">
        <v>46017</v>
      </c>
      <c r="M2726" s="116">
        <v>1123.3</v>
      </c>
      <c r="N2726" s="116">
        <v>1135</v>
      </c>
      <c r="O2726" s="116">
        <v>1120</v>
      </c>
      <c r="P2726" s="116">
        <v>1128</v>
      </c>
      <c r="Q2726" s="116">
        <v>1123.3</v>
      </c>
      <c r="R2726">
        <v>21436</v>
      </c>
    </row>
    <row r="2727" spans="1:18" x14ac:dyDescent="0.25">
      <c r="A2727" s="169">
        <v>46020</v>
      </c>
      <c r="B2727">
        <v>1129.25</v>
      </c>
      <c r="C2727">
        <v>1114.1500000000001</v>
      </c>
      <c r="D2727">
        <v>1106.8</v>
      </c>
      <c r="E2727">
        <v>1122</v>
      </c>
      <c r="F2727">
        <v>1114.1500000000001</v>
      </c>
      <c r="G2727">
        <v>3124</v>
      </c>
      <c r="H2727" s="116"/>
      <c r="I2727" s="116"/>
      <c r="L2727" s="169">
        <v>46020</v>
      </c>
      <c r="M2727" s="116">
        <v>1114.3</v>
      </c>
      <c r="N2727" s="116">
        <v>1133.8</v>
      </c>
      <c r="O2727" s="116">
        <v>1104.3</v>
      </c>
      <c r="P2727" s="116">
        <v>1119</v>
      </c>
      <c r="Q2727" s="116">
        <v>1114.3</v>
      </c>
      <c r="R2727">
        <v>42012</v>
      </c>
    </row>
    <row r="2728" spans="1:18" x14ac:dyDescent="0.25">
      <c r="A2728" s="169">
        <v>46021</v>
      </c>
      <c r="B2728">
        <v>1112.0999999999999</v>
      </c>
      <c r="C2728">
        <v>1092.6500000000001</v>
      </c>
      <c r="D2728">
        <v>1091.55</v>
      </c>
      <c r="E2728">
        <v>1112.0999999999999</v>
      </c>
      <c r="F2728">
        <v>1092.6500000000001</v>
      </c>
      <c r="G2728">
        <v>2274</v>
      </c>
      <c r="H2728" s="116"/>
      <c r="I2728" s="116"/>
      <c r="L2728" s="169">
        <v>46021</v>
      </c>
      <c r="M2728" s="116">
        <v>1093.9000000000001</v>
      </c>
      <c r="N2728" s="116">
        <v>1114</v>
      </c>
      <c r="O2728" s="116">
        <v>1092</v>
      </c>
      <c r="P2728" s="116">
        <v>1114</v>
      </c>
      <c r="Q2728" s="116">
        <v>1093.9000000000001</v>
      </c>
      <c r="R2728">
        <v>26576</v>
      </c>
    </row>
    <row r="2729" spans="1:18" x14ac:dyDescent="0.25">
      <c r="A2729" s="169">
        <v>46022</v>
      </c>
      <c r="B2729">
        <v>1126.5999999999999</v>
      </c>
      <c r="C2729">
        <v>1118.5999999999999</v>
      </c>
      <c r="D2729">
        <v>1092.7</v>
      </c>
      <c r="E2729">
        <v>1092.7</v>
      </c>
      <c r="F2729">
        <v>1118.5999999999999</v>
      </c>
      <c r="G2729">
        <v>1311</v>
      </c>
      <c r="H2729" s="116"/>
      <c r="I2729" s="116"/>
      <c r="L2729" s="169">
        <v>46022</v>
      </c>
      <c r="M2729" s="116">
        <v>1121</v>
      </c>
      <c r="N2729" s="116">
        <v>1129.9000000000001</v>
      </c>
      <c r="O2729" s="116">
        <v>1092</v>
      </c>
      <c r="P2729" s="116">
        <v>1092</v>
      </c>
      <c r="Q2729" s="116">
        <v>1121</v>
      </c>
      <c r="R2729">
        <v>47554</v>
      </c>
    </row>
    <row r="2730" spans="1:18" x14ac:dyDescent="0.25">
      <c r="A2730" s="169">
        <v>46023</v>
      </c>
      <c r="B2730">
        <v>1126.45</v>
      </c>
      <c r="C2730">
        <v>1106.9000000000001</v>
      </c>
      <c r="D2730">
        <v>1105</v>
      </c>
      <c r="E2730">
        <v>1118.5999999999999</v>
      </c>
      <c r="F2730">
        <v>1106.9000000000001</v>
      </c>
      <c r="G2730">
        <v>1126</v>
      </c>
      <c r="H2730" s="116"/>
      <c r="I2730" s="116"/>
      <c r="L2730" s="169">
        <v>46023</v>
      </c>
      <c r="M2730" s="116">
        <v>1109.7</v>
      </c>
      <c r="N2730" s="116">
        <v>1128</v>
      </c>
      <c r="O2730" s="116">
        <v>1104.3</v>
      </c>
      <c r="P2730" s="116">
        <v>1118.8</v>
      </c>
      <c r="Q2730" s="116">
        <v>1109.7</v>
      </c>
      <c r="R2730">
        <v>27820</v>
      </c>
    </row>
    <row r="2731" spans="1:18" x14ac:dyDescent="0.25">
      <c r="A2731" s="169">
        <v>46024</v>
      </c>
      <c r="B2731">
        <v>1119</v>
      </c>
      <c r="C2731">
        <v>1108.8</v>
      </c>
      <c r="D2731">
        <v>1106.9000000000001</v>
      </c>
      <c r="E2731">
        <v>1107</v>
      </c>
      <c r="F2731">
        <v>1108.8</v>
      </c>
      <c r="G2731">
        <v>1775</v>
      </c>
      <c r="H2731" s="116"/>
      <c r="I2731" s="116"/>
      <c r="L2731" s="169">
        <v>46024</v>
      </c>
      <c r="M2731" s="116">
        <v>1110</v>
      </c>
      <c r="N2731" s="116">
        <v>1119.8</v>
      </c>
      <c r="O2731" s="116">
        <v>1106</v>
      </c>
      <c r="P2731" s="116">
        <v>1114.5999999999999</v>
      </c>
      <c r="Q2731" s="116">
        <v>1110</v>
      </c>
      <c r="R2731">
        <v>30976</v>
      </c>
    </row>
    <row r="2732" spans="1:18" x14ac:dyDescent="0.25">
      <c r="A2732" s="169">
        <v>46027</v>
      </c>
      <c r="B2732">
        <v>1126.8</v>
      </c>
      <c r="C2732">
        <v>1090.8</v>
      </c>
      <c r="D2732">
        <v>1086.6500000000001</v>
      </c>
      <c r="E2732">
        <v>1108.8499999999999</v>
      </c>
      <c r="F2732">
        <v>1090.8</v>
      </c>
      <c r="G2732">
        <v>3135</v>
      </c>
      <c r="H2732" s="116"/>
      <c r="I2732" s="116"/>
      <c r="L2732" s="169">
        <v>46027</v>
      </c>
      <c r="M2732" s="116">
        <v>1089.7</v>
      </c>
      <c r="N2732" s="116">
        <v>1128</v>
      </c>
      <c r="O2732" s="116">
        <v>1087</v>
      </c>
      <c r="P2732" s="116">
        <v>1110</v>
      </c>
      <c r="Q2732" s="116">
        <v>1089.7</v>
      </c>
      <c r="R2732">
        <v>46268</v>
      </c>
    </row>
    <row r="2733" spans="1:18" x14ac:dyDescent="0.25">
      <c r="A2733" s="169">
        <v>46028</v>
      </c>
      <c r="B2733">
        <v>1102.95</v>
      </c>
      <c r="C2733">
        <v>1070.8499999999999</v>
      </c>
      <c r="D2733">
        <v>1066.05</v>
      </c>
      <c r="E2733">
        <v>1102.95</v>
      </c>
      <c r="F2733">
        <v>1070.8499999999999</v>
      </c>
      <c r="G2733">
        <v>3998</v>
      </c>
      <c r="H2733" s="116"/>
      <c r="I2733" s="116"/>
      <c r="L2733" s="169">
        <v>46028</v>
      </c>
      <c r="M2733" s="116">
        <v>1072.0999999999999</v>
      </c>
      <c r="N2733" s="116">
        <v>1097.2</v>
      </c>
      <c r="O2733" s="116">
        <v>1065.5999999999999</v>
      </c>
      <c r="P2733" s="116">
        <v>1096.2</v>
      </c>
      <c r="Q2733" s="116">
        <v>1072.0999999999999</v>
      </c>
      <c r="R2733">
        <v>54445</v>
      </c>
    </row>
    <row r="2734" spans="1:18" x14ac:dyDescent="0.25">
      <c r="A2734" s="169">
        <v>46029</v>
      </c>
      <c r="B2734">
        <v>1077.9000000000001</v>
      </c>
      <c r="C2734">
        <v>1072.55</v>
      </c>
      <c r="D2734">
        <v>1067.55</v>
      </c>
      <c r="E2734">
        <v>1070</v>
      </c>
      <c r="F2734">
        <v>1072.55</v>
      </c>
      <c r="G2734">
        <v>1806</v>
      </c>
      <c r="H2734" s="116"/>
      <c r="I2734" s="116"/>
      <c r="L2734" s="169">
        <v>46029</v>
      </c>
      <c r="M2734" s="116">
        <v>1070.5</v>
      </c>
      <c r="N2734" s="116">
        <v>1079.5999999999999</v>
      </c>
      <c r="O2734" s="116">
        <v>1066.5999999999999</v>
      </c>
      <c r="P2734" s="116">
        <v>1070</v>
      </c>
      <c r="Q2734" s="116">
        <v>1070.5</v>
      </c>
      <c r="R2734">
        <v>35930</v>
      </c>
    </row>
    <row r="2735" spans="1:18" x14ac:dyDescent="0.25">
      <c r="A2735" s="169">
        <v>46030</v>
      </c>
      <c r="B2735">
        <v>1252.3499999999999</v>
      </c>
      <c r="C2735">
        <v>1222.9000000000001</v>
      </c>
      <c r="D2735">
        <v>1101.05</v>
      </c>
      <c r="E2735">
        <v>1101.05</v>
      </c>
      <c r="F2735">
        <v>1222.9000000000001</v>
      </c>
      <c r="G2735">
        <v>1268574</v>
      </c>
      <c r="H2735" s="116"/>
      <c r="I2735" s="116"/>
      <c r="L2735" s="169">
        <v>46030</v>
      </c>
      <c r="M2735" s="116">
        <v>1223.5</v>
      </c>
      <c r="N2735" s="116">
        <v>1253.0999999999999</v>
      </c>
      <c r="O2735" s="116">
        <v>1095</v>
      </c>
      <c r="P2735" s="116">
        <v>1100</v>
      </c>
      <c r="Q2735" s="116">
        <v>1223.5</v>
      </c>
      <c r="R2735">
        <v>13004208</v>
      </c>
    </row>
    <row r="2736" spans="1:18" x14ac:dyDescent="0.25">
      <c r="A2736" s="169">
        <v>46031</v>
      </c>
      <c r="B2736">
        <v>1226.2</v>
      </c>
      <c r="C2736">
        <v>1163.8499999999999</v>
      </c>
      <c r="D2736">
        <v>1143.9000000000001</v>
      </c>
      <c r="E2736">
        <v>1221</v>
      </c>
      <c r="F2736">
        <v>1163.8499999999999</v>
      </c>
      <c r="G2736">
        <v>320000</v>
      </c>
      <c r="H2736" s="116"/>
      <c r="I2736" s="116"/>
      <c r="L2736" s="169">
        <v>46031</v>
      </c>
      <c r="M2736" s="116">
        <v>1164.3</v>
      </c>
      <c r="N2736" s="116">
        <v>1227</v>
      </c>
      <c r="O2736" s="116">
        <v>1142.2</v>
      </c>
      <c r="P2736" s="116">
        <v>1220</v>
      </c>
      <c r="Q2736" s="116">
        <v>1164.3</v>
      </c>
      <c r="R2736">
        <v>1946281</v>
      </c>
    </row>
    <row r="2737" spans="1:18" x14ac:dyDescent="0.25">
      <c r="A2737" s="169">
        <v>46034</v>
      </c>
      <c r="B2737">
        <v>1158.1500000000001</v>
      </c>
      <c r="C2737">
        <v>1103.1500000000001</v>
      </c>
      <c r="D2737">
        <v>1093.8</v>
      </c>
      <c r="E2737">
        <v>1158.1500000000001</v>
      </c>
      <c r="F2737">
        <v>1103.1500000000001</v>
      </c>
      <c r="G2737">
        <v>53736</v>
      </c>
      <c r="H2737" s="116"/>
      <c r="I2737" s="116"/>
      <c r="L2737" s="169">
        <v>46034</v>
      </c>
      <c r="M2737" s="116">
        <v>1100.9000000000001</v>
      </c>
      <c r="N2737" s="116">
        <v>1153.9000000000001</v>
      </c>
      <c r="O2737" s="116">
        <v>1093.2</v>
      </c>
      <c r="P2737" s="116">
        <v>1153.9000000000001</v>
      </c>
      <c r="Q2737" s="116">
        <v>1100.9000000000001</v>
      </c>
      <c r="R2737">
        <v>515817</v>
      </c>
    </row>
    <row r="2738" spans="1:18" x14ac:dyDescent="0.25">
      <c r="A2738" s="169">
        <v>46035</v>
      </c>
      <c r="B2738">
        <v>1246</v>
      </c>
      <c r="C2738">
        <v>1223.7</v>
      </c>
      <c r="D2738">
        <v>1100.2</v>
      </c>
      <c r="E2738">
        <v>1100.2</v>
      </c>
      <c r="F2738">
        <v>1223.7</v>
      </c>
      <c r="G2738">
        <v>608190</v>
      </c>
      <c r="H2738" s="116"/>
      <c r="I2738" s="116"/>
      <c r="L2738" s="169">
        <v>46035</v>
      </c>
      <c r="M2738" s="116">
        <v>1225.8</v>
      </c>
      <c r="N2738" s="116">
        <v>1246.5</v>
      </c>
      <c r="O2738" s="116">
        <v>1104</v>
      </c>
      <c r="P2738" s="116">
        <v>1104</v>
      </c>
      <c r="Q2738" s="116">
        <v>1225.8</v>
      </c>
      <c r="R2738">
        <v>5733796</v>
      </c>
    </row>
    <row r="2739" spans="1:18" x14ac:dyDescent="0.25">
      <c r="A2739" s="169">
        <v>46036</v>
      </c>
      <c r="B2739">
        <v>1323.8</v>
      </c>
      <c r="C2739">
        <v>1265.3499999999999</v>
      </c>
      <c r="D2739">
        <v>1192.0999999999999</v>
      </c>
      <c r="E2739">
        <v>1203</v>
      </c>
      <c r="F2739">
        <v>1265.3499999999999</v>
      </c>
      <c r="G2739">
        <v>316190</v>
      </c>
      <c r="H2739" s="116"/>
      <c r="I2739" s="116"/>
      <c r="L2739" s="169">
        <v>46036</v>
      </c>
      <c r="M2739" s="116">
        <v>1264.5</v>
      </c>
      <c r="N2739" s="116">
        <v>1325</v>
      </c>
      <c r="O2739" s="116">
        <v>1191.7</v>
      </c>
      <c r="P2739" s="116">
        <v>1211.0999999999999</v>
      </c>
      <c r="Q2739" s="116">
        <v>1264.5</v>
      </c>
      <c r="R2739">
        <v>3405272</v>
      </c>
    </row>
    <row r="2740" spans="1:18" x14ac:dyDescent="0.25">
      <c r="A2740" s="169">
        <v>46038</v>
      </c>
      <c r="B2740">
        <v>1333.9</v>
      </c>
      <c r="C2740">
        <v>1281.45</v>
      </c>
      <c r="D2740">
        <v>1230</v>
      </c>
      <c r="E2740">
        <v>1245</v>
      </c>
      <c r="F2740">
        <v>1281.45</v>
      </c>
      <c r="G2740">
        <v>116804</v>
      </c>
      <c r="H2740" s="116"/>
      <c r="I2740" s="116"/>
      <c r="L2740" s="169">
        <v>46038</v>
      </c>
      <c r="M2740" s="116">
        <v>1274</v>
      </c>
      <c r="N2740" s="116">
        <v>1333.1</v>
      </c>
      <c r="O2740" s="116">
        <v>1233.7</v>
      </c>
      <c r="P2740" s="116">
        <v>1244.0999999999999</v>
      </c>
      <c r="Q2740" s="116">
        <v>1274</v>
      </c>
      <c r="R2740">
        <v>1569460</v>
      </c>
    </row>
    <row r="2741" spans="1:18" x14ac:dyDescent="0.25">
      <c r="A2741" s="169">
        <v>46041</v>
      </c>
      <c r="B2741">
        <v>1315.65</v>
      </c>
      <c r="C2741">
        <v>1275.9000000000001</v>
      </c>
      <c r="D2741">
        <v>1244.1500000000001</v>
      </c>
      <c r="E2741">
        <v>1257.0999999999999</v>
      </c>
      <c r="F2741">
        <v>1275.9000000000001</v>
      </c>
      <c r="G2741">
        <v>51718</v>
      </c>
      <c r="H2741" s="116"/>
      <c r="I2741" s="116"/>
      <c r="L2741" s="169">
        <v>46041</v>
      </c>
      <c r="M2741" s="116">
        <v>1276.2</v>
      </c>
      <c r="N2741" s="116">
        <v>1314</v>
      </c>
      <c r="O2741" s="116">
        <v>1244.3</v>
      </c>
      <c r="P2741" s="116">
        <v>1255</v>
      </c>
      <c r="Q2741" s="116">
        <v>1276.2</v>
      </c>
      <c r="R2741">
        <v>649872</v>
      </c>
    </row>
    <row r="2742" spans="1:18" x14ac:dyDescent="0.25">
      <c r="A2742" s="169">
        <v>46042</v>
      </c>
      <c r="B2742">
        <v>1280</v>
      </c>
      <c r="C2742">
        <v>1209.9000000000001</v>
      </c>
      <c r="D2742">
        <v>1186.7</v>
      </c>
      <c r="E2742">
        <v>1273.1500000000001</v>
      </c>
      <c r="F2742">
        <v>1209.9000000000001</v>
      </c>
      <c r="G2742">
        <v>35588</v>
      </c>
      <c r="H2742" s="116"/>
      <c r="I2742" s="116"/>
      <c r="L2742" s="169">
        <v>46042</v>
      </c>
      <c r="M2742" s="116">
        <v>1212.0999999999999</v>
      </c>
      <c r="N2742" s="116">
        <v>1282</v>
      </c>
      <c r="O2742" s="116">
        <v>1187.5999999999999</v>
      </c>
      <c r="P2742" s="116">
        <v>1269</v>
      </c>
      <c r="Q2742" s="116">
        <v>1212.0999999999999</v>
      </c>
      <c r="R2742">
        <v>482584</v>
      </c>
    </row>
    <row r="2743" spans="1:18" x14ac:dyDescent="0.25">
      <c r="A2743" s="169">
        <v>46043</v>
      </c>
      <c r="B2743">
        <v>1265.8499999999999</v>
      </c>
      <c r="C2743">
        <v>1213.8</v>
      </c>
      <c r="D2743">
        <v>1201</v>
      </c>
      <c r="E2743">
        <v>1212</v>
      </c>
      <c r="F2743">
        <v>1213.8</v>
      </c>
      <c r="G2743">
        <v>76839</v>
      </c>
      <c r="H2743" s="116"/>
      <c r="I2743" s="116"/>
      <c r="L2743" s="169">
        <v>46043</v>
      </c>
      <c r="M2743" s="116">
        <v>1211.7</v>
      </c>
      <c r="N2743" s="116">
        <v>1269.7</v>
      </c>
      <c r="O2743" s="116">
        <v>1200</v>
      </c>
      <c r="P2743" s="116">
        <v>1215</v>
      </c>
      <c r="Q2743" s="116">
        <v>1211.7</v>
      </c>
      <c r="R2743">
        <v>903407</v>
      </c>
    </row>
    <row r="2744" spans="1:18" x14ac:dyDescent="0.25">
      <c r="A2744" s="169">
        <v>46044</v>
      </c>
      <c r="B2744">
        <v>1259.95</v>
      </c>
      <c r="C2744">
        <v>1210.8</v>
      </c>
      <c r="D2744">
        <v>1204.8</v>
      </c>
      <c r="E2744">
        <v>1259.95</v>
      </c>
      <c r="F2744">
        <v>1210.8</v>
      </c>
      <c r="G2744">
        <v>13649</v>
      </c>
      <c r="H2744" s="116"/>
      <c r="I2744" s="116"/>
      <c r="L2744" s="169">
        <v>46044</v>
      </c>
      <c r="M2744" s="116">
        <v>1210.4000000000001</v>
      </c>
      <c r="N2744" s="116">
        <v>1247.7</v>
      </c>
      <c r="O2744" s="116">
        <v>1203.5999999999999</v>
      </c>
      <c r="P2744" s="116">
        <v>1239.3</v>
      </c>
      <c r="Q2744" s="116">
        <v>1210.4000000000001</v>
      </c>
      <c r="R2744">
        <v>219852</v>
      </c>
    </row>
    <row r="2745" spans="1:18" x14ac:dyDescent="0.25">
      <c r="A2745" s="169">
        <v>46045</v>
      </c>
      <c r="B2745">
        <v>1221.4000000000001</v>
      </c>
      <c r="C2745">
        <v>1130</v>
      </c>
      <c r="D2745">
        <v>1115.75</v>
      </c>
      <c r="E2745">
        <v>1210.9000000000001</v>
      </c>
      <c r="F2745">
        <v>1130</v>
      </c>
      <c r="G2745">
        <v>15710</v>
      </c>
      <c r="H2745" s="116"/>
      <c r="I2745" s="116"/>
      <c r="L2745" s="169">
        <v>46045</v>
      </c>
      <c r="M2745" s="116">
        <v>1129.5999999999999</v>
      </c>
      <c r="N2745" s="116">
        <v>1226</v>
      </c>
      <c r="O2745" s="116">
        <v>1108.4000000000001</v>
      </c>
      <c r="P2745" s="116">
        <v>1225.2</v>
      </c>
      <c r="Q2745" s="116">
        <v>1129.5999999999999</v>
      </c>
      <c r="R2745">
        <v>284608</v>
      </c>
    </row>
    <row r="2746" spans="1:18" x14ac:dyDescent="0.25">
      <c r="A2746" s="169">
        <v>46049</v>
      </c>
      <c r="B2746">
        <v>1180</v>
      </c>
      <c r="C2746">
        <v>1147.7</v>
      </c>
      <c r="D2746">
        <v>1113.75</v>
      </c>
      <c r="E2746">
        <v>1130.0999999999999</v>
      </c>
      <c r="F2746">
        <v>1147.7</v>
      </c>
      <c r="G2746">
        <v>33150</v>
      </c>
      <c r="H2746" s="116"/>
      <c r="I2746" s="116"/>
      <c r="L2746" s="169">
        <v>46049</v>
      </c>
      <c r="M2746" s="116">
        <v>1147.4000000000001</v>
      </c>
      <c r="N2746" s="116">
        <v>1180</v>
      </c>
      <c r="O2746" s="116">
        <v>1115</v>
      </c>
      <c r="P2746" s="116">
        <v>1130</v>
      </c>
      <c r="Q2746" s="116">
        <v>1147.4000000000001</v>
      </c>
      <c r="R2746">
        <v>436966</v>
      </c>
    </row>
    <row r="2747" spans="1:18" x14ac:dyDescent="0.25">
      <c r="A2747" s="169">
        <v>46050</v>
      </c>
      <c r="B2747">
        <v>1234</v>
      </c>
      <c r="C2747">
        <v>1217.5999999999999</v>
      </c>
      <c r="D2747">
        <v>1140</v>
      </c>
      <c r="E2747">
        <v>1159.8</v>
      </c>
      <c r="F2747">
        <v>1217.5999999999999</v>
      </c>
      <c r="G2747">
        <v>19980</v>
      </c>
      <c r="H2747" s="116"/>
      <c r="I2747" s="116"/>
      <c r="L2747" s="169">
        <v>46050</v>
      </c>
      <c r="M2747" s="116">
        <v>1219.9000000000001</v>
      </c>
      <c r="N2747" s="116">
        <v>1238</v>
      </c>
      <c r="O2747" s="116">
        <v>1139.5999999999999</v>
      </c>
      <c r="P2747" s="116">
        <v>1151.7</v>
      </c>
      <c r="Q2747" s="116">
        <v>1219.9000000000001</v>
      </c>
      <c r="R2747">
        <v>463711</v>
      </c>
    </row>
    <row r="2748" spans="1:18" x14ac:dyDescent="0.25">
      <c r="A2748" s="169">
        <v>46051</v>
      </c>
      <c r="B2748">
        <v>1225.5999999999999</v>
      </c>
      <c r="C2748">
        <v>1145.8499999999999</v>
      </c>
      <c r="D2748">
        <v>1133.6500000000001</v>
      </c>
      <c r="E2748">
        <v>1213.05</v>
      </c>
      <c r="F2748">
        <v>1145.8499999999999</v>
      </c>
      <c r="G2748">
        <v>27410</v>
      </c>
      <c r="H2748" s="116"/>
      <c r="I2748" s="116"/>
      <c r="L2748" s="169">
        <v>46051</v>
      </c>
      <c r="M2748" s="116">
        <v>1147.4000000000001</v>
      </c>
      <c r="N2748" s="116">
        <v>1230</v>
      </c>
      <c r="O2748" s="116">
        <v>1132</v>
      </c>
      <c r="P2748" s="116">
        <v>1229.5</v>
      </c>
      <c r="Q2748" s="116">
        <v>1147.4000000000001</v>
      </c>
      <c r="R2748">
        <v>428923</v>
      </c>
    </row>
    <row r="2749" spans="1:18" x14ac:dyDescent="0.25">
      <c r="A2749" s="169">
        <v>46052</v>
      </c>
      <c r="B2749">
        <v>1160.75</v>
      </c>
      <c r="C2749">
        <v>1117.75</v>
      </c>
      <c r="D2749">
        <v>1111.6500000000001</v>
      </c>
      <c r="E2749">
        <v>1131.75</v>
      </c>
      <c r="F2749">
        <v>1117.75</v>
      </c>
      <c r="G2749">
        <v>16709</v>
      </c>
      <c r="H2749" s="116"/>
      <c r="I2749" s="116"/>
      <c r="L2749" s="169">
        <v>46052</v>
      </c>
      <c r="M2749" s="116">
        <v>1117</v>
      </c>
      <c r="N2749" s="116">
        <v>1162.9000000000001</v>
      </c>
      <c r="O2749" s="116">
        <v>1109.5</v>
      </c>
      <c r="P2749" s="116">
        <v>1130</v>
      </c>
      <c r="Q2749" s="116">
        <v>1117</v>
      </c>
      <c r="R2749">
        <v>222094</v>
      </c>
    </row>
    <row r="2750" spans="1:18" x14ac:dyDescent="0.25">
      <c r="A2750" s="169">
        <v>46054</v>
      </c>
      <c r="B2750">
        <v>1140.55</v>
      </c>
      <c r="C2750">
        <v>1126.45</v>
      </c>
      <c r="D2750">
        <v>1113.25</v>
      </c>
      <c r="E2750">
        <v>1117.8</v>
      </c>
      <c r="F2750">
        <v>1126.45</v>
      </c>
      <c r="G2750">
        <v>10682</v>
      </c>
      <c r="H2750" s="116"/>
      <c r="I2750" s="116"/>
      <c r="L2750" s="169">
        <v>46054</v>
      </c>
      <c r="M2750" s="116">
        <v>1125.8</v>
      </c>
      <c r="N2750" s="116">
        <v>1141</v>
      </c>
      <c r="O2750" s="116">
        <v>1114</v>
      </c>
      <c r="P2750" s="116">
        <v>1128.7</v>
      </c>
      <c r="Q2750" s="116">
        <v>1125.8</v>
      </c>
      <c r="R2750">
        <v>98312</v>
      </c>
    </row>
    <row r="2751" spans="1:18" x14ac:dyDescent="0.25">
      <c r="A2751" s="169">
        <v>46055</v>
      </c>
      <c r="B2751">
        <v>1120</v>
      </c>
      <c r="C2751">
        <v>1088.1500000000001</v>
      </c>
      <c r="D2751">
        <v>1060.3499999999999</v>
      </c>
      <c r="E2751">
        <v>1120</v>
      </c>
      <c r="F2751">
        <v>1088.1500000000001</v>
      </c>
      <c r="G2751">
        <v>17426</v>
      </c>
      <c r="H2751" s="116"/>
      <c r="I2751" s="116"/>
      <c r="L2751" s="169">
        <v>46055</v>
      </c>
      <c r="M2751" s="116">
        <v>1088.3</v>
      </c>
      <c r="N2751" s="116">
        <v>1125.8</v>
      </c>
      <c r="O2751" s="116">
        <v>1060.0999999999999</v>
      </c>
      <c r="P2751" s="116">
        <v>1125.8</v>
      </c>
      <c r="Q2751" s="116">
        <v>1088.3</v>
      </c>
      <c r="R2751">
        <v>185304</v>
      </c>
    </row>
    <row r="2752" spans="1:18" x14ac:dyDescent="0.25">
      <c r="A2752" s="169">
        <v>46056</v>
      </c>
      <c r="B2752">
        <v>1173.75</v>
      </c>
      <c r="C2752">
        <v>1141.2</v>
      </c>
      <c r="D2752">
        <v>1118.5999999999999</v>
      </c>
      <c r="E2752">
        <v>1173.75</v>
      </c>
      <c r="F2752">
        <v>1141.2</v>
      </c>
      <c r="G2752">
        <v>11326</v>
      </c>
      <c r="H2752" s="116"/>
      <c r="I2752" s="116"/>
      <c r="L2752" s="169">
        <v>46056</v>
      </c>
      <c r="M2752" s="116">
        <v>1141.4000000000001</v>
      </c>
      <c r="N2752" s="116">
        <v>1169.9000000000001</v>
      </c>
      <c r="O2752" s="116">
        <v>1118.0999999999999</v>
      </c>
      <c r="P2752" s="116">
        <v>1150</v>
      </c>
      <c r="Q2752" s="116">
        <v>1141.4000000000001</v>
      </c>
      <c r="R2752">
        <v>181142</v>
      </c>
    </row>
    <row r="2753" spans="1:18" x14ac:dyDescent="0.25">
      <c r="A2753" s="169">
        <v>46057</v>
      </c>
      <c r="B2753">
        <v>1153</v>
      </c>
      <c r="C2753">
        <v>1146.9000000000001</v>
      </c>
      <c r="D2753">
        <v>1123</v>
      </c>
      <c r="E2753">
        <v>1140.95</v>
      </c>
      <c r="F2753">
        <v>1146.9000000000001</v>
      </c>
      <c r="G2753">
        <v>6887</v>
      </c>
      <c r="H2753" s="116"/>
      <c r="I2753" s="116"/>
      <c r="L2753" s="169">
        <v>46057</v>
      </c>
      <c r="M2753" s="116">
        <v>1146.5999999999999</v>
      </c>
      <c r="N2753" s="116">
        <v>1150</v>
      </c>
      <c r="O2753" s="116">
        <v>1121</v>
      </c>
      <c r="P2753" s="116">
        <v>1140.3</v>
      </c>
      <c r="Q2753" s="116">
        <v>1146.5999999999999</v>
      </c>
      <c r="R2753">
        <v>92847</v>
      </c>
    </row>
    <row r="2754" spans="1:18" x14ac:dyDescent="0.25">
      <c r="A2754" s="169">
        <v>46058</v>
      </c>
      <c r="B2754">
        <v>1144.2</v>
      </c>
      <c r="C2754">
        <v>1105.7</v>
      </c>
      <c r="D2754">
        <v>1100</v>
      </c>
      <c r="E2754">
        <v>1133</v>
      </c>
      <c r="F2754">
        <v>1105.7</v>
      </c>
      <c r="G2754">
        <v>5356</v>
      </c>
      <c r="H2754" s="116"/>
      <c r="I2754" s="116"/>
      <c r="L2754" s="169">
        <v>46058</v>
      </c>
      <c r="M2754" s="116">
        <v>1105.2</v>
      </c>
      <c r="N2754" s="116">
        <v>1151</v>
      </c>
      <c r="O2754" s="116">
        <v>1098.0999999999999</v>
      </c>
      <c r="P2754" s="116">
        <v>1151</v>
      </c>
      <c r="Q2754" s="116">
        <v>1105.2</v>
      </c>
      <c r="R2754">
        <v>99095</v>
      </c>
    </row>
    <row r="2755" spans="1:18" x14ac:dyDescent="0.25">
      <c r="A2755" s="169">
        <v>46059</v>
      </c>
      <c r="B2755">
        <v>1132.4000000000001</v>
      </c>
      <c r="C2755">
        <v>1124.5</v>
      </c>
      <c r="D2755">
        <v>1092.0999999999999</v>
      </c>
      <c r="E2755">
        <v>1105.8</v>
      </c>
      <c r="F2755">
        <v>1124.5</v>
      </c>
      <c r="G2755">
        <v>6916</v>
      </c>
      <c r="H2755" s="116"/>
      <c r="I2755" s="116"/>
      <c r="L2755" s="169">
        <v>46059</v>
      </c>
      <c r="M2755" s="116">
        <v>1125.4000000000001</v>
      </c>
      <c r="N2755" s="116">
        <v>1133</v>
      </c>
      <c r="O2755" s="116">
        <v>1090.7</v>
      </c>
      <c r="P2755" s="116">
        <v>1104.9000000000001</v>
      </c>
      <c r="Q2755" s="116">
        <v>1125.4000000000001</v>
      </c>
      <c r="R2755">
        <v>148701</v>
      </c>
    </row>
    <row r="2756" spans="1:18" x14ac:dyDescent="0.25">
      <c r="A2756" s="169">
        <v>46062</v>
      </c>
      <c r="B2756">
        <v>1160</v>
      </c>
      <c r="C2756">
        <v>1156.25</v>
      </c>
      <c r="D2756">
        <v>1127.1500000000001</v>
      </c>
      <c r="E2756">
        <v>1146.9000000000001</v>
      </c>
      <c r="F2756">
        <v>1156.25</v>
      </c>
      <c r="G2756">
        <v>5751</v>
      </c>
      <c r="H2756" s="116"/>
      <c r="I2756" s="116"/>
      <c r="L2756" s="169">
        <v>46062</v>
      </c>
      <c r="M2756" s="116">
        <v>1154.8</v>
      </c>
      <c r="N2756" s="116">
        <v>1162</v>
      </c>
      <c r="O2756" s="116">
        <v>1126.8</v>
      </c>
      <c r="P2756" s="116">
        <v>1139</v>
      </c>
      <c r="Q2756" s="116">
        <v>1154.8</v>
      </c>
      <c r="R2756">
        <v>104757</v>
      </c>
    </row>
    <row r="2757" spans="1:18" x14ac:dyDescent="0.25">
      <c r="A2757" s="169">
        <v>46063</v>
      </c>
      <c r="B2757">
        <v>1180.3499999999999</v>
      </c>
      <c r="C2757">
        <v>1121.05</v>
      </c>
      <c r="D2757">
        <v>1109.95</v>
      </c>
      <c r="E2757">
        <v>1156.2</v>
      </c>
      <c r="F2757">
        <v>1121.05</v>
      </c>
      <c r="G2757">
        <v>10829</v>
      </c>
      <c r="H2757" s="116"/>
      <c r="I2757" s="116"/>
      <c r="L2757" s="169">
        <v>46063</v>
      </c>
      <c r="M2757" s="116">
        <v>1125.7</v>
      </c>
      <c r="N2757" s="116">
        <v>1182.9000000000001</v>
      </c>
      <c r="O2757" s="116">
        <v>1100.0999999999999</v>
      </c>
      <c r="P2757" s="116">
        <v>1161</v>
      </c>
      <c r="Q2757" s="116">
        <v>1125.7</v>
      </c>
      <c r="R2757">
        <v>190043</v>
      </c>
    </row>
    <row r="2758" spans="1:18" x14ac:dyDescent="0.25">
      <c r="A2758" s="169">
        <v>46064</v>
      </c>
      <c r="B2758">
        <v>1136.0999999999999</v>
      </c>
      <c r="C2758">
        <v>1112.6500000000001</v>
      </c>
      <c r="D2758">
        <v>1110.5999999999999</v>
      </c>
      <c r="E2758">
        <v>1130.05</v>
      </c>
      <c r="F2758">
        <v>1112.6500000000001</v>
      </c>
      <c r="G2758">
        <v>4762</v>
      </c>
      <c r="H2758" s="116"/>
      <c r="I2758" s="116"/>
      <c r="L2758" s="169">
        <v>46064</v>
      </c>
      <c r="M2758" s="116">
        <v>1112.5</v>
      </c>
      <c r="N2758" s="116">
        <v>1135.4000000000001</v>
      </c>
      <c r="O2758" s="116">
        <v>1109.2</v>
      </c>
      <c r="P2758" s="116">
        <v>1135</v>
      </c>
      <c r="Q2758" s="116">
        <v>1112.5</v>
      </c>
      <c r="R2758">
        <v>68049</v>
      </c>
    </row>
    <row r="2759" spans="1:18" x14ac:dyDescent="0.25">
      <c r="A2759" s="169">
        <v>46065</v>
      </c>
      <c r="B2759">
        <v>1114.7</v>
      </c>
      <c r="C2759">
        <v>1107.45</v>
      </c>
      <c r="D2759">
        <v>1097.5</v>
      </c>
      <c r="E2759">
        <v>1100.1500000000001</v>
      </c>
      <c r="F2759">
        <v>1107.45</v>
      </c>
      <c r="G2759">
        <v>3221</v>
      </c>
      <c r="H2759" s="116"/>
      <c r="I2759" s="116"/>
      <c r="L2759" s="169">
        <v>46065</v>
      </c>
      <c r="M2759" s="116">
        <v>1105.2</v>
      </c>
      <c r="N2759" s="116">
        <v>1114.4000000000001</v>
      </c>
      <c r="O2759" s="116">
        <v>1096.5</v>
      </c>
      <c r="P2759" s="116">
        <v>1111.9000000000001</v>
      </c>
      <c r="Q2759" s="116">
        <v>1105.2</v>
      </c>
      <c r="R2759">
        <v>70959</v>
      </c>
    </row>
    <row r="2760" spans="1:18" x14ac:dyDescent="0.25">
      <c r="A2760" s="169">
        <v>46066</v>
      </c>
      <c r="B2760">
        <v>1091.45</v>
      </c>
      <c r="C2760">
        <v>1078.6500000000001</v>
      </c>
      <c r="D2760">
        <v>1065</v>
      </c>
      <c r="E2760">
        <v>1089</v>
      </c>
      <c r="F2760">
        <v>1078.6500000000001</v>
      </c>
      <c r="G2760">
        <v>3171</v>
      </c>
      <c r="H2760" s="116"/>
      <c r="I2760" s="116"/>
      <c r="L2760" s="169">
        <v>46066</v>
      </c>
      <c r="M2760" s="116">
        <v>1079.0999999999999</v>
      </c>
      <c r="N2760" s="116">
        <v>1093.9000000000001</v>
      </c>
      <c r="O2760" s="116">
        <v>1064</v>
      </c>
      <c r="P2760" s="116">
        <v>1093.9000000000001</v>
      </c>
      <c r="Q2760" s="116">
        <v>1079.0999999999999</v>
      </c>
      <c r="R2760">
        <v>78542</v>
      </c>
    </row>
    <row r="2761" spans="1:18" x14ac:dyDescent="0.25">
      <c r="A2761" s="169">
        <v>46069</v>
      </c>
      <c r="B2761">
        <v>1100.5</v>
      </c>
      <c r="C2761">
        <v>1091.1500000000001</v>
      </c>
      <c r="D2761">
        <v>1063</v>
      </c>
      <c r="E2761">
        <v>1078.6500000000001</v>
      </c>
      <c r="F2761">
        <v>1091.1500000000001</v>
      </c>
      <c r="G2761">
        <v>9782</v>
      </c>
      <c r="H2761" s="116"/>
      <c r="I2761" s="116"/>
      <c r="L2761" s="169">
        <v>46069</v>
      </c>
      <c r="M2761" s="116">
        <v>1092</v>
      </c>
      <c r="N2761" s="116">
        <v>1104</v>
      </c>
      <c r="O2761" s="116">
        <v>1061.5999999999999</v>
      </c>
      <c r="P2761" s="116">
        <v>1073.8</v>
      </c>
      <c r="Q2761" s="116">
        <v>1092</v>
      </c>
      <c r="R2761">
        <v>94573</v>
      </c>
    </row>
    <row r="2762" spans="1:18" x14ac:dyDescent="0.25">
      <c r="A2762" s="169">
        <v>46070</v>
      </c>
      <c r="B2762">
        <v>1116</v>
      </c>
      <c r="C2762">
        <v>1106.3499999999999</v>
      </c>
      <c r="D2762">
        <v>1086.5999999999999</v>
      </c>
      <c r="E2762">
        <v>1091.2</v>
      </c>
      <c r="F2762">
        <v>1106.3499999999999</v>
      </c>
      <c r="G2762">
        <v>3931</v>
      </c>
      <c r="H2762" s="116"/>
      <c r="I2762" s="116"/>
      <c r="L2762" s="169">
        <v>46070</v>
      </c>
      <c r="M2762" s="116">
        <v>1107.2</v>
      </c>
      <c r="N2762" s="116">
        <v>1116.5</v>
      </c>
      <c r="O2762" s="116">
        <v>1086.5</v>
      </c>
      <c r="P2762" s="116">
        <v>1092</v>
      </c>
      <c r="Q2762" s="116">
        <v>1107.2</v>
      </c>
      <c r="R2762">
        <v>63977</v>
      </c>
    </row>
    <row r="2763" spans="1:18" x14ac:dyDescent="0.25">
      <c r="A2763" s="169">
        <v>46071</v>
      </c>
      <c r="B2763">
        <v>1121.95</v>
      </c>
      <c r="C2763">
        <v>1101.5</v>
      </c>
      <c r="D2763">
        <v>1100.55</v>
      </c>
      <c r="E2763">
        <v>1106</v>
      </c>
      <c r="F2763">
        <v>1101.5</v>
      </c>
      <c r="G2763">
        <v>1243</v>
      </c>
      <c r="H2763" s="116"/>
      <c r="I2763" s="116"/>
      <c r="L2763" s="169">
        <v>46071</v>
      </c>
      <c r="M2763" s="116">
        <v>1103.8</v>
      </c>
      <c r="N2763" s="116">
        <v>1123.5</v>
      </c>
      <c r="O2763" s="116">
        <v>1101</v>
      </c>
      <c r="P2763" s="116">
        <v>1106.9000000000001</v>
      </c>
      <c r="Q2763" s="116">
        <v>1103.8</v>
      </c>
      <c r="R2763">
        <v>47635</v>
      </c>
    </row>
    <row r="2764" spans="1:18" x14ac:dyDescent="0.25">
      <c r="A2764" s="169">
        <v>46072</v>
      </c>
      <c r="B2764">
        <v>1133.55</v>
      </c>
      <c r="C2764">
        <v>1102.4000000000001</v>
      </c>
      <c r="D2764">
        <v>1092.45</v>
      </c>
      <c r="E2764">
        <v>1092.45</v>
      </c>
      <c r="F2764">
        <v>1102.4000000000001</v>
      </c>
      <c r="G2764">
        <v>4884</v>
      </c>
      <c r="H2764" s="116"/>
      <c r="I2764" s="116"/>
      <c r="L2764" s="169">
        <v>46072</v>
      </c>
      <c r="M2764" s="116">
        <v>1100.5999999999999</v>
      </c>
      <c r="N2764" s="116">
        <v>1134.8</v>
      </c>
      <c r="O2764" s="116">
        <v>1093.5999999999999</v>
      </c>
      <c r="P2764" s="116">
        <v>1101</v>
      </c>
      <c r="Q2764" s="116">
        <v>1100.5999999999999</v>
      </c>
      <c r="R2764">
        <v>101559</v>
      </c>
    </row>
    <row r="2765" spans="1:18" x14ac:dyDescent="0.25">
      <c r="A2765" s="169">
        <v>46073</v>
      </c>
      <c r="B2765">
        <v>1095</v>
      </c>
      <c r="C2765">
        <v>1090.3</v>
      </c>
      <c r="D2765">
        <v>1077.9000000000001</v>
      </c>
      <c r="E2765">
        <v>1095</v>
      </c>
      <c r="F2765">
        <v>1090.3</v>
      </c>
      <c r="G2765">
        <v>2290</v>
      </c>
      <c r="H2765" s="116"/>
      <c r="I2765" s="116"/>
      <c r="L2765" s="169">
        <v>46073</v>
      </c>
      <c r="M2765" s="116">
        <v>1089</v>
      </c>
      <c r="N2765" s="116">
        <v>1096.0999999999999</v>
      </c>
      <c r="O2765" s="116">
        <v>1078.5</v>
      </c>
      <c r="P2765" s="116">
        <v>1096.0999999999999</v>
      </c>
      <c r="Q2765" s="116">
        <v>1089</v>
      </c>
      <c r="R2765">
        <v>51778</v>
      </c>
    </row>
    <row r="2766" spans="1:18" x14ac:dyDescent="0.25">
      <c r="A2766" s="169">
        <v>46076</v>
      </c>
      <c r="B2766">
        <v>1095.5</v>
      </c>
      <c r="C2766">
        <v>1076.3499999999999</v>
      </c>
      <c r="D2766">
        <v>1072.1500000000001</v>
      </c>
      <c r="E2766">
        <v>1088</v>
      </c>
      <c r="F2766">
        <v>1076.3499999999999</v>
      </c>
      <c r="G2766">
        <v>1727</v>
      </c>
      <c r="H2766" s="116"/>
      <c r="I2766" s="116"/>
      <c r="L2766" s="169">
        <v>46076</v>
      </c>
      <c r="M2766" s="116">
        <v>1074.8</v>
      </c>
      <c r="N2766" s="116">
        <v>1096.7</v>
      </c>
      <c r="O2766" s="116">
        <v>1070.0999999999999</v>
      </c>
      <c r="P2766" s="116">
        <v>1081.0999999999999</v>
      </c>
      <c r="Q2766" s="116">
        <v>1074.8</v>
      </c>
      <c r="R2766">
        <v>61887</v>
      </c>
    </row>
    <row r="2767" spans="1:18" x14ac:dyDescent="0.25">
      <c r="A2767" s="169">
        <v>46077</v>
      </c>
      <c r="B2767">
        <v>1089</v>
      </c>
      <c r="C2767">
        <v>1076.7</v>
      </c>
      <c r="D2767">
        <v>1062.05</v>
      </c>
      <c r="E2767">
        <v>1062.05</v>
      </c>
      <c r="F2767">
        <v>1076.7</v>
      </c>
      <c r="G2767">
        <v>4851</v>
      </c>
      <c r="H2767" s="116"/>
      <c r="I2767" s="116"/>
      <c r="L2767" s="169">
        <v>46077</v>
      </c>
      <c r="M2767" s="116">
        <v>1082.0999999999999</v>
      </c>
      <c r="N2767" s="116">
        <v>1088.8</v>
      </c>
      <c r="O2767" s="116">
        <v>1066</v>
      </c>
      <c r="P2767" s="116">
        <v>1075.0999999999999</v>
      </c>
      <c r="Q2767" s="116">
        <v>1082.0999999999999</v>
      </c>
      <c r="R2767">
        <v>64490</v>
      </c>
    </row>
    <row r="2768" spans="1:18" x14ac:dyDescent="0.25">
      <c r="A2768" s="169">
        <v>46078</v>
      </c>
      <c r="B2768">
        <v>1120</v>
      </c>
      <c r="C2768">
        <v>1103.6500000000001</v>
      </c>
      <c r="D2768">
        <v>1077.05</v>
      </c>
      <c r="E2768">
        <v>1077.05</v>
      </c>
      <c r="F2768">
        <v>1103.6500000000001</v>
      </c>
      <c r="G2768">
        <v>5370</v>
      </c>
      <c r="H2768" s="116"/>
      <c r="I2768" s="116"/>
      <c r="L2768" s="169">
        <v>46078</v>
      </c>
      <c r="M2768" s="116">
        <v>1101.8</v>
      </c>
      <c r="N2768" s="116">
        <v>1122.5</v>
      </c>
      <c r="O2768" s="116">
        <v>1078.8</v>
      </c>
      <c r="P2768" s="116">
        <v>1088</v>
      </c>
      <c r="Q2768" s="116">
        <v>1101.8</v>
      </c>
      <c r="R2768">
        <v>97195</v>
      </c>
    </row>
    <row r="2769" spans="1:18" x14ac:dyDescent="0.25">
      <c r="A2769" s="169">
        <v>46079</v>
      </c>
      <c r="B2769">
        <v>1111.45</v>
      </c>
      <c r="C2769">
        <v>1091.0999999999999</v>
      </c>
      <c r="D2769">
        <v>1084.6500000000001</v>
      </c>
      <c r="E2769">
        <v>1103.7</v>
      </c>
      <c r="F2769">
        <v>1091.0999999999999</v>
      </c>
      <c r="G2769">
        <v>4044</v>
      </c>
      <c r="H2769" s="116"/>
      <c r="I2769" s="116"/>
      <c r="L2769" s="169">
        <v>46079</v>
      </c>
      <c r="M2769" s="116">
        <v>1088.5999999999999</v>
      </c>
      <c r="N2769" s="116">
        <v>1112.0999999999999</v>
      </c>
      <c r="O2769" s="116">
        <v>1083.7</v>
      </c>
      <c r="P2769" s="116">
        <v>1104</v>
      </c>
      <c r="Q2769" s="116">
        <v>1088.5999999999999</v>
      </c>
      <c r="R2769">
        <v>43637</v>
      </c>
    </row>
    <row r="2770" spans="1:18" x14ac:dyDescent="0.25">
      <c r="A2770" s="169">
        <v>46080</v>
      </c>
      <c r="B2770">
        <v>1103.25</v>
      </c>
      <c r="C2770">
        <v>1089.1500000000001</v>
      </c>
      <c r="D2770">
        <v>1079.95</v>
      </c>
      <c r="E2770">
        <v>1079.95</v>
      </c>
      <c r="F2770">
        <v>1089.1500000000001</v>
      </c>
      <c r="G2770">
        <v>5389</v>
      </c>
      <c r="H2770" s="116"/>
      <c r="I2770" s="116"/>
      <c r="L2770" s="169">
        <v>46080</v>
      </c>
      <c r="M2770" s="116">
        <v>1087.4000000000001</v>
      </c>
      <c r="N2770" s="116">
        <v>1104.5999999999999</v>
      </c>
      <c r="O2770" s="116">
        <v>1078.9000000000001</v>
      </c>
      <c r="P2770" s="116">
        <v>1085</v>
      </c>
      <c r="Q2770" s="116">
        <v>1087.4000000000001</v>
      </c>
      <c r="R2770">
        <v>56770</v>
      </c>
    </row>
    <row r="2771" spans="1:18" x14ac:dyDescent="0.25">
      <c r="A2771" s="169">
        <v>46083</v>
      </c>
      <c r="B2771">
        <v>1082.8</v>
      </c>
      <c r="C2771">
        <v>1067.1500000000001</v>
      </c>
      <c r="D2771">
        <v>905.15</v>
      </c>
      <c r="E2771">
        <v>905.15</v>
      </c>
      <c r="F2771">
        <v>1067.1500000000001</v>
      </c>
      <c r="G2771">
        <v>4249</v>
      </c>
      <c r="H2771" s="116"/>
      <c r="I2771" s="116"/>
      <c r="L2771" s="169">
        <v>46083</v>
      </c>
      <c r="M2771" s="116">
        <v>1067</v>
      </c>
      <c r="N2771" s="116">
        <v>1084</v>
      </c>
      <c r="O2771" s="116">
        <v>1038.3</v>
      </c>
      <c r="P2771" s="116">
        <v>1038.3</v>
      </c>
      <c r="Q2771" s="116">
        <v>1067</v>
      </c>
      <c r="R2771">
        <v>57639</v>
      </c>
    </row>
    <row r="2772" spans="1:18" x14ac:dyDescent="0.25">
      <c r="A2772" s="169">
        <v>46085</v>
      </c>
      <c r="B2772">
        <v>1067.3</v>
      </c>
      <c r="C2772">
        <v>1054</v>
      </c>
      <c r="D2772">
        <v>1039</v>
      </c>
      <c r="E2772">
        <v>1050</v>
      </c>
      <c r="F2772">
        <v>1054</v>
      </c>
      <c r="G2772">
        <v>3329</v>
      </c>
      <c r="H2772" s="116"/>
      <c r="I2772" s="116"/>
      <c r="L2772" s="169">
        <v>46085</v>
      </c>
      <c r="M2772" s="116">
        <v>1054.4000000000001</v>
      </c>
      <c r="N2772" s="116">
        <v>1073.5</v>
      </c>
      <c r="O2772" s="116">
        <v>1038</v>
      </c>
      <c r="P2772" s="116">
        <v>1047</v>
      </c>
      <c r="Q2772" s="116">
        <v>1054.4000000000001</v>
      </c>
      <c r="R2772">
        <v>48722</v>
      </c>
    </row>
    <row r="2773" spans="1:18" x14ac:dyDescent="0.25">
      <c r="A2773" s="169">
        <v>46086</v>
      </c>
      <c r="B2773">
        <v>1075.2</v>
      </c>
      <c r="C2773">
        <v>1072.5999999999999</v>
      </c>
      <c r="D2773">
        <v>1044.7</v>
      </c>
      <c r="E2773">
        <v>1046</v>
      </c>
      <c r="F2773">
        <v>1072.5999999999999</v>
      </c>
      <c r="G2773">
        <v>3226</v>
      </c>
      <c r="H2773" s="116"/>
      <c r="I2773" s="116"/>
      <c r="L2773" s="169">
        <v>46086</v>
      </c>
      <c r="M2773" s="116">
        <v>1071.4000000000001</v>
      </c>
      <c r="N2773" s="116">
        <v>1076.3</v>
      </c>
      <c r="O2773" s="116">
        <v>1045.3</v>
      </c>
      <c r="P2773" s="116">
        <v>1054.4000000000001</v>
      </c>
      <c r="Q2773" s="116">
        <v>1071.4000000000001</v>
      </c>
      <c r="R2773">
        <v>60612</v>
      </c>
    </row>
    <row r="2774" spans="1:18" x14ac:dyDescent="0.25">
      <c r="A2774" s="169">
        <v>46087</v>
      </c>
      <c r="B2774">
        <v>1077.6500000000001</v>
      </c>
      <c r="C2774">
        <v>1044.8</v>
      </c>
      <c r="D2774">
        <v>1040</v>
      </c>
      <c r="E2774">
        <v>1072.55</v>
      </c>
      <c r="F2774">
        <v>1044.8</v>
      </c>
      <c r="G2774">
        <v>3352</v>
      </c>
      <c r="H2774" s="116"/>
      <c r="I2774" s="116"/>
      <c r="L2774" s="169">
        <v>46087</v>
      </c>
      <c r="M2774" s="116">
        <v>1044.4000000000001</v>
      </c>
      <c r="N2774" s="116">
        <v>1077</v>
      </c>
      <c r="O2774" s="116">
        <v>1036.5</v>
      </c>
      <c r="P2774" s="116">
        <v>1066</v>
      </c>
      <c r="Q2774" s="116">
        <v>1044.4000000000001</v>
      </c>
      <c r="R2774">
        <v>44765</v>
      </c>
    </row>
    <row r="2775" spans="1:18" x14ac:dyDescent="0.25">
      <c r="A2775" s="169">
        <v>46090</v>
      </c>
      <c r="B2775">
        <v>1034.3499999999999</v>
      </c>
      <c r="C2775">
        <v>1003.7</v>
      </c>
      <c r="D2775">
        <v>996</v>
      </c>
      <c r="E2775">
        <v>1025.1500000000001</v>
      </c>
      <c r="F2775">
        <v>1003.7</v>
      </c>
      <c r="G2775">
        <v>4959</v>
      </c>
      <c r="H2775" s="116"/>
      <c r="I2775" s="116"/>
      <c r="L2775" s="169">
        <v>46090</v>
      </c>
      <c r="M2775" s="116">
        <v>1003.6</v>
      </c>
      <c r="N2775" s="116">
        <v>1035</v>
      </c>
      <c r="O2775" s="116">
        <v>994</v>
      </c>
      <c r="P2775" s="116">
        <v>1030</v>
      </c>
      <c r="Q2775" s="116">
        <v>1003.6</v>
      </c>
      <c r="R2775">
        <v>90936</v>
      </c>
    </row>
    <row r="2776" spans="1:18" x14ac:dyDescent="0.25">
      <c r="A2776" s="169">
        <v>46091</v>
      </c>
      <c r="B2776">
        <v>1039.95</v>
      </c>
      <c r="C2776">
        <v>1026.95</v>
      </c>
      <c r="D2776">
        <v>1010</v>
      </c>
      <c r="E2776">
        <v>1010</v>
      </c>
      <c r="F2776">
        <v>1026.95</v>
      </c>
      <c r="G2776">
        <v>3218</v>
      </c>
      <c r="H2776" s="116"/>
      <c r="I2776" s="116"/>
      <c r="L2776" s="169">
        <v>46091</v>
      </c>
      <c r="M2776" s="116">
        <v>1027.4000000000001</v>
      </c>
      <c r="N2776" s="116">
        <v>1050</v>
      </c>
      <c r="O2776" s="116">
        <v>1010.8</v>
      </c>
      <c r="P2776" s="116">
        <v>1010.8</v>
      </c>
      <c r="Q2776" s="116">
        <v>1027.4000000000001</v>
      </c>
      <c r="R2776">
        <v>58809</v>
      </c>
    </row>
    <row r="2777" spans="1:18" x14ac:dyDescent="0.25">
      <c r="A2777" s="169">
        <v>46092</v>
      </c>
      <c r="B2777">
        <v>1063.75</v>
      </c>
      <c r="C2777">
        <v>1042.7</v>
      </c>
      <c r="D2777">
        <v>1027</v>
      </c>
      <c r="E2777">
        <v>1032</v>
      </c>
      <c r="F2777">
        <v>1042.7</v>
      </c>
      <c r="G2777">
        <v>6118</v>
      </c>
      <c r="H2777" s="116"/>
      <c r="I2777" s="116"/>
      <c r="L2777" s="169">
        <v>46092</v>
      </c>
      <c r="M2777" s="116">
        <v>1047.9000000000001</v>
      </c>
      <c r="N2777" s="116">
        <v>1066</v>
      </c>
      <c r="O2777" s="116">
        <v>1027</v>
      </c>
      <c r="P2777" s="116">
        <v>1035</v>
      </c>
      <c r="Q2777" s="116">
        <v>1047.9000000000001</v>
      </c>
      <c r="R2777">
        <v>86741</v>
      </c>
    </row>
    <row r="2778" spans="1:18" x14ac:dyDescent="0.25">
      <c r="A2778" s="169">
        <v>46093</v>
      </c>
      <c r="B2778">
        <v>1047.9000000000001</v>
      </c>
      <c r="C2778">
        <v>1033.3499999999999</v>
      </c>
      <c r="D2778">
        <v>1002.6</v>
      </c>
      <c r="E2778">
        <v>1042.6500000000001</v>
      </c>
      <c r="F2778">
        <v>1033.3499999999999</v>
      </c>
      <c r="G2778">
        <v>4343</v>
      </c>
      <c r="H2778" s="116"/>
      <c r="I2778" s="116"/>
      <c r="L2778" s="169">
        <v>46093</v>
      </c>
      <c r="M2778" s="116">
        <v>1035</v>
      </c>
      <c r="N2778" s="116">
        <v>1049.4000000000001</v>
      </c>
      <c r="O2778" s="116">
        <v>1002.4</v>
      </c>
      <c r="P2778" s="116">
        <v>1040</v>
      </c>
      <c r="Q2778" s="116">
        <v>1035</v>
      </c>
      <c r="R2778">
        <v>90442</v>
      </c>
    </row>
    <row r="2779" spans="1:18" x14ac:dyDescent="0.25">
      <c r="A2779" s="169">
        <v>46094</v>
      </c>
      <c r="B2779">
        <v>1020.25</v>
      </c>
      <c r="C2779">
        <v>999.75</v>
      </c>
      <c r="D2779">
        <v>986.15</v>
      </c>
      <c r="E2779">
        <v>1014.25</v>
      </c>
      <c r="F2779">
        <v>999.75</v>
      </c>
      <c r="G2779">
        <v>15470</v>
      </c>
      <c r="H2779" s="116"/>
      <c r="I2779" s="116"/>
      <c r="L2779" s="169">
        <v>46094</v>
      </c>
      <c r="M2779" s="116">
        <v>1000.9</v>
      </c>
      <c r="N2779" s="116">
        <v>1022</v>
      </c>
      <c r="O2779" s="116">
        <v>989</v>
      </c>
      <c r="P2779" s="116">
        <v>999</v>
      </c>
      <c r="Q2779" s="116">
        <v>1000.9</v>
      </c>
      <c r="R2779">
        <v>207948</v>
      </c>
    </row>
    <row r="2780" spans="1:18" x14ac:dyDescent="0.25">
      <c r="A2780" s="169">
        <v>46097</v>
      </c>
      <c r="B2780">
        <v>1023.6</v>
      </c>
      <c r="C2780">
        <v>1012.3</v>
      </c>
      <c r="D2780">
        <v>977.95</v>
      </c>
      <c r="E2780">
        <v>981.8</v>
      </c>
      <c r="F2780">
        <v>1012.3</v>
      </c>
      <c r="G2780">
        <v>5653</v>
      </c>
      <c r="H2780" s="116"/>
      <c r="I2780" s="116"/>
      <c r="L2780" s="169">
        <v>46097</v>
      </c>
      <c r="M2780" s="116">
        <v>1013.3</v>
      </c>
      <c r="N2780" s="116">
        <v>1022</v>
      </c>
      <c r="O2780" s="116">
        <v>976.5</v>
      </c>
      <c r="P2780" s="116">
        <v>1000.9</v>
      </c>
      <c r="Q2780" s="116">
        <v>1013.3</v>
      </c>
      <c r="R2780">
        <v>132834</v>
      </c>
    </row>
    <row r="2781" spans="1:18" x14ac:dyDescent="0.25">
      <c r="A2781" s="169">
        <v>46098</v>
      </c>
      <c r="B2781">
        <v>1018.85</v>
      </c>
      <c r="C2781">
        <v>999.6</v>
      </c>
      <c r="D2781">
        <v>993.1</v>
      </c>
      <c r="E2781">
        <v>1011.95</v>
      </c>
      <c r="F2781">
        <v>999.6</v>
      </c>
      <c r="G2781">
        <v>3903</v>
      </c>
      <c r="H2781" s="116"/>
      <c r="I2781" s="116"/>
      <c r="L2781" s="169">
        <v>46098</v>
      </c>
      <c r="M2781" s="116">
        <v>1000.4</v>
      </c>
      <c r="N2781" s="116">
        <v>1018.2</v>
      </c>
      <c r="O2781" s="116">
        <v>992</v>
      </c>
      <c r="P2781" s="116">
        <v>1000</v>
      </c>
      <c r="Q2781" s="116">
        <v>1000.4</v>
      </c>
      <c r="R2781">
        <v>67783</v>
      </c>
    </row>
    <row r="2782" spans="1:18" x14ac:dyDescent="0.25">
      <c r="A2782" s="169">
        <v>46099</v>
      </c>
      <c r="B2782">
        <v>1082.6500000000001</v>
      </c>
      <c r="C2782">
        <v>1065</v>
      </c>
      <c r="D2782">
        <v>999.6</v>
      </c>
      <c r="E2782">
        <v>999.6</v>
      </c>
      <c r="F2782">
        <v>1065</v>
      </c>
      <c r="G2782">
        <v>17820</v>
      </c>
      <c r="H2782" s="116"/>
      <c r="I2782" s="116"/>
      <c r="L2782" s="169">
        <v>46099</v>
      </c>
      <c r="M2782" s="116">
        <v>1067.7</v>
      </c>
      <c r="N2782" s="116">
        <v>1081.5</v>
      </c>
      <c r="O2782" s="116">
        <v>998.6</v>
      </c>
      <c r="P2782" s="116">
        <v>1010</v>
      </c>
      <c r="Q2782" s="116">
        <v>1067.7</v>
      </c>
      <c r="R2782">
        <v>181953</v>
      </c>
    </row>
    <row r="2783" spans="1:18" x14ac:dyDescent="0.25">
      <c r="A2783" s="169">
        <v>46100</v>
      </c>
      <c r="B2783">
        <v>1055.95</v>
      </c>
      <c r="C2783">
        <v>1028.6500000000001</v>
      </c>
      <c r="D2783">
        <v>1011.25</v>
      </c>
      <c r="E2783">
        <v>1055.95</v>
      </c>
      <c r="F2783">
        <v>1028.6500000000001</v>
      </c>
      <c r="G2783">
        <v>4169</v>
      </c>
      <c r="H2783" s="116"/>
      <c r="I2783" s="116"/>
      <c r="L2783" s="169">
        <v>46100</v>
      </c>
      <c r="M2783" s="116">
        <v>1018.4</v>
      </c>
      <c r="N2783" s="116">
        <v>1054.0999999999999</v>
      </c>
      <c r="O2783" s="116">
        <v>1011</v>
      </c>
      <c r="P2783" s="116">
        <v>1050</v>
      </c>
      <c r="Q2783" s="116">
        <v>1018.4</v>
      </c>
      <c r="R2783">
        <v>60843</v>
      </c>
    </row>
    <row r="2784" spans="1:18" x14ac:dyDescent="0.25">
      <c r="A2784" s="169">
        <v>46101</v>
      </c>
      <c r="B2784">
        <v>1077.7</v>
      </c>
      <c r="C2784">
        <v>1067.8</v>
      </c>
      <c r="D2784">
        <v>1024.75</v>
      </c>
      <c r="E2784">
        <v>1028</v>
      </c>
      <c r="F2784">
        <v>1067.8</v>
      </c>
      <c r="G2784">
        <v>16667</v>
      </c>
      <c r="H2784" s="116"/>
      <c r="I2784" s="116"/>
      <c r="L2784" s="169">
        <v>46101</v>
      </c>
      <c r="M2784" s="116">
        <v>1067.0999999999999</v>
      </c>
      <c r="N2784" s="116">
        <v>1079</v>
      </c>
      <c r="O2784" s="116">
        <v>1021.3</v>
      </c>
      <c r="P2784" s="116">
        <v>1022.8</v>
      </c>
      <c r="Q2784" s="116">
        <v>1067.0999999999999</v>
      </c>
      <c r="R2784">
        <v>141807</v>
      </c>
    </row>
    <row r="2785" spans="1:18" x14ac:dyDescent="0.25">
      <c r="A2785" s="169">
        <v>46104</v>
      </c>
      <c r="B2785">
        <v>1049.95</v>
      </c>
      <c r="C2785">
        <v>1004.15</v>
      </c>
      <c r="D2785">
        <v>996.4</v>
      </c>
      <c r="E2785">
        <v>1019.9</v>
      </c>
      <c r="F2785">
        <v>1004.15</v>
      </c>
      <c r="G2785">
        <v>6255</v>
      </c>
      <c r="H2785" s="116"/>
      <c r="I2785" s="116"/>
      <c r="L2785" s="169">
        <v>46104</v>
      </c>
      <c r="M2785" s="116">
        <v>1002.8</v>
      </c>
      <c r="N2785" s="116">
        <v>1051.5999999999999</v>
      </c>
      <c r="O2785" s="116">
        <v>997.2</v>
      </c>
      <c r="P2785" s="116">
        <v>1051</v>
      </c>
      <c r="Q2785" s="116">
        <v>1002.8</v>
      </c>
      <c r="R2785">
        <v>89838</v>
      </c>
    </row>
    <row r="2786" spans="1:18" x14ac:dyDescent="0.25">
      <c r="A2786" s="169">
        <v>46105</v>
      </c>
      <c r="B2786">
        <v>1094.3499999999999</v>
      </c>
      <c r="C2786">
        <v>1046.0999999999999</v>
      </c>
      <c r="D2786">
        <v>1010</v>
      </c>
      <c r="E2786">
        <v>1010</v>
      </c>
      <c r="F2786">
        <v>1046.0999999999999</v>
      </c>
      <c r="G2786">
        <v>28431</v>
      </c>
      <c r="H2786" s="116"/>
      <c r="I2786" s="116"/>
      <c r="L2786" s="169">
        <v>46105</v>
      </c>
      <c r="M2786" s="116">
        <v>1045.8</v>
      </c>
      <c r="N2786" s="116">
        <v>1095</v>
      </c>
      <c r="O2786" s="116">
        <v>1020.6</v>
      </c>
      <c r="P2786" s="116">
        <v>1025</v>
      </c>
      <c r="Q2786" s="116">
        <v>1045.8</v>
      </c>
      <c r="R2786">
        <v>359033</v>
      </c>
    </row>
    <row r="2787" spans="1:18" x14ac:dyDescent="0.25">
      <c r="A2787" s="169">
        <v>46106</v>
      </c>
      <c r="B2787">
        <v>1084</v>
      </c>
      <c r="C2787">
        <v>1054.3499999999999</v>
      </c>
      <c r="D2787">
        <v>1042.55</v>
      </c>
      <c r="E2787">
        <v>1042.55</v>
      </c>
      <c r="F2787">
        <v>1054.3499999999999</v>
      </c>
      <c r="G2787">
        <v>13082</v>
      </c>
      <c r="H2787" s="116"/>
      <c r="I2787" s="116"/>
      <c r="L2787" s="169">
        <v>46106</v>
      </c>
      <c r="M2787" s="116">
        <v>1059.5</v>
      </c>
      <c r="N2787" s="116">
        <v>1085</v>
      </c>
      <c r="O2787" s="116">
        <v>1049</v>
      </c>
      <c r="P2787" s="116">
        <v>1049.9000000000001</v>
      </c>
      <c r="Q2787" s="116">
        <v>1059.5</v>
      </c>
      <c r="R2787">
        <v>114723</v>
      </c>
    </row>
    <row r="2788" spans="1:18" x14ac:dyDescent="0.25">
      <c r="A2788" s="169">
        <v>46108</v>
      </c>
      <c r="B2788">
        <v>1047.8</v>
      </c>
      <c r="C2788">
        <v>1032.25</v>
      </c>
      <c r="D2788">
        <v>1014.6</v>
      </c>
      <c r="E2788">
        <v>1035.5</v>
      </c>
      <c r="F2788">
        <v>1032.25</v>
      </c>
      <c r="G2788">
        <v>10147</v>
      </c>
      <c r="H2788" s="116"/>
      <c r="I2788" s="116"/>
      <c r="L2788" s="169">
        <v>46108</v>
      </c>
      <c r="M2788" s="116">
        <v>1033.9000000000001</v>
      </c>
      <c r="N2788" s="116">
        <v>1048.2</v>
      </c>
      <c r="O2788" s="116">
        <v>1016</v>
      </c>
      <c r="P2788" s="116">
        <v>1040</v>
      </c>
      <c r="Q2788" s="116">
        <v>1033.9000000000001</v>
      </c>
      <c r="R2788">
        <v>121500</v>
      </c>
    </row>
    <row r="2789" spans="1:18" x14ac:dyDescent="0.25">
      <c r="A2789" s="169">
        <v>46111</v>
      </c>
      <c r="B2789">
        <v>1027.4000000000001</v>
      </c>
      <c r="C2789">
        <v>977</v>
      </c>
      <c r="D2789">
        <v>966.45</v>
      </c>
      <c r="E2789">
        <v>1015.05</v>
      </c>
      <c r="F2789">
        <v>977</v>
      </c>
      <c r="G2789">
        <v>8340</v>
      </c>
      <c r="H2789" s="116"/>
      <c r="I2789" s="116"/>
      <c r="L2789" s="169">
        <v>46111</v>
      </c>
      <c r="M2789" s="116">
        <v>977.2</v>
      </c>
      <c r="N2789" s="116">
        <v>1032.5999999999999</v>
      </c>
      <c r="O2789" s="116">
        <v>968.1</v>
      </c>
      <c r="P2789" s="116">
        <v>1020</v>
      </c>
      <c r="Q2789" s="116">
        <v>977.2</v>
      </c>
      <c r="R2789">
        <v>210821</v>
      </c>
    </row>
    <row r="2790" spans="1:18" x14ac:dyDescent="0.25">
      <c r="A2790" s="169">
        <v>46113</v>
      </c>
      <c r="B2790">
        <v>1041.7</v>
      </c>
      <c r="C2790">
        <v>1020.9</v>
      </c>
      <c r="D2790">
        <v>998</v>
      </c>
      <c r="E2790">
        <v>998</v>
      </c>
      <c r="F2790">
        <v>1020.9</v>
      </c>
      <c r="G2790">
        <v>4355</v>
      </c>
      <c r="H2790" s="116"/>
      <c r="I2790" s="116"/>
      <c r="L2790" s="169">
        <v>46113</v>
      </c>
      <c r="M2790" s="116">
        <v>1021.1</v>
      </c>
      <c r="N2790" s="116">
        <v>1041.8</v>
      </c>
      <c r="O2790" s="116">
        <v>1008.6</v>
      </c>
      <c r="P2790" s="116">
        <v>1011.2</v>
      </c>
      <c r="Q2790" s="116">
        <v>1021.1</v>
      </c>
      <c r="R2790">
        <v>88717</v>
      </c>
    </row>
    <row r="2791" spans="1:18" x14ac:dyDescent="0.25">
      <c r="A2791" s="169">
        <v>46114</v>
      </c>
      <c r="B2791">
        <v>1080</v>
      </c>
      <c r="C2791">
        <v>1063.95</v>
      </c>
      <c r="D2791">
        <v>990</v>
      </c>
      <c r="E2791">
        <v>1009.95</v>
      </c>
      <c r="F2791">
        <v>1063.95</v>
      </c>
      <c r="G2791">
        <v>3765</v>
      </c>
      <c r="H2791" s="116"/>
      <c r="I2791" s="116"/>
      <c r="L2791" s="169">
        <v>46114</v>
      </c>
      <c r="M2791" s="116">
        <v>1065.45</v>
      </c>
      <c r="N2791" s="116">
        <v>1081</v>
      </c>
      <c r="O2791" s="116">
        <v>988.5</v>
      </c>
      <c r="P2791" s="116">
        <v>1000</v>
      </c>
      <c r="Q2791" s="116">
        <v>1065.45</v>
      </c>
      <c r="R2791">
        <v>104906</v>
      </c>
    </row>
    <row r="2792" spans="1:18" x14ac:dyDescent="0.25">
      <c r="A2792" s="169">
        <v>46118</v>
      </c>
      <c r="B2792">
        <v>1085.25</v>
      </c>
      <c r="C2792">
        <v>1041.3</v>
      </c>
      <c r="D2792">
        <v>1023.6</v>
      </c>
      <c r="E2792">
        <v>1085.25</v>
      </c>
      <c r="F2792">
        <v>1041.3</v>
      </c>
      <c r="G2792">
        <v>4674</v>
      </c>
      <c r="H2792" s="116"/>
      <c r="I2792" s="116"/>
      <c r="L2792" s="169">
        <v>46118</v>
      </c>
      <c r="M2792" s="116">
        <v>1040.0999999999999</v>
      </c>
      <c r="N2792" s="116">
        <v>1075</v>
      </c>
      <c r="O2792" s="116">
        <v>1023</v>
      </c>
      <c r="P2792" s="116">
        <v>1070</v>
      </c>
      <c r="Q2792" s="116">
        <v>1040.0999999999999</v>
      </c>
      <c r="R2792">
        <v>117033</v>
      </c>
    </row>
    <row r="2793" spans="1:18" x14ac:dyDescent="0.25">
      <c r="A2793" s="169">
        <v>46119</v>
      </c>
      <c r="B2793">
        <v>1053.9000000000001</v>
      </c>
      <c r="C2793">
        <v>1036.05</v>
      </c>
      <c r="D2793">
        <v>1023.95</v>
      </c>
      <c r="E2793">
        <v>1040</v>
      </c>
      <c r="F2793">
        <v>1036.05</v>
      </c>
      <c r="G2793">
        <v>4780</v>
      </c>
      <c r="H2793" s="116"/>
      <c r="I2793" s="116"/>
      <c r="L2793" s="169">
        <v>46119</v>
      </c>
      <c r="M2793" s="116">
        <v>1034.8499999999999</v>
      </c>
      <c r="N2793" s="116">
        <v>1054</v>
      </c>
      <c r="O2793" s="116">
        <v>1019.95</v>
      </c>
      <c r="P2793" s="116">
        <v>1028</v>
      </c>
      <c r="Q2793" s="116">
        <v>1034.8499999999999</v>
      </c>
      <c r="R2793">
        <v>80583</v>
      </c>
    </row>
    <row r="2794" spans="1:18" x14ac:dyDescent="0.25">
      <c r="A2794" s="169">
        <v>46120</v>
      </c>
      <c r="B2794">
        <v>1093.3</v>
      </c>
      <c r="C2794">
        <v>1069.5999999999999</v>
      </c>
      <c r="D2794">
        <v>1065.8</v>
      </c>
      <c r="E2794">
        <v>1078.0999999999999</v>
      </c>
      <c r="F2794">
        <v>1069.5999999999999</v>
      </c>
      <c r="G2794">
        <v>9753</v>
      </c>
      <c r="H2794" s="116"/>
      <c r="I2794" s="116"/>
      <c r="L2794" s="169">
        <v>46120</v>
      </c>
      <c r="M2794" s="116">
        <v>1070.1500000000001</v>
      </c>
      <c r="N2794" s="116">
        <v>1093.8</v>
      </c>
      <c r="O2794" s="116">
        <v>1064.1500000000001</v>
      </c>
      <c r="P2794" s="116">
        <v>1088</v>
      </c>
      <c r="Q2794" s="116">
        <v>1070.1500000000001</v>
      </c>
      <c r="R2794">
        <v>163925</v>
      </c>
    </row>
    <row r="2795" spans="1:18" x14ac:dyDescent="0.25">
      <c r="A2795" s="169">
        <v>46121</v>
      </c>
      <c r="B2795">
        <v>1097.8499999999999</v>
      </c>
      <c r="C2795">
        <v>1066.2</v>
      </c>
      <c r="D2795">
        <v>1057.5999999999999</v>
      </c>
      <c r="E2795">
        <v>1069.4000000000001</v>
      </c>
      <c r="F2795">
        <v>1066.2</v>
      </c>
      <c r="G2795">
        <v>1949</v>
      </c>
      <c r="H2795" s="116"/>
      <c r="I2795" s="116"/>
      <c r="L2795" s="169">
        <v>46121</v>
      </c>
      <c r="M2795" s="116">
        <v>1066.05</v>
      </c>
      <c r="N2795" s="116">
        <v>1099</v>
      </c>
      <c r="O2795" s="116">
        <v>1058</v>
      </c>
      <c r="P2795" s="116">
        <v>1078.3</v>
      </c>
      <c r="Q2795" s="116">
        <v>1066.05</v>
      </c>
      <c r="R2795">
        <v>109907</v>
      </c>
    </row>
    <row r="2796" spans="1:18" x14ac:dyDescent="0.25">
      <c r="A2796" s="169">
        <v>46122</v>
      </c>
      <c r="B2796">
        <v>1093</v>
      </c>
      <c r="C2796">
        <v>1076.75</v>
      </c>
      <c r="D2796">
        <v>1069.25</v>
      </c>
      <c r="E2796">
        <v>1077.75</v>
      </c>
      <c r="F2796">
        <v>1076.75</v>
      </c>
      <c r="G2796">
        <v>3194</v>
      </c>
      <c r="H2796" s="116"/>
      <c r="I2796" s="116"/>
      <c r="L2796" s="169">
        <v>46122</v>
      </c>
      <c r="M2796" s="116">
        <v>1076.5</v>
      </c>
      <c r="N2796" s="116">
        <v>1093.5</v>
      </c>
      <c r="O2796" s="116">
        <v>1069.6500000000001</v>
      </c>
      <c r="P2796" s="116">
        <v>1079.7</v>
      </c>
      <c r="Q2796" s="116">
        <v>1076.5</v>
      </c>
      <c r="R2796">
        <v>70408</v>
      </c>
    </row>
    <row r="2797" spans="1:18" x14ac:dyDescent="0.25">
      <c r="A2797" s="169">
        <v>46125</v>
      </c>
      <c r="B2797">
        <v>1109.75</v>
      </c>
      <c r="C2797">
        <v>1083.2</v>
      </c>
      <c r="D2797">
        <v>1033.7</v>
      </c>
      <c r="E2797">
        <v>1055.8</v>
      </c>
      <c r="F2797">
        <v>1083.2</v>
      </c>
      <c r="G2797">
        <v>3816</v>
      </c>
      <c r="H2797" s="116"/>
      <c r="I2797" s="116"/>
      <c r="L2797" s="169">
        <v>46125</v>
      </c>
      <c r="M2797" s="116">
        <v>1082.4000000000001</v>
      </c>
      <c r="N2797" s="116">
        <v>1108.4000000000001</v>
      </c>
      <c r="O2797" s="116">
        <v>1022.7</v>
      </c>
      <c r="P2797" s="116">
        <v>1053.95</v>
      </c>
      <c r="Q2797" s="116">
        <v>1082.4000000000001</v>
      </c>
      <c r="R2797">
        <v>95119</v>
      </c>
    </row>
    <row r="2798" spans="1:18" x14ac:dyDescent="0.25">
      <c r="A2798" s="169">
        <v>46127</v>
      </c>
      <c r="B2798">
        <v>1133.9000000000001</v>
      </c>
      <c r="C2798">
        <v>1131.55</v>
      </c>
      <c r="D2798">
        <v>1094</v>
      </c>
      <c r="E2798">
        <v>1094</v>
      </c>
      <c r="F2798">
        <v>1131.55</v>
      </c>
      <c r="G2798">
        <v>8568</v>
      </c>
      <c r="H2798" s="116"/>
      <c r="I2798" s="116"/>
      <c r="L2798" s="169">
        <v>46127</v>
      </c>
      <c r="M2798" s="116">
        <v>1130.75</v>
      </c>
      <c r="N2798" s="116">
        <v>1133.4000000000001</v>
      </c>
      <c r="O2798" s="116">
        <v>1089.0999999999999</v>
      </c>
      <c r="P2798" s="116">
        <v>1103.95</v>
      </c>
      <c r="Q2798" s="116">
        <v>1130.75</v>
      </c>
      <c r="R2798">
        <v>122605</v>
      </c>
    </row>
    <row r="2799" spans="1:18" x14ac:dyDescent="0.25">
      <c r="A2799" s="169">
        <v>46128</v>
      </c>
      <c r="B2799">
        <v>1152.8</v>
      </c>
      <c r="C2799">
        <v>1145.95</v>
      </c>
      <c r="D2799">
        <v>1123</v>
      </c>
      <c r="E2799">
        <v>1130.1500000000001</v>
      </c>
      <c r="F2799">
        <v>1145.95</v>
      </c>
      <c r="G2799">
        <v>4942</v>
      </c>
      <c r="H2799" s="116"/>
      <c r="I2799" s="116"/>
      <c r="L2799" s="169">
        <v>46128</v>
      </c>
      <c r="M2799" s="116">
        <v>1146.6500000000001</v>
      </c>
      <c r="N2799" s="116">
        <v>1153</v>
      </c>
      <c r="O2799" s="116">
        <v>1123.2</v>
      </c>
      <c r="P2799" s="116">
        <v>1135.95</v>
      </c>
      <c r="Q2799" s="116">
        <v>1146.6500000000001</v>
      </c>
      <c r="R2799">
        <v>72896</v>
      </c>
    </row>
    <row r="2800" spans="1:18" x14ac:dyDescent="0.25">
      <c r="A2800" s="169">
        <v>46129</v>
      </c>
      <c r="B2800">
        <v>1159.1500000000001</v>
      </c>
      <c r="C2800">
        <v>1139.8499999999999</v>
      </c>
      <c r="D2800">
        <v>1135.75</v>
      </c>
      <c r="E2800">
        <v>1149.55</v>
      </c>
      <c r="F2800">
        <v>1139.8499999999999</v>
      </c>
      <c r="G2800">
        <v>5328</v>
      </c>
      <c r="H2800" s="116"/>
      <c r="I2800" s="116"/>
      <c r="L2800" s="169">
        <v>46129</v>
      </c>
      <c r="M2800" s="116">
        <v>1139.3</v>
      </c>
      <c r="N2800" s="116">
        <v>1158.8</v>
      </c>
      <c r="O2800" s="116">
        <v>1134.3499999999999</v>
      </c>
      <c r="P2800" s="116">
        <v>1146.6500000000001</v>
      </c>
      <c r="Q2800" s="116">
        <v>1139.3</v>
      </c>
      <c r="R2800">
        <v>66492</v>
      </c>
    </row>
    <row r="2801" spans="1:18" x14ac:dyDescent="0.25">
      <c r="A2801" s="169">
        <v>46132</v>
      </c>
      <c r="B2801">
        <v>1171</v>
      </c>
      <c r="C2801">
        <v>1149.25</v>
      </c>
      <c r="D2801">
        <v>1116.9000000000001</v>
      </c>
      <c r="E2801">
        <v>1133.5999999999999</v>
      </c>
      <c r="F2801">
        <v>1149.25</v>
      </c>
      <c r="G2801">
        <v>5480</v>
      </c>
      <c r="H2801" s="116"/>
      <c r="I2801" s="116"/>
      <c r="L2801" s="169">
        <v>46132</v>
      </c>
      <c r="M2801" s="116">
        <v>1149.75</v>
      </c>
      <c r="N2801" s="116">
        <v>1174.45</v>
      </c>
      <c r="O2801" s="116">
        <v>1116.9000000000001</v>
      </c>
      <c r="P2801" s="116">
        <v>1150</v>
      </c>
      <c r="Q2801" s="116">
        <v>1149.75</v>
      </c>
      <c r="R2801">
        <v>85999</v>
      </c>
    </row>
    <row r="2802" spans="1:18" x14ac:dyDescent="0.25">
      <c r="A2802" s="169">
        <v>46133</v>
      </c>
      <c r="B2802">
        <v>1206.8499999999999</v>
      </c>
      <c r="C2802">
        <v>1204.25</v>
      </c>
      <c r="D2802">
        <v>1148.45</v>
      </c>
      <c r="E2802">
        <v>1148.8</v>
      </c>
      <c r="F2802">
        <v>1204.25</v>
      </c>
      <c r="G2802">
        <v>10311</v>
      </c>
      <c r="H2802" s="116"/>
      <c r="I2802" s="116"/>
      <c r="L2802" s="169">
        <v>46133</v>
      </c>
      <c r="M2802" s="116">
        <v>1203.3</v>
      </c>
      <c r="N2802" s="116">
        <v>1208</v>
      </c>
      <c r="O2802" s="116">
        <v>1141.8499999999999</v>
      </c>
      <c r="P2802" s="116">
        <v>1141.8499999999999</v>
      </c>
      <c r="Q2802" s="116">
        <v>1203.3</v>
      </c>
      <c r="R2802">
        <v>135043</v>
      </c>
    </row>
    <row r="2803" spans="1:18" x14ac:dyDescent="0.25">
      <c r="A2803" s="169">
        <v>46134</v>
      </c>
      <c r="B2803">
        <v>1228.1500000000001</v>
      </c>
      <c r="C2803">
        <v>1224.1500000000001</v>
      </c>
      <c r="D2803">
        <v>1190.5</v>
      </c>
      <c r="E2803">
        <v>1205</v>
      </c>
      <c r="F2803">
        <v>1224.1500000000001</v>
      </c>
      <c r="G2803">
        <v>9037</v>
      </c>
      <c r="H2803" s="116"/>
      <c r="I2803" s="116"/>
      <c r="L2803" s="169">
        <v>46134</v>
      </c>
      <c r="M2803" s="116">
        <v>1223.5</v>
      </c>
      <c r="N2803" s="116">
        <v>1228.1500000000001</v>
      </c>
      <c r="O2803" s="116">
        <v>1191.7</v>
      </c>
      <c r="P2803" s="116">
        <v>1203.3</v>
      </c>
      <c r="Q2803" s="116">
        <v>1223.5</v>
      </c>
      <c r="R2803">
        <v>87479</v>
      </c>
    </row>
    <row r="2804" spans="1:18" x14ac:dyDescent="0.25">
      <c r="A2804" s="169">
        <v>46135</v>
      </c>
      <c r="B2804">
        <v>1270</v>
      </c>
      <c r="C2804">
        <v>1241.3</v>
      </c>
      <c r="D2804">
        <v>1199.8</v>
      </c>
      <c r="E2804">
        <v>1200.05</v>
      </c>
      <c r="F2804">
        <v>1241.3</v>
      </c>
      <c r="G2804">
        <v>14182</v>
      </c>
      <c r="H2804" s="116"/>
      <c r="I2804" s="116"/>
      <c r="L2804" s="169">
        <v>46135</v>
      </c>
      <c r="M2804" s="116">
        <v>1239.95</v>
      </c>
      <c r="N2804" s="116">
        <v>1270</v>
      </c>
      <c r="O2804" s="116">
        <v>1200</v>
      </c>
      <c r="P2804" s="116">
        <v>1200</v>
      </c>
      <c r="Q2804" s="116">
        <v>1239.95</v>
      </c>
      <c r="R2804">
        <v>161357</v>
      </c>
    </row>
    <row r="2805" spans="1:18" x14ac:dyDescent="0.25">
      <c r="A2805" s="169">
        <v>46136</v>
      </c>
      <c r="B2805">
        <v>1260.6500000000001</v>
      </c>
      <c r="C2805">
        <v>1250.2</v>
      </c>
      <c r="D2805">
        <v>1215.4000000000001</v>
      </c>
      <c r="E2805">
        <v>1241.25</v>
      </c>
      <c r="F2805">
        <v>1250.2</v>
      </c>
      <c r="G2805">
        <v>7484</v>
      </c>
      <c r="H2805" s="116"/>
      <c r="I2805" s="116"/>
      <c r="L2805" s="169">
        <v>46136</v>
      </c>
      <c r="M2805" s="116">
        <v>1250.5999999999999</v>
      </c>
      <c r="N2805" s="116">
        <v>1264.6500000000001</v>
      </c>
      <c r="O2805" s="116">
        <v>1216.5</v>
      </c>
      <c r="P2805" s="116">
        <v>1239.95</v>
      </c>
      <c r="Q2805" s="116">
        <v>1250.5999999999999</v>
      </c>
      <c r="R2805">
        <v>93202</v>
      </c>
    </row>
    <row r="2806" spans="1:18" x14ac:dyDescent="0.25">
      <c r="A2806" s="169">
        <v>46139</v>
      </c>
      <c r="B2806">
        <v>1338</v>
      </c>
      <c r="C2806">
        <v>1308.7</v>
      </c>
      <c r="D2806">
        <v>1268.0999999999999</v>
      </c>
      <c r="E2806">
        <v>1289.75</v>
      </c>
      <c r="F2806">
        <v>1308.7</v>
      </c>
      <c r="G2806">
        <v>16614</v>
      </c>
      <c r="H2806" s="116"/>
      <c r="I2806" s="116"/>
      <c r="L2806" s="169">
        <v>46139</v>
      </c>
      <c r="M2806" s="116">
        <v>1306.9000000000001</v>
      </c>
      <c r="N2806" s="116">
        <v>1340</v>
      </c>
      <c r="O2806" s="116">
        <v>1261.25</v>
      </c>
      <c r="P2806" s="116">
        <v>1279</v>
      </c>
      <c r="Q2806" s="116">
        <v>1306.9000000000001</v>
      </c>
      <c r="R2806">
        <v>236582</v>
      </c>
    </row>
    <row r="2807" spans="1:18" x14ac:dyDescent="0.25">
      <c r="A2807" s="169">
        <v>46140</v>
      </c>
      <c r="B2807">
        <v>1330</v>
      </c>
      <c r="C2807">
        <v>1327.5</v>
      </c>
      <c r="D2807">
        <v>1295.05</v>
      </c>
      <c r="E2807">
        <v>1300.75</v>
      </c>
      <c r="F2807">
        <v>1327.5</v>
      </c>
      <c r="G2807">
        <v>5201</v>
      </c>
      <c r="H2807" s="116"/>
      <c r="I2807" s="116"/>
      <c r="L2807" s="169">
        <v>46140</v>
      </c>
      <c r="M2807" s="116">
        <v>1325.8</v>
      </c>
      <c r="N2807" s="116">
        <v>1331</v>
      </c>
      <c r="O2807" s="116">
        <v>1295</v>
      </c>
      <c r="P2807" s="116">
        <v>1308.0999999999999</v>
      </c>
      <c r="Q2807" s="116">
        <v>1325.8</v>
      </c>
      <c r="R2807">
        <v>113155</v>
      </c>
    </row>
    <row r="2808" spans="1:18" x14ac:dyDescent="0.25">
      <c r="A2808" s="169">
        <v>46141</v>
      </c>
      <c r="B2808">
        <v>1345.2</v>
      </c>
      <c r="C2808">
        <v>1298.0999999999999</v>
      </c>
      <c r="D2808">
        <v>1288</v>
      </c>
      <c r="E2808">
        <v>1315.25</v>
      </c>
      <c r="F2808">
        <v>1298.0999999999999</v>
      </c>
      <c r="G2808">
        <v>9447</v>
      </c>
      <c r="H2808" s="116"/>
      <c r="I2808" s="116"/>
      <c r="L2808" s="169">
        <v>46141</v>
      </c>
      <c r="M2808" s="116">
        <v>1297.7</v>
      </c>
      <c r="N2808" s="116">
        <v>1347</v>
      </c>
      <c r="O2808" s="116">
        <v>1287.3499999999999</v>
      </c>
      <c r="P2808" s="116">
        <v>1326</v>
      </c>
      <c r="Q2808" s="116">
        <v>1297.7</v>
      </c>
      <c r="R2808">
        <v>142382</v>
      </c>
    </row>
    <row r="2809" spans="1:18" x14ac:dyDescent="0.25">
      <c r="A2809" s="169">
        <v>46142</v>
      </c>
      <c r="B2809">
        <v>1336.7</v>
      </c>
      <c r="C2809">
        <v>1331.85</v>
      </c>
      <c r="D2809">
        <v>1275.3499999999999</v>
      </c>
      <c r="E2809">
        <v>1289.4000000000001</v>
      </c>
      <c r="F2809">
        <v>1331.85</v>
      </c>
      <c r="G2809">
        <v>11679</v>
      </c>
      <c r="H2809" s="116"/>
      <c r="I2809" s="116"/>
      <c r="L2809" s="169">
        <v>46142</v>
      </c>
      <c r="M2809" s="116">
        <v>1333.65</v>
      </c>
      <c r="N2809" s="116">
        <v>1337.95</v>
      </c>
      <c r="O2809" s="116">
        <v>1275.5999999999999</v>
      </c>
      <c r="P2809" s="116">
        <v>1291.8499999999999</v>
      </c>
      <c r="Q2809" s="116">
        <v>1333.65</v>
      </c>
      <c r="R2809">
        <v>130731</v>
      </c>
    </row>
    <row r="2810" spans="1:18" x14ac:dyDescent="0.25">
      <c r="A2810" s="169">
        <v>46146</v>
      </c>
      <c r="B2810">
        <v>1472.2</v>
      </c>
      <c r="C2810">
        <v>1453.85</v>
      </c>
      <c r="D2810">
        <v>1354.05</v>
      </c>
      <c r="E2810">
        <v>1360</v>
      </c>
      <c r="F2810">
        <v>1453.85</v>
      </c>
      <c r="G2810">
        <v>31032</v>
      </c>
      <c r="H2810" s="116"/>
      <c r="I2810" s="116"/>
      <c r="L2810" s="169">
        <v>46146</v>
      </c>
      <c r="M2810" s="116">
        <v>1455.5</v>
      </c>
      <c r="N2810" s="116">
        <v>1471.8</v>
      </c>
      <c r="O2810" s="116">
        <v>1355</v>
      </c>
      <c r="P2810" s="116">
        <v>1360</v>
      </c>
      <c r="Q2810" s="116">
        <v>1455.5</v>
      </c>
      <c r="R2810">
        <v>638858</v>
      </c>
    </row>
    <row r="2811" spans="1:18" x14ac:dyDescent="0.25">
      <c r="A2811" s="169">
        <v>46147</v>
      </c>
      <c r="B2811">
        <v>1487.9</v>
      </c>
      <c r="C2811">
        <v>1461.8</v>
      </c>
      <c r="D2811">
        <v>1445.3</v>
      </c>
      <c r="E2811">
        <v>1464.55</v>
      </c>
      <c r="F2811">
        <v>1461.8</v>
      </c>
      <c r="G2811">
        <v>8070</v>
      </c>
      <c r="H2811" s="116"/>
      <c r="I2811" s="116"/>
      <c r="L2811" s="169">
        <v>46147</v>
      </c>
      <c r="M2811" s="116">
        <v>1462</v>
      </c>
      <c r="N2811" s="116">
        <v>1488.6</v>
      </c>
      <c r="O2811" s="116">
        <v>1444.6</v>
      </c>
      <c r="P2811" s="116">
        <v>1463</v>
      </c>
      <c r="Q2811" s="116">
        <v>1462</v>
      </c>
      <c r="R2811">
        <v>210811</v>
      </c>
    </row>
    <row r="2812" spans="1:18" x14ac:dyDescent="0.25">
      <c r="A2812" s="169">
        <v>46148</v>
      </c>
      <c r="B2812">
        <v>1517</v>
      </c>
      <c r="C2812">
        <v>1489.95</v>
      </c>
      <c r="D2812">
        <v>1437.95</v>
      </c>
      <c r="E2812">
        <v>1495</v>
      </c>
      <c r="F2812">
        <v>1489.95</v>
      </c>
      <c r="G2812">
        <v>11656</v>
      </c>
      <c r="H2812" s="116"/>
      <c r="I2812" s="116"/>
      <c r="L2812" s="169">
        <v>46148</v>
      </c>
      <c r="M2812" s="116">
        <v>1492.4</v>
      </c>
      <c r="N2812" s="116">
        <v>1517</v>
      </c>
      <c r="O2812" s="116">
        <v>1437.5</v>
      </c>
      <c r="P2812" s="116">
        <v>1491.9</v>
      </c>
      <c r="Q2812" s="116">
        <v>1492.4</v>
      </c>
      <c r="R2812">
        <v>332822</v>
      </c>
    </row>
    <row r="2813" spans="1:18" x14ac:dyDescent="0.25">
      <c r="A2813" s="169">
        <v>46149</v>
      </c>
      <c r="B2813">
        <v>1534.55</v>
      </c>
      <c r="C2813">
        <v>1523.8</v>
      </c>
      <c r="D2813">
        <v>1490</v>
      </c>
      <c r="E2813">
        <v>1493.05</v>
      </c>
      <c r="F2813">
        <v>1523.8</v>
      </c>
      <c r="G2813">
        <v>12973</v>
      </c>
      <c r="H2813" s="116"/>
      <c r="I2813" s="116"/>
      <c r="L2813" s="169">
        <v>46149</v>
      </c>
      <c r="M2813" s="116">
        <v>1526.3</v>
      </c>
      <c r="N2813" s="116">
        <v>1535</v>
      </c>
      <c r="O2813" s="116">
        <v>1488.4</v>
      </c>
      <c r="P2813" s="116">
        <v>1495</v>
      </c>
      <c r="Q2813" s="116">
        <v>1526.3</v>
      </c>
      <c r="R2813">
        <v>224514</v>
      </c>
    </row>
    <row r="2814" spans="1:18" x14ac:dyDescent="0.25">
      <c r="A2814" s="169">
        <v>46150</v>
      </c>
      <c r="B2814">
        <v>1540.75</v>
      </c>
      <c r="C2814">
        <v>1484.9</v>
      </c>
      <c r="D2814">
        <v>1481.85</v>
      </c>
      <c r="E2814">
        <v>1523.8</v>
      </c>
      <c r="F2814">
        <v>1484.9</v>
      </c>
      <c r="G2814">
        <v>7401</v>
      </c>
      <c r="H2814" s="116"/>
      <c r="I2814" s="116"/>
      <c r="L2814" s="169">
        <v>46150</v>
      </c>
      <c r="M2814" s="116">
        <v>1487.2</v>
      </c>
      <c r="N2814" s="116">
        <v>1538</v>
      </c>
      <c r="O2814" s="116">
        <v>1482.7</v>
      </c>
      <c r="P2814" s="116">
        <v>1514.1</v>
      </c>
      <c r="Q2814" s="116">
        <v>1487.2</v>
      </c>
      <c r="R2814">
        <v>125285</v>
      </c>
    </row>
    <row r="2815" spans="1:18" x14ac:dyDescent="0.25">
      <c r="A2815" s="169">
        <v>46153</v>
      </c>
      <c r="B2815">
        <v>1487.2</v>
      </c>
      <c r="C2815">
        <v>1415.45</v>
      </c>
      <c r="D2815">
        <v>1409.75</v>
      </c>
      <c r="E2815">
        <v>1487.2</v>
      </c>
      <c r="F2815">
        <v>1415.45</v>
      </c>
      <c r="G2815">
        <v>10865</v>
      </c>
      <c r="H2815" s="116"/>
      <c r="I2815" s="116"/>
      <c r="L2815" s="169">
        <v>46153</v>
      </c>
      <c r="M2815" s="116">
        <v>1414.4</v>
      </c>
      <c r="N2815" s="116">
        <v>1482.8</v>
      </c>
      <c r="O2815" s="116">
        <v>1406.1</v>
      </c>
      <c r="P2815" s="116">
        <v>1482.8</v>
      </c>
      <c r="Q2815" s="116">
        <v>1414.4</v>
      </c>
      <c r="R2815">
        <v>135900</v>
      </c>
    </row>
    <row r="2816" spans="1:18" x14ac:dyDescent="0.25">
      <c r="A2816" s="169">
        <v>46154</v>
      </c>
      <c r="B2816">
        <v>1427.7</v>
      </c>
      <c r="C2816">
        <v>1340</v>
      </c>
      <c r="D2816">
        <v>1324.85</v>
      </c>
      <c r="E2816">
        <v>1405.05</v>
      </c>
      <c r="F2816">
        <v>1340</v>
      </c>
      <c r="G2816">
        <v>12546</v>
      </c>
      <c r="H2816" s="116"/>
      <c r="I2816" s="116"/>
      <c r="L2816" s="169">
        <v>46154</v>
      </c>
      <c r="M2816" s="116">
        <v>1339.5</v>
      </c>
      <c r="N2816" s="116">
        <v>1434.9</v>
      </c>
      <c r="O2816" s="116">
        <v>1318.3</v>
      </c>
      <c r="P2816" s="116">
        <v>1408.6</v>
      </c>
      <c r="Q2816" s="116">
        <v>1339.5</v>
      </c>
      <c r="R2816">
        <v>160435</v>
      </c>
    </row>
    <row r="2817" spans="1:18" x14ac:dyDescent="0.25">
      <c r="A2817" s="169">
        <v>46155</v>
      </c>
      <c r="B2817">
        <v>1404.65</v>
      </c>
      <c r="C2817">
        <v>1352.15</v>
      </c>
      <c r="D2817">
        <v>1333.2</v>
      </c>
      <c r="E2817">
        <v>1333.2</v>
      </c>
      <c r="F2817">
        <v>1352.15</v>
      </c>
      <c r="G2817">
        <v>9520</v>
      </c>
      <c r="H2817" s="116"/>
      <c r="I2817" s="116"/>
      <c r="L2817" s="169">
        <v>46155</v>
      </c>
      <c r="M2817" s="116">
        <v>1352.9</v>
      </c>
      <c r="N2817" s="116">
        <v>1408.1</v>
      </c>
      <c r="O2817" s="116">
        <v>1339.5</v>
      </c>
      <c r="P2817" s="116">
        <v>1339.5</v>
      </c>
      <c r="Q2817" s="116">
        <v>1352.9</v>
      </c>
      <c r="R2817">
        <v>112324</v>
      </c>
    </row>
    <row r="2818" spans="1:18" x14ac:dyDescent="0.25">
      <c r="A2818" s="169">
        <v>46156</v>
      </c>
      <c r="B2818">
        <v>1622.55</v>
      </c>
      <c r="C2818">
        <v>1622.55</v>
      </c>
      <c r="D2818">
        <v>1488.35</v>
      </c>
      <c r="E2818">
        <v>1488.4</v>
      </c>
      <c r="F2818">
        <v>1622.55</v>
      </c>
      <c r="G2818">
        <v>77127</v>
      </c>
      <c r="H2818" s="116"/>
      <c r="I2818" s="116"/>
      <c r="L2818" s="169">
        <v>46156</v>
      </c>
      <c r="M2818" s="116">
        <v>1623.4</v>
      </c>
      <c r="N2818" s="116">
        <v>1623.4</v>
      </c>
      <c r="O2818" s="116">
        <v>1496</v>
      </c>
      <c r="P2818" s="116">
        <v>1496</v>
      </c>
      <c r="Q2818" s="116">
        <v>1623.4</v>
      </c>
      <c r="R2818">
        <v>1772941</v>
      </c>
    </row>
    <row r="2819" spans="1:18" x14ac:dyDescent="0.25">
      <c r="A2819" s="169">
        <v>46157</v>
      </c>
      <c r="B2819">
        <v>1737.7</v>
      </c>
      <c r="C2819">
        <v>1700.6</v>
      </c>
      <c r="D2819">
        <v>1591.35</v>
      </c>
      <c r="E2819">
        <v>1708.8</v>
      </c>
      <c r="F2819">
        <v>1700.6</v>
      </c>
      <c r="G2819">
        <v>118861</v>
      </c>
      <c r="H2819" s="116"/>
      <c r="I2819" s="116"/>
      <c r="L2819" s="169">
        <v>46157</v>
      </c>
      <c r="M2819" s="116">
        <v>1706.2</v>
      </c>
      <c r="N2819" s="116">
        <v>1740</v>
      </c>
      <c r="O2819" s="116">
        <v>1590.5</v>
      </c>
      <c r="P2819" s="116">
        <v>1660</v>
      </c>
      <c r="Q2819" s="116">
        <v>1706.2</v>
      </c>
      <c r="R2819">
        <v>2725771</v>
      </c>
    </row>
    <row r="2820" spans="1:18" x14ac:dyDescent="0.25">
      <c r="A2820" s="169">
        <v>46160</v>
      </c>
      <c r="B2820">
        <v>1793.4</v>
      </c>
      <c r="C2820">
        <v>1764.55</v>
      </c>
      <c r="D2820">
        <v>1620</v>
      </c>
      <c r="E2820">
        <v>1679.9</v>
      </c>
      <c r="F2820">
        <v>1764.55</v>
      </c>
      <c r="G2820">
        <v>36587</v>
      </c>
      <c r="H2820" s="116"/>
      <c r="I2820" s="116"/>
      <c r="L2820" s="169">
        <v>46160</v>
      </c>
      <c r="M2820" s="116">
        <v>1763</v>
      </c>
      <c r="N2820" s="116">
        <v>1794.3</v>
      </c>
      <c r="O2820" s="116">
        <v>1620</v>
      </c>
      <c r="P2820" s="116">
        <v>1674.1</v>
      </c>
      <c r="Q2820" s="116">
        <v>1763</v>
      </c>
      <c r="R2820">
        <v>882685</v>
      </c>
    </row>
    <row r="2821" spans="1:18" x14ac:dyDescent="0.25">
      <c r="A2821" s="169">
        <v>46161</v>
      </c>
      <c r="B2821">
        <v>1777</v>
      </c>
      <c r="C2821">
        <v>1713.65</v>
      </c>
      <c r="D2821">
        <v>1698</v>
      </c>
      <c r="E2821">
        <v>1760</v>
      </c>
      <c r="F2821">
        <v>1713.65</v>
      </c>
      <c r="G2821">
        <v>21829</v>
      </c>
      <c r="H2821" s="116"/>
      <c r="I2821" s="116"/>
      <c r="L2821" s="169">
        <v>46161</v>
      </c>
      <c r="M2821" s="116">
        <v>1708.8</v>
      </c>
      <c r="N2821" s="116">
        <v>1780</v>
      </c>
      <c r="O2821" s="116">
        <v>1695</v>
      </c>
      <c r="P2821" s="116">
        <v>1746</v>
      </c>
      <c r="Q2821" s="116">
        <v>1708.8</v>
      </c>
      <c r="R2821">
        <v>436809</v>
      </c>
    </row>
    <row r="2822" spans="1:18" x14ac:dyDescent="0.25">
      <c r="A2822" s="169">
        <v>46162</v>
      </c>
      <c r="B2822">
        <v>1844.85</v>
      </c>
      <c r="C2822">
        <v>1827.85</v>
      </c>
      <c r="D2822">
        <v>1668.2</v>
      </c>
      <c r="E2822">
        <v>1674.65</v>
      </c>
      <c r="F2822">
        <v>1827.85</v>
      </c>
      <c r="G2822">
        <v>54117</v>
      </c>
      <c r="H2822" s="116"/>
      <c r="I2822" s="116"/>
      <c r="L2822" s="169">
        <v>46162</v>
      </c>
      <c r="M2822" s="116">
        <v>1833.3</v>
      </c>
      <c r="N2822" s="116">
        <v>1845</v>
      </c>
      <c r="O2822" s="116">
        <v>1665.8</v>
      </c>
      <c r="P2822" s="116">
        <v>1695</v>
      </c>
      <c r="Q2822" s="116">
        <v>1833.3</v>
      </c>
      <c r="R2822">
        <v>1102152</v>
      </c>
    </row>
    <row r="2823" spans="1:18" x14ac:dyDescent="0.25">
      <c r="A2823" s="169">
        <v>46163</v>
      </c>
      <c r="B2823">
        <v>1897</v>
      </c>
      <c r="C2823">
        <v>1833.05</v>
      </c>
      <c r="D2823">
        <v>1810</v>
      </c>
      <c r="E2823">
        <v>1849.95</v>
      </c>
      <c r="F2823">
        <v>1833.05</v>
      </c>
      <c r="G2823">
        <v>19917</v>
      </c>
      <c r="H2823" s="116"/>
      <c r="I2823" s="116"/>
      <c r="L2823" s="169">
        <v>46163</v>
      </c>
      <c r="M2823" s="116">
        <v>1836.9</v>
      </c>
      <c r="N2823" s="116">
        <v>1896.6</v>
      </c>
      <c r="O2823" s="116">
        <v>1811</v>
      </c>
      <c r="P2823" s="116">
        <v>1845.1</v>
      </c>
      <c r="Q2823" s="116">
        <v>1836.9</v>
      </c>
      <c r="R2823">
        <v>373026</v>
      </c>
    </row>
    <row r="2824" spans="1:18" x14ac:dyDescent="0.25">
      <c r="A2824" s="169">
        <v>46164</v>
      </c>
      <c r="B2824">
        <v>1835.95</v>
      </c>
      <c r="C2824">
        <v>1820.7</v>
      </c>
      <c r="D2824">
        <v>1766.35</v>
      </c>
      <c r="E2824">
        <v>1829.3</v>
      </c>
      <c r="F2824">
        <v>1820.7</v>
      </c>
      <c r="G2824">
        <v>12364</v>
      </c>
      <c r="H2824" s="116"/>
      <c r="I2824" s="116"/>
      <c r="L2824" s="169">
        <v>46164</v>
      </c>
      <c r="M2824" s="116">
        <v>1822.5</v>
      </c>
      <c r="N2824" s="116">
        <v>1835</v>
      </c>
      <c r="O2824" s="116">
        <v>1765.1</v>
      </c>
      <c r="P2824" s="116">
        <v>1826.9</v>
      </c>
      <c r="Q2824" s="116">
        <v>1822.5</v>
      </c>
      <c r="R2824">
        <v>275766</v>
      </c>
    </row>
    <row r="2825" spans="1:18" x14ac:dyDescent="0.25">
      <c r="A2825" s="169">
        <v>46167</v>
      </c>
      <c r="B2825">
        <v>1956.8</v>
      </c>
      <c r="C2825">
        <v>1920.25</v>
      </c>
      <c r="D2825">
        <v>1841</v>
      </c>
      <c r="E2825">
        <v>1878.55</v>
      </c>
      <c r="F2825">
        <v>1920.25</v>
      </c>
      <c r="G2825">
        <v>21470</v>
      </c>
      <c r="H2825" s="116"/>
      <c r="I2825" s="116"/>
      <c r="L2825" s="169">
        <v>46167</v>
      </c>
      <c r="M2825" s="116">
        <v>1920.9</v>
      </c>
      <c r="N2825" s="116">
        <v>1956</v>
      </c>
      <c r="O2825" s="116">
        <v>1840.6</v>
      </c>
      <c r="P2825" s="116">
        <v>1874</v>
      </c>
      <c r="Q2825" s="116">
        <v>1920.9</v>
      </c>
      <c r="R2825">
        <v>597019</v>
      </c>
    </row>
    <row r="2826" spans="1:18" x14ac:dyDescent="0.25">
      <c r="A2826" s="169">
        <v>46168</v>
      </c>
      <c r="B2826">
        <v>1946.9</v>
      </c>
      <c r="C2826">
        <v>1874.4</v>
      </c>
      <c r="D2826">
        <v>1865.3</v>
      </c>
      <c r="E2826">
        <v>1933.85</v>
      </c>
      <c r="F2826">
        <v>1874.4</v>
      </c>
      <c r="G2826">
        <v>10257</v>
      </c>
      <c r="H2826" s="116"/>
      <c r="I2826" s="116"/>
      <c r="L2826" s="169">
        <v>46168</v>
      </c>
      <c r="M2826" s="116">
        <v>1873.4</v>
      </c>
      <c r="N2826" s="116">
        <v>1947</v>
      </c>
      <c r="O2826" s="116">
        <v>1862</v>
      </c>
      <c r="P2826" s="116">
        <v>1930</v>
      </c>
      <c r="Q2826" s="116">
        <v>1873.4</v>
      </c>
      <c r="R2826">
        <v>214280</v>
      </c>
    </row>
    <row r="2827" spans="1:18" x14ac:dyDescent="0.25">
      <c r="A2827" s="169">
        <v>46169</v>
      </c>
      <c r="B2827">
        <v>1892</v>
      </c>
      <c r="C2827">
        <v>1820.45</v>
      </c>
      <c r="D2827">
        <v>1801.25</v>
      </c>
      <c r="E2827">
        <v>1892</v>
      </c>
      <c r="F2827">
        <v>1820.45</v>
      </c>
      <c r="G2827">
        <v>13751</v>
      </c>
      <c r="H2827" s="116"/>
      <c r="I2827" s="116"/>
      <c r="L2827" s="169">
        <v>46169</v>
      </c>
      <c r="M2827" s="116">
        <v>1821</v>
      </c>
      <c r="N2827" s="116">
        <v>1891.3</v>
      </c>
      <c r="O2827" s="116">
        <v>1808</v>
      </c>
      <c r="P2827" s="116">
        <v>1887.9</v>
      </c>
      <c r="Q2827" s="116">
        <v>1821</v>
      </c>
      <c r="R2827">
        <v>189445</v>
      </c>
    </row>
    <row r="2828" spans="1:18" x14ac:dyDescent="0.25">
      <c r="A2828" s="169">
        <v>46171</v>
      </c>
      <c r="B2828">
        <v>1864</v>
      </c>
      <c r="C2828">
        <v>1778.7</v>
      </c>
      <c r="D2828">
        <v>1766.25</v>
      </c>
      <c r="E2828">
        <v>1810.3</v>
      </c>
      <c r="F2828">
        <v>1778.7</v>
      </c>
      <c r="G2828">
        <v>13627</v>
      </c>
      <c r="H2828" s="116"/>
      <c r="I2828" s="116"/>
      <c r="L2828" s="169">
        <v>46171</v>
      </c>
      <c r="M2828" s="116">
        <v>1775.6</v>
      </c>
      <c r="N2828" s="116">
        <v>1868.9</v>
      </c>
      <c r="O2828" s="116">
        <v>1763</v>
      </c>
      <c r="P2828" s="116">
        <v>1835</v>
      </c>
      <c r="Q2828" s="116">
        <v>1775.6</v>
      </c>
      <c r="R2828">
        <v>219900</v>
      </c>
    </row>
    <row r="2829" spans="1:18" x14ac:dyDescent="0.25">
      <c r="A2829" s="169">
        <v>46174</v>
      </c>
      <c r="B2829">
        <v>1810.85</v>
      </c>
      <c r="C2829">
        <v>1739.9</v>
      </c>
      <c r="D2829">
        <v>1699.15</v>
      </c>
      <c r="E2829">
        <v>1787</v>
      </c>
      <c r="F2829">
        <v>1739.9</v>
      </c>
      <c r="G2829">
        <v>18826</v>
      </c>
      <c r="H2829" s="116"/>
      <c r="I2829" s="116"/>
      <c r="L2829" s="169">
        <v>46174</v>
      </c>
      <c r="M2829" s="116">
        <v>1751.8</v>
      </c>
      <c r="N2829" s="116">
        <v>1814.2</v>
      </c>
      <c r="O2829" s="116">
        <v>1700.6</v>
      </c>
      <c r="P2829" s="116">
        <v>1775.6</v>
      </c>
      <c r="Q2829" s="116">
        <v>1751.8</v>
      </c>
      <c r="R2829">
        <v>231637</v>
      </c>
    </row>
    <row r="2830" spans="1:18" x14ac:dyDescent="0.25">
      <c r="A2830" s="169">
        <v>46175</v>
      </c>
      <c r="B2830">
        <v>2062.5</v>
      </c>
      <c r="C2830">
        <v>2017.1</v>
      </c>
      <c r="D2830">
        <v>1735.35</v>
      </c>
      <c r="E2830">
        <v>1755</v>
      </c>
      <c r="F2830">
        <v>2017.1</v>
      </c>
      <c r="G2830">
        <v>152348</v>
      </c>
      <c r="H2830" s="116"/>
      <c r="I2830" s="116"/>
      <c r="L2830" s="169">
        <v>46175</v>
      </c>
      <c r="M2830" s="116">
        <v>2016.1</v>
      </c>
      <c r="N2830" s="116">
        <v>2063</v>
      </c>
      <c r="O2830" s="116">
        <v>1736.1</v>
      </c>
      <c r="P2830" s="116">
        <v>1748</v>
      </c>
      <c r="Q2830" s="116">
        <v>2016.1</v>
      </c>
      <c r="R2830">
        <v>2628387</v>
      </c>
    </row>
    <row r="2831" spans="1:18" x14ac:dyDescent="0.25">
      <c r="A2831" s="169">
        <v>46176</v>
      </c>
      <c r="B2831">
        <v>2190.25</v>
      </c>
      <c r="C2831">
        <v>2123.65</v>
      </c>
      <c r="D2831">
        <v>1946</v>
      </c>
      <c r="E2831">
        <v>2017.15</v>
      </c>
      <c r="F2831">
        <v>2123.65</v>
      </c>
      <c r="G2831">
        <v>163877</v>
      </c>
      <c r="H2831" s="116"/>
      <c r="I2831" s="116"/>
      <c r="L2831" s="169">
        <v>46176</v>
      </c>
      <c r="M2831" s="116">
        <v>2122.1999999999998</v>
      </c>
      <c r="N2831" s="116">
        <v>2185</v>
      </c>
      <c r="O2831" s="116">
        <v>1942.8</v>
      </c>
      <c r="P2831" s="116">
        <v>2020</v>
      </c>
      <c r="Q2831" s="116">
        <v>2122.1999999999998</v>
      </c>
      <c r="R2831">
        <v>3178753</v>
      </c>
    </row>
    <row r="2832" spans="1:18" x14ac:dyDescent="0.25">
      <c r="A2832" s="169">
        <v>46177</v>
      </c>
      <c r="B2832">
        <v>2155.1</v>
      </c>
      <c r="C2832">
        <v>2099.65</v>
      </c>
      <c r="D2832">
        <v>2073.6999999999998</v>
      </c>
      <c r="E2832">
        <v>2128.25</v>
      </c>
      <c r="F2832">
        <v>2099.65</v>
      </c>
      <c r="G2832">
        <v>34120</v>
      </c>
      <c r="H2832" s="116"/>
      <c r="I2832" s="116"/>
      <c r="L2832" s="169">
        <v>46177</v>
      </c>
      <c r="M2832" s="116">
        <v>2099.9</v>
      </c>
      <c r="N2832" s="116">
        <v>2159.1999999999998</v>
      </c>
      <c r="O2832" s="116">
        <v>2073</v>
      </c>
      <c r="P2832" s="116">
        <v>2122.1999999999998</v>
      </c>
      <c r="Q2832" s="116">
        <v>2099.9</v>
      </c>
      <c r="R2832">
        <v>487135</v>
      </c>
    </row>
    <row r="2833" spans="1:18" x14ac:dyDescent="0.25">
      <c r="A2833" s="169">
        <v>46178</v>
      </c>
      <c r="B2833">
        <v>2150</v>
      </c>
      <c r="C2833">
        <v>2045.4</v>
      </c>
      <c r="D2833">
        <v>1991.1</v>
      </c>
      <c r="E2833">
        <v>2109.9499999999998</v>
      </c>
      <c r="F2833">
        <v>2045.4</v>
      </c>
      <c r="G2833">
        <v>25462</v>
      </c>
      <c r="H2833" s="116"/>
      <c r="I2833" s="116"/>
      <c r="L2833" s="169">
        <v>46178</v>
      </c>
      <c r="M2833" s="116">
        <v>2043.3</v>
      </c>
      <c r="N2833" s="116">
        <v>2150</v>
      </c>
      <c r="O2833" s="116">
        <v>1992</v>
      </c>
      <c r="P2833" s="116">
        <v>2100</v>
      </c>
      <c r="Q2833" s="116">
        <v>2043.3</v>
      </c>
      <c r="R2833">
        <v>528900</v>
      </c>
    </row>
    <row r="2834" spans="1:18" x14ac:dyDescent="0.25">
      <c r="A2834" s="169">
        <v>46181</v>
      </c>
      <c r="B2834">
        <v>2139.9</v>
      </c>
      <c r="C2834">
        <v>2094.85</v>
      </c>
      <c r="D2834">
        <v>1993.45</v>
      </c>
      <c r="E2834">
        <v>2025.95</v>
      </c>
      <c r="F2834">
        <v>2094.85</v>
      </c>
      <c r="G2834">
        <v>28682</v>
      </c>
      <c r="H2834" s="116"/>
      <c r="I2834" s="116"/>
      <c r="L2834" s="169">
        <v>46181</v>
      </c>
      <c r="M2834" s="116">
        <v>2090.9</v>
      </c>
      <c r="N2834" s="116">
        <v>2141.5</v>
      </c>
      <c r="O2834" s="116">
        <v>1989.4</v>
      </c>
      <c r="P2834" s="116">
        <v>2029.1</v>
      </c>
      <c r="Q2834" s="116">
        <v>2090.9</v>
      </c>
      <c r="R2834">
        <v>481967</v>
      </c>
    </row>
    <row r="2835" spans="1:18" x14ac:dyDescent="0.25">
      <c r="A2835" s="169">
        <v>46182</v>
      </c>
      <c r="B2835">
        <v>2260</v>
      </c>
      <c r="C2835">
        <v>2242.5500000000002</v>
      </c>
      <c r="D2835">
        <v>2074.35</v>
      </c>
      <c r="E2835">
        <v>2125.6</v>
      </c>
      <c r="F2835">
        <v>2242.5500000000002</v>
      </c>
      <c r="G2835">
        <v>36859</v>
      </c>
      <c r="H2835" s="116"/>
      <c r="I2835" s="116"/>
      <c r="L2835" s="169">
        <v>46182</v>
      </c>
      <c r="M2835" s="116">
        <v>2242.1</v>
      </c>
      <c r="N2835" s="116">
        <v>2262.5</v>
      </c>
      <c r="O2835" s="116">
        <v>2076.1</v>
      </c>
      <c r="P2835" s="116">
        <v>2110</v>
      </c>
      <c r="Q2835" s="116">
        <v>2242.1</v>
      </c>
      <c r="R2835">
        <v>895023</v>
      </c>
    </row>
    <row r="2836" spans="1:18" x14ac:dyDescent="0.25">
      <c r="A2836" s="169">
        <v>46183</v>
      </c>
      <c r="B2836">
        <v>2255</v>
      </c>
      <c r="C2836">
        <v>2130.85</v>
      </c>
      <c r="D2836">
        <v>2112.0500000000002</v>
      </c>
      <c r="E2836">
        <v>2245.35</v>
      </c>
      <c r="F2836">
        <v>2130.85</v>
      </c>
      <c r="G2836">
        <v>29788</v>
      </c>
      <c r="H2836" s="116"/>
      <c r="I2836" s="116"/>
      <c r="L2836" s="169">
        <v>46183</v>
      </c>
      <c r="M2836" s="116">
        <v>2131.1</v>
      </c>
      <c r="N2836" s="116">
        <v>2257</v>
      </c>
      <c r="O2836" s="116">
        <v>2114</v>
      </c>
      <c r="P2836" s="116">
        <v>2254.9</v>
      </c>
      <c r="Q2836" s="116">
        <v>2131.1</v>
      </c>
      <c r="R2836">
        <v>340226</v>
      </c>
    </row>
    <row r="2837" spans="1:18" x14ac:dyDescent="0.25">
      <c r="A2837" s="169">
        <v>46184</v>
      </c>
      <c r="B2837">
        <v>2170.4</v>
      </c>
      <c r="C2837">
        <v>2055.6999999999998</v>
      </c>
      <c r="D2837">
        <v>2030.95</v>
      </c>
      <c r="E2837">
        <v>2127.4</v>
      </c>
      <c r="F2837">
        <v>2055.6999999999998</v>
      </c>
      <c r="G2837">
        <v>18146</v>
      </c>
      <c r="H2837" s="116"/>
      <c r="I2837" s="116"/>
      <c r="L2837" s="169">
        <v>46184</v>
      </c>
      <c r="M2837" s="116">
        <v>2054</v>
      </c>
      <c r="N2837" s="116">
        <v>2173.6999999999998</v>
      </c>
      <c r="O2837" s="116">
        <v>2033.1</v>
      </c>
      <c r="P2837" s="116">
        <v>2115</v>
      </c>
      <c r="Q2837" s="116">
        <v>2054</v>
      </c>
      <c r="R2837">
        <v>319584</v>
      </c>
    </row>
    <row r="2838" spans="1:18" x14ac:dyDescent="0.25">
      <c r="A2838" s="169">
        <v>46185</v>
      </c>
      <c r="B2838">
        <v>2146.4</v>
      </c>
      <c r="C2838">
        <v>2136.3000000000002</v>
      </c>
      <c r="D2838">
        <v>2065</v>
      </c>
      <c r="E2838">
        <v>2065</v>
      </c>
      <c r="F2838">
        <v>2136.3000000000002</v>
      </c>
      <c r="G2838">
        <v>22501</v>
      </c>
      <c r="H2838" s="116"/>
      <c r="I2838" s="116"/>
      <c r="L2838" s="169">
        <v>46185</v>
      </c>
      <c r="M2838" s="116">
        <v>2133</v>
      </c>
      <c r="N2838" s="116">
        <v>2148</v>
      </c>
      <c r="O2838" s="116">
        <v>2078.8000000000002</v>
      </c>
      <c r="P2838" s="116">
        <v>2091.1</v>
      </c>
      <c r="Q2838" s="116">
        <v>2133</v>
      </c>
      <c r="R2838">
        <v>212251</v>
      </c>
    </row>
    <row r="2839" spans="1:18" x14ac:dyDescent="0.25">
      <c r="A2839" s="169">
        <v>46188</v>
      </c>
      <c r="B2839">
        <v>2199.5</v>
      </c>
      <c r="C2839">
        <v>2107.1999999999998</v>
      </c>
      <c r="D2839">
        <v>2082.5</v>
      </c>
      <c r="E2839">
        <v>2199.5</v>
      </c>
      <c r="F2839">
        <v>2107.1999999999998</v>
      </c>
      <c r="G2839">
        <v>15891</v>
      </c>
      <c r="H2839" s="116"/>
      <c r="I2839" s="116"/>
      <c r="L2839" s="169">
        <v>46188</v>
      </c>
      <c r="M2839" s="116">
        <v>2108.1</v>
      </c>
      <c r="N2839" s="116">
        <v>2199.1</v>
      </c>
      <c r="O2839" s="116">
        <v>2081.5</v>
      </c>
      <c r="P2839" s="116">
        <v>2180</v>
      </c>
      <c r="Q2839" s="116">
        <v>2108.1</v>
      </c>
      <c r="R2839">
        <v>174477</v>
      </c>
    </row>
    <row r="2840" spans="1:18" x14ac:dyDescent="0.25">
      <c r="A2840" s="169">
        <v>46189</v>
      </c>
      <c r="B2840">
        <v>2107.25</v>
      </c>
      <c r="C2840">
        <v>2077.65</v>
      </c>
      <c r="D2840">
        <v>2048.5</v>
      </c>
      <c r="E2840">
        <v>2107.25</v>
      </c>
      <c r="F2840">
        <v>2077.65</v>
      </c>
      <c r="G2840">
        <v>14378</v>
      </c>
      <c r="H2840" s="116"/>
      <c r="I2840" s="116"/>
      <c r="L2840" s="169">
        <v>46189</v>
      </c>
      <c r="M2840" s="116">
        <v>2076.5</v>
      </c>
      <c r="N2840" s="116">
        <v>2102.5</v>
      </c>
      <c r="O2840" s="116">
        <v>2045.6</v>
      </c>
      <c r="P2840" s="116">
        <v>2100.1</v>
      </c>
      <c r="Q2840" s="116">
        <v>2076.5</v>
      </c>
      <c r="R2840">
        <v>138544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data</vt:lpstr>
      <vt:lpstr>Concall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2026-06-17T11:00:42Z</dcterms:modified>
  <cp:category/>
  <cp:contentStatus/>
</cp:coreProperties>
</file>